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https://sistemaupr-my.sharepoint.com/personal/travis_courtney_upr_edu/Documents/Documents/R/CCRI_Q2/"/>
    </mc:Choice>
  </mc:AlternateContent>
  <xr:revisionPtr revIDLastSave="1" documentId="11_7E0B125ED34650837CB2DFBA010BE435D013739D" xr6:coauthVersionLast="47" xr6:coauthVersionMax="47" xr10:uidLastSave="{225A0362-C5B0-8644-BA55-963407ABEE53}"/>
  <bookViews>
    <workbookView xWindow="0" yWindow="500" windowWidth="38400" windowHeight="21100" activeTab="1" xr2:uid="{00000000-000D-0000-FFFF-FFFF00000000}"/>
  </bookViews>
  <sheets>
    <sheet name="Raw Data" sheetId="1" r:id="rId1"/>
    <sheet name="data_tac" sheetId="2" r:id="rId2"/>
    <sheet name="Adjusted_Raw Data" sheetId="3" r:id="rId3"/>
    <sheet name="Data_Stats" sheetId="4" r:id="rId4"/>
    <sheet name="Table 1" sheetId="5" r:id="rId5"/>
    <sheet name="Table 2_Sampling_Stats" sheetId="6" r:id="rId6"/>
    <sheet name="Table 3_HydroLab QAQC" sheetId="7" r:id="rId7"/>
    <sheet name="Table 4" sheetId="8" r:id="rId8"/>
    <sheet name="PRCRMP_dates_vs_CCRI" sheetId="9" r:id="rId9"/>
    <sheet name="PRCRMP_dates_CCRI_stats" sheetId="10" r:id="rId10"/>
    <sheet name="Site_Meta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wtLbFPOte0DacEEiWosfYNg83ly/x+IcMfqxICK3w/Q="/>
    </ext>
  </extLst>
</workbook>
</file>

<file path=xl/calcChain.xml><?xml version="1.0" encoding="utf-8"?>
<calcChain xmlns="http://schemas.openxmlformats.org/spreadsheetml/2006/main">
  <c r="C44" i="9" l="1"/>
  <c r="B44" i="9"/>
  <c r="D43" i="9"/>
  <c r="D42" i="9"/>
  <c r="D41" i="9"/>
  <c r="D40" i="9"/>
  <c r="D39" i="9"/>
  <c r="D38" i="9"/>
  <c r="D37" i="9"/>
  <c r="D33" i="9"/>
  <c r="D32" i="9"/>
  <c r="D22" i="9"/>
  <c r="D18" i="9"/>
  <c r="D17" i="9"/>
  <c r="D16" i="9"/>
  <c r="D14" i="9"/>
  <c r="D13" i="9"/>
  <c r="D11" i="9"/>
  <c r="D8" i="9"/>
  <c r="D7" i="9"/>
  <c r="D6" i="9"/>
  <c r="D4" i="9"/>
  <c r="D3" i="9"/>
  <c r="AM96" i="3"/>
  <c r="M96" i="3"/>
  <c r="I96" i="3"/>
  <c r="H96" i="3"/>
  <c r="G96" i="3"/>
  <c r="F96" i="3"/>
  <c r="E96" i="3"/>
  <c r="C96" i="3"/>
  <c r="B96" i="3"/>
  <c r="AM95" i="3"/>
  <c r="M95" i="3"/>
  <c r="I95" i="3"/>
  <c r="H95" i="3"/>
  <c r="G95" i="3"/>
  <c r="F95" i="3"/>
  <c r="E95" i="3"/>
  <c r="C95" i="3"/>
  <c r="B95" i="3"/>
  <c r="AM94" i="3"/>
  <c r="M94" i="3"/>
  <c r="I94" i="3"/>
  <c r="H94" i="3"/>
  <c r="G94" i="3"/>
  <c r="F94" i="3"/>
  <c r="E94" i="3"/>
  <c r="C94" i="3"/>
  <c r="B94" i="3"/>
  <c r="AM93" i="3"/>
  <c r="M93" i="3"/>
  <c r="I93" i="3"/>
  <c r="H93" i="3"/>
  <c r="G93" i="3"/>
  <c r="F93" i="3"/>
  <c r="E93" i="3"/>
  <c r="C93" i="3"/>
  <c r="B93" i="3"/>
  <c r="AM92" i="3"/>
  <c r="M92" i="3"/>
  <c r="I92" i="3"/>
  <c r="H92" i="3"/>
  <c r="G92" i="3"/>
  <c r="F92" i="3"/>
  <c r="E92" i="3"/>
  <c r="C92" i="3"/>
  <c r="B92" i="3"/>
  <c r="AM91" i="3"/>
  <c r="M91" i="3"/>
  <c r="I91" i="3"/>
  <c r="H91" i="3"/>
  <c r="G91" i="3"/>
  <c r="F91" i="3"/>
  <c r="E91" i="3"/>
  <c r="C91" i="3"/>
  <c r="B91" i="3"/>
  <c r="AM90" i="3"/>
  <c r="M90" i="3"/>
  <c r="I90" i="3"/>
  <c r="H90" i="3"/>
  <c r="G90" i="3"/>
  <c r="F90" i="3"/>
  <c r="E90" i="3"/>
  <c r="C90" i="3"/>
  <c r="B90" i="3"/>
  <c r="AM89" i="3"/>
  <c r="M89" i="3"/>
  <c r="I89" i="3"/>
  <c r="H89" i="3"/>
  <c r="G89" i="3"/>
  <c r="F89" i="3"/>
  <c r="E89" i="3"/>
  <c r="C89" i="3"/>
  <c r="B89" i="3"/>
  <c r="AM88" i="3"/>
  <c r="M88" i="3"/>
  <c r="I88" i="3"/>
  <c r="H88" i="3"/>
  <c r="G88" i="3"/>
  <c r="F88" i="3"/>
  <c r="E88" i="3"/>
  <c r="C88" i="3"/>
  <c r="B88" i="3"/>
  <c r="AM87" i="3"/>
  <c r="M87" i="3"/>
  <c r="I87" i="3"/>
  <c r="H87" i="3"/>
  <c r="G87" i="3"/>
  <c r="F87" i="3"/>
  <c r="E87" i="3"/>
  <c r="C87" i="3"/>
  <c r="B87" i="3"/>
  <c r="AM86" i="3"/>
  <c r="M86" i="3"/>
  <c r="I86" i="3"/>
  <c r="H86" i="3"/>
  <c r="G86" i="3"/>
  <c r="F86" i="3"/>
  <c r="E86" i="3"/>
  <c r="C86" i="3"/>
  <c r="B86" i="3"/>
  <c r="AM85" i="3"/>
  <c r="M85" i="3"/>
  <c r="I85" i="3"/>
  <c r="H85" i="3"/>
  <c r="G85" i="3"/>
  <c r="F85" i="3"/>
  <c r="E85" i="3"/>
  <c r="C85" i="3"/>
  <c r="B85" i="3"/>
  <c r="AM84" i="3"/>
  <c r="M84" i="3"/>
  <c r="I84" i="3"/>
  <c r="H84" i="3"/>
  <c r="G84" i="3"/>
  <c r="F84" i="3"/>
  <c r="E84" i="3"/>
  <c r="C84" i="3"/>
  <c r="B84" i="3"/>
  <c r="AM83" i="3"/>
  <c r="M83" i="3"/>
  <c r="I83" i="3"/>
  <c r="H83" i="3"/>
  <c r="G83" i="3"/>
  <c r="F83" i="3"/>
  <c r="E83" i="3"/>
  <c r="C83" i="3"/>
  <c r="B83" i="3"/>
  <c r="AM82" i="3"/>
  <c r="M82" i="3"/>
  <c r="I82" i="3"/>
  <c r="H82" i="3"/>
  <c r="G82" i="3"/>
  <c r="F82" i="3"/>
  <c r="E82" i="3"/>
  <c r="C82" i="3"/>
  <c r="B82" i="3"/>
  <c r="AM81" i="3"/>
  <c r="M81" i="3"/>
  <c r="I81" i="3"/>
  <c r="H81" i="3"/>
  <c r="G81" i="3"/>
  <c r="F81" i="3"/>
  <c r="E81" i="3"/>
  <c r="C81" i="3"/>
  <c r="B81" i="3"/>
  <c r="AM80" i="3"/>
  <c r="M80" i="3"/>
  <c r="I80" i="3"/>
  <c r="H80" i="3"/>
  <c r="G80" i="3"/>
  <c r="F80" i="3"/>
  <c r="E80" i="3"/>
  <c r="C80" i="3"/>
  <c r="B80" i="3"/>
  <c r="AM79" i="3"/>
  <c r="M79" i="3"/>
  <c r="I79" i="3"/>
  <c r="H79" i="3"/>
  <c r="G79" i="3"/>
  <c r="F79" i="3"/>
  <c r="E79" i="3"/>
  <c r="C79" i="3"/>
  <c r="B79" i="3"/>
  <c r="AM78" i="3"/>
  <c r="M78" i="3"/>
  <c r="I78" i="3"/>
  <c r="H78" i="3"/>
  <c r="G78" i="3"/>
  <c r="F78" i="3"/>
  <c r="E78" i="3"/>
  <c r="C78" i="3"/>
  <c r="B78" i="3"/>
  <c r="AM77" i="3"/>
  <c r="M77" i="3"/>
  <c r="I77" i="3"/>
  <c r="H77" i="3"/>
  <c r="G77" i="3"/>
  <c r="F77" i="3"/>
  <c r="E77" i="3"/>
  <c r="C77" i="3"/>
  <c r="B77" i="3"/>
  <c r="AM76" i="3"/>
  <c r="M76" i="3"/>
  <c r="I76" i="3"/>
  <c r="H76" i="3"/>
  <c r="G76" i="3"/>
  <c r="F76" i="3"/>
  <c r="E76" i="3"/>
  <c r="C76" i="3"/>
  <c r="B76" i="3"/>
  <c r="AM75" i="3"/>
  <c r="M75" i="3"/>
  <c r="I75" i="3"/>
  <c r="H75" i="3"/>
  <c r="G75" i="3"/>
  <c r="F75" i="3"/>
  <c r="E75" i="3"/>
  <c r="C75" i="3"/>
  <c r="B75" i="3"/>
  <c r="AM74" i="3"/>
  <c r="M74" i="3"/>
  <c r="I74" i="3"/>
  <c r="H74" i="3"/>
  <c r="G74" i="3"/>
  <c r="F74" i="3"/>
  <c r="E74" i="3"/>
  <c r="C74" i="3"/>
  <c r="B74" i="3"/>
  <c r="AM73" i="3"/>
  <c r="M73" i="3"/>
  <c r="I73" i="3"/>
  <c r="H73" i="3"/>
  <c r="G73" i="3"/>
  <c r="F73" i="3"/>
  <c r="E73" i="3"/>
  <c r="C73" i="3"/>
  <c r="B73" i="3"/>
  <c r="AM72" i="3"/>
  <c r="M72" i="3"/>
  <c r="I72" i="3"/>
  <c r="H72" i="3"/>
  <c r="G72" i="3"/>
  <c r="F72" i="3"/>
  <c r="E72" i="3"/>
  <c r="C72" i="3"/>
  <c r="B72" i="3"/>
  <c r="AM71" i="3"/>
  <c r="M71" i="3"/>
  <c r="I71" i="3"/>
  <c r="H71" i="3"/>
  <c r="G71" i="3"/>
  <c r="F71" i="3"/>
  <c r="E71" i="3"/>
  <c r="C71" i="3"/>
  <c r="B71" i="3"/>
  <c r="AM70" i="3"/>
  <c r="M70" i="3"/>
  <c r="I70" i="3"/>
  <c r="H70" i="3"/>
  <c r="G70" i="3"/>
  <c r="F70" i="3"/>
  <c r="E70" i="3"/>
  <c r="C70" i="3"/>
  <c r="B70" i="3"/>
  <c r="AM69" i="3"/>
  <c r="M69" i="3"/>
  <c r="I69" i="3"/>
  <c r="H69" i="3"/>
  <c r="G69" i="3"/>
  <c r="F69" i="3"/>
  <c r="E69" i="3"/>
  <c r="C69" i="3"/>
  <c r="B69" i="3"/>
  <c r="AM68" i="3"/>
  <c r="M68" i="3"/>
  <c r="I68" i="3"/>
  <c r="H68" i="3"/>
  <c r="G68" i="3"/>
  <c r="F68" i="3"/>
  <c r="E68" i="3"/>
  <c r="C68" i="3"/>
  <c r="B68" i="3"/>
  <c r="AM67" i="3"/>
  <c r="M67" i="3"/>
  <c r="I67" i="3"/>
  <c r="H67" i="3"/>
  <c r="G67" i="3"/>
  <c r="F67" i="3"/>
  <c r="E67" i="3"/>
  <c r="C67" i="3"/>
  <c r="B67" i="3"/>
  <c r="AM66" i="3"/>
  <c r="M66" i="3"/>
  <c r="I66" i="3"/>
  <c r="H66" i="3"/>
  <c r="G66" i="3"/>
  <c r="F66" i="3"/>
  <c r="E66" i="3"/>
  <c r="C66" i="3"/>
  <c r="B66" i="3"/>
  <c r="AM65" i="3"/>
  <c r="M65" i="3"/>
  <c r="I65" i="3"/>
  <c r="H65" i="3"/>
  <c r="G65" i="3"/>
  <c r="F65" i="3"/>
  <c r="E65" i="3"/>
  <c r="C65" i="3"/>
  <c r="B65" i="3"/>
  <c r="AM64" i="3"/>
  <c r="M64" i="3"/>
  <c r="I64" i="3"/>
  <c r="H64" i="3"/>
  <c r="G64" i="3"/>
  <c r="F64" i="3"/>
  <c r="E64" i="3"/>
  <c r="C64" i="3"/>
  <c r="B64" i="3"/>
  <c r="AM63" i="3"/>
  <c r="M63" i="3"/>
  <c r="I63" i="3"/>
  <c r="H63" i="3"/>
  <c r="G63" i="3"/>
  <c r="F63" i="3"/>
  <c r="E63" i="3"/>
  <c r="C63" i="3"/>
  <c r="B63" i="3"/>
  <c r="AM62" i="3"/>
  <c r="M62" i="3"/>
  <c r="I62" i="3"/>
  <c r="H62" i="3"/>
  <c r="G62" i="3"/>
  <c r="F62" i="3"/>
  <c r="E62" i="3"/>
  <c r="C62" i="3"/>
  <c r="B62" i="3"/>
  <c r="AM61" i="3"/>
  <c r="M61" i="3"/>
  <c r="I61" i="3"/>
  <c r="H61" i="3"/>
  <c r="G61" i="3"/>
  <c r="F61" i="3"/>
  <c r="E61" i="3"/>
  <c r="C61" i="3"/>
  <c r="B61" i="3"/>
  <c r="AM60" i="3"/>
  <c r="M60" i="3"/>
  <c r="I60" i="3"/>
  <c r="H60" i="3"/>
  <c r="G60" i="3"/>
  <c r="F60" i="3"/>
  <c r="E60" i="3"/>
  <c r="C60" i="3"/>
  <c r="B60" i="3"/>
  <c r="AM59" i="3"/>
  <c r="M59" i="3"/>
  <c r="I59" i="3"/>
  <c r="H59" i="3"/>
  <c r="G59" i="3"/>
  <c r="F59" i="3"/>
  <c r="E59" i="3"/>
  <c r="C59" i="3"/>
  <c r="B59" i="3"/>
  <c r="AM58" i="3"/>
  <c r="M58" i="3"/>
  <c r="I58" i="3"/>
  <c r="H58" i="3"/>
  <c r="G58" i="3"/>
  <c r="F58" i="3"/>
  <c r="E58" i="3"/>
  <c r="C58" i="3"/>
  <c r="B58" i="3"/>
  <c r="AM57" i="3"/>
  <c r="M57" i="3"/>
  <c r="I57" i="3"/>
  <c r="H57" i="3"/>
  <c r="G57" i="3"/>
  <c r="F57" i="3"/>
  <c r="E57" i="3"/>
  <c r="C57" i="3"/>
  <c r="B57" i="3"/>
  <c r="AM56" i="3"/>
  <c r="M56" i="3"/>
  <c r="I56" i="3"/>
  <c r="H56" i="3"/>
  <c r="G56" i="3"/>
  <c r="F56" i="3"/>
  <c r="E56" i="3"/>
  <c r="C56" i="3"/>
  <c r="B56" i="3"/>
  <c r="AM55" i="3"/>
  <c r="M55" i="3"/>
  <c r="I55" i="3"/>
  <c r="H55" i="3"/>
  <c r="G55" i="3"/>
  <c r="F55" i="3"/>
  <c r="E55" i="3"/>
  <c r="C55" i="3"/>
  <c r="B55" i="3"/>
  <c r="AM54" i="3"/>
  <c r="M54" i="3"/>
  <c r="I54" i="3"/>
  <c r="H54" i="3"/>
  <c r="G54" i="3"/>
  <c r="F54" i="3"/>
  <c r="E54" i="3"/>
  <c r="C54" i="3"/>
  <c r="B54" i="3"/>
  <c r="AM53" i="3"/>
  <c r="M53" i="3"/>
  <c r="I53" i="3"/>
  <c r="H53" i="3"/>
  <c r="G53" i="3"/>
  <c r="F53" i="3"/>
  <c r="E53" i="3"/>
  <c r="C53" i="3"/>
  <c r="B53" i="3"/>
  <c r="AM52" i="3"/>
  <c r="M52" i="3"/>
  <c r="I52" i="3"/>
  <c r="H52" i="3"/>
  <c r="G52" i="3"/>
  <c r="F52" i="3"/>
  <c r="E52" i="3"/>
  <c r="C52" i="3"/>
  <c r="B52" i="3"/>
  <c r="AM51" i="3"/>
  <c r="M51" i="3"/>
  <c r="I51" i="3"/>
  <c r="H51" i="3"/>
  <c r="G51" i="3"/>
  <c r="F51" i="3"/>
  <c r="E51" i="3"/>
  <c r="C51" i="3"/>
  <c r="B51" i="3"/>
  <c r="AM50" i="3"/>
  <c r="M50" i="3"/>
  <c r="I50" i="3"/>
  <c r="H50" i="3"/>
  <c r="G50" i="3"/>
  <c r="F50" i="3"/>
  <c r="E50" i="3"/>
  <c r="C50" i="3"/>
  <c r="B50" i="3"/>
  <c r="AM49" i="3"/>
  <c r="M49" i="3"/>
  <c r="I49" i="3"/>
  <c r="H49" i="3"/>
  <c r="G49" i="3"/>
  <c r="F49" i="3"/>
  <c r="E49" i="3"/>
  <c r="C49" i="3"/>
  <c r="B49" i="3"/>
  <c r="AM48" i="3"/>
  <c r="M48" i="3"/>
  <c r="I48" i="3"/>
  <c r="H48" i="3"/>
  <c r="G48" i="3"/>
  <c r="F48" i="3"/>
  <c r="E48" i="3"/>
  <c r="C48" i="3"/>
  <c r="B48" i="3"/>
  <c r="AM47" i="3"/>
  <c r="M47" i="3"/>
  <c r="I47" i="3"/>
  <c r="H47" i="3"/>
  <c r="G47" i="3"/>
  <c r="F47" i="3"/>
  <c r="E47" i="3"/>
  <c r="C47" i="3"/>
  <c r="B47" i="3"/>
  <c r="AM46" i="3"/>
  <c r="M46" i="3"/>
  <c r="I46" i="3"/>
  <c r="H46" i="3"/>
  <c r="G46" i="3"/>
  <c r="F46" i="3"/>
  <c r="E46" i="3"/>
  <c r="C46" i="3"/>
  <c r="B46" i="3"/>
  <c r="AM45" i="3"/>
  <c r="M45" i="3"/>
  <c r="I45" i="3"/>
  <c r="H45" i="3"/>
  <c r="G45" i="3"/>
  <c r="F45" i="3"/>
  <c r="E45" i="3"/>
  <c r="C45" i="3"/>
  <c r="B45" i="3"/>
  <c r="AM44" i="3"/>
  <c r="M44" i="3"/>
  <c r="I44" i="3"/>
  <c r="H44" i="3"/>
  <c r="G44" i="3"/>
  <c r="F44" i="3"/>
  <c r="E44" i="3"/>
  <c r="C44" i="3"/>
  <c r="B44" i="3"/>
  <c r="AM43" i="3"/>
  <c r="M43" i="3"/>
  <c r="I43" i="3"/>
  <c r="H43" i="3"/>
  <c r="G43" i="3"/>
  <c r="F43" i="3"/>
  <c r="E43" i="3"/>
  <c r="C43" i="3"/>
  <c r="B43" i="3"/>
  <c r="AM42" i="3"/>
  <c r="M42" i="3"/>
  <c r="I42" i="3"/>
  <c r="H42" i="3"/>
  <c r="G42" i="3"/>
  <c r="F42" i="3"/>
  <c r="E42" i="3"/>
  <c r="C42" i="3"/>
  <c r="B42" i="3"/>
  <c r="AM41" i="3"/>
  <c r="M41" i="3"/>
  <c r="I41" i="3"/>
  <c r="H41" i="3"/>
  <c r="G41" i="3"/>
  <c r="F41" i="3"/>
  <c r="E41" i="3"/>
  <c r="C41" i="3"/>
  <c r="B41" i="3"/>
  <c r="AM40" i="3"/>
  <c r="M40" i="3"/>
  <c r="I40" i="3"/>
  <c r="H40" i="3"/>
  <c r="G40" i="3"/>
  <c r="F40" i="3"/>
  <c r="E40" i="3"/>
  <c r="C40" i="3"/>
  <c r="B40" i="3"/>
  <c r="AM39" i="3"/>
  <c r="M39" i="3"/>
  <c r="I39" i="3"/>
  <c r="H39" i="3"/>
  <c r="G39" i="3"/>
  <c r="F39" i="3"/>
  <c r="E39" i="3"/>
  <c r="C39" i="3"/>
  <c r="B39" i="3"/>
  <c r="AM38" i="3"/>
  <c r="M38" i="3"/>
  <c r="I38" i="3"/>
  <c r="H38" i="3"/>
  <c r="G38" i="3"/>
  <c r="F38" i="3"/>
  <c r="E38" i="3"/>
  <c r="C38" i="3"/>
  <c r="B38" i="3"/>
  <c r="AM37" i="3"/>
  <c r="M37" i="3"/>
  <c r="I37" i="3"/>
  <c r="H37" i="3"/>
  <c r="G37" i="3"/>
  <c r="F37" i="3"/>
  <c r="E37" i="3"/>
  <c r="C37" i="3"/>
  <c r="B37" i="3"/>
  <c r="AM36" i="3"/>
  <c r="M36" i="3"/>
  <c r="I36" i="3"/>
  <c r="H36" i="3"/>
  <c r="G36" i="3"/>
  <c r="F36" i="3"/>
  <c r="E36" i="3"/>
  <c r="C36" i="3"/>
  <c r="B36" i="3"/>
  <c r="AM35" i="3"/>
  <c r="M35" i="3"/>
  <c r="I35" i="3"/>
  <c r="H35" i="3"/>
  <c r="G35" i="3"/>
  <c r="F35" i="3"/>
  <c r="E35" i="3"/>
  <c r="C35" i="3"/>
  <c r="B35" i="3"/>
  <c r="AM34" i="3"/>
  <c r="M34" i="3"/>
  <c r="I34" i="3"/>
  <c r="H34" i="3"/>
  <c r="G34" i="3"/>
  <c r="F34" i="3"/>
  <c r="E34" i="3"/>
  <c r="C34" i="3"/>
  <c r="B34" i="3"/>
  <c r="AM33" i="3"/>
  <c r="M33" i="3"/>
  <c r="I33" i="3"/>
  <c r="H33" i="3"/>
  <c r="G33" i="3"/>
  <c r="F33" i="3"/>
  <c r="E33" i="3"/>
  <c r="C33" i="3"/>
  <c r="B33" i="3"/>
  <c r="AM32" i="3"/>
  <c r="M32" i="3"/>
  <c r="I32" i="3"/>
  <c r="H32" i="3"/>
  <c r="G32" i="3"/>
  <c r="F32" i="3"/>
  <c r="E32" i="3"/>
  <c r="C32" i="3"/>
  <c r="B32" i="3"/>
  <c r="AM31" i="3"/>
  <c r="M31" i="3"/>
  <c r="I31" i="3"/>
  <c r="H31" i="3"/>
  <c r="G31" i="3"/>
  <c r="F31" i="3"/>
  <c r="E31" i="3"/>
  <c r="C31" i="3"/>
  <c r="B31" i="3"/>
  <c r="AM30" i="3"/>
  <c r="M30" i="3"/>
  <c r="I30" i="3"/>
  <c r="H30" i="3"/>
  <c r="G30" i="3"/>
  <c r="F30" i="3"/>
  <c r="E30" i="3"/>
  <c r="C30" i="3"/>
  <c r="B30" i="3"/>
  <c r="AM29" i="3"/>
  <c r="M29" i="3"/>
  <c r="I29" i="3"/>
  <c r="H29" i="3"/>
  <c r="G29" i="3"/>
  <c r="F29" i="3"/>
  <c r="E29" i="3"/>
  <c r="C29" i="3"/>
  <c r="B29" i="3"/>
  <c r="AM28" i="3"/>
  <c r="M28" i="3"/>
  <c r="I28" i="3"/>
  <c r="H28" i="3"/>
  <c r="G28" i="3"/>
  <c r="F28" i="3"/>
  <c r="E28" i="3"/>
  <c r="C28" i="3"/>
  <c r="B28" i="3"/>
  <c r="AM27" i="3"/>
  <c r="M27" i="3"/>
  <c r="I27" i="3"/>
  <c r="H27" i="3"/>
  <c r="G27" i="3"/>
  <c r="F27" i="3"/>
  <c r="E27" i="3"/>
  <c r="C27" i="3"/>
  <c r="B27" i="3"/>
  <c r="AM26" i="3"/>
  <c r="M26" i="3"/>
  <c r="I26" i="3"/>
  <c r="H26" i="3"/>
  <c r="G26" i="3"/>
  <c r="F26" i="3"/>
  <c r="E26" i="3"/>
  <c r="C26" i="3"/>
  <c r="B26" i="3"/>
  <c r="AM25" i="3"/>
  <c r="M25" i="3"/>
  <c r="I25" i="3"/>
  <c r="H25" i="3"/>
  <c r="G25" i="3"/>
  <c r="F25" i="3"/>
  <c r="E25" i="3"/>
  <c r="C25" i="3"/>
  <c r="B25" i="3"/>
  <c r="AM24" i="3"/>
  <c r="M24" i="3"/>
  <c r="I24" i="3"/>
  <c r="H24" i="3"/>
  <c r="G24" i="3"/>
  <c r="F24" i="3"/>
  <c r="E24" i="3"/>
  <c r="C24" i="3"/>
  <c r="B24" i="3"/>
  <c r="AM23" i="3"/>
  <c r="M23" i="3"/>
  <c r="I23" i="3"/>
  <c r="H23" i="3"/>
  <c r="G23" i="3"/>
  <c r="F23" i="3"/>
  <c r="E23" i="3"/>
  <c r="C23" i="3"/>
  <c r="B23" i="3"/>
  <c r="AM22" i="3"/>
  <c r="M22" i="3"/>
  <c r="I22" i="3"/>
  <c r="H22" i="3"/>
  <c r="G22" i="3"/>
  <c r="F22" i="3"/>
  <c r="E22" i="3"/>
  <c r="C22" i="3"/>
  <c r="B22" i="3"/>
  <c r="AM21" i="3"/>
  <c r="M21" i="3"/>
  <c r="I21" i="3"/>
  <c r="H21" i="3"/>
  <c r="G21" i="3"/>
  <c r="F21" i="3"/>
  <c r="E21" i="3"/>
  <c r="C21" i="3"/>
  <c r="B21" i="3"/>
  <c r="AM20" i="3"/>
  <c r="M20" i="3"/>
  <c r="I20" i="3"/>
  <c r="H20" i="3"/>
  <c r="G20" i="3"/>
  <c r="F20" i="3"/>
  <c r="E20" i="3"/>
  <c r="C20" i="3"/>
  <c r="B20" i="3"/>
  <c r="AM19" i="3"/>
  <c r="M19" i="3"/>
  <c r="I19" i="3"/>
  <c r="H19" i="3"/>
  <c r="G19" i="3"/>
  <c r="F19" i="3"/>
  <c r="E19" i="3"/>
  <c r="C19" i="3"/>
  <c r="B19" i="3"/>
  <c r="AM18" i="3"/>
  <c r="M18" i="3"/>
  <c r="I18" i="3"/>
  <c r="H18" i="3"/>
  <c r="G18" i="3"/>
  <c r="F18" i="3"/>
  <c r="E18" i="3"/>
  <c r="C18" i="3"/>
  <c r="B18" i="3"/>
  <c r="AM17" i="3"/>
  <c r="M17" i="3"/>
  <c r="I17" i="3"/>
  <c r="H17" i="3"/>
  <c r="G17" i="3"/>
  <c r="F17" i="3"/>
  <c r="E17" i="3"/>
  <c r="C17" i="3"/>
  <c r="B17" i="3"/>
  <c r="AM16" i="3"/>
  <c r="M16" i="3"/>
  <c r="I16" i="3"/>
  <c r="H16" i="3"/>
  <c r="G16" i="3"/>
  <c r="F16" i="3"/>
  <c r="E16" i="3"/>
  <c r="C16" i="3"/>
  <c r="B16" i="3"/>
  <c r="AM15" i="3"/>
  <c r="M15" i="3"/>
  <c r="I15" i="3"/>
  <c r="H15" i="3"/>
  <c r="G15" i="3"/>
  <c r="F15" i="3"/>
  <c r="E15" i="3"/>
  <c r="C15" i="3"/>
  <c r="B15" i="3"/>
  <c r="AM14" i="3"/>
  <c r="M14" i="3"/>
  <c r="I14" i="3"/>
  <c r="H14" i="3"/>
  <c r="G14" i="3"/>
  <c r="F14" i="3"/>
  <c r="E14" i="3"/>
  <c r="C14" i="3"/>
  <c r="B14" i="3"/>
  <c r="AM13" i="3"/>
  <c r="M13" i="3"/>
  <c r="I13" i="3"/>
  <c r="H13" i="3"/>
  <c r="G13" i="3"/>
  <c r="F13" i="3"/>
  <c r="E13" i="3"/>
  <c r="C13" i="3"/>
  <c r="B13" i="3"/>
  <c r="AM12" i="3"/>
  <c r="M12" i="3"/>
  <c r="I12" i="3"/>
  <c r="H12" i="3"/>
  <c r="G12" i="3"/>
  <c r="F12" i="3"/>
  <c r="E12" i="3"/>
  <c r="C12" i="3"/>
  <c r="B12" i="3"/>
  <c r="AM11" i="3"/>
  <c r="M11" i="3"/>
  <c r="I11" i="3"/>
  <c r="H11" i="3"/>
  <c r="G11" i="3"/>
  <c r="F11" i="3"/>
  <c r="E11" i="3"/>
  <c r="C11" i="3"/>
  <c r="B11" i="3"/>
  <c r="AM10" i="3"/>
  <c r="M10" i="3"/>
  <c r="I10" i="3"/>
  <c r="H10" i="3"/>
  <c r="G10" i="3"/>
  <c r="F10" i="3"/>
  <c r="E10" i="3"/>
  <c r="C10" i="3"/>
  <c r="B10" i="3"/>
  <c r="AM9" i="3"/>
  <c r="M9" i="3"/>
  <c r="I9" i="3"/>
  <c r="H9" i="3"/>
  <c r="G9" i="3"/>
  <c r="F9" i="3"/>
  <c r="E9" i="3"/>
  <c r="C9" i="3"/>
  <c r="B9" i="3"/>
  <c r="AM8" i="3"/>
  <c r="M8" i="3"/>
  <c r="I8" i="3"/>
  <c r="H8" i="3"/>
  <c r="G8" i="3"/>
  <c r="F8" i="3"/>
  <c r="E8" i="3"/>
  <c r="C8" i="3"/>
  <c r="B8" i="3"/>
  <c r="AM7" i="3"/>
  <c r="M7" i="3"/>
  <c r="I7" i="3"/>
  <c r="H7" i="3"/>
  <c r="G7" i="3"/>
  <c r="F7" i="3"/>
  <c r="E7" i="3"/>
  <c r="C7" i="3"/>
  <c r="B7" i="3"/>
  <c r="AM6" i="3"/>
  <c r="M6" i="3"/>
  <c r="I6" i="3"/>
  <c r="H6" i="3"/>
  <c r="G6" i="3"/>
  <c r="F6" i="3"/>
  <c r="E6" i="3"/>
  <c r="C6" i="3"/>
  <c r="B6" i="3"/>
  <c r="AM5" i="3"/>
  <c r="M5" i="3"/>
  <c r="I5" i="3"/>
  <c r="H5" i="3"/>
  <c r="G5" i="3"/>
  <c r="F5" i="3"/>
  <c r="E5" i="3"/>
  <c r="C5" i="3"/>
  <c r="B5" i="3"/>
  <c r="AM4" i="3"/>
  <c r="M4" i="3"/>
  <c r="I4" i="3"/>
  <c r="H4" i="3"/>
  <c r="G4" i="3"/>
  <c r="F4" i="3"/>
  <c r="E4" i="3"/>
  <c r="C4" i="3"/>
  <c r="B4" i="3"/>
  <c r="AM3" i="3"/>
  <c r="M3" i="3"/>
  <c r="I3" i="3"/>
  <c r="H3" i="3"/>
  <c r="G3" i="3"/>
  <c r="F3" i="3"/>
  <c r="E3" i="3"/>
  <c r="C3" i="3"/>
  <c r="B3" i="3"/>
  <c r="AM2" i="3"/>
  <c r="M2" i="3"/>
  <c r="I2" i="3"/>
  <c r="H2" i="3"/>
  <c r="G2" i="3"/>
  <c r="F2" i="3"/>
  <c r="E2" i="3"/>
  <c r="C2" i="3"/>
  <c r="B2" i="3"/>
  <c r="AO55" i="1"/>
  <c r="M55" i="1"/>
  <c r="I55" i="1"/>
  <c r="H55" i="1"/>
  <c r="G55" i="1"/>
  <c r="F55" i="1"/>
  <c r="E55" i="1"/>
  <c r="C55" i="1"/>
  <c r="B55" i="1"/>
  <c r="AO54" i="1"/>
  <c r="M54" i="1"/>
  <c r="I54" i="1"/>
  <c r="H54" i="1"/>
  <c r="G54" i="1"/>
  <c r="F54" i="1"/>
  <c r="E54" i="1"/>
  <c r="C54" i="1"/>
  <c r="B54" i="1"/>
  <c r="AO53" i="1"/>
  <c r="M53" i="1"/>
  <c r="I53" i="1"/>
  <c r="H53" i="1"/>
  <c r="G53" i="1"/>
  <c r="F53" i="1"/>
  <c r="E53" i="1"/>
  <c r="C53" i="1"/>
  <c r="B53" i="1"/>
  <c r="AO52" i="1"/>
  <c r="M52" i="1"/>
  <c r="I52" i="1"/>
  <c r="H52" i="1"/>
  <c r="G52" i="1"/>
  <c r="F52" i="1"/>
  <c r="E52" i="1"/>
  <c r="C52" i="1"/>
  <c r="B52" i="1"/>
  <c r="AO51" i="1"/>
  <c r="M51" i="1"/>
  <c r="I51" i="1"/>
  <c r="H51" i="1"/>
  <c r="G51" i="1"/>
  <c r="F51" i="1"/>
  <c r="E51" i="1"/>
  <c r="C51" i="1"/>
  <c r="B51" i="1"/>
  <c r="AO50" i="1"/>
  <c r="M50" i="1"/>
  <c r="I50" i="1"/>
  <c r="H50" i="1"/>
  <c r="G50" i="1"/>
  <c r="F50" i="1"/>
  <c r="E50" i="1"/>
  <c r="C50" i="1"/>
  <c r="B50" i="1"/>
  <c r="AO49" i="1"/>
  <c r="M49" i="1"/>
  <c r="I49" i="1"/>
  <c r="H49" i="1"/>
  <c r="G49" i="1"/>
  <c r="F49" i="1"/>
  <c r="E49" i="1"/>
  <c r="C49" i="1"/>
  <c r="B49" i="1"/>
  <c r="AO48" i="1"/>
  <c r="M48" i="1"/>
  <c r="I48" i="1"/>
  <c r="H48" i="1"/>
  <c r="G48" i="1"/>
  <c r="F48" i="1"/>
  <c r="E48" i="1"/>
  <c r="C48" i="1"/>
  <c r="B48" i="1"/>
  <c r="AO47" i="1"/>
  <c r="M47" i="1"/>
  <c r="I47" i="1"/>
  <c r="H47" i="1"/>
  <c r="G47" i="1"/>
  <c r="F47" i="1"/>
  <c r="E47" i="1"/>
  <c r="C47" i="1"/>
  <c r="B47" i="1"/>
  <c r="AO46" i="1"/>
  <c r="M46" i="1"/>
  <c r="I46" i="1"/>
  <c r="H46" i="1"/>
  <c r="G46" i="1"/>
  <c r="F46" i="1"/>
  <c r="E46" i="1"/>
  <c r="C46" i="1"/>
  <c r="B46" i="1"/>
  <c r="AO45" i="1"/>
  <c r="M45" i="1"/>
  <c r="I45" i="1"/>
  <c r="H45" i="1"/>
  <c r="G45" i="1"/>
  <c r="F45" i="1"/>
  <c r="E45" i="1"/>
  <c r="C45" i="1"/>
  <c r="B45" i="1"/>
  <c r="AO44" i="1"/>
  <c r="M44" i="1"/>
  <c r="I44" i="1"/>
  <c r="H44" i="1"/>
  <c r="G44" i="1"/>
  <c r="F44" i="1"/>
  <c r="E44" i="1"/>
  <c r="C44" i="1"/>
  <c r="B44" i="1"/>
  <c r="AO43" i="1"/>
  <c r="M43" i="1"/>
  <c r="I43" i="1"/>
  <c r="H43" i="1"/>
  <c r="G43" i="1"/>
  <c r="F43" i="1"/>
  <c r="E43" i="1"/>
  <c r="C43" i="1"/>
  <c r="B43" i="1"/>
  <c r="AO42" i="1"/>
  <c r="M42" i="1"/>
  <c r="I42" i="1"/>
  <c r="H42" i="1"/>
  <c r="G42" i="1"/>
  <c r="F42" i="1"/>
  <c r="E42" i="1"/>
  <c r="C42" i="1"/>
  <c r="B42" i="1"/>
  <c r="AO41" i="1"/>
  <c r="M41" i="1"/>
  <c r="I41" i="1"/>
  <c r="H41" i="1"/>
  <c r="G41" i="1"/>
  <c r="F41" i="1"/>
  <c r="E41" i="1"/>
  <c r="C41" i="1"/>
  <c r="B41" i="1"/>
  <c r="AO40" i="1"/>
  <c r="M40" i="1"/>
  <c r="I40" i="1"/>
  <c r="H40" i="1"/>
  <c r="G40" i="1"/>
  <c r="F40" i="1"/>
  <c r="E40" i="1"/>
  <c r="C40" i="1"/>
  <c r="B40" i="1"/>
  <c r="AO39" i="1"/>
  <c r="M39" i="1"/>
  <c r="I39" i="1"/>
  <c r="H39" i="1"/>
  <c r="G39" i="1"/>
  <c r="F39" i="1"/>
  <c r="E39" i="1"/>
  <c r="C39" i="1"/>
  <c r="B39" i="1"/>
  <c r="AO38" i="1"/>
  <c r="M38" i="1"/>
  <c r="I38" i="1"/>
  <c r="H38" i="1"/>
  <c r="G38" i="1"/>
  <c r="F38" i="1"/>
  <c r="E38" i="1"/>
  <c r="C38" i="1"/>
  <c r="B38" i="1"/>
  <c r="AO37" i="1"/>
  <c r="M37" i="1"/>
  <c r="I37" i="1"/>
  <c r="H37" i="1"/>
  <c r="G37" i="1"/>
  <c r="F37" i="1"/>
  <c r="E37" i="1"/>
  <c r="C37" i="1"/>
  <c r="B37" i="1"/>
  <c r="AO36" i="1"/>
  <c r="M36" i="1"/>
  <c r="I36" i="1"/>
  <c r="H36" i="1"/>
  <c r="G36" i="1"/>
  <c r="F36" i="1"/>
  <c r="E36" i="1"/>
  <c r="C36" i="1"/>
  <c r="B36" i="1"/>
  <c r="AO35" i="1"/>
  <c r="M35" i="1"/>
  <c r="I35" i="1"/>
  <c r="H35" i="1"/>
  <c r="G35" i="1"/>
  <c r="F35" i="1"/>
  <c r="E35" i="1"/>
  <c r="C35" i="1"/>
  <c r="B35" i="1"/>
  <c r="AO34" i="1"/>
  <c r="M34" i="1"/>
  <c r="I34" i="1"/>
  <c r="H34" i="1"/>
  <c r="G34" i="1"/>
  <c r="F34" i="1"/>
  <c r="E34" i="1"/>
  <c r="C34" i="1"/>
  <c r="B34" i="1"/>
  <c r="AO33" i="1"/>
  <c r="M33" i="1"/>
  <c r="I33" i="1"/>
  <c r="H33" i="1"/>
  <c r="G33" i="1"/>
  <c r="F33" i="1"/>
  <c r="E33" i="1"/>
  <c r="C33" i="1"/>
  <c r="B33" i="1"/>
  <c r="AO32" i="1"/>
  <c r="M32" i="1"/>
  <c r="I32" i="1"/>
  <c r="H32" i="1"/>
  <c r="G32" i="1"/>
  <c r="F32" i="1"/>
  <c r="E32" i="1"/>
  <c r="C32" i="1"/>
  <c r="B32" i="1"/>
  <c r="AO31" i="1"/>
  <c r="M31" i="1"/>
  <c r="I31" i="1"/>
  <c r="H31" i="1"/>
  <c r="G31" i="1"/>
  <c r="F31" i="1"/>
  <c r="E31" i="1"/>
  <c r="C31" i="1"/>
  <c r="B31" i="1"/>
  <c r="AO30" i="1"/>
  <c r="M30" i="1"/>
  <c r="I30" i="1"/>
  <c r="H30" i="1"/>
  <c r="G30" i="1"/>
  <c r="F30" i="1"/>
  <c r="E30" i="1"/>
  <c r="C30" i="1"/>
  <c r="B30" i="1"/>
  <c r="AO29" i="1"/>
  <c r="M29" i="1"/>
  <c r="I29" i="1"/>
  <c r="H29" i="1"/>
  <c r="G29" i="1"/>
  <c r="F29" i="1"/>
  <c r="E29" i="1"/>
  <c r="C29" i="1"/>
  <c r="B29" i="1"/>
  <c r="AO28" i="1"/>
  <c r="M28" i="1"/>
  <c r="I28" i="1"/>
  <c r="H28" i="1"/>
  <c r="G28" i="1"/>
  <c r="F28" i="1"/>
  <c r="E28" i="1"/>
  <c r="C28" i="1"/>
  <c r="B28" i="1"/>
  <c r="AO27" i="1"/>
  <c r="M27" i="1"/>
  <c r="I27" i="1"/>
  <c r="H27" i="1"/>
  <c r="G27" i="1"/>
  <c r="F27" i="1"/>
  <c r="E27" i="1"/>
  <c r="C27" i="1"/>
  <c r="B27" i="1"/>
  <c r="AO26" i="1"/>
  <c r="M26" i="1"/>
  <c r="I26" i="1"/>
  <c r="H26" i="1"/>
  <c r="G26" i="1"/>
  <c r="F26" i="1"/>
  <c r="E26" i="1"/>
  <c r="C26" i="1"/>
  <c r="B26" i="1"/>
  <c r="AO25" i="1"/>
  <c r="M25" i="1"/>
  <c r="I25" i="1"/>
  <c r="H25" i="1"/>
  <c r="G25" i="1"/>
  <c r="F25" i="1"/>
  <c r="E25" i="1"/>
  <c r="C25" i="1"/>
  <c r="B25" i="1"/>
  <c r="AO24" i="1"/>
  <c r="M24" i="1"/>
  <c r="I24" i="1"/>
  <c r="H24" i="1"/>
  <c r="G24" i="1"/>
  <c r="F24" i="1"/>
  <c r="E24" i="1"/>
  <c r="C24" i="1"/>
  <c r="B24" i="1"/>
  <c r="AO23" i="1"/>
  <c r="M23" i="1"/>
  <c r="I23" i="1"/>
  <c r="H23" i="1"/>
  <c r="G23" i="1"/>
  <c r="F23" i="1"/>
  <c r="E23" i="1"/>
  <c r="C23" i="1"/>
  <c r="B23" i="1"/>
  <c r="AO22" i="1"/>
  <c r="M22" i="1"/>
  <c r="I22" i="1"/>
  <c r="H22" i="1"/>
  <c r="G22" i="1"/>
  <c r="F22" i="1"/>
  <c r="E22" i="1"/>
  <c r="C22" i="1"/>
  <c r="B22" i="1"/>
  <c r="AO21" i="1"/>
  <c r="M21" i="1"/>
  <c r="I21" i="1"/>
  <c r="H21" i="1"/>
  <c r="G21" i="1"/>
  <c r="F21" i="1"/>
  <c r="E21" i="1"/>
  <c r="C21" i="1"/>
  <c r="B21" i="1"/>
  <c r="AO20" i="1"/>
  <c r="M20" i="1"/>
  <c r="I20" i="1"/>
  <c r="H20" i="1"/>
  <c r="G20" i="1"/>
  <c r="F20" i="1"/>
  <c r="E20" i="1"/>
  <c r="C20" i="1"/>
  <c r="B20" i="1"/>
  <c r="AO19" i="1"/>
  <c r="M19" i="1"/>
  <c r="I19" i="1"/>
  <c r="H19" i="1"/>
  <c r="G19" i="1"/>
  <c r="F19" i="1"/>
  <c r="E19" i="1"/>
  <c r="C19" i="1"/>
  <c r="B19" i="1"/>
  <c r="AO18" i="1"/>
  <c r="M18" i="1"/>
  <c r="I18" i="1"/>
  <c r="H18" i="1"/>
  <c r="G18" i="1"/>
  <c r="F18" i="1"/>
  <c r="E18" i="1"/>
  <c r="C18" i="1"/>
  <c r="B18" i="1"/>
  <c r="AO17" i="1"/>
  <c r="M17" i="1"/>
  <c r="I17" i="1"/>
  <c r="H17" i="1"/>
  <c r="G17" i="1"/>
  <c r="F17" i="1"/>
  <c r="E17" i="1"/>
  <c r="C17" i="1"/>
  <c r="B17" i="1"/>
  <c r="AO16" i="1"/>
  <c r="M16" i="1"/>
  <c r="I16" i="1"/>
  <c r="H16" i="1"/>
  <c r="G16" i="1"/>
  <c r="F16" i="1"/>
  <c r="E16" i="1"/>
  <c r="C16" i="1"/>
  <c r="B16" i="1"/>
  <c r="AO15" i="1"/>
  <c r="M15" i="1"/>
  <c r="I15" i="1"/>
  <c r="H15" i="1"/>
  <c r="G15" i="1"/>
  <c r="F15" i="1"/>
  <c r="E15" i="1"/>
  <c r="C15" i="1"/>
  <c r="B15" i="1"/>
  <c r="AO14" i="1"/>
  <c r="M14" i="1"/>
  <c r="I14" i="1"/>
  <c r="H14" i="1"/>
  <c r="G14" i="1"/>
  <c r="F14" i="1"/>
  <c r="E14" i="1"/>
  <c r="C14" i="1"/>
  <c r="B14" i="1"/>
  <c r="AO13" i="1"/>
  <c r="M13" i="1"/>
  <c r="I13" i="1"/>
  <c r="H13" i="1"/>
  <c r="G13" i="1"/>
  <c r="F13" i="1"/>
  <c r="E13" i="1"/>
  <c r="C13" i="1"/>
  <c r="B13" i="1"/>
  <c r="AO12" i="1"/>
  <c r="M12" i="1"/>
  <c r="I12" i="1"/>
  <c r="H12" i="1"/>
  <c r="G12" i="1"/>
  <c r="F12" i="1"/>
  <c r="E12" i="1"/>
  <c r="C12" i="1"/>
  <c r="B12" i="1"/>
  <c r="AO11" i="1"/>
  <c r="M11" i="1"/>
  <c r="I11" i="1"/>
  <c r="H11" i="1"/>
  <c r="G11" i="1"/>
  <c r="F11" i="1"/>
  <c r="E11" i="1"/>
  <c r="C11" i="1"/>
  <c r="B11" i="1"/>
  <c r="AO10" i="1"/>
  <c r="M10" i="1"/>
  <c r="I10" i="1"/>
  <c r="H10" i="1"/>
  <c r="G10" i="1"/>
  <c r="F10" i="1"/>
  <c r="E10" i="1"/>
  <c r="C10" i="1"/>
  <c r="B10" i="1"/>
  <c r="AO9" i="1"/>
  <c r="M9" i="1"/>
  <c r="I9" i="1"/>
  <c r="H9" i="1"/>
  <c r="G9" i="1"/>
  <c r="F9" i="1"/>
  <c r="E9" i="1"/>
  <c r="C9" i="1"/>
  <c r="B9" i="1"/>
  <c r="AO8" i="1"/>
  <c r="M8" i="1"/>
  <c r="I8" i="1"/>
  <c r="H8" i="1"/>
  <c r="G8" i="1"/>
  <c r="F8" i="1"/>
  <c r="E8" i="1"/>
  <c r="C8" i="1"/>
  <c r="B8" i="1"/>
  <c r="AO7" i="1"/>
  <c r="M7" i="1"/>
  <c r="I7" i="1"/>
  <c r="H7" i="1"/>
  <c r="G7" i="1"/>
  <c r="F7" i="1"/>
  <c r="E7" i="1"/>
  <c r="C7" i="1"/>
  <c r="B7" i="1"/>
  <c r="AO6" i="1"/>
  <c r="M6" i="1"/>
  <c r="I6" i="1"/>
  <c r="H6" i="1"/>
  <c r="G6" i="1"/>
  <c r="F6" i="1"/>
  <c r="E6" i="1"/>
  <c r="C6" i="1"/>
  <c r="B6" i="1"/>
  <c r="AO5" i="1"/>
  <c r="M5" i="1"/>
  <c r="I5" i="1"/>
  <c r="H5" i="1"/>
  <c r="G5" i="1"/>
  <c r="F5" i="1"/>
  <c r="E5" i="1"/>
  <c r="C5" i="1"/>
  <c r="B5" i="1"/>
  <c r="AO4" i="1"/>
  <c r="M4" i="1"/>
  <c r="I4" i="1"/>
  <c r="H4" i="1"/>
  <c r="G4" i="1"/>
  <c r="F4" i="1"/>
  <c r="E4" i="1"/>
  <c r="C4" i="1"/>
  <c r="B4" i="1"/>
  <c r="AO3" i="1"/>
  <c r="M3" i="1"/>
  <c r="I3" i="1"/>
  <c r="H3" i="1"/>
  <c r="G3" i="1"/>
  <c r="F3" i="1"/>
  <c r="E3" i="1"/>
  <c r="C3" i="1"/>
  <c r="B3" i="1"/>
  <c r="AO2" i="1"/>
  <c r="M2" i="1"/>
  <c r="I2" i="1"/>
  <c r="H2" i="1"/>
  <c r="G2" i="1"/>
  <c r="F2" i="1"/>
  <c r="E2" i="1"/>
  <c r="C2" i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V51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ID#AAAA8YIJPOM
Caribbean Coral Reef Institute    (2023-10-30 13:55:12)
check salinity
Eureka measurement before service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8tuc1XQ/e5Yr6X3UgYm8TDQ9yyg=="/>
    </ext>
  </extLst>
</comments>
</file>

<file path=xl/sharedStrings.xml><?xml version="1.0" encoding="utf-8"?>
<sst xmlns="http://schemas.openxmlformats.org/spreadsheetml/2006/main" count="2529" uniqueCount="360">
  <si>
    <t>Sampling_Cycle</t>
  </si>
  <si>
    <t>Site_Name</t>
  </si>
  <si>
    <t>Location</t>
  </si>
  <si>
    <t>Site_Code</t>
  </si>
  <si>
    <t>Region</t>
  </si>
  <si>
    <t>Zone</t>
  </si>
  <si>
    <t>Latitude</t>
  </si>
  <si>
    <t>Longitude</t>
  </si>
  <si>
    <t>Depth</t>
  </si>
  <si>
    <t>Month</t>
  </si>
  <si>
    <t>Day</t>
  </si>
  <si>
    <t>Year</t>
  </si>
  <si>
    <t>Date</t>
  </si>
  <si>
    <t>Captain</t>
  </si>
  <si>
    <t>Crew_1</t>
  </si>
  <si>
    <t>Crew_2</t>
  </si>
  <si>
    <t>Crew_3</t>
  </si>
  <si>
    <t>Time_In</t>
  </si>
  <si>
    <t>Time_Out</t>
  </si>
  <si>
    <t>Surface_Temp_C</t>
  </si>
  <si>
    <t>Surface_Temp_Depth_m</t>
  </si>
  <si>
    <t>Surface_Sal_psu</t>
  </si>
  <si>
    <t>Surface_Sal_Depth_m</t>
  </si>
  <si>
    <t>LAB_SAL_Surf</t>
  </si>
  <si>
    <t>Surface_DO_mg_L</t>
  </si>
  <si>
    <t>Surface_DO_Depth_m</t>
  </si>
  <si>
    <t>Surface_pH</t>
  </si>
  <si>
    <t>Surface_pH_Depth_m</t>
  </si>
  <si>
    <t>Bottom_Temp_C</t>
  </si>
  <si>
    <t>Bottom_Temp_Depth_m</t>
  </si>
  <si>
    <t>Bottom_Sal_psu</t>
  </si>
  <si>
    <t>Bottom_Sal_Depth_m</t>
  </si>
  <si>
    <t>LAB_SAL_Bttm</t>
  </si>
  <si>
    <t>Bottom_DO_mg_L</t>
  </si>
  <si>
    <t>Bottom_DO_Depth_m</t>
  </si>
  <si>
    <t>Bottom_pH</t>
  </si>
  <si>
    <t>Bottom_pH_Depth_m</t>
  </si>
  <si>
    <t>Secchi_Depth_1_m</t>
  </si>
  <si>
    <t>Secchi_Depth_2_m</t>
  </si>
  <si>
    <t>Secchi_Depth_3_m</t>
  </si>
  <si>
    <t>Secchi_Avg_Depth</t>
  </si>
  <si>
    <t>Surface_Van_Dorn_Depth_m</t>
  </si>
  <si>
    <t>Bottom_Van_Dorn_Depth_m</t>
  </si>
  <si>
    <t>Surface_TA_DIC</t>
  </si>
  <si>
    <t>Bottom_TA_DIC</t>
  </si>
  <si>
    <t>Surface_BOD</t>
  </si>
  <si>
    <t>Bottom_BOD</t>
  </si>
  <si>
    <t>Chl_a</t>
  </si>
  <si>
    <t>Turbidity_NTU</t>
  </si>
  <si>
    <t>Settleable_Solids</t>
  </si>
  <si>
    <t>Total_Suspended_Solids</t>
  </si>
  <si>
    <t>POx_NOx</t>
  </si>
  <si>
    <t>TKN</t>
  </si>
  <si>
    <t>Enterococcus</t>
  </si>
  <si>
    <t>Note</t>
  </si>
  <si>
    <t>AURO05</t>
  </si>
  <si>
    <t>Anibal</t>
  </si>
  <si>
    <t>Leira</t>
  </si>
  <si>
    <t>Manuel</t>
  </si>
  <si>
    <t>NA</t>
  </si>
  <si>
    <t>&gt;3</t>
  </si>
  <si>
    <t>HydroLab</t>
  </si>
  <si>
    <t>BOTE15</t>
  </si>
  <si>
    <t>Adiana</t>
  </si>
  <si>
    <t>&gt;15</t>
  </si>
  <si>
    <t>Eureka_Log_Oct_5,20,23-25_2023.xlsx; Correct depth offset ~0.35 m</t>
  </si>
  <si>
    <t>BOTE20</t>
  </si>
  <si>
    <t>&gt;18</t>
  </si>
  <si>
    <t>BOYA20</t>
  </si>
  <si>
    <t>CABE05</t>
  </si>
  <si>
    <t>Tyrone</t>
  </si>
  <si>
    <t>&gt;7.5</t>
  </si>
  <si>
    <t>YSI</t>
  </si>
  <si>
    <t>CANJ15</t>
  </si>
  <si>
    <t>Irais</t>
  </si>
  <si>
    <t>CANO30</t>
  </si>
  <si>
    <t>&gt;26.5</t>
  </si>
  <si>
    <t>Eureka; Correct depth offset ~0.35 m</t>
  </si>
  <si>
    <t>CANO30-R</t>
  </si>
  <si>
    <t>&gt;29</t>
  </si>
  <si>
    <t>CARI10</t>
  </si>
  <si>
    <t>Juanita</t>
  </si>
  <si>
    <t>&gt;10</t>
  </si>
  <si>
    <t>CDMU10</t>
  </si>
  <si>
    <t>&gt;8</t>
  </si>
  <si>
    <t>CIBU05</t>
  </si>
  <si>
    <t>Rodolfo</t>
  </si>
  <si>
    <t>&gt;2.5</t>
  </si>
  <si>
    <t>Check salinity &amp; pH</t>
  </si>
  <si>
    <t>CIBU05-R</t>
  </si>
  <si>
    <t>CORA10</t>
  </si>
  <si>
    <t>&gt;9</t>
  </si>
  <si>
    <t>CROS10</t>
  </si>
  <si>
    <t>DAKI20</t>
  </si>
  <si>
    <t>&gt;20</t>
  </si>
  <si>
    <t>DAKI20-R</t>
  </si>
  <si>
    <t>DERR20</t>
  </si>
  <si>
    <t>DIAB05</t>
  </si>
  <si>
    <t>&gt;3.5</t>
  </si>
  <si>
    <t>DOMI05</t>
  </si>
  <si>
    <t>&gt;4.5</t>
  </si>
  <si>
    <t>ESPE10</t>
  </si>
  <si>
    <t>&gt;12</t>
  </si>
  <si>
    <t>EWAL20</t>
  </si>
  <si>
    <t>GALL05</t>
  </si>
  <si>
    <t>&gt;6.5</t>
  </si>
  <si>
    <t>HydroLab; No HOBO</t>
  </si>
  <si>
    <t>GUAN20</t>
  </si>
  <si>
    <t>Orlando</t>
  </si>
  <si>
    <t>&gt;16</t>
  </si>
  <si>
    <t>Eureka_Log_Oct_5,20,23-25_2023.xlsx</t>
  </si>
  <si>
    <t>LPEN05</t>
  </si>
  <si>
    <t>&gt;5</t>
  </si>
  <si>
    <t>MEXT10</t>
  </si>
  <si>
    <t>MEXT20</t>
  </si>
  <si>
    <t>Erica</t>
  </si>
  <si>
    <t>MLAN05</t>
  </si>
  <si>
    <t>&gt;4</t>
  </si>
  <si>
    <t>MLAN05-R</t>
  </si>
  <si>
    <t>MLAN10</t>
  </si>
  <si>
    <t>&gt;8.75</t>
  </si>
  <si>
    <t>MLAN20</t>
  </si>
  <si>
    <t>MLUN05</t>
  </si>
  <si>
    <t>MLUN10</t>
  </si>
  <si>
    <t>&gt;5.5</t>
  </si>
  <si>
    <t>HydroLab; p.d. Martha and Enterococcus # --&gt; # on field log vs Martha's notes</t>
  </si>
  <si>
    <t>NEGR05</t>
  </si>
  <si>
    <t>NEGR10</t>
  </si>
  <si>
    <t>PALN20</t>
  </si>
  <si>
    <t>HydroLab; Handheld Surveyor turned off</t>
  </si>
  <si>
    <t>PALT10</t>
  </si>
  <si>
    <t>&gt;8.5</t>
  </si>
  <si>
    <t>RATO05</t>
  </si>
  <si>
    <t>RESU10</t>
  </si>
  <si>
    <t>RESU10-R</t>
  </si>
  <si>
    <t>RODR05</t>
  </si>
  <si>
    <t>SECO30</t>
  </si>
  <si>
    <t>&gt;34</t>
  </si>
  <si>
    <t>TOUR10</t>
  </si>
  <si>
    <t>Eureka; Check salinity &amp; pH; missing log file</t>
  </si>
  <si>
    <t>TOUR20</t>
  </si>
  <si>
    <t>TOUR30</t>
  </si>
  <si>
    <t>Eureka_Log_Oct_5,20,23-25_2023.xlsx; Check salinity &amp; pH</t>
  </si>
  <si>
    <t>TRES05</t>
  </si>
  <si>
    <t>TRES10</t>
  </si>
  <si>
    <t>&gt;9.5</t>
  </si>
  <si>
    <t>TRES20</t>
  </si>
  <si>
    <t>&gt;17.5</t>
  </si>
  <si>
    <t>UNK!</t>
  </si>
  <si>
    <t>Cayo Aurora 5m</t>
  </si>
  <si>
    <t>Guanica</t>
  </si>
  <si>
    <t>Southwest</t>
  </si>
  <si>
    <t>SW</t>
  </si>
  <si>
    <t>10/4/2023</t>
  </si>
  <si>
    <t>Puerto Botes 15m</t>
  </si>
  <si>
    <t>Isla Desecheo</t>
  </si>
  <si>
    <t>Mona/Desecheo</t>
  </si>
  <si>
    <t>W</t>
  </si>
  <si>
    <t>10/23/2023</t>
  </si>
  <si>
    <t>Puerto Botes 20m</t>
  </si>
  <si>
    <t>Boya Vieja 20m</t>
  </si>
  <si>
    <t>La Parguera</t>
  </si>
  <si>
    <t>9/19/2023</t>
  </si>
  <si>
    <t>Cabezas de San Juan 5m</t>
  </si>
  <si>
    <t>Fajardo</t>
  </si>
  <si>
    <t>North/Northeast</t>
  </si>
  <si>
    <t>E</t>
  </si>
  <si>
    <t>10/15/2023</t>
  </si>
  <si>
    <t>Canjilones 15m</t>
  </si>
  <si>
    <t>Isla Vieques</t>
  </si>
  <si>
    <t>Vieques/Culebra</t>
  </si>
  <si>
    <t>10/14/2023</t>
  </si>
  <si>
    <t>Hydrolab; Check salinity &amp; pH</t>
  </si>
  <si>
    <t>Puerto Canoas 30m</t>
  </si>
  <si>
    <t>Cayo Caribes 10m</t>
  </si>
  <si>
    <t>Salinas</t>
  </si>
  <si>
    <t>Southeast</t>
  </si>
  <si>
    <t>S</t>
  </si>
  <si>
    <t>9/21/2023</t>
  </si>
  <si>
    <t>West Reef 10m</t>
  </si>
  <si>
    <t>Ponce</t>
  </si>
  <si>
    <t>South</t>
  </si>
  <si>
    <t>Cibuco 05m</t>
  </si>
  <si>
    <t>Vega Baja</t>
  </si>
  <si>
    <t>N</t>
  </si>
  <si>
    <t>10/6/2023</t>
  </si>
  <si>
    <t>Cayo Coral 10m</t>
  </si>
  <si>
    <t>Carlos Rosario 10m</t>
  </si>
  <si>
    <t>Isla Culebra</t>
  </si>
  <si>
    <t>10/13/2023</t>
  </si>
  <si>
    <t>Dakiti 20m</t>
  </si>
  <si>
    <t>Derrumbadero 20m</t>
  </si>
  <si>
    <t>Cayo Diablo 5m</t>
  </si>
  <si>
    <t>Dominos 5m</t>
  </si>
  <si>
    <t>San Juan</t>
  </si>
  <si>
    <t>Esperanza 10m</t>
  </si>
  <si>
    <t>Efras Wall 20m</t>
  </si>
  <si>
    <t>Gallardo 5m</t>
  </si>
  <si>
    <t>Cabo Rojo</t>
  </si>
  <si>
    <t>West</t>
  </si>
  <si>
    <t>9/20/2023</t>
  </si>
  <si>
    <t>Guanajibo 20m</t>
  </si>
  <si>
    <t>Mayaguez</t>
  </si>
  <si>
    <t>10/25/2023</t>
  </si>
  <si>
    <t>Canal Luis Pena 5m</t>
  </si>
  <si>
    <t>Manchas Exteriores 10m</t>
  </si>
  <si>
    <t>Manchas Exteriores 20m</t>
  </si>
  <si>
    <t>10/24/2023</t>
  </si>
  <si>
    <t>Maria Langa 5m</t>
  </si>
  <si>
    <t>Guayanilla</t>
  </si>
  <si>
    <t>Maria Langa 10m</t>
  </si>
  <si>
    <t>Maria Langa 20m</t>
  </si>
  <si>
    <t>Media Luna 5m</t>
  </si>
  <si>
    <t>Media Luna 10m</t>
  </si>
  <si>
    <t>El Negro 5m</t>
  </si>
  <si>
    <t>El Negro 10m</t>
  </si>
  <si>
    <t>Palominos 20m</t>
  </si>
  <si>
    <t>Palominitos 10m</t>
  </si>
  <si>
    <t>Cayo Ratones 5m</t>
  </si>
  <si>
    <t>Resuellos 10m</t>
  </si>
  <si>
    <t>Cayo Rodriguez 5m</t>
  </si>
  <si>
    <t>El Seco 30m</t>
  </si>
  <si>
    <t>Tourmaline 10m</t>
  </si>
  <si>
    <t>10/5/2023</t>
  </si>
  <si>
    <t>Tourmaline 20m</t>
  </si>
  <si>
    <t>Tourmaline 30m</t>
  </si>
  <si>
    <t>Tres Palmas 05m</t>
  </si>
  <si>
    <t>Rincon</t>
  </si>
  <si>
    <t>Tres Palmas 10m</t>
  </si>
  <si>
    <t>Tres Palmas 20m</t>
  </si>
  <si>
    <t>Eureka; Check salinity &amp; pH</t>
  </si>
  <si>
    <t>ESP10</t>
  </si>
  <si>
    <t>YSI; Check salinity &amp; pH</t>
  </si>
  <si>
    <t>YSI; unnattended; Check salinity &amp; pH</t>
  </si>
  <si>
    <t>Eureka</t>
  </si>
  <si>
    <t>Secchi_Depth_mean_m</t>
  </si>
  <si>
    <t>TSS_mg_L</t>
  </si>
  <si>
    <t>Enterococcus_MPN</t>
  </si>
  <si>
    <t>SS_ml_L</t>
  </si>
  <si>
    <t>Surface_BOD_ml_L</t>
  </si>
  <si>
    <t>Bottom_BOD_ml_L</t>
  </si>
  <si>
    <t>Chl_a_µg_L</t>
  </si>
  <si>
    <t>Surface_TA_uM</t>
  </si>
  <si>
    <t>Bottom_TA_uM</t>
  </si>
  <si>
    <t>Surface_DIC_uM</t>
  </si>
  <si>
    <t>Bottom_DIC_uM</t>
  </si>
  <si>
    <t>TKN (mg/L)</t>
  </si>
  <si>
    <t>NOx (mg/L)</t>
  </si>
  <si>
    <t>PO4 (mg/L)</t>
  </si>
  <si>
    <t>Count</t>
  </si>
  <si>
    <t>Count NA</t>
  </si>
  <si>
    <t>Data Points</t>
  </si>
  <si>
    <t>Sampling %</t>
  </si>
  <si>
    <t>&gt;= 91%</t>
  </si>
  <si>
    <t>&lt;91 %</t>
  </si>
  <si>
    <t>Parameter</t>
  </si>
  <si>
    <t>Method</t>
  </si>
  <si>
    <t>Depth of Measurement</t>
  </si>
  <si>
    <t>Holding Time (hr)</t>
  </si>
  <si>
    <t>Accuracy</t>
  </si>
  <si>
    <t>Precision</t>
  </si>
  <si>
    <t>Temperature (°C)</t>
  </si>
  <si>
    <t>SM 2550 B</t>
  </si>
  <si>
    <t>S+B</t>
  </si>
  <si>
    <t>N/A</t>
  </si>
  <si>
    <t>± 0.1</t>
  </si>
  <si>
    <t>&lt;20%</t>
  </si>
  <si>
    <t>Salinity (psu)</t>
  </si>
  <si>
    <t>SM 2520 B</t>
  </si>
  <si>
    <t>± 0.50</t>
  </si>
  <si>
    <t>DO (mg/L)</t>
  </si>
  <si>
    <t>SM 4500-O H</t>
  </si>
  <si>
    <t>± 0.2</t>
  </si>
  <si>
    <t>pH</t>
  </si>
  <si>
    <t>EPA 150.2</t>
  </si>
  <si>
    <t>± 0.002</t>
  </si>
  <si>
    <t>&lt;10%</t>
  </si>
  <si>
    <t>Secchi Depth (m)</t>
  </si>
  <si>
    <t>Secchi Disk</t>
  </si>
  <si>
    <t>± 20%</t>
  </si>
  <si>
    <t>BOD (mg/L)</t>
  </si>
  <si>
    <t>SM 5210 B</t>
  </si>
  <si>
    <t>TA (µmol/kg)</t>
  </si>
  <si>
    <t>Dickson et al., 2007</t>
  </si>
  <si>
    <t>± 3</t>
  </si>
  <si>
    <t>DIC (µmol/kg)</t>
  </si>
  <si>
    <t>Chlorophyll-a (µg/L)</t>
  </si>
  <si>
    <t>SM 10200 H</t>
  </si>
  <si>
    <t>B</t>
  </si>
  <si>
    <t>Enterococcus (MPN)</t>
  </si>
  <si>
    <t>SM 9230 B/C/D</t>
  </si>
  <si>
    <t>&lt; 8</t>
  </si>
  <si>
    <t>&lt;60%</t>
  </si>
  <si>
    <t>Turbidity (NTU)</t>
  </si>
  <si>
    <t>EPA 180.1</t>
  </si>
  <si>
    <t>Settleable Solids (mg/L)</t>
  </si>
  <si>
    <t>SM 2540-F</t>
  </si>
  <si>
    <t>±20%</t>
  </si>
  <si>
    <t>TSS (mg/L)</t>
  </si>
  <si>
    <t>SM 2540-D</t>
  </si>
  <si>
    <t>± 5</t>
  </si>
  <si>
    <t>TP (mg/L)</t>
  </si>
  <si>
    <t>EPA 365.4</t>
  </si>
  <si>
    <t>± 0.05</t>
  </si>
  <si>
    <t>EPA 351.21</t>
  </si>
  <si>
    <t>± 0.5</t>
  </si>
  <si>
    <t>Nitrate + Nitrite (mg/L)</t>
  </si>
  <si>
    <t>EPA 353.2</t>
  </si>
  <si>
    <t>List</t>
  </si>
  <si>
    <t>&gt; 91-100%</t>
  </si>
  <si>
    <t>&lt;91%</t>
  </si>
  <si>
    <t>Cibuco 5m</t>
  </si>
  <si>
    <t>Replicates</t>
  </si>
  <si>
    <t>CANJ15-R</t>
  </si>
  <si>
    <t>DERR20-R</t>
  </si>
  <si>
    <t>DOMI05-R</t>
  </si>
  <si>
    <t>RATO05-R</t>
  </si>
  <si>
    <t>Surface Temp (°C)</t>
  </si>
  <si>
    <t>Surface Sal (psu)</t>
  </si>
  <si>
    <t>Surface DO (mg/L)</t>
  </si>
  <si>
    <t>Surface pH</t>
  </si>
  <si>
    <t>± 0.10</t>
  </si>
  <si>
    <t>Bottom Temp (°C)</t>
  </si>
  <si>
    <t>Bottom Sal (psu)</t>
  </si>
  <si>
    <t>Bottom DO (mg/L))</t>
  </si>
  <si>
    <t>Bottom pH</t>
  </si>
  <si>
    <t>Surface BOD (mg/L)</t>
  </si>
  <si>
    <t>Bottom BOD (mg/L)</t>
  </si>
  <si>
    <t>Surface TA (µmol/kg)</t>
  </si>
  <si>
    <t>Bottom TA (µmol/kg)</t>
  </si>
  <si>
    <t>Surface DIC (µmol/kg)</t>
  </si>
  <si>
    <t>Bottom DIC (µmol/kg)</t>
  </si>
  <si>
    <t>%</t>
  </si>
  <si>
    <t>&lt; limit</t>
  </si>
  <si>
    <t>% &lt; limit</t>
  </si>
  <si>
    <t>Min</t>
  </si>
  <si>
    <t>Max</t>
  </si>
  <si>
    <t>Average</t>
  </si>
  <si>
    <t>SD</t>
  </si>
  <si>
    <t>Bottom DO (mg/L)</t>
  </si>
  <si>
    <t>Surface TA (umol/kg)</t>
  </si>
  <si>
    <t>Bottom TA (umol/kg)</t>
  </si>
  <si>
    <t>Surface DIC (umol/kg)</t>
  </si>
  <si>
    <t>Bottom DIC (umol/kg)</t>
  </si>
  <si>
    <t>SS (mg/L)</t>
  </si>
  <si>
    <t>Chl-a (µg/L)</t>
  </si>
  <si>
    <t>* Updated by removing NA HydroLab data for TRES; stats do not include replicates</t>
  </si>
  <si>
    <t>Station</t>
  </si>
  <si>
    <t>DNER_date</t>
  </si>
  <si>
    <t>CCRI_date</t>
  </si>
  <si>
    <t>Difference _days</t>
  </si>
  <si>
    <t>Difference_weeks</t>
  </si>
  <si>
    <t/>
  </si>
  <si>
    <t>Total</t>
  </si>
  <si>
    <t>Alongside_DNER</t>
  </si>
  <si>
    <t>%_alongside_DNER</t>
  </si>
  <si>
    <t>Of_Global_%</t>
  </si>
  <si>
    <t>1 week</t>
  </si>
  <si>
    <t>3 weeks</t>
  </si>
  <si>
    <t>&gt;3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</si>
</sst>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[$]hh:mm"/>
    <numFmt numFmtId="166" formatCode="0.000"/>
    <numFmt numFmtId="167" formatCode="mmmm&quot; &quot;d&quot;, &quot;yyyy"/>
    <numFmt numFmtId="168" formatCode="[$]mmmm\ d\,\ yyyy"/>
  </numFmts>
  <fonts count="18" x14ac:knownFonts="1">
    <font>
      <sz val="10"/>
      <color rgb="FF000000"/>
      <name val="Arial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14" fontId="3" fillId="0" borderId="0" xfId="0" applyNumberFormat="1" applyFont="1" applyAlignment="1">
      <alignment horizontal="center" wrapText="1"/>
    </xf>
    <xf numFmtId="19" fontId="3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left" wrapText="1"/>
    </xf>
    <xf numFmtId="164" fontId="3" fillId="0" borderId="0" xfId="0" applyNumberFormat="1" applyFont="1" applyAlignment="1">
      <alignment horizontal="center" wrapText="1"/>
    </xf>
    <xf numFmtId="0" fontId="2" fillId="2" borderId="0" xfId="0" applyFont="1" applyFill="1"/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right" wrapText="1"/>
    </xf>
    <xf numFmtId="2" fontId="3" fillId="0" borderId="0" xfId="0" applyNumberFormat="1" applyFont="1" applyAlignment="1">
      <alignment horizontal="center" wrapText="1"/>
    </xf>
    <xf numFmtId="0" fontId="2" fillId="2" borderId="0" xfId="0" applyFont="1" applyFill="1" applyAlignment="1">
      <alignment horizontal="left"/>
    </xf>
    <xf numFmtId="19" fontId="3" fillId="2" borderId="0" xfId="0" applyNumberFormat="1" applyFont="1" applyFill="1" applyAlignment="1">
      <alignment horizontal="center" wrapText="1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center"/>
    </xf>
    <xf numFmtId="19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wrapText="1"/>
    </xf>
    <xf numFmtId="14" fontId="3" fillId="0" borderId="0" xfId="0" applyNumberFormat="1" applyFont="1" applyAlignment="1">
      <alignment horizontal="right" wrapText="1"/>
    </xf>
    <xf numFmtId="0" fontId="3" fillId="0" borderId="0" xfId="0" applyFont="1" applyAlignment="1">
      <alignment wrapText="1"/>
    </xf>
    <xf numFmtId="19" fontId="3" fillId="0" borderId="0" xfId="0" applyNumberFormat="1" applyFont="1" applyAlignment="1">
      <alignment horizontal="right" wrapText="1"/>
    </xf>
    <xf numFmtId="2" fontId="3" fillId="0" borderId="0" xfId="0" applyNumberFormat="1" applyFont="1" applyAlignment="1">
      <alignment horizontal="right" wrapText="1"/>
    </xf>
    <xf numFmtId="0" fontId="1" fillId="2" borderId="0" xfId="0" applyFont="1" applyFill="1" applyAlignment="1">
      <alignment wrapText="1"/>
    </xf>
    <xf numFmtId="0" fontId="3" fillId="2" borderId="0" xfId="0" applyFont="1" applyFill="1" applyAlignment="1">
      <alignment horizontal="right" wrapText="1"/>
    </xf>
    <xf numFmtId="14" fontId="3" fillId="2" borderId="0" xfId="0" applyNumberFormat="1" applyFont="1" applyFill="1" applyAlignment="1">
      <alignment horizontal="right" wrapText="1"/>
    </xf>
    <xf numFmtId="0" fontId="3" fillId="2" borderId="0" xfId="0" applyFont="1" applyFill="1" applyAlignment="1">
      <alignment wrapText="1"/>
    </xf>
    <xf numFmtId="19" fontId="3" fillId="2" borderId="0" xfId="0" applyNumberFormat="1" applyFont="1" applyFill="1" applyAlignment="1">
      <alignment horizontal="right" wrapText="1"/>
    </xf>
    <xf numFmtId="0" fontId="3" fillId="3" borderId="0" xfId="0" applyFont="1" applyFill="1" applyAlignment="1">
      <alignment horizontal="right" wrapText="1"/>
    </xf>
    <xf numFmtId="0" fontId="3" fillId="3" borderId="0" xfId="0" applyFont="1" applyFill="1" applyAlignment="1">
      <alignment wrapText="1"/>
    </xf>
    <xf numFmtId="0" fontId="4" fillId="2" borderId="0" xfId="0" applyFont="1" applyFill="1" applyAlignment="1">
      <alignment horizontal="right" wrapText="1"/>
    </xf>
    <xf numFmtId="0" fontId="1" fillId="3" borderId="0" xfId="0" applyFont="1" applyFill="1" applyAlignment="1">
      <alignment horizontal="right" wrapText="1"/>
    </xf>
    <xf numFmtId="0" fontId="1" fillId="2" borderId="0" xfId="0" applyFont="1" applyFill="1" applyAlignment="1">
      <alignment horizontal="right" wrapText="1"/>
    </xf>
    <xf numFmtId="0" fontId="5" fillId="2" borderId="0" xfId="0" applyFont="1" applyFill="1" applyAlignment="1">
      <alignment wrapText="1"/>
    </xf>
    <xf numFmtId="0" fontId="6" fillId="2" borderId="0" xfId="0" applyFont="1" applyFill="1" applyAlignment="1">
      <alignment horizontal="right" wrapText="1"/>
    </xf>
    <xf numFmtId="14" fontId="6" fillId="2" borderId="0" xfId="0" applyNumberFormat="1" applyFont="1" applyFill="1" applyAlignment="1">
      <alignment horizontal="right" wrapText="1"/>
    </xf>
    <xf numFmtId="0" fontId="6" fillId="2" borderId="0" xfId="0" applyFont="1" applyFill="1" applyAlignment="1">
      <alignment wrapText="1"/>
    </xf>
    <xf numFmtId="0" fontId="5" fillId="2" borderId="0" xfId="0" applyFont="1" applyFill="1" applyAlignment="1">
      <alignment horizontal="right" wrapText="1"/>
    </xf>
    <xf numFmtId="19" fontId="6" fillId="2" borderId="0" xfId="0" applyNumberFormat="1" applyFont="1" applyFill="1" applyAlignment="1">
      <alignment horizontal="right" wrapText="1"/>
    </xf>
    <xf numFmtId="0" fontId="6" fillId="3" borderId="0" xfId="0" applyFont="1" applyFill="1" applyAlignment="1">
      <alignment horizontal="right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9" fontId="5" fillId="0" borderId="0" xfId="0" applyNumberFormat="1" applyFont="1" applyAlignment="1">
      <alignment vertical="center" wrapText="1"/>
    </xf>
    <xf numFmtId="0" fontId="4" fillId="0" borderId="0" xfId="0" applyFont="1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wrapText="1"/>
    </xf>
    <xf numFmtId="1" fontId="1" fillId="0" borderId="1" xfId="0" applyNumberFormat="1" applyFont="1" applyBorder="1"/>
    <xf numFmtId="166" fontId="1" fillId="0" borderId="0" xfId="0" applyNumberFormat="1" applyFont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9" fontId="1" fillId="0" borderId="0" xfId="0" applyNumberFormat="1" applyFont="1"/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wrapText="1"/>
    </xf>
    <xf numFmtId="0" fontId="1" fillId="0" borderId="1" xfId="0" applyFont="1" applyBorder="1"/>
    <xf numFmtId="1" fontId="1" fillId="0" borderId="0" xfId="0" applyNumberFormat="1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2" xfId="0" applyFont="1" applyBorder="1"/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2" xfId="0" applyFont="1" applyBorder="1" applyAlignment="1">
      <alignment vertical="center" wrapText="1"/>
    </xf>
    <xf numFmtId="0" fontId="10" fillId="0" borderId="2" xfId="0" applyFont="1" applyBorder="1" applyAlignment="1">
      <alignment horizontal="center" vertical="center" wrapText="1"/>
    </xf>
    <xf numFmtId="14" fontId="10" fillId="0" borderId="2" xfId="0" applyNumberFormat="1" applyFont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 wrapText="1"/>
    </xf>
    <xf numFmtId="9" fontId="11" fillId="0" borderId="2" xfId="0" applyNumberFormat="1" applyFont="1" applyBorder="1" applyAlignment="1">
      <alignment horizontal="center"/>
    </xf>
    <xf numFmtId="9" fontId="9" fillId="0" borderId="2" xfId="0" applyNumberFormat="1" applyFont="1" applyBorder="1" applyAlignment="1">
      <alignment horizontal="center"/>
    </xf>
    <xf numFmtId="2" fontId="1" fillId="0" borderId="0" xfId="0" applyNumberFormat="1" applyFont="1"/>
    <xf numFmtId="2" fontId="3" fillId="0" borderId="0" xfId="0" applyNumberFormat="1" applyFont="1"/>
    <xf numFmtId="2" fontId="11" fillId="0" borderId="0" xfId="0" applyNumberFormat="1" applyFont="1" applyAlignment="1">
      <alignment horizontal="center"/>
    </xf>
    <xf numFmtId="1" fontId="11" fillId="0" borderId="0" xfId="0" applyNumberFormat="1" applyFont="1" applyAlignment="1">
      <alignment horizontal="center"/>
    </xf>
    <xf numFmtId="14" fontId="8" fillId="0" borderId="2" xfId="0" applyNumberFormat="1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2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2" fontId="6" fillId="0" borderId="0" xfId="0" applyNumberFormat="1" applyFont="1"/>
    <xf numFmtId="1" fontId="3" fillId="0" borderId="0" xfId="0" applyNumberFormat="1" applyFont="1"/>
    <xf numFmtId="0" fontId="8" fillId="0" borderId="3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14" fontId="8" fillId="0" borderId="3" xfId="0" applyNumberFormat="1" applyFont="1" applyBorder="1" applyAlignment="1">
      <alignment horizontal="center" vertical="center" wrapText="1"/>
    </xf>
    <xf numFmtId="1" fontId="8" fillId="0" borderId="3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vertical="center" wrapText="1"/>
    </xf>
    <xf numFmtId="0" fontId="8" fillId="0" borderId="7" xfId="0" applyFont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" fontId="8" fillId="0" borderId="7" xfId="0" applyNumberFormat="1" applyFont="1" applyBorder="1" applyAlignment="1">
      <alignment horizontal="center" vertical="center" wrapText="1"/>
    </xf>
    <xf numFmtId="9" fontId="9" fillId="0" borderId="7" xfId="0" applyNumberFormat="1" applyFont="1" applyBorder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/>
    <xf numFmtId="0" fontId="5" fillId="0" borderId="8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166" fontId="1" fillId="0" borderId="8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14" fillId="0" borderId="0" xfId="0" applyFont="1"/>
    <xf numFmtId="0" fontId="13" fillId="0" borderId="0" xfId="0" applyFont="1" applyAlignment="1">
      <alignment wrapText="1"/>
    </xf>
    <xf numFmtId="167" fontId="15" fillId="0" borderId="0" xfId="0" applyNumberFormat="1" applyFont="1" applyAlignment="1">
      <alignment horizontal="center"/>
    </xf>
    <xf numFmtId="3" fontId="15" fillId="0" borderId="0" xfId="0" applyNumberFormat="1" applyFont="1" applyAlignment="1">
      <alignment horizontal="center"/>
    </xf>
    <xf numFmtId="168" fontId="13" fillId="0" borderId="0" xfId="0" applyNumberFormat="1" applyFont="1"/>
    <xf numFmtId="167" fontId="13" fillId="0" borderId="0" xfId="0" applyNumberFormat="1" applyFont="1" applyAlignment="1">
      <alignment horizontal="center"/>
    </xf>
    <xf numFmtId="3" fontId="13" fillId="0" borderId="0" xfId="0" applyNumberFormat="1" applyFont="1" applyAlignment="1">
      <alignment horizontal="center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0" fontId="15" fillId="0" borderId="0" xfId="0" applyFont="1"/>
    <xf numFmtId="14" fontId="15" fillId="0" borderId="0" xfId="0" applyNumberFormat="1" applyFont="1"/>
    <xf numFmtId="0" fontId="6" fillId="0" borderId="0" xfId="0" applyFont="1" applyAlignment="1">
      <alignment horizontal="center"/>
    </xf>
    <xf numFmtId="10" fontId="3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6" fillId="0" borderId="12" xfId="0" applyFont="1" applyBorder="1" applyAlignment="1">
      <alignment horizontal="center"/>
    </xf>
    <xf numFmtId="0" fontId="17" fillId="0" borderId="12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center" wrapText="1"/>
    </xf>
    <xf numFmtId="0" fontId="12" fillId="0" borderId="5" xfId="0" applyFont="1" applyBorder="1"/>
    <xf numFmtId="0" fontId="1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D95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10" defaultColWidth="12.6640625" defaultRowHeight="15" customHeight="1" x14ac:dyDescent="0.15"/>
  <cols>
    <col min="2" max="2" width="25.6640625" customWidth="1"/>
    <col min="13" max="13" width="9.83203125" customWidth="1"/>
    <col min="34" max="34" width="18.5" customWidth="1"/>
    <col min="55" max="56" width="70.1640625" customWidth="1"/>
  </cols>
  <sheetData>
    <row r="1" spans="1:5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3" t="s">
        <v>54</v>
      </c>
      <c r="BD1" s="1"/>
    </row>
    <row r="2" spans="1:56" ht="15.75" customHeight="1" x14ac:dyDescent="0.15">
      <c r="A2" s="4">
        <v>2</v>
      </c>
      <c r="B2" s="5" t="str">
        <f>LOOKUP($D2,Site_Meta!$C$2:$C$43,Site_Meta!A$2:A$43)</f>
        <v>Cayo Aurora 5m</v>
      </c>
      <c r="C2" s="5" t="str">
        <f>LOOKUP($D2,Site_Meta!$C$2:$C$43,Site_Meta!B$2:B$43)</f>
        <v>Guanica</v>
      </c>
      <c r="D2" s="5" t="s">
        <v>55</v>
      </c>
      <c r="E2" s="5" t="str">
        <f>LOOKUP($D2,Site_Meta!$C$2:$C$43,Site_Meta!D$2:D$43)</f>
        <v>Southwest</v>
      </c>
      <c r="F2" s="5" t="str">
        <f>LOOKUP($D2,Site_Meta!$C$2:$C$43,Site_Meta!E$2:E$43)</f>
        <v>SW</v>
      </c>
      <c r="G2" s="5">
        <f>LOOKUP($D2,Site_Meta!$C$2:$C$43,Site_Meta!F$2:F$43)</f>
        <v>17.936900000000001</v>
      </c>
      <c r="H2" s="5">
        <f>LOOKUP($D2,Site_Meta!$C$2:$C$43,Site_Meta!G$2:G$43)</f>
        <v>-66.873800000000003</v>
      </c>
      <c r="I2" s="5">
        <f>LOOKUP($D2,Site_Meta!$C$2:$C$43,Site_Meta!H$2:H$43)</f>
        <v>5</v>
      </c>
      <c r="J2" s="6">
        <v>10</v>
      </c>
      <c r="K2" s="6">
        <v>4</v>
      </c>
      <c r="L2" s="6">
        <v>2023</v>
      </c>
      <c r="M2" s="7" t="str">
        <f t="shared" ref="M2:M55" si="0">CONCATENATE(J2,"/",K2,"/",L2)</f>
        <v>10/4/2023</v>
      </c>
      <c r="N2" s="6" t="s">
        <v>56</v>
      </c>
      <c r="O2" s="6" t="s">
        <v>57</v>
      </c>
      <c r="P2" s="6" t="s">
        <v>58</v>
      </c>
      <c r="Q2" s="6"/>
      <c r="R2" s="8">
        <v>0.41666666666666669</v>
      </c>
      <c r="S2" s="8">
        <v>0.42986111111111114</v>
      </c>
      <c r="T2" s="6">
        <v>30.87</v>
      </c>
      <c r="U2" s="6">
        <v>0.54</v>
      </c>
      <c r="V2" s="6">
        <v>36.659999999999997</v>
      </c>
      <c r="W2" s="6">
        <v>0.52</v>
      </c>
      <c r="X2" s="6" t="s">
        <v>59</v>
      </c>
      <c r="Y2" s="6">
        <v>4.7300000000000004</v>
      </c>
      <c r="Z2" s="6">
        <v>0.53</v>
      </c>
      <c r="AA2" s="6">
        <v>7.84</v>
      </c>
      <c r="AB2" s="6">
        <v>0.53</v>
      </c>
      <c r="AC2" s="6">
        <v>31.15</v>
      </c>
      <c r="AD2" s="6">
        <v>3.03</v>
      </c>
      <c r="AE2" s="6">
        <v>36.49</v>
      </c>
      <c r="AF2" s="6">
        <v>3.03</v>
      </c>
      <c r="AG2" s="6">
        <v>34.4</v>
      </c>
      <c r="AH2" s="6">
        <v>4.87</v>
      </c>
      <c r="AI2" s="6">
        <v>3.03</v>
      </c>
      <c r="AJ2" s="6">
        <v>7.99</v>
      </c>
      <c r="AK2" s="6">
        <v>3.03</v>
      </c>
      <c r="AL2" s="6" t="s">
        <v>60</v>
      </c>
      <c r="AM2" s="6" t="s">
        <v>60</v>
      </c>
      <c r="AN2" s="6" t="s">
        <v>60</v>
      </c>
      <c r="AO2" s="6" t="e">
        <f t="shared" ref="AO2:AO55" si="1">AVERAGE(AL2:AN2)</f>
        <v>#DIV/0!</v>
      </c>
      <c r="AP2" s="6">
        <v>0.5</v>
      </c>
      <c r="AQ2" s="6">
        <v>3</v>
      </c>
      <c r="AR2" s="6">
        <v>290</v>
      </c>
      <c r="AS2" s="6">
        <v>291</v>
      </c>
      <c r="AT2" s="6">
        <v>292</v>
      </c>
      <c r="AU2" s="6">
        <v>293</v>
      </c>
      <c r="AV2" s="6">
        <v>294</v>
      </c>
      <c r="AW2" s="6">
        <v>295</v>
      </c>
      <c r="AX2" s="6">
        <v>296</v>
      </c>
      <c r="AY2" s="6">
        <v>297</v>
      </c>
      <c r="AZ2" s="6">
        <v>298</v>
      </c>
      <c r="BA2" s="6">
        <v>299</v>
      </c>
      <c r="BB2" s="6">
        <v>256</v>
      </c>
      <c r="BC2" s="9" t="s">
        <v>61</v>
      </c>
      <c r="BD2" s="10"/>
    </row>
    <row r="3" spans="1:56" ht="15.75" customHeight="1" x14ac:dyDescent="0.15">
      <c r="A3" s="4">
        <v>2</v>
      </c>
      <c r="B3" s="6" t="str">
        <f>LOOKUP($D3,Site_Meta!$C$2:$C$43,Site_Meta!A$2:A$43)</f>
        <v>Puerto Botes 15m</v>
      </c>
      <c r="C3" s="6" t="str">
        <f>LOOKUP($D3,Site_Meta!$C$2:$C$43,Site_Meta!B$2:B$43)</f>
        <v>Isla Desecheo</v>
      </c>
      <c r="D3" s="6" t="s">
        <v>62</v>
      </c>
      <c r="E3" s="6" t="str">
        <f>LOOKUP($D3,Site_Meta!$C$2:$C$43,Site_Meta!D$2:D$43)</f>
        <v>Mona/Desecheo</v>
      </c>
      <c r="F3" s="6" t="str">
        <f>LOOKUP($D3,Site_Meta!$C$2:$C$43,Site_Meta!E$2:E$43)</f>
        <v>W</v>
      </c>
      <c r="G3" s="6">
        <f>LOOKUP($D3,Site_Meta!$C$2:$C$43,Site_Meta!F$2:F$43)</f>
        <v>18.382000000000001</v>
      </c>
      <c r="H3" s="6">
        <f>LOOKUP($D3,Site_Meta!$C$2:$C$43,Site_Meta!G$2:G$43)</f>
        <v>-67.488299999999995</v>
      </c>
      <c r="I3" s="6">
        <f>LOOKUP($D3,Site_Meta!$C$2:$C$43,Site_Meta!H$2:H$43)</f>
        <v>15</v>
      </c>
      <c r="J3" s="6">
        <v>10</v>
      </c>
      <c r="K3" s="6">
        <v>23</v>
      </c>
      <c r="L3" s="6">
        <v>2023</v>
      </c>
      <c r="M3" s="6" t="str">
        <f t="shared" si="0"/>
        <v>10/23/2023</v>
      </c>
      <c r="N3" s="6" t="s">
        <v>56</v>
      </c>
      <c r="O3" s="6" t="s">
        <v>63</v>
      </c>
      <c r="P3" s="6" t="s">
        <v>57</v>
      </c>
      <c r="Q3" s="6"/>
      <c r="R3" s="8">
        <v>0.42916666666666664</v>
      </c>
      <c r="S3" s="8">
        <v>0.45</v>
      </c>
      <c r="T3" s="6">
        <v>30.21</v>
      </c>
      <c r="U3" s="6">
        <v>0.52</v>
      </c>
      <c r="V3" s="6">
        <v>35.94</v>
      </c>
      <c r="W3" s="6">
        <v>0.52</v>
      </c>
      <c r="X3" s="6">
        <v>34.799999999999997</v>
      </c>
      <c r="Y3" s="6">
        <v>6.38</v>
      </c>
      <c r="Z3" s="6">
        <v>0.52</v>
      </c>
      <c r="AA3" s="6">
        <v>8.17</v>
      </c>
      <c r="AB3" s="6">
        <v>0.52</v>
      </c>
      <c r="AC3" s="6">
        <v>30.12</v>
      </c>
      <c r="AD3" s="6">
        <v>16.46</v>
      </c>
      <c r="AE3" s="6">
        <v>36.04</v>
      </c>
      <c r="AF3" s="6">
        <v>16.46</v>
      </c>
      <c r="AG3" s="6">
        <v>35.1</v>
      </c>
      <c r="AH3" s="6">
        <v>6.2</v>
      </c>
      <c r="AI3" s="6">
        <v>16.46</v>
      </c>
      <c r="AJ3" s="6">
        <v>8.2100000000000009</v>
      </c>
      <c r="AK3" s="6">
        <v>16.46</v>
      </c>
      <c r="AL3" s="6" t="s">
        <v>64</v>
      </c>
      <c r="AM3" s="6" t="s">
        <v>64</v>
      </c>
      <c r="AN3" s="6" t="s">
        <v>64</v>
      </c>
      <c r="AO3" s="6" t="e">
        <f t="shared" si="1"/>
        <v>#DIV/0!</v>
      </c>
      <c r="AP3" s="6">
        <v>0.5</v>
      </c>
      <c r="AQ3" s="6">
        <v>15</v>
      </c>
      <c r="AR3" s="6">
        <v>532</v>
      </c>
      <c r="AS3" s="6">
        <v>533</v>
      </c>
      <c r="AT3" s="11">
        <v>534</v>
      </c>
      <c r="AU3" s="11">
        <v>535</v>
      </c>
      <c r="AV3" s="11">
        <v>536</v>
      </c>
      <c r="AW3" s="11">
        <v>537</v>
      </c>
      <c r="AX3" s="11">
        <v>538</v>
      </c>
      <c r="AY3" s="11">
        <v>539</v>
      </c>
      <c r="AZ3" s="11">
        <v>540</v>
      </c>
      <c r="BA3" s="11">
        <v>541</v>
      </c>
      <c r="BB3" s="11">
        <v>433</v>
      </c>
      <c r="BC3" s="12" t="s">
        <v>65</v>
      </c>
      <c r="BD3" s="10"/>
    </row>
    <row r="4" spans="1:56" ht="15.75" customHeight="1" x14ac:dyDescent="0.15">
      <c r="A4" s="4">
        <v>2</v>
      </c>
      <c r="B4" s="6" t="str">
        <f>LOOKUP($D4,Site_Meta!$C$2:$C$43,Site_Meta!A$2:A$43)</f>
        <v>Puerto Botes 20m</v>
      </c>
      <c r="C4" s="6" t="str">
        <f>LOOKUP($D4,Site_Meta!$C$2:$C$43,Site_Meta!B$2:B$43)</f>
        <v>Isla Desecheo</v>
      </c>
      <c r="D4" s="6" t="s">
        <v>66</v>
      </c>
      <c r="E4" s="6" t="str">
        <f>LOOKUP($D4,Site_Meta!$C$2:$C$43,Site_Meta!D$2:D$43)</f>
        <v>Mona/Desecheo</v>
      </c>
      <c r="F4" s="6" t="str">
        <f>LOOKUP($D4,Site_Meta!$C$2:$C$43,Site_Meta!E$2:E$43)</f>
        <v>W</v>
      </c>
      <c r="G4" s="6">
        <f>LOOKUP($D4,Site_Meta!$C$2:$C$43,Site_Meta!F$2:F$43)</f>
        <v>18.38158</v>
      </c>
      <c r="H4" s="6">
        <f>LOOKUP($D4,Site_Meta!$C$2:$C$43,Site_Meta!G$2:G$43)</f>
        <v>-67.488600000000005</v>
      </c>
      <c r="I4" s="6">
        <f>LOOKUP($D4,Site_Meta!$C$2:$C$43,Site_Meta!H$2:H$43)</f>
        <v>20</v>
      </c>
      <c r="J4" s="6">
        <v>10</v>
      </c>
      <c r="K4" s="6">
        <v>23</v>
      </c>
      <c r="L4" s="6">
        <v>2023</v>
      </c>
      <c r="M4" s="6" t="str">
        <f t="shared" si="0"/>
        <v>10/23/2023</v>
      </c>
      <c r="N4" s="6" t="s">
        <v>56</v>
      </c>
      <c r="O4" s="6" t="s">
        <v>63</v>
      </c>
      <c r="P4" s="6" t="s">
        <v>57</v>
      </c>
      <c r="Q4" s="6"/>
      <c r="R4" s="8">
        <v>0.39930555555555558</v>
      </c>
      <c r="S4" s="8">
        <v>0.42638888888888887</v>
      </c>
      <c r="T4" s="6">
        <v>30.2</v>
      </c>
      <c r="U4" s="6">
        <v>0.65</v>
      </c>
      <c r="V4" s="6">
        <v>35.81</v>
      </c>
      <c r="W4" s="6">
        <v>0.65</v>
      </c>
      <c r="X4" s="6">
        <v>34.799999999999997</v>
      </c>
      <c r="Y4" s="6">
        <v>6.2</v>
      </c>
      <c r="Z4" s="6">
        <v>0.65</v>
      </c>
      <c r="AA4" s="6">
        <v>8.18</v>
      </c>
      <c r="AB4" s="6">
        <v>0.65</v>
      </c>
      <c r="AC4" s="6">
        <v>30.9</v>
      </c>
      <c r="AD4" s="6">
        <v>18.89</v>
      </c>
      <c r="AE4" s="6">
        <v>36.08</v>
      </c>
      <c r="AF4" s="6">
        <v>18.89</v>
      </c>
      <c r="AG4" s="6">
        <v>35.1</v>
      </c>
      <c r="AH4" s="6">
        <v>6.19</v>
      </c>
      <c r="AI4" s="6">
        <v>18.89</v>
      </c>
      <c r="AJ4" s="6">
        <v>8.2200000000000006</v>
      </c>
      <c r="AK4" s="6">
        <v>18.89</v>
      </c>
      <c r="AL4" s="6" t="s">
        <v>67</v>
      </c>
      <c r="AM4" s="6" t="s">
        <v>67</v>
      </c>
      <c r="AN4" s="6" t="s">
        <v>67</v>
      </c>
      <c r="AO4" s="6" t="e">
        <f t="shared" si="1"/>
        <v>#DIV/0!</v>
      </c>
      <c r="AP4" s="6">
        <v>0.5</v>
      </c>
      <c r="AQ4" s="6">
        <v>18.5</v>
      </c>
      <c r="AR4" s="6">
        <v>466</v>
      </c>
      <c r="AS4" s="6">
        <v>467</v>
      </c>
      <c r="AT4" s="11">
        <v>468</v>
      </c>
      <c r="AU4" s="11">
        <v>469</v>
      </c>
      <c r="AV4" s="11">
        <v>470</v>
      </c>
      <c r="AW4" s="11">
        <v>471</v>
      </c>
      <c r="AX4" s="11">
        <v>472</v>
      </c>
      <c r="AY4" s="11">
        <v>473</v>
      </c>
      <c r="AZ4" s="11">
        <v>474</v>
      </c>
      <c r="BA4" s="11">
        <v>475</v>
      </c>
      <c r="BB4" s="11">
        <v>374</v>
      </c>
      <c r="BC4" s="12" t="s">
        <v>65</v>
      </c>
      <c r="BD4" s="10"/>
    </row>
    <row r="5" spans="1:56" ht="15.75" customHeight="1" x14ac:dyDescent="0.15">
      <c r="A5" s="4">
        <v>2</v>
      </c>
      <c r="B5" s="5" t="str">
        <f>LOOKUP($D5,Site_Meta!$C$2:$C$43,Site_Meta!A$2:A$43)</f>
        <v>Boya Vieja 20m</v>
      </c>
      <c r="C5" s="5" t="str">
        <f>LOOKUP($D5,Site_Meta!$C$2:$C$43,Site_Meta!B$2:B$43)</f>
        <v>La Parguera</v>
      </c>
      <c r="D5" s="5" t="s">
        <v>68</v>
      </c>
      <c r="E5" s="5" t="str">
        <f>LOOKUP($D5,Site_Meta!$C$2:$C$43,Site_Meta!D$2:D$43)</f>
        <v>Southwest</v>
      </c>
      <c r="F5" s="5" t="str">
        <f>LOOKUP($D5,Site_Meta!$C$2:$C$43,Site_Meta!E$2:E$43)</f>
        <v>SW</v>
      </c>
      <c r="G5" s="5">
        <f>LOOKUP($D5,Site_Meta!$C$2:$C$43,Site_Meta!F$2:F$43)</f>
        <v>17.888269999999999</v>
      </c>
      <c r="H5" s="5">
        <f>LOOKUP($D5,Site_Meta!$C$2:$C$43,Site_Meta!G$2:G$43)</f>
        <v>-66.997799999999998</v>
      </c>
      <c r="I5" s="5">
        <f>LOOKUP($D5,Site_Meta!$C$2:$C$43,Site_Meta!H$2:H$43)</f>
        <v>20</v>
      </c>
      <c r="J5" s="6">
        <v>9</v>
      </c>
      <c r="K5" s="6">
        <v>19</v>
      </c>
      <c r="L5" s="6">
        <v>2023</v>
      </c>
      <c r="M5" s="7" t="str">
        <f t="shared" si="0"/>
        <v>9/19/2023</v>
      </c>
      <c r="N5" s="6" t="s">
        <v>56</v>
      </c>
      <c r="O5" s="6" t="s">
        <v>63</v>
      </c>
      <c r="P5" s="6" t="s">
        <v>57</v>
      </c>
      <c r="Q5" s="6" t="s">
        <v>58</v>
      </c>
      <c r="R5" s="8">
        <v>0.375</v>
      </c>
      <c r="S5" s="8">
        <v>0.39583333333333331</v>
      </c>
      <c r="T5" s="6">
        <v>30.4</v>
      </c>
      <c r="U5" s="6">
        <v>0.63</v>
      </c>
      <c r="V5" s="6">
        <v>34.49</v>
      </c>
      <c r="W5" s="6">
        <v>0.59</v>
      </c>
      <c r="X5" s="6">
        <v>33.4</v>
      </c>
      <c r="Y5" s="6">
        <v>6.22</v>
      </c>
      <c r="Z5" s="6">
        <v>0.61</v>
      </c>
      <c r="AA5" s="6">
        <v>7.93</v>
      </c>
      <c r="AB5" s="6">
        <v>0.65</v>
      </c>
      <c r="AC5" s="6">
        <v>29.71</v>
      </c>
      <c r="AD5" s="6">
        <v>19.3</v>
      </c>
      <c r="AE5" s="6">
        <v>34.799999999999997</v>
      </c>
      <c r="AF5" s="6">
        <v>19.190000000000001</v>
      </c>
      <c r="AG5" s="6">
        <v>34.6</v>
      </c>
      <c r="AH5" s="6">
        <v>6.18</v>
      </c>
      <c r="AI5" s="6">
        <v>19.100000000000001</v>
      </c>
      <c r="AJ5" s="6">
        <v>8.08</v>
      </c>
      <c r="AK5" s="6">
        <v>19.079999999999998</v>
      </c>
      <c r="AL5" s="6">
        <v>12</v>
      </c>
      <c r="AM5" s="6">
        <v>12</v>
      </c>
      <c r="AN5" s="6">
        <v>12</v>
      </c>
      <c r="AO5" s="6">
        <f t="shared" si="1"/>
        <v>12</v>
      </c>
      <c r="AP5" s="6">
        <v>0.5</v>
      </c>
      <c r="AQ5" s="6">
        <v>19</v>
      </c>
      <c r="AR5" s="6">
        <v>179</v>
      </c>
      <c r="AS5" s="6">
        <v>178</v>
      </c>
      <c r="AT5" s="11">
        <v>110</v>
      </c>
      <c r="AU5" s="11">
        <v>109</v>
      </c>
      <c r="AV5" s="11">
        <v>53</v>
      </c>
      <c r="AW5" s="11">
        <v>55</v>
      </c>
      <c r="AX5" s="11">
        <v>56</v>
      </c>
      <c r="AY5" s="11">
        <v>53</v>
      </c>
      <c r="AZ5" s="11">
        <v>70</v>
      </c>
      <c r="BA5" s="11">
        <v>76</v>
      </c>
      <c r="BB5" s="11">
        <v>47</v>
      </c>
      <c r="BC5" s="13" t="s">
        <v>61</v>
      </c>
      <c r="BD5" s="10"/>
    </row>
    <row r="6" spans="1:56" ht="15.75" customHeight="1" x14ac:dyDescent="0.15">
      <c r="A6" s="4">
        <v>2</v>
      </c>
      <c r="B6" s="5" t="str">
        <f>LOOKUP($D6,Site_Meta!$C$2:$C$43,Site_Meta!A$2:A$43)</f>
        <v>Cabezas de San Juan 5m</v>
      </c>
      <c r="C6" s="5" t="str">
        <f>LOOKUP($D6,Site_Meta!$C$2:$C$43,Site_Meta!B$2:B$43)</f>
        <v>Fajardo</v>
      </c>
      <c r="D6" s="5" t="s">
        <v>69</v>
      </c>
      <c r="E6" s="5" t="str">
        <f>LOOKUP($D6,Site_Meta!$C$2:$C$43,Site_Meta!D$2:D$43)</f>
        <v>North/Northeast</v>
      </c>
      <c r="F6" s="5" t="str">
        <f>LOOKUP($D6,Site_Meta!$C$2:$C$43,Site_Meta!E$2:E$43)</f>
        <v>E</v>
      </c>
      <c r="G6" s="5">
        <f>LOOKUP($D6,Site_Meta!$C$2:$C$43,Site_Meta!F$2:F$43)</f>
        <v>18.385439999999999</v>
      </c>
      <c r="H6" s="5">
        <f>LOOKUP($D6,Site_Meta!$C$2:$C$43,Site_Meta!G$2:G$43)</f>
        <v>-65.6297</v>
      </c>
      <c r="I6" s="5">
        <f>LOOKUP($D6,Site_Meta!$C$2:$C$43,Site_Meta!H$2:H$43)</f>
        <v>5</v>
      </c>
      <c r="J6" s="6">
        <v>10</v>
      </c>
      <c r="K6" s="6">
        <v>15</v>
      </c>
      <c r="L6" s="6">
        <v>2023</v>
      </c>
      <c r="M6" s="7" t="str">
        <f t="shared" si="0"/>
        <v>10/15/2023</v>
      </c>
      <c r="N6" s="6" t="s">
        <v>70</v>
      </c>
      <c r="O6" s="6" t="s">
        <v>63</v>
      </c>
      <c r="P6" s="6" t="s">
        <v>58</v>
      </c>
      <c r="Q6" s="6"/>
      <c r="R6" s="8">
        <v>0.28541666666666665</v>
      </c>
      <c r="S6" s="8">
        <v>0.30208333333333331</v>
      </c>
      <c r="T6" s="6">
        <v>29.88</v>
      </c>
      <c r="U6" s="6">
        <v>0.47</v>
      </c>
      <c r="V6" s="6">
        <v>36.32</v>
      </c>
      <c r="W6" s="6">
        <v>0.51</v>
      </c>
      <c r="X6" s="6">
        <v>35.4</v>
      </c>
      <c r="Y6" s="6">
        <v>5.76</v>
      </c>
      <c r="Z6" s="6">
        <v>0.52</v>
      </c>
      <c r="AA6" s="6">
        <v>7.09</v>
      </c>
      <c r="AB6" s="6">
        <v>0.52</v>
      </c>
      <c r="AC6" s="6">
        <v>30.05</v>
      </c>
      <c r="AD6" s="6">
        <v>7.43</v>
      </c>
      <c r="AE6" s="6">
        <v>35.96</v>
      </c>
      <c r="AF6" s="6">
        <v>7.44</v>
      </c>
      <c r="AG6" s="14">
        <v>35</v>
      </c>
      <c r="AH6" s="6">
        <v>5.74</v>
      </c>
      <c r="AI6" s="6">
        <v>7.44</v>
      </c>
      <c r="AJ6" s="6">
        <v>7.14</v>
      </c>
      <c r="AK6" s="6">
        <v>7.4</v>
      </c>
      <c r="AL6" s="6" t="s">
        <v>71</v>
      </c>
      <c r="AM6" s="6" t="s">
        <v>71</v>
      </c>
      <c r="AN6" s="6" t="s">
        <v>71</v>
      </c>
      <c r="AO6" s="6" t="e">
        <f t="shared" si="1"/>
        <v>#DIV/0!</v>
      </c>
      <c r="AP6" s="6">
        <v>0.5</v>
      </c>
      <c r="AQ6" s="6">
        <v>7.5</v>
      </c>
      <c r="AR6" s="6">
        <v>400</v>
      </c>
      <c r="AS6" s="6">
        <v>401</v>
      </c>
      <c r="AT6" s="11">
        <v>402</v>
      </c>
      <c r="AU6" s="11">
        <v>403</v>
      </c>
      <c r="AV6" s="11">
        <v>404</v>
      </c>
      <c r="AW6" s="11">
        <v>405</v>
      </c>
      <c r="AX6" s="11">
        <v>406</v>
      </c>
      <c r="AY6" s="11">
        <v>407</v>
      </c>
      <c r="AZ6" s="11">
        <v>408</v>
      </c>
      <c r="BA6" s="11">
        <v>409</v>
      </c>
      <c r="BB6" s="11">
        <v>531</v>
      </c>
      <c r="BC6" s="13" t="s">
        <v>61</v>
      </c>
      <c r="BD6" s="10"/>
    </row>
    <row r="7" spans="1:56" ht="15.75" customHeight="1" x14ac:dyDescent="0.15">
      <c r="A7" s="4">
        <v>2</v>
      </c>
      <c r="B7" s="5" t="str">
        <f>LOOKUP($D7,Site_Meta!$C$2:$C$43,Site_Meta!A$2:A$43)</f>
        <v>Cabezas de San Juan 5m</v>
      </c>
      <c r="C7" s="5" t="str">
        <f>LOOKUP($D7,Site_Meta!$C$2:$C$43,Site_Meta!B$2:B$43)</f>
        <v>Fajardo</v>
      </c>
      <c r="D7" s="5" t="s">
        <v>69</v>
      </c>
      <c r="E7" s="5" t="str">
        <f>LOOKUP($D7,Site_Meta!$C$2:$C$43,Site_Meta!D$2:D$43)</f>
        <v>North/Northeast</v>
      </c>
      <c r="F7" s="5" t="str">
        <f>LOOKUP($D7,Site_Meta!$C$2:$C$43,Site_Meta!E$2:E$43)</f>
        <v>E</v>
      </c>
      <c r="G7" s="5">
        <f>LOOKUP($D7,Site_Meta!$C$2:$C$43,Site_Meta!F$2:F$43)</f>
        <v>18.385439999999999</v>
      </c>
      <c r="H7" s="5">
        <f>LOOKUP($D7,Site_Meta!$C$2:$C$43,Site_Meta!G$2:G$43)</f>
        <v>-65.6297</v>
      </c>
      <c r="I7" s="5">
        <f>LOOKUP($D7,Site_Meta!$C$2:$C$43,Site_Meta!H$2:H$43)</f>
        <v>5</v>
      </c>
      <c r="J7" s="6">
        <v>10</v>
      </c>
      <c r="K7" s="6">
        <v>15</v>
      </c>
      <c r="L7" s="6">
        <v>2023</v>
      </c>
      <c r="M7" s="7" t="str">
        <f t="shared" si="0"/>
        <v>10/15/2023</v>
      </c>
      <c r="N7" s="6" t="s">
        <v>70</v>
      </c>
      <c r="O7" s="6" t="s">
        <v>63</v>
      </c>
      <c r="P7" s="6" t="s">
        <v>58</v>
      </c>
      <c r="Q7" s="6"/>
      <c r="R7" s="8">
        <v>0.28125</v>
      </c>
      <c r="S7" s="8">
        <v>0.28472222222222221</v>
      </c>
      <c r="T7" s="6">
        <v>30.64</v>
      </c>
      <c r="U7" s="6">
        <v>0.68</v>
      </c>
      <c r="V7" s="6">
        <v>36.590000000000003</v>
      </c>
      <c r="W7" s="6">
        <v>0.7</v>
      </c>
      <c r="X7" s="6">
        <v>35.4</v>
      </c>
      <c r="Y7" s="6">
        <v>4.6100000000000003</v>
      </c>
      <c r="Z7" s="6">
        <v>0.7</v>
      </c>
      <c r="AA7" s="6">
        <v>7.65</v>
      </c>
      <c r="AB7" s="6">
        <v>0.7</v>
      </c>
      <c r="AC7" s="6">
        <v>31.78</v>
      </c>
      <c r="AD7" s="6">
        <v>6.5</v>
      </c>
      <c r="AE7" s="11">
        <v>36.06</v>
      </c>
      <c r="AF7" s="6">
        <v>6.7</v>
      </c>
      <c r="AG7" s="6" t="s">
        <v>59</v>
      </c>
      <c r="AH7" s="6">
        <v>4.51</v>
      </c>
      <c r="AI7" s="6">
        <v>6.9</v>
      </c>
      <c r="AJ7" s="6">
        <v>7.72</v>
      </c>
      <c r="AK7" s="6">
        <v>7</v>
      </c>
      <c r="AL7" s="11" t="s">
        <v>59</v>
      </c>
      <c r="AM7" s="11" t="s">
        <v>59</v>
      </c>
      <c r="AN7" s="11" t="s">
        <v>59</v>
      </c>
      <c r="AO7" s="6" t="e">
        <f t="shared" si="1"/>
        <v>#DIV/0!</v>
      </c>
      <c r="AP7" s="6" t="s">
        <v>59</v>
      </c>
      <c r="AQ7" s="6" t="s">
        <v>59</v>
      </c>
      <c r="AR7" s="6" t="s">
        <v>59</v>
      </c>
      <c r="AS7" s="6" t="s">
        <v>59</v>
      </c>
      <c r="AT7" s="11" t="s">
        <v>59</v>
      </c>
      <c r="AU7" s="11" t="s">
        <v>59</v>
      </c>
      <c r="AV7" s="11" t="s">
        <v>59</v>
      </c>
      <c r="AW7" s="11" t="s">
        <v>59</v>
      </c>
      <c r="AX7" s="11" t="s">
        <v>59</v>
      </c>
      <c r="AY7" s="11" t="s">
        <v>59</v>
      </c>
      <c r="AZ7" s="11" t="s">
        <v>59</v>
      </c>
      <c r="BA7" s="11" t="s">
        <v>59</v>
      </c>
      <c r="BB7" s="11" t="s">
        <v>59</v>
      </c>
      <c r="BC7" s="15" t="s">
        <v>72</v>
      </c>
      <c r="BD7" s="10"/>
    </row>
    <row r="8" spans="1:56" ht="15.75" customHeight="1" x14ac:dyDescent="0.15">
      <c r="A8" s="4">
        <v>2</v>
      </c>
      <c r="B8" s="5" t="str">
        <f>LOOKUP($D8,Site_Meta!$C$2:$C$43,Site_Meta!A$2:A$43)</f>
        <v>Canjilones 15m</v>
      </c>
      <c r="C8" s="5" t="str">
        <f>LOOKUP($D8,Site_Meta!$C$2:$C$43,Site_Meta!B$2:B$43)</f>
        <v>Isla Vieques</v>
      </c>
      <c r="D8" s="5" t="s">
        <v>73</v>
      </c>
      <c r="E8" s="5" t="str">
        <f>LOOKUP($D8,Site_Meta!$C$2:$C$43,Site_Meta!D$2:D$43)</f>
        <v>Vieques/Culebra</v>
      </c>
      <c r="F8" s="5" t="str">
        <f>LOOKUP($D8,Site_Meta!$C$2:$C$43,Site_Meta!E$2:E$43)</f>
        <v>E</v>
      </c>
      <c r="G8" s="5">
        <f>LOOKUP($D8,Site_Meta!$C$2:$C$43,Site_Meta!F$2:F$43)</f>
        <v>18.089639999999999</v>
      </c>
      <c r="H8" s="5">
        <f>LOOKUP($D8,Site_Meta!$C$2:$C$43,Site_Meta!G$2:G$43)</f>
        <v>-65.590100000000007</v>
      </c>
      <c r="I8" s="5">
        <f>LOOKUP($D8,Site_Meta!$C$2:$C$43,Site_Meta!H$2:H$43)</f>
        <v>15</v>
      </c>
      <c r="J8" s="6">
        <v>10</v>
      </c>
      <c r="K8" s="6">
        <v>14</v>
      </c>
      <c r="L8" s="6">
        <v>2023</v>
      </c>
      <c r="M8" s="7" t="str">
        <f t="shared" si="0"/>
        <v>10/14/2023</v>
      </c>
      <c r="N8" s="6" t="s">
        <v>70</v>
      </c>
      <c r="O8" s="6" t="s">
        <v>74</v>
      </c>
      <c r="P8" s="6" t="s">
        <v>58</v>
      </c>
      <c r="Q8" s="6"/>
      <c r="R8" s="8">
        <v>0.42499999999999999</v>
      </c>
      <c r="S8" s="8">
        <v>0.44236111111111109</v>
      </c>
      <c r="T8" s="6">
        <v>30.13</v>
      </c>
      <c r="U8" s="6">
        <v>0.51</v>
      </c>
      <c r="V8" s="6">
        <v>34.83</v>
      </c>
      <c r="W8" s="6">
        <v>0.51</v>
      </c>
      <c r="X8" s="6">
        <v>34.1</v>
      </c>
      <c r="Y8" s="6">
        <v>6.35</v>
      </c>
      <c r="Z8" s="6">
        <v>0.5</v>
      </c>
      <c r="AA8" s="6">
        <v>7.05</v>
      </c>
      <c r="AB8" s="6">
        <v>0.51</v>
      </c>
      <c r="AC8" s="6">
        <v>30.02</v>
      </c>
      <c r="AD8" s="6">
        <v>14.97</v>
      </c>
      <c r="AE8" s="6">
        <v>35.61</v>
      </c>
      <c r="AF8" s="6">
        <v>15</v>
      </c>
      <c r="AG8" s="14">
        <v>34</v>
      </c>
      <c r="AH8" s="6">
        <v>5.48</v>
      </c>
      <c r="AI8" s="6">
        <v>15</v>
      </c>
      <c r="AJ8" s="6">
        <v>6.9</v>
      </c>
      <c r="AK8" s="6">
        <v>15.01</v>
      </c>
      <c r="AL8" s="6" t="s">
        <v>64</v>
      </c>
      <c r="AM8" s="6" t="s">
        <v>64</v>
      </c>
      <c r="AN8" s="6" t="s">
        <v>64</v>
      </c>
      <c r="AO8" s="6" t="e">
        <f t="shared" si="1"/>
        <v>#DIV/0!</v>
      </c>
      <c r="AP8" s="6">
        <v>0.5</v>
      </c>
      <c r="AQ8" s="6">
        <v>15</v>
      </c>
      <c r="AR8" s="6">
        <v>444</v>
      </c>
      <c r="AS8" s="6">
        <v>445</v>
      </c>
      <c r="AT8" s="11">
        <v>446</v>
      </c>
      <c r="AU8" s="11">
        <v>447</v>
      </c>
      <c r="AV8" s="11">
        <v>448</v>
      </c>
      <c r="AW8" s="11">
        <v>449</v>
      </c>
      <c r="AX8" s="11">
        <v>450</v>
      </c>
      <c r="AY8" s="11">
        <v>451</v>
      </c>
      <c r="AZ8" s="11">
        <v>452</v>
      </c>
      <c r="BA8" s="11">
        <v>453</v>
      </c>
      <c r="BB8" s="11">
        <v>520</v>
      </c>
      <c r="BC8" s="13" t="s">
        <v>61</v>
      </c>
      <c r="BD8" s="10"/>
    </row>
    <row r="9" spans="1:56" ht="15.75" customHeight="1" x14ac:dyDescent="0.15">
      <c r="A9" s="4">
        <v>2</v>
      </c>
      <c r="B9" s="6" t="str">
        <f>LOOKUP($D9,Site_Meta!$C$2:$C$43,Site_Meta!A$2:A$43)</f>
        <v>Puerto Canoas 30m</v>
      </c>
      <c r="C9" s="6" t="str">
        <f>LOOKUP($D9,Site_Meta!$C$2:$C$43,Site_Meta!B$2:B$43)</f>
        <v>Isla Desecheo</v>
      </c>
      <c r="D9" s="6" t="s">
        <v>75</v>
      </c>
      <c r="E9" s="6" t="str">
        <f>LOOKUP($D9,Site_Meta!$C$2:$C$43,Site_Meta!D$2:D$43)</f>
        <v>Mona/Desecheo</v>
      </c>
      <c r="F9" s="6" t="str">
        <f>LOOKUP($D9,Site_Meta!$C$2:$C$43,Site_Meta!E$2:E$43)</f>
        <v>W</v>
      </c>
      <c r="G9" s="6">
        <f>LOOKUP($D9,Site_Meta!$C$2:$C$43,Site_Meta!F$2:F$43)</f>
        <v>18.377469999999999</v>
      </c>
      <c r="H9" s="6">
        <f>LOOKUP($D9,Site_Meta!$C$2:$C$43,Site_Meta!G$2:G$43)</f>
        <v>-67.483999999999995</v>
      </c>
      <c r="I9" s="6">
        <f>LOOKUP($D9,Site_Meta!$C$2:$C$43,Site_Meta!H$2:H$43)</f>
        <v>30</v>
      </c>
      <c r="J9" s="6">
        <v>10</v>
      </c>
      <c r="K9" s="6">
        <v>23</v>
      </c>
      <c r="L9" s="6">
        <v>2023</v>
      </c>
      <c r="M9" s="6" t="str">
        <f t="shared" si="0"/>
        <v>10/23/2023</v>
      </c>
      <c r="N9" s="6" t="s">
        <v>56</v>
      </c>
      <c r="O9" s="6" t="s">
        <v>63</v>
      </c>
      <c r="P9" s="6" t="s">
        <v>57</v>
      </c>
      <c r="Q9" s="6"/>
      <c r="R9" s="8">
        <v>0.45763888888888887</v>
      </c>
      <c r="S9" s="8">
        <v>0.48333333333333334</v>
      </c>
      <c r="T9" s="6">
        <v>30.25</v>
      </c>
      <c r="U9" s="6">
        <v>0.51</v>
      </c>
      <c r="V9" s="6">
        <v>36.049999999999997</v>
      </c>
      <c r="W9" s="6">
        <v>0.53</v>
      </c>
      <c r="X9" s="14">
        <v>35</v>
      </c>
      <c r="Y9" s="6">
        <v>6.33</v>
      </c>
      <c r="Z9" s="6">
        <v>0.56000000000000005</v>
      </c>
      <c r="AA9" s="6">
        <v>8.1999999999999993</v>
      </c>
      <c r="AB9" s="6">
        <v>0.52</v>
      </c>
      <c r="AC9" s="6">
        <v>30.19</v>
      </c>
      <c r="AD9" s="6">
        <v>26.61</v>
      </c>
      <c r="AE9" s="6">
        <v>36.049999999999997</v>
      </c>
      <c r="AF9" s="6">
        <v>26.65</v>
      </c>
      <c r="AG9" s="6">
        <v>35.299999999999997</v>
      </c>
      <c r="AH9" s="6">
        <v>6.22</v>
      </c>
      <c r="AI9" s="6">
        <v>26.52</v>
      </c>
      <c r="AJ9" s="6">
        <v>8.2200000000000006</v>
      </c>
      <c r="AK9" s="6">
        <v>26.67</v>
      </c>
      <c r="AL9" s="6" t="s">
        <v>76</v>
      </c>
      <c r="AM9" s="6" t="s">
        <v>76</v>
      </c>
      <c r="AN9" s="6" t="s">
        <v>76</v>
      </c>
      <c r="AO9" s="6" t="e">
        <f t="shared" si="1"/>
        <v>#DIV/0!</v>
      </c>
      <c r="AP9" s="6">
        <v>0.5</v>
      </c>
      <c r="AQ9" s="6">
        <v>26.5</v>
      </c>
      <c r="AR9" s="6">
        <v>521</v>
      </c>
      <c r="AS9" s="6">
        <v>522</v>
      </c>
      <c r="AT9" s="6">
        <v>523</v>
      </c>
      <c r="AU9" s="6">
        <v>524</v>
      </c>
      <c r="AV9" s="6">
        <v>525</v>
      </c>
      <c r="AW9" s="6">
        <v>526</v>
      </c>
      <c r="AX9" s="6">
        <v>527</v>
      </c>
      <c r="AY9" s="6">
        <v>528</v>
      </c>
      <c r="AZ9" s="6">
        <v>529</v>
      </c>
      <c r="BA9" s="6">
        <v>530</v>
      </c>
      <c r="BB9" s="6">
        <v>542</v>
      </c>
      <c r="BC9" s="16" t="s">
        <v>77</v>
      </c>
      <c r="BD9" s="10"/>
    </row>
    <row r="10" spans="1:56" ht="15.75" customHeight="1" x14ac:dyDescent="0.15">
      <c r="A10" s="4">
        <v>2</v>
      </c>
      <c r="B10" s="6" t="str">
        <f>LOOKUP($D10,Site_Meta!$C$2:$C$43,Site_Meta!A$2:A$43)</f>
        <v>Puerto Canoas 30m</v>
      </c>
      <c r="C10" s="6" t="str">
        <f>LOOKUP($D10,Site_Meta!$C$2:$C$43,Site_Meta!B$2:B$43)</f>
        <v>Isla Desecheo</v>
      </c>
      <c r="D10" s="6" t="s">
        <v>78</v>
      </c>
      <c r="E10" s="6" t="str">
        <f>LOOKUP($D10,Site_Meta!$C$2:$C$43,Site_Meta!D$2:D$43)</f>
        <v>Mona/Desecheo</v>
      </c>
      <c r="F10" s="6" t="str">
        <f>LOOKUP($D10,Site_Meta!$C$2:$C$43,Site_Meta!E$2:E$43)</f>
        <v>W</v>
      </c>
      <c r="G10" s="6">
        <f>LOOKUP($D10,Site_Meta!$C$2:$C$43,Site_Meta!F$2:F$43)</f>
        <v>18.377469999999999</v>
      </c>
      <c r="H10" s="6">
        <f>LOOKUP($D10,Site_Meta!$C$2:$C$43,Site_Meta!G$2:G$43)</f>
        <v>-67.483999999999995</v>
      </c>
      <c r="I10" s="6">
        <f>LOOKUP($D10,Site_Meta!$C$2:$C$43,Site_Meta!H$2:H$43)</f>
        <v>30</v>
      </c>
      <c r="J10" s="6">
        <v>10</v>
      </c>
      <c r="K10" s="6">
        <v>23</v>
      </c>
      <c r="L10" s="6">
        <v>2023</v>
      </c>
      <c r="M10" s="6" t="str">
        <f t="shared" si="0"/>
        <v>10/23/2023</v>
      </c>
      <c r="N10" s="6" t="s">
        <v>56</v>
      </c>
      <c r="O10" s="6" t="s">
        <v>63</v>
      </c>
      <c r="P10" s="6" t="s">
        <v>57</v>
      </c>
      <c r="Q10" s="6"/>
      <c r="R10" s="8">
        <v>0.4861111111111111</v>
      </c>
      <c r="S10" s="8">
        <v>0.50624999999999998</v>
      </c>
      <c r="T10" s="6">
        <v>30.27</v>
      </c>
      <c r="U10" s="6">
        <v>0.56999999999999995</v>
      </c>
      <c r="V10" s="6">
        <v>35.85</v>
      </c>
      <c r="W10" s="6">
        <v>0.56999999999999995</v>
      </c>
      <c r="X10" s="6">
        <v>34.799999999999997</v>
      </c>
      <c r="Y10" s="6">
        <v>6.27</v>
      </c>
      <c r="Z10" s="6">
        <v>0.56999999999999995</v>
      </c>
      <c r="AA10" s="6">
        <v>8.2200000000000006</v>
      </c>
      <c r="AB10" s="6">
        <v>0.56999999999999995</v>
      </c>
      <c r="AC10" s="6">
        <v>30.19</v>
      </c>
      <c r="AD10" s="6">
        <v>29.12</v>
      </c>
      <c r="AE10" s="6">
        <v>34.369999999999997</v>
      </c>
      <c r="AF10" s="6">
        <v>29.12</v>
      </c>
      <c r="AG10" s="6">
        <v>34.6</v>
      </c>
      <c r="AH10" s="6">
        <v>6.3</v>
      </c>
      <c r="AI10" s="6">
        <v>29.12</v>
      </c>
      <c r="AJ10" s="6">
        <v>8.2200000000000006</v>
      </c>
      <c r="AK10" s="6">
        <v>29.12</v>
      </c>
      <c r="AL10" s="6" t="s">
        <v>79</v>
      </c>
      <c r="AM10" s="6" t="s">
        <v>79</v>
      </c>
      <c r="AN10" s="6" t="s">
        <v>79</v>
      </c>
      <c r="AO10" s="6" t="e">
        <f t="shared" si="1"/>
        <v>#DIV/0!</v>
      </c>
      <c r="AP10" s="6">
        <v>0.5</v>
      </c>
      <c r="AQ10" s="6">
        <v>29</v>
      </c>
      <c r="AR10" s="6">
        <v>510</v>
      </c>
      <c r="AS10" s="6">
        <v>511</v>
      </c>
      <c r="AT10" s="11">
        <v>512</v>
      </c>
      <c r="AU10" s="11">
        <v>513</v>
      </c>
      <c r="AV10" s="11">
        <v>514</v>
      </c>
      <c r="AW10" s="11">
        <v>515</v>
      </c>
      <c r="AX10" s="11">
        <v>516</v>
      </c>
      <c r="AY10" s="11">
        <v>517</v>
      </c>
      <c r="AZ10" s="11">
        <v>518</v>
      </c>
      <c r="BA10" s="11">
        <v>519</v>
      </c>
      <c r="BB10" s="11">
        <v>399</v>
      </c>
      <c r="BC10" s="12" t="s">
        <v>65</v>
      </c>
      <c r="BD10" s="10"/>
    </row>
    <row r="11" spans="1:56" ht="15.75" customHeight="1" x14ac:dyDescent="0.15">
      <c r="A11" s="4">
        <v>2</v>
      </c>
      <c r="B11" s="5" t="str">
        <f>LOOKUP($D11,Site_Meta!$C$2:$C$43,Site_Meta!A$2:A$43)</f>
        <v>Cayo Caribes 10m</v>
      </c>
      <c r="C11" s="5" t="str">
        <f>LOOKUP($D11,Site_Meta!$C$2:$C$43,Site_Meta!B$2:B$43)</f>
        <v>Salinas</v>
      </c>
      <c r="D11" s="5" t="s">
        <v>80</v>
      </c>
      <c r="E11" s="5" t="str">
        <f>LOOKUP($D11,Site_Meta!$C$2:$C$43,Site_Meta!D$2:D$43)</f>
        <v>Southeast</v>
      </c>
      <c r="F11" s="5" t="str">
        <f>LOOKUP($D11,Site_Meta!$C$2:$C$43,Site_Meta!E$2:E$43)</f>
        <v>S</v>
      </c>
      <c r="G11" s="5">
        <f>LOOKUP($D11,Site_Meta!$C$2:$C$43,Site_Meta!F$2:F$43)</f>
        <v>17.915330000000001</v>
      </c>
      <c r="H11" s="5">
        <f>LOOKUP($D11,Site_Meta!$C$2:$C$43,Site_Meta!G$2:G$43)</f>
        <v>-66.214100000000002</v>
      </c>
      <c r="I11" s="5">
        <f>LOOKUP($D11,Site_Meta!$C$2:$C$43,Site_Meta!H$2:H$43)</f>
        <v>10</v>
      </c>
      <c r="J11" s="6">
        <v>9</v>
      </c>
      <c r="K11" s="6">
        <v>21</v>
      </c>
      <c r="L11" s="6">
        <v>2023</v>
      </c>
      <c r="M11" s="7" t="str">
        <f t="shared" si="0"/>
        <v>9/21/2023</v>
      </c>
      <c r="N11" s="6" t="s">
        <v>56</v>
      </c>
      <c r="O11" s="6" t="s">
        <v>63</v>
      </c>
      <c r="P11" s="6" t="s">
        <v>81</v>
      </c>
      <c r="Q11" s="6" t="s">
        <v>58</v>
      </c>
      <c r="R11" s="8">
        <v>0.36805555555555558</v>
      </c>
      <c r="S11" s="8">
        <v>0.39583333333333331</v>
      </c>
      <c r="T11" s="6">
        <v>30.62</v>
      </c>
      <c r="U11" s="6">
        <v>0.54</v>
      </c>
      <c r="V11" s="6">
        <v>35.85</v>
      </c>
      <c r="W11" s="6">
        <v>0.55000000000000004</v>
      </c>
      <c r="X11" s="6">
        <v>34.799999999999997</v>
      </c>
      <c r="Y11" s="6">
        <v>6.1</v>
      </c>
      <c r="Z11" s="6">
        <v>0.56000000000000005</v>
      </c>
      <c r="AA11" s="6">
        <v>7.94</v>
      </c>
      <c r="AB11" s="6">
        <v>0.56000000000000005</v>
      </c>
      <c r="AC11" s="6">
        <v>30.84</v>
      </c>
      <c r="AD11" s="6">
        <v>9.51</v>
      </c>
      <c r="AE11" s="6">
        <v>35.549999999999997</v>
      </c>
      <c r="AF11" s="6">
        <v>9.5</v>
      </c>
      <c r="AG11" s="6">
        <v>35.200000000000003</v>
      </c>
      <c r="AH11" s="6">
        <v>6.05</v>
      </c>
      <c r="AI11" s="6">
        <v>9.6199999999999992</v>
      </c>
      <c r="AJ11" s="6">
        <v>8.08</v>
      </c>
      <c r="AK11" s="6">
        <v>9.6199999999999992</v>
      </c>
      <c r="AL11" s="6" t="s">
        <v>82</v>
      </c>
      <c r="AM11" s="6" t="s">
        <v>82</v>
      </c>
      <c r="AN11" s="6" t="s">
        <v>82</v>
      </c>
      <c r="AO11" s="6" t="e">
        <f t="shared" si="1"/>
        <v>#DIV/0!</v>
      </c>
      <c r="AP11" s="6">
        <v>0.5</v>
      </c>
      <c r="AQ11" s="6">
        <v>9.5</v>
      </c>
      <c r="AR11" s="6">
        <v>184</v>
      </c>
      <c r="AS11" s="6">
        <v>185</v>
      </c>
      <c r="AT11" s="11">
        <v>115</v>
      </c>
      <c r="AU11" s="11">
        <v>116</v>
      </c>
      <c r="AV11" s="11">
        <v>56</v>
      </c>
      <c r="AW11" s="11">
        <v>58</v>
      </c>
      <c r="AX11" s="11">
        <v>59</v>
      </c>
      <c r="AY11" s="11">
        <v>56</v>
      </c>
      <c r="AZ11" s="11">
        <v>73</v>
      </c>
      <c r="BA11" s="11">
        <v>79</v>
      </c>
      <c r="BB11" s="11">
        <v>65</v>
      </c>
      <c r="BC11" s="13" t="s">
        <v>61</v>
      </c>
      <c r="BD11" s="10"/>
    </row>
    <row r="12" spans="1:56" ht="15.75" customHeight="1" x14ac:dyDescent="0.15">
      <c r="A12" s="4">
        <v>2</v>
      </c>
      <c r="B12" s="5" t="str">
        <f>LOOKUP($D12,Site_Meta!$C$2:$C$43,Site_Meta!A$2:A$43)</f>
        <v>West Reef 10m</v>
      </c>
      <c r="C12" s="5" t="str">
        <f>LOOKUP($D12,Site_Meta!$C$2:$C$43,Site_Meta!B$2:B$43)</f>
        <v>Ponce</v>
      </c>
      <c r="D12" s="5" t="s">
        <v>83</v>
      </c>
      <c r="E12" s="5" t="str">
        <f>LOOKUP($D12,Site_Meta!$C$2:$C$43,Site_Meta!D$2:D$43)</f>
        <v>South</v>
      </c>
      <c r="F12" s="5" t="str">
        <f>LOOKUP($D12,Site_Meta!$C$2:$C$43,Site_Meta!E$2:E$43)</f>
        <v>S</v>
      </c>
      <c r="G12" s="5">
        <f>LOOKUP($D12,Site_Meta!$C$2:$C$43,Site_Meta!F$2:F$43)</f>
        <v>17.895019999999999</v>
      </c>
      <c r="H12" s="5">
        <f>LOOKUP($D12,Site_Meta!$C$2:$C$43,Site_Meta!G$2:G$43)</f>
        <v>-66.528400000000005</v>
      </c>
      <c r="I12" s="5">
        <f>LOOKUP($D12,Site_Meta!$C$2:$C$43,Site_Meta!H$2:H$43)</f>
        <v>10</v>
      </c>
      <c r="J12" s="6">
        <v>9</v>
      </c>
      <c r="K12" s="6">
        <v>21</v>
      </c>
      <c r="L12" s="6">
        <v>2023</v>
      </c>
      <c r="M12" s="7" t="str">
        <f t="shared" si="0"/>
        <v>9/21/2023</v>
      </c>
      <c r="N12" s="6" t="s">
        <v>56</v>
      </c>
      <c r="O12" s="6" t="s">
        <v>63</v>
      </c>
      <c r="P12" s="6" t="s">
        <v>81</v>
      </c>
      <c r="Q12" s="6" t="s">
        <v>58</v>
      </c>
      <c r="R12" s="8">
        <v>0.44722222222222224</v>
      </c>
      <c r="S12" s="8">
        <v>0.46111111111111114</v>
      </c>
      <c r="T12" s="6">
        <v>30.86</v>
      </c>
      <c r="U12" s="6">
        <v>0.59</v>
      </c>
      <c r="V12" s="6">
        <v>34.729999999999997</v>
      </c>
      <c r="W12" s="6">
        <v>0.59</v>
      </c>
      <c r="X12" s="6">
        <v>33.9</v>
      </c>
      <c r="Y12" s="6">
        <v>6.52</v>
      </c>
      <c r="Z12" s="6">
        <v>0.62</v>
      </c>
      <c r="AA12" s="6">
        <v>8.0299999999999994</v>
      </c>
      <c r="AB12" s="6">
        <v>0.68</v>
      </c>
      <c r="AC12" s="6">
        <v>30.62</v>
      </c>
      <c r="AD12" s="6">
        <v>8.0299999999999994</v>
      </c>
      <c r="AE12" s="6">
        <v>34.72</v>
      </c>
      <c r="AF12" s="6">
        <v>7.9</v>
      </c>
      <c r="AG12" s="6">
        <v>34.299999999999997</v>
      </c>
      <c r="AH12" s="6">
        <v>6.64</v>
      </c>
      <c r="AI12" s="6">
        <v>7.77</v>
      </c>
      <c r="AJ12" s="17">
        <v>8.09</v>
      </c>
      <c r="AK12" s="17">
        <v>7.57</v>
      </c>
      <c r="AL12" s="6" t="s">
        <v>84</v>
      </c>
      <c r="AM12" s="6" t="s">
        <v>84</v>
      </c>
      <c r="AN12" s="6" t="s">
        <v>84</v>
      </c>
      <c r="AO12" s="6" t="e">
        <f t="shared" si="1"/>
        <v>#DIV/0!</v>
      </c>
      <c r="AP12" s="6">
        <v>0.5</v>
      </c>
      <c r="AQ12" s="6">
        <v>7.5</v>
      </c>
      <c r="AR12" s="6">
        <v>200</v>
      </c>
      <c r="AS12" s="6">
        <v>201</v>
      </c>
      <c r="AT12" s="11">
        <v>131</v>
      </c>
      <c r="AU12" s="11">
        <v>132</v>
      </c>
      <c r="AV12" s="11">
        <v>64</v>
      </c>
      <c r="AW12" s="11">
        <v>66</v>
      </c>
      <c r="AX12" s="11">
        <v>67</v>
      </c>
      <c r="AY12" s="11">
        <v>64</v>
      </c>
      <c r="AZ12" s="11">
        <v>81</v>
      </c>
      <c r="BA12" s="11">
        <v>87</v>
      </c>
      <c r="BB12" s="11">
        <v>56</v>
      </c>
      <c r="BC12" s="13" t="s">
        <v>61</v>
      </c>
      <c r="BD12" s="10"/>
    </row>
    <row r="13" spans="1:56" ht="15.75" customHeight="1" x14ac:dyDescent="0.15">
      <c r="A13" s="4">
        <v>2</v>
      </c>
      <c r="B13" s="5" t="str">
        <f>LOOKUP($D13,Site_Meta!$C$2:$C$43,Site_Meta!A$2:A$43)</f>
        <v>Cibuco 05m</v>
      </c>
      <c r="C13" s="5" t="str">
        <f>LOOKUP($D13,Site_Meta!$C$2:$C$43,Site_Meta!B$2:B$43)</f>
        <v>Vega Baja</v>
      </c>
      <c r="D13" s="5" t="s">
        <v>85</v>
      </c>
      <c r="E13" s="5" t="str">
        <f>LOOKUP($D13,Site_Meta!$C$2:$C$43,Site_Meta!D$2:D$43)</f>
        <v>North/Northeast</v>
      </c>
      <c r="F13" s="5" t="str">
        <f>LOOKUP($D13,Site_Meta!$C$2:$C$43,Site_Meta!E$2:E$43)</f>
        <v>N</v>
      </c>
      <c r="G13" s="5">
        <f>LOOKUP($D13,Site_Meta!$C$2:$C$43,Site_Meta!F$2:F$43)</f>
        <v>18.489550000000001</v>
      </c>
      <c r="H13" s="5">
        <f>LOOKUP($D13,Site_Meta!$C$2:$C$43,Site_Meta!G$2:G$43)</f>
        <v>-66.373599999999996</v>
      </c>
      <c r="I13" s="5">
        <f>LOOKUP($D13,Site_Meta!$C$2:$C$43,Site_Meta!H$2:H$43)</f>
        <v>10</v>
      </c>
      <c r="J13" s="18">
        <v>10</v>
      </c>
      <c r="K13" s="18">
        <v>6</v>
      </c>
      <c r="L13" s="18">
        <v>2023</v>
      </c>
      <c r="M13" s="7" t="str">
        <f t="shared" si="0"/>
        <v>10/6/2023</v>
      </c>
      <c r="N13" s="6" t="s">
        <v>86</v>
      </c>
      <c r="O13" s="6" t="s">
        <v>57</v>
      </c>
      <c r="P13" s="6" t="s">
        <v>58</v>
      </c>
      <c r="Q13" s="6"/>
      <c r="R13" s="8">
        <v>0.27847222222222223</v>
      </c>
      <c r="S13" s="8">
        <v>0.29236111111111113</v>
      </c>
      <c r="T13" s="6">
        <v>29.65</v>
      </c>
      <c r="U13" s="6">
        <v>0.42</v>
      </c>
      <c r="V13" s="6">
        <v>34.71</v>
      </c>
      <c r="W13" s="6">
        <v>0.42</v>
      </c>
      <c r="X13" s="6">
        <v>34.799999999999997</v>
      </c>
      <c r="Y13" s="6">
        <v>5.79</v>
      </c>
      <c r="Z13" s="6">
        <v>0.45</v>
      </c>
      <c r="AA13" s="6">
        <v>7.69</v>
      </c>
      <c r="AB13" s="6">
        <v>0.49</v>
      </c>
      <c r="AC13" s="6">
        <v>29.85</v>
      </c>
      <c r="AD13" s="6">
        <v>1.92</v>
      </c>
      <c r="AE13" s="6">
        <v>34.450000000000003</v>
      </c>
      <c r="AF13" s="6">
        <v>1.97</v>
      </c>
      <c r="AG13" s="6">
        <v>34.9</v>
      </c>
      <c r="AH13" s="6">
        <v>5.73</v>
      </c>
      <c r="AI13" s="6">
        <v>2.0099999999999998</v>
      </c>
      <c r="AJ13" s="6">
        <v>7.95</v>
      </c>
      <c r="AK13" s="6">
        <v>2.0299999999999998</v>
      </c>
      <c r="AL13" s="6" t="s">
        <v>87</v>
      </c>
      <c r="AM13" s="6" t="s">
        <v>87</v>
      </c>
      <c r="AN13" s="6" t="s">
        <v>87</v>
      </c>
      <c r="AO13" s="6" t="e">
        <f t="shared" si="1"/>
        <v>#DIV/0!</v>
      </c>
      <c r="AP13" s="6">
        <v>0.5</v>
      </c>
      <c r="AQ13" s="6">
        <v>2</v>
      </c>
      <c r="AR13" s="6">
        <v>323</v>
      </c>
      <c r="AS13" s="6">
        <v>324</v>
      </c>
      <c r="AT13" s="11">
        <v>325</v>
      </c>
      <c r="AU13" s="11">
        <v>326</v>
      </c>
      <c r="AV13" s="11">
        <v>327</v>
      </c>
      <c r="AW13" s="11">
        <v>328</v>
      </c>
      <c r="AX13" s="11">
        <v>329</v>
      </c>
      <c r="AY13" s="11">
        <v>330</v>
      </c>
      <c r="AZ13" s="11">
        <v>331</v>
      </c>
      <c r="BA13" s="11">
        <v>332</v>
      </c>
      <c r="BB13" s="11">
        <v>311</v>
      </c>
      <c r="BC13" s="13" t="s">
        <v>88</v>
      </c>
      <c r="BD13" s="10"/>
    </row>
    <row r="14" spans="1:56" ht="15.75" customHeight="1" x14ac:dyDescent="0.15">
      <c r="A14" s="4">
        <v>2</v>
      </c>
      <c r="B14" s="5" t="str">
        <f>LOOKUP($D14,Site_Meta!$C$2:$C$43,Site_Meta!A$2:A$43)</f>
        <v>Cibuco 05m</v>
      </c>
      <c r="C14" s="5" t="str">
        <f>LOOKUP($D14,Site_Meta!$C$2:$C$43,Site_Meta!B$2:B$43)</f>
        <v>Vega Baja</v>
      </c>
      <c r="D14" s="5" t="s">
        <v>89</v>
      </c>
      <c r="E14" s="5" t="str">
        <f>LOOKUP($D14,Site_Meta!$C$2:$C$43,Site_Meta!D$2:D$43)</f>
        <v>North/Northeast</v>
      </c>
      <c r="F14" s="5" t="str">
        <f>LOOKUP($D14,Site_Meta!$C$2:$C$43,Site_Meta!E$2:E$43)</f>
        <v>N</v>
      </c>
      <c r="G14" s="5">
        <f>LOOKUP($D14,Site_Meta!$C$2:$C$43,Site_Meta!F$2:F$43)</f>
        <v>18.489550000000001</v>
      </c>
      <c r="H14" s="5">
        <f>LOOKUP($D14,Site_Meta!$C$2:$C$43,Site_Meta!G$2:G$43)</f>
        <v>-66.373599999999996</v>
      </c>
      <c r="I14" s="5">
        <f>LOOKUP($D14,Site_Meta!$C$2:$C$43,Site_Meta!H$2:H$43)</f>
        <v>10</v>
      </c>
      <c r="J14" s="18">
        <v>10</v>
      </c>
      <c r="K14" s="18">
        <v>6</v>
      </c>
      <c r="L14" s="18">
        <v>2023</v>
      </c>
      <c r="M14" s="7" t="str">
        <f t="shared" si="0"/>
        <v>10/6/2023</v>
      </c>
      <c r="N14" s="6" t="s">
        <v>86</v>
      </c>
      <c r="O14" s="6" t="s">
        <v>57</v>
      </c>
      <c r="P14" s="6" t="s">
        <v>58</v>
      </c>
      <c r="Q14" s="6"/>
      <c r="R14" s="8">
        <v>0.29722222222222222</v>
      </c>
      <c r="S14" s="8">
        <v>0.30555555555555558</v>
      </c>
      <c r="T14" s="6">
        <v>29.85</v>
      </c>
      <c r="U14" s="6">
        <v>0.49</v>
      </c>
      <c r="V14" s="6">
        <v>31.76</v>
      </c>
      <c r="W14" s="6">
        <v>0.52</v>
      </c>
      <c r="X14" s="6">
        <v>34.700000000000003</v>
      </c>
      <c r="Y14" s="6">
        <v>5.88</v>
      </c>
      <c r="Z14" s="6">
        <v>0.51</v>
      </c>
      <c r="AA14" s="6">
        <v>7.74</v>
      </c>
      <c r="AB14" s="6">
        <v>0.52</v>
      </c>
      <c r="AC14" s="6">
        <v>29.9</v>
      </c>
      <c r="AD14" s="6">
        <v>2.4500000000000002</v>
      </c>
      <c r="AE14" s="6">
        <v>8.64</v>
      </c>
      <c r="AF14" s="6">
        <v>2.5</v>
      </c>
      <c r="AG14" s="6">
        <v>34.6</v>
      </c>
      <c r="AH14" s="6">
        <v>6.72</v>
      </c>
      <c r="AI14" s="6">
        <v>2.5</v>
      </c>
      <c r="AJ14" s="6">
        <v>8.01</v>
      </c>
      <c r="AK14" s="6">
        <v>2.48</v>
      </c>
      <c r="AL14" s="6" t="s">
        <v>87</v>
      </c>
      <c r="AM14" s="6" t="s">
        <v>87</v>
      </c>
      <c r="AN14" s="6" t="s">
        <v>87</v>
      </c>
      <c r="AO14" s="6" t="e">
        <f t="shared" si="1"/>
        <v>#DIV/0!</v>
      </c>
      <c r="AP14" s="6">
        <v>0.5</v>
      </c>
      <c r="AQ14" s="6">
        <v>2.5</v>
      </c>
      <c r="AR14" s="6">
        <v>334</v>
      </c>
      <c r="AS14" s="6">
        <v>335</v>
      </c>
      <c r="AT14" s="11">
        <v>336</v>
      </c>
      <c r="AU14" s="11">
        <v>337</v>
      </c>
      <c r="AV14" s="11">
        <v>338</v>
      </c>
      <c r="AW14" s="11">
        <v>339</v>
      </c>
      <c r="AX14" s="11">
        <v>340</v>
      </c>
      <c r="AY14" s="11">
        <v>341</v>
      </c>
      <c r="AZ14" s="11">
        <v>342</v>
      </c>
      <c r="BA14" s="11">
        <v>343</v>
      </c>
      <c r="BB14" s="11">
        <v>322</v>
      </c>
      <c r="BC14" s="13" t="s">
        <v>88</v>
      </c>
      <c r="BD14" s="10"/>
    </row>
    <row r="15" spans="1:56" ht="15.75" customHeight="1" x14ac:dyDescent="0.15">
      <c r="A15" s="4">
        <v>2</v>
      </c>
      <c r="B15" s="5" t="str">
        <f>LOOKUP($D15,Site_Meta!$C$2:$C$43,Site_Meta!A$2:A$43)</f>
        <v>Cayo Coral 10m</v>
      </c>
      <c r="C15" s="5" t="str">
        <f>LOOKUP($D15,Site_Meta!$C$2:$C$43,Site_Meta!B$2:B$43)</f>
        <v>Guanica</v>
      </c>
      <c r="D15" s="5" t="s">
        <v>90</v>
      </c>
      <c r="E15" s="5" t="str">
        <f>LOOKUP($D15,Site_Meta!$C$2:$C$43,Site_Meta!D$2:D$43)</f>
        <v>Southwest</v>
      </c>
      <c r="F15" s="5" t="str">
        <f>LOOKUP($D15,Site_Meta!$C$2:$C$43,Site_Meta!E$2:E$43)</f>
        <v>SW</v>
      </c>
      <c r="G15" s="5">
        <f>LOOKUP($D15,Site_Meta!$C$2:$C$43,Site_Meta!F$2:F$43)</f>
        <v>17.936199999999999</v>
      </c>
      <c r="H15" s="5">
        <f>LOOKUP($D15,Site_Meta!$C$2:$C$43,Site_Meta!G$2:G$43)</f>
        <v>-66.888400000000004</v>
      </c>
      <c r="I15" s="5">
        <f>LOOKUP($D15,Site_Meta!$C$2:$C$43,Site_Meta!H$2:H$43)</f>
        <v>10</v>
      </c>
      <c r="J15" s="6">
        <v>10</v>
      </c>
      <c r="K15" s="6">
        <v>4</v>
      </c>
      <c r="L15" s="6">
        <v>2023</v>
      </c>
      <c r="M15" s="7" t="str">
        <f t="shared" si="0"/>
        <v>10/4/2023</v>
      </c>
      <c r="N15" s="6" t="s">
        <v>56</v>
      </c>
      <c r="O15" s="6" t="s">
        <v>57</v>
      </c>
      <c r="P15" s="6" t="s">
        <v>58</v>
      </c>
      <c r="Q15" s="6"/>
      <c r="R15" s="8">
        <v>0.43472222222222223</v>
      </c>
      <c r="S15" s="8">
        <v>0.44930555555555557</v>
      </c>
      <c r="T15" s="6">
        <v>31.21</v>
      </c>
      <c r="U15" s="6">
        <v>0.49</v>
      </c>
      <c r="V15" s="6">
        <v>36.03</v>
      </c>
      <c r="W15" s="6">
        <v>0.49</v>
      </c>
      <c r="X15" s="6">
        <v>34.1</v>
      </c>
      <c r="Y15" s="6">
        <v>5.77</v>
      </c>
      <c r="Z15" s="6">
        <v>0.49</v>
      </c>
      <c r="AA15" s="6">
        <v>7.94</v>
      </c>
      <c r="AB15" s="6">
        <v>0.49</v>
      </c>
      <c r="AC15" s="6">
        <v>30.99</v>
      </c>
      <c r="AD15" s="6">
        <v>8.9</v>
      </c>
      <c r="AE15" s="6">
        <v>36.450000000000003</v>
      </c>
      <c r="AF15" s="6">
        <v>8.9600000000000009</v>
      </c>
      <c r="AG15" s="6">
        <v>34.299999999999997</v>
      </c>
      <c r="AH15" s="6">
        <v>3.87</v>
      </c>
      <c r="AI15" s="6">
        <v>8.99</v>
      </c>
      <c r="AJ15" s="6">
        <v>7.95</v>
      </c>
      <c r="AK15" s="6">
        <v>9</v>
      </c>
      <c r="AL15" s="6" t="s">
        <v>91</v>
      </c>
      <c r="AM15" s="6" t="s">
        <v>91</v>
      </c>
      <c r="AN15" s="6" t="s">
        <v>91</v>
      </c>
      <c r="AO15" s="6" t="e">
        <f t="shared" si="1"/>
        <v>#DIV/0!</v>
      </c>
      <c r="AP15" s="6">
        <v>0.5</v>
      </c>
      <c r="AQ15" s="6">
        <v>9</v>
      </c>
      <c r="AR15" s="6">
        <v>279</v>
      </c>
      <c r="AS15" s="6">
        <v>280</v>
      </c>
      <c r="AT15" s="11">
        <v>281</v>
      </c>
      <c r="AU15" s="11">
        <v>282</v>
      </c>
      <c r="AV15" s="11">
        <v>283</v>
      </c>
      <c r="AW15" s="11">
        <v>284</v>
      </c>
      <c r="AX15" s="11">
        <v>285</v>
      </c>
      <c r="AY15" s="11">
        <v>286</v>
      </c>
      <c r="AZ15" s="11">
        <v>287</v>
      </c>
      <c r="BA15" s="11">
        <v>288</v>
      </c>
      <c r="BB15" s="11">
        <v>267</v>
      </c>
      <c r="BC15" s="13" t="s">
        <v>61</v>
      </c>
      <c r="BD15" s="10"/>
    </row>
    <row r="16" spans="1:56" ht="15.75" customHeight="1" x14ac:dyDescent="0.15">
      <c r="A16" s="4">
        <v>2</v>
      </c>
      <c r="B16" s="5" t="str">
        <f>LOOKUP($D16,Site_Meta!$C$2:$C$43,Site_Meta!A$2:A$43)</f>
        <v>Carlos Rosario 10m</v>
      </c>
      <c r="C16" s="5" t="str">
        <f>LOOKUP($D16,Site_Meta!$C$2:$C$43,Site_Meta!B$2:B$43)</f>
        <v>Isla Culebra</v>
      </c>
      <c r="D16" s="5" t="s">
        <v>92</v>
      </c>
      <c r="E16" s="5" t="str">
        <f>LOOKUP($D16,Site_Meta!$C$2:$C$43,Site_Meta!D$2:D$43)</f>
        <v>Vieques/Culebra</v>
      </c>
      <c r="F16" s="5" t="str">
        <f>LOOKUP($D16,Site_Meta!$C$2:$C$43,Site_Meta!E$2:E$43)</f>
        <v>E</v>
      </c>
      <c r="G16" s="5">
        <f>LOOKUP($D16,Site_Meta!$C$2:$C$43,Site_Meta!F$2:F$43)</f>
        <v>18.32779</v>
      </c>
      <c r="H16" s="5">
        <f>LOOKUP($D16,Site_Meta!$C$2:$C$43,Site_Meta!G$2:G$43)</f>
        <v>-65.331999999999994</v>
      </c>
      <c r="I16" s="5">
        <f>LOOKUP($D16,Site_Meta!$C$2:$C$43,Site_Meta!H$2:H$43)</f>
        <v>10</v>
      </c>
      <c r="J16" s="6">
        <v>10</v>
      </c>
      <c r="K16" s="6">
        <v>13</v>
      </c>
      <c r="L16" s="6">
        <v>2023</v>
      </c>
      <c r="M16" s="7" t="str">
        <f t="shared" si="0"/>
        <v>10/13/2023</v>
      </c>
      <c r="N16" s="6" t="s">
        <v>70</v>
      </c>
      <c r="O16" s="6" t="s">
        <v>63</v>
      </c>
      <c r="P16" s="6" t="s">
        <v>58</v>
      </c>
      <c r="Q16" s="6"/>
      <c r="R16" s="8">
        <v>0.39166666666666666</v>
      </c>
      <c r="S16" s="8">
        <v>0.40833333333333333</v>
      </c>
      <c r="T16" s="6">
        <v>29.89</v>
      </c>
      <c r="U16" s="6">
        <v>0.44</v>
      </c>
      <c r="V16" s="6">
        <v>36.07</v>
      </c>
      <c r="W16" s="6">
        <v>0.49</v>
      </c>
      <c r="X16" s="6">
        <v>34.299999999999997</v>
      </c>
      <c r="Y16" s="6">
        <v>6.11</v>
      </c>
      <c r="Z16" s="6">
        <v>0.5</v>
      </c>
      <c r="AA16" s="6">
        <v>7.92</v>
      </c>
      <c r="AB16" s="6">
        <v>0.5</v>
      </c>
      <c r="AC16" s="6">
        <v>29.9</v>
      </c>
      <c r="AD16" s="6">
        <v>10.01</v>
      </c>
      <c r="AE16" s="6">
        <v>35.89</v>
      </c>
      <c r="AF16" s="6">
        <v>9.9499999999999993</v>
      </c>
      <c r="AG16" s="6">
        <v>34.4</v>
      </c>
      <c r="AH16" s="6">
        <v>6.06</v>
      </c>
      <c r="AI16" s="6">
        <v>9.9700000000000006</v>
      </c>
      <c r="AJ16" s="6">
        <v>8.1</v>
      </c>
      <c r="AK16" s="6">
        <v>9.98</v>
      </c>
      <c r="AL16" s="6" t="s">
        <v>82</v>
      </c>
      <c r="AM16" s="6" t="s">
        <v>82</v>
      </c>
      <c r="AN16" s="6" t="s">
        <v>82</v>
      </c>
      <c r="AO16" s="6" t="e">
        <f t="shared" si="1"/>
        <v>#DIV/0!</v>
      </c>
      <c r="AP16" s="6">
        <v>0.5</v>
      </c>
      <c r="AQ16" s="6">
        <v>10</v>
      </c>
      <c r="AR16" s="6">
        <v>356</v>
      </c>
      <c r="AS16" s="6">
        <v>357</v>
      </c>
      <c r="AT16" s="11">
        <v>358</v>
      </c>
      <c r="AU16" s="11">
        <v>359</v>
      </c>
      <c r="AV16" s="11">
        <v>360</v>
      </c>
      <c r="AW16" s="11">
        <v>361</v>
      </c>
      <c r="AX16" s="11">
        <v>362</v>
      </c>
      <c r="AY16" s="11">
        <v>363</v>
      </c>
      <c r="AZ16" s="11">
        <v>364</v>
      </c>
      <c r="BA16" s="11">
        <v>365</v>
      </c>
      <c r="BB16" s="11">
        <v>487</v>
      </c>
      <c r="BC16" s="13" t="s">
        <v>61</v>
      </c>
      <c r="BD16" s="10"/>
    </row>
    <row r="17" spans="1:56" ht="15.75" customHeight="1" x14ac:dyDescent="0.15">
      <c r="A17" s="4">
        <v>2</v>
      </c>
      <c r="B17" s="5" t="str">
        <f>LOOKUP($D17,Site_Meta!$C$2:$C$43,Site_Meta!A$2:A$43)</f>
        <v>Dakiti 20m</v>
      </c>
      <c r="C17" s="5" t="str">
        <f>LOOKUP($D17,Site_Meta!$C$2:$C$43,Site_Meta!B$2:B$43)</f>
        <v>Isla Culebra</v>
      </c>
      <c r="D17" s="5" t="s">
        <v>93</v>
      </c>
      <c r="E17" s="5" t="str">
        <f>LOOKUP($D17,Site_Meta!$C$2:$C$43,Site_Meta!D$2:D$43)</f>
        <v>Vieques/Culebra</v>
      </c>
      <c r="F17" s="5" t="str">
        <f>LOOKUP($D17,Site_Meta!$C$2:$C$43,Site_Meta!E$2:E$43)</f>
        <v>E</v>
      </c>
      <c r="G17" s="5">
        <f>LOOKUP($D17,Site_Meta!$C$2:$C$43,Site_Meta!F$2:F$43)</f>
        <v>18.275870000000001</v>
      </c>
      <c r="H17" s="5">
        <f>LOOKUP($D17,Site_Meta!$C$2:$C$43,Site_Meta!G$2:G$43)</f>
        <v>-65.277299999999997</v>
      </c>
      <c r="I17" s="5">
        <f>LOOKUP($D17,Site_Meta!$C$2:$C$43,Site_Meta!H$2:H$43)</f>
        <v>20</v>
      </c>
      <c r="J17" s="6">
        <v>10</v>
      </c>
      <c r="K17" s="6">
        <v>13</v>
      </c>
      <c r="L17" s="6">
        <v>2023</v>
      </c>
      <c r="M17" s="7" t="str">
        <f t="shared" si="0"/>
        <v>10/13/2023</v>
      </c>
      <c r="N17" s="6" t="s">
        <v>70</v>
      </c>
      <c r="O17" s="6" t="s">
        <v>63</v>
      </c>
      <c r="P17" s="6" t="s">
        <v>58</v>
      </c>
      <c r="Q17" s="6"/>
      <c r="R17" s="8">
        <v>0.3</v>
      </c>
      <c r="S17" s="8">
        <v>0.32083333333333336</v>
      </c>
      <c r="T17" s="6">
        <v>29.56</v>
      </c>
      <c r="U17" s="6">
        <v>0.52</v>
      </c>
      <c r="V17" s="6">
        <v>36.04</v>
      </c>
      <c r="W17" s="6">
        <v>0.55000000000000004</v>
      </c>
      <c r="X17" s="14">
        <v>34</v>
      </c>
      <c r="Y17" s="6">
        <v>6.26</v>
      </c>
      <c r="Z17" s="6">
        <v>0.55000000000000004</v>
      </c>
      <c r="AA17" s="6">
        <v>7.78</v>
      </c>
      <c r="AB17" s="6">
        <v>0.52</v>
      </c>
      <c r="AC17" s="6">
        <v>29.92</v>
      </c>
      <c r="AD17" s="6">
        <v>20.07</v>
      </c>
      <c r="AE17" s="6">
        <v>36.229999999999997</v>
      </c>
      <c r="AF17" s="6">
        <v>20.07</v>
      </c>
      <c r="AG17" s="6">
        <v>34.299999999999997</v>
      </c>
      <c r="AH17" s="6">
        <v>5.52</v>
      </c>
      <c r="AI17" s="6">
        <v>20.059999999999999</v>
      </c>
      <c r="AJ17" s="6">
        <v>8.0500000000000007</v>
      </c>
      <c r="AK17" s="6">
        <v>20.059999999999999</v>
      </c>
      <c r="AL17" s="6" t="s">
        <v>94</v>
      </c>
      <c r="AM17" s="6" t="s">
        <v>94</v>
      </c>
      <c r="AN17" s="6" t="s">
        <v>94</v>
      </c>
      <c r="AO17" s="6" t="e">
        <f t="shared" si="1"/>
        <v>#DIV/0!</v>
      </c>
      <c r="AP17" s="6">
        <v>0.5</v>
      </c>
      <c r="AQ17" s="6">
        <v>20</v>
      </c>
      <c r="AR17" s="6">
        <v>389</v>
      </c>
      <c r="AS17" s="6">
        <v>390</v>
      </c>
      <c r="AT17" s="11">
        <v>391</v>
      </c>
      <c r="AU17" s="11">
        <v>392</v>
      </c>
      <c r="AV17" s="11">
        <v>393</v>
      </c>
      <c r="AW17" s="11">
        <v>394</v>
      </c>
      <c r="AX17" s="11">
        <v>395</v>
      </c>
      <c r="AY17" s="11">
        <v>396</v>
      </c>
      <c r="AZ17" s="11">
        <v>397</v>
      </c>
      <c r="BA17" s="11">
        <v>398</v>
      </c>
      <c r="BB17" s="11">
        <v>454</v>
      </c>
      <c r="BC17" s="13" t="s">
        <v>61</v>
      </c>
      <c r="BD17" s="10"/>
    </row>
    <row r="18" spans="1:56" ht="15.75" customHeight="1" x14ac:dyDescent="0.15">
      <c r="A18" s="4">
        <v>2</v>
      </c>
      <c r="B18" s="5" t="str">
        <f>LOOKUP($D18,Site_Meta!$C$2:$C$43,Site_Meta!A$2:A$43)</f>
        <v>Dakiti 20m</v>
      </c>
      <c r="C18" s="5" t="str">
        <f>LOOKUP($D18,Site_Meta!$C$2:$C$43,Site_Meta!B$2:B$43)</f>
        <v>Isla Culebra</v>
      </c>
      <c r="D18" s="5" t="s">
        <v>95</v>
      </c>
      <c r="E18" s="5" t="str">
        <f>LOOKUP($D18,Site_Meta!$C$2:$C$43,Site_Meta!D$2:D$43)</f>
        <v>Vieques/Culebra</v>
      </c>
      <c r="F18" s="5" t="str">
        <f>LOOKUP($D18,Site_Meta!$C$2:$C$43,Site_Meta!E$2:E$43)</f>
        <v>E</v>
      </c>
      <c r="G18" s="5">
        <f>LOOKUP($D18,Site_Meta!$C$2:$C$43,Site_Meta!F$2:F$43)</f>
        <v>18.275870000000001</v>
      </c>
      <c r="H18" s="5">
        <f>LOOKUP($D18,Site_Meta!$C$2:$C$43,Site_Meta!G$2:G$43)</f>
        <v>-65.277299999999997</v>
      </c>
      <c r="I18" s="5">
        <f>LOOKUP($D18,Site_Meta!$C$2:$C$43,Site_Meta!H$2:H$43)</f>
        <v>20</v>
      </c>
      <c r="J18" s="6">
        <v>10</v>
      </c>
      <c r="K18" s="6">
        <v>13</v>
      </c>
      <c r="L18" s="6">
        <v>2023</v>
      </c>
      <c r="M18" s="7" t="str">
        <f t="shared" si="0"/>
        <v>10/13/2023</v>
      </c>
      <c r="N18" s="6" t="s">
        <v>70</v>
      </c>
      <c r="O18" s="6" t="s">
        <v>63</v>
      </c>
      <c r="P18" s="6" t="s">
        <v>58</v>
      </c>
      <c r="Q18" s="6"/>
      <c r="R18" s="8">
        <v>0.3263888888888889</v>
      </c>
      <c r="S18" s="8">
        <v>0.34166666666666667</v>
      </c>
      <c r="T18" s="6">
        <v>29.7</v>
      </c>
      <c r="U18" s="6">
        <v>0.5</v>
      </c>
      <c r="V18" s="6">
        <v>35.99</v>
      </c>
      <c r="W18" s="6">
        <v>0.5</v>
      </c>
      <c r="X18" s="14">
        <v>33</v>
      </c>
      <c r="Y18" s="6">
        <v>6.13</v>
      </c>
      <c r="Z18" s="6">
        <v>0.49</v>
      </c>
      <c r="AA18" s="6">
        <v>7.94</v>
      </c>
      <c r="AB18" s="6">
        <v>0.48</v>
      </c>
      <c r="AC18" s="6">
        <v>29.92</v>
      </c>
      <c r="AD18" s="6">
        <v>19.93</v>
      </c>
      <c r="AE18" s="6">
        <v>36.200000000000003</v>
      </c>
      <c r="AF18" s="6">
        <v>19.97</v>
      </c>
      <c r="AG18" s="6">
        <v>34.200000000000003</v>
      </c>
      <c r="AH18" s="6">
        <v>5.72</v>
      </c>
      <c r="AI18" s="6">
        <v>19.98</v>
      </c>
      <c r="AJ18" s="6">
        <v>8.08</v>
      </c>
      <c r="AK18" s="6">
        <v>19.97</v>
      </c>
      <c r="AL18" s="6" t="s">
        <v>94</v>
      </c>
      <c r="AM18" s="6" t="s">
        <v>94</v>
      </c>
      <c r="AN18" s="6" t="s">
        <v>94</v>
      </c>
      <c r="AO18" s="6" t="e">
        <f t="shared" si="1"/>
        <v>#DIV/0!</v>
      </c>
      <c r="AP18" s="6">
        <v>0.5</v>
      </c>
      <c r="AQ18" s="6">
        <v>20</v>
      </c>
      <c r="AR18" s="6">
        <v>312</v>
      </c>
      <c r="AS18" s="6">
        <v>313</v>
      </c>
      <c r="AT18" s="11">
        <v>314</v>
      </c>
      <c r="AU18" s="11">
        <v>315</v>
      </c>
      <c r="AV18" s="11">
        <v>316</v>
      </c>
      <c r="AW18" s="11">
        <v>317</v>
      </c>
      <c r="AX18" s="11">
        <v>318</v>
      </c>
      <c r="AY18" s="11">
        <v>319</v>
      </c>
      <c r="AZ18" s="11">
        <v>320</v>
      </c>
      <c r="BA18" s="11">
        <v>321</v>
      </c>
      <c r="BB18" s="11">
        <v>465</v>
      </c>
      <c r="BC18" s="13" t="s">
        <v>61</v>
      </c>
      <c r="BD18" s="10"/>
    </row>
    <row r="19" spans="1:56" ht="15.75" customHeight="1" x14ac:dyDescent="0.15">
      <c r="A19" s="4">
        <v>2</v>
      </c>
      <c r="B19" s="5" t="str">
        <f>LOOKUP($D19,Site_Meta!$C$2:$C$43,Site_Meta!A$2:A$43)</f>
        <v>Derrumbadero 20m</v>
      </c>
      <c r="C19" s="5" t="str">
        <f>LOOKUP($D19,Site_Meta!$C$2:$C$43,Site_Meta!B$2:B$43)</f>
        <v>Ponce</v>
      </c>
      <c r="D19" s="5" t="s">
        <v>96</v>
      </c>
      <c r="E19" s="5" t="str">
        <f>LOOKUP($D19,Site_Meta!$C$2:$C$43,Site_Meta!D$2:D$43)</f>
        <v>South</v>
      </c>
      <c r="F19" s="5" t="str">
        <f>LOOKUP($D19,Site_Meta!$C$2:$C$43,Site_Meta!E$2:E$43)</f>
        <v>S</v>
      </c>
      <c r="G19" s="5">
        <f>LOOKUP($D19,Site_Meta!$C$2:$C$43,Site_Meta!F$2:F$43)</f>
        <v>17.904</v>
      </c>
      <c r="H19" s="5">
        <f>LOOKUP($D19,Site_Meta!$C$2:$C$43,Site_Meta!G$2:G$43)</f>
        <v>-66.608599999999996</v>
      </c>
      <c r="I19" s="5">
        <f>LOOKUP($D19,Site_Meta!$C$2:$C$43,Site_Meta!H$2:H$43)</f>
        <v>20</v>
      </c>
      <c r="J19" s="6">
        <v>9</v>
      </c>
      <c r="K19" s="6">
        <v>21</v>
      </c>
      <c r="L19" s="6">
        <v>2023</v>
      </c>
      <c r="M19" s="7" t="str">
        <f t="shared" si="0"/>
        <v>9/21/2023</v>
      </c>
      <c r="N19" s="6" t="s">
        <v>56</v>
      </c>
      <c r="O19" s="6" t="s">
        <v>63</v>
      </c>
      <c r="P19" s="6" t="s">
        <v>81</v>
      </c>
      <c r="Q19" s="6" t="s">
        <v>58</v>
      </c>
      <c r="R19" s="8">
        <v>0.47569444444444442</v>
      </c>
      <c r="S19" s="8">
        <v>0.49722222222222223</v>
      </c>
      <c r="T19" s="6">
        <v>30.9</v>
      </c>
      <c r="U19" s="6">
        <v>0.63</v>
      </c>
      <c r="V19" s="6">
        <v>34.36</v>
      </c>
      <c r="W19" s="6">
        <v>0.67</v>
      </c>
      <c r="X19" s="6">
        <v>34.1</v>
      </c>
      <c r="Y19" s="6">
        <v>6.32</v>
      </c>
      <c r="Z19" s="6">
        <v>0.7</v>
      </c>
      <c r="AA19" s="6">
        <v>8.08</v>
      </c>
      <c r="AB19" s="6">
        <v>0.7</v>
      </c>
      <c r="AC19" s="6">
        <v>30.12</v>
      </c>
      <c r="AD19" s="6">
        <v>16.5</v>
      </c>
      <c r="AE19" s="6">
        <v>35</v>
      </c>
      <c r="AF19" s="6">
        <v>17</v>
      </c>
      <c r="AG19" s="6">
        <v>34.6</v>
      </c>
      <c r="AH19" s="6">
        <v>6.2</v>
      </c>
      <c r="AI19" s="6">
        <v>17.3</v>
      </c>
      <c r="AJ19" s="6">
        <v>8.06</v>
      </c>
      <c r="AK19" s="6">
        <v>17.329999999999998</v>
      </c>
      <c r="AL19" s="6">
        <v>12.25</v>
      </c>
      <c r="AM19" s="6">
        <v>12.5</v>
      </c>
      <c r="AN19" s="6">
        <v>12.75</v>
      </c>
      <c r="AO19" s="6">
        <f t="shared" si="1"/>
        <v>12.5</v>
      </c>
      <c r="AP19" s="6">
        <v>0.5</v>
      </c>
      <c r="AQ19" s="6">
        <v>17</v>
      </c>
      <c r="AR19" s="6">
        <v>190</v>
      </c>
      <c r="AS19" s="6">
        <v>191</v>
      </c>
      <c r="AT19" s="11">
        <v>121</v>
      </c>
      <c r="AU19" s="11">
        <v>122</v>
      </c>
      <c r="AV19" s="11">
        <v>59</v>
      </c>
      <c r="AW19" s="11">
        <v>61</v>
      </c>
      <c r="AX19" s="11">
        <v>62</v>
      </c>
      <c r="AY19" s="11">
        <v>59</v>
      </c>
      <c r="AZ19" s="11">
        <v>76</v>
      </c>
      <c r="BA19" s="11">
        <v>82</v>
      </c>
      <c r="BB19" s="11">
        <v>57</v>
      </c>
      <c r="BC19" s="13" t="s">
        <v>61</v>
      </c>
      <c r="BD19" s="19"/>
    </row>
    <row r="20" spans="1:56" ht="15.75" customHeight="1" x14ac:dyDescent="0.15">
      <c r="A20" s="4">
        <v>2</v>
      </c>
      <c r="B20" s="5" t="str">
        <f>LOOKUP($D20,Site_Meta!$C$2:$C$43,Site_Meta!A$2:A$43)</f>
        <v>Cayo Diablo 5m</v>
      </c>
      <c r="C20" s="5" t="str">
        <f>LOOKUP($D20,Site_Meta!$C$2:$C$43,Site_Meta!B$2:B$43)</f>
        <v>Fajardo</v>
      </c>
      <c r="D20" s="5" t="s">
        <v>97</v>
      </c>
      <c r="E20" s="5" t="str">
        <f>LOOKUP($D20,Site_Meta!$C$2:$C$43,Site_Meta!D$2:D$43)</f>
        <v>North/Northeast</v>
      </c>
      <c r="F20" s="5" t="str">
        <f>LOOKUP($D20,Site_Meta!$C$2:$C$43,Site_Meta!E$2:E$43)</f>
        <v>E</v>
      </c>
      <c r="G20" s="5">
        <f>LOOKUP($D20,Site_Meta!$C$2:$C$43,Site_Meta!F$2:F$43)</f>
        <v>18.360330000000001</v>
      </c>
      <c r="H20" s="5">
        <f>LOOKUP($D20,Site_Meta!$C$2:$C$43,Site_Meta!G$2:G$43)</f>
        <v>-65.530900000000003</v>
      </c>
      <c r="I20" s="5">
        <f>LOOKUP($D20,Site_Meta!$C$2:$C$43,Site_Meta!H$2:H$43)</f>
        <v>5</v>
      </c>
      <c r="J20" s="6">
        <v>10</v>
      </c>
      <c r="K20" s="6">
        <v>15</v>
      </c>
      <c r="L20" s="6">
        <v>2023</v>
      </c>
      <c r="M20" s="7" t="str">
        <f t="shared" si="0"/>
        <v>10/15/2023</v>
      </c>
      <c r="N20" s="6" t="s">
        <v>70</v>
      </c>
      <c r="O20" s="6" t="s">
        <v>63</v>
      </c>
      <c r="P20" s="6" t="s">
        <v>58</v>
      </c>
      <c r="Q20" s="6"/>
      <c r="R20" s="8">
        <v>0.32291666666666669</v>
      </c>
      <c r="S20" s="8">
        <v>0.33611111111111114</v>
      </c>
      <c r="T20" s="6">
        <v>30.24</v>
      </c>
      <c r="U20" s="6">
        <v>0.44</v>
      </c>
      <c r="V20" s="6">
        <v>35.880000000000003</v>
      </c>
      <c r="W20" s="6">
        <v>0.43</v>
      </c>
      <c r="X20" s="6">
        <v>34.5</v>
      </c>
      <c r="Y20" s="6">
        <v>6.01</v>
      </c>
      <c r="Z20" s="6">
        <v>0.43</v>
      </c>
      <c r="AA20" s="6">
        <v>7.83</v>
      </c>
      <c r="AB20" s="6">
        <v>0.43</v>
      </c>
      <c r="AC20" s="6">
        <v>30.28</v>
      </c>
      <c r="AD20" s="6">
        <v>3.5</v>
      </c>
      <c r="AE20" s="6">
        <v>35.86</v>
      </c>
      <c r="AF20" s="6">
        <v>3.4</v>
      </c>
      <c r="AG20" s="6">
        <v>34.1</v>
      </c>
      <c r="AH20" s="6">
        <v>5.79</v>
      </c>
      <c r="AI20" s="6">
        <v>3.3</v>
      </c>
      <c r="AJ20" s="6">
        <v>8</v>
      </c>
      <c r="AK20" s="6">
        <v>3.3</v>
      </c>
      <c r="AL20" s="6" t="s">
        <v>98</v>
      </c>
      <c r="AM20" s="6" t="s">
        <v>98</v>
      </c>
      <c r="AN20" s="6" t="s">
        <v>98</v>
      </c>
      <c r="AO20" s="6" t="e">
        <f t="shared" si="1"/>
        <v>#DIV/0!</v>
      </c>
      <c r="AP20" s="6">
        <v>0.5</v>
      </c>
      <c r="AQ20" s="6">
        <v>3.5</v>
      </c>
      <c r="AR20" s="6">
        <v>411</v>
      </c>
      <c r="AS20" s="6">
        <v>412</v>
      </c>
      <c r="AT20" s="6">
        <v>413</v>
      </c>
      <c r="AU20" s="6">
        <v>414</v>
      </c>
      <c r="AV20" s="6">
        <v>415</v>
      </c>
      <c r="AW20" s="6">
        <v>416</v>
      </c>
      <c r="AX20" s="6">
        <v>417</v>
      </c>
      <c r="AY20" s="6">
        <v>418</v>
      </c>
      <c r="AZ20" s="6">
        <v>419</v>
      </c>
      <c r="BA20" s="6">
        <v>420</v>
      </c>
      <c r="BB20" s="6">
        <v>410</v>
      </c>
      <c r="BC20" s="9" t="s">
        <v>61</v>
      </c>
      <c r="BD20" s="19"/>
    </row>
    <row r="21" spans="1:56" ht="15.75" customHeight="1" x14ac:dyDescent="0.15">
      <c r="A21" s="4">
        <v>2</v>
      </c>
      <c r="B21" s="5" t="str">
        <f>LOOKUP($D21,Site_Meta!$C$2:$C$43,Site_Meta!A$2:A$43)</f>
        <v>Cayo Diablo 5m</v>
      </c>
      <c r="C21" s="5" t="str">
        <f>LOOKUP($D21,Site_Meta!$C$2:$C$43,Site_Meta!B$2:B$43)</f>
        <v>Fajardo</v>
      </c>
      <c r="D21" s="5" t="s">
        <v>97</v>
      </c>
      <c r="E21" s="5" t="str">
        <f>LOOKUP($D21,Site_Meta!$C$2:$C$43,Site_Meta!D$2:D$43)</f>
        <v>North/Northeast</v>
      </c>
      <c r="F21" s="5" t="str">
        <f>LOOKUP($D21,Site_Meta!$C$2:$C$43,Site_Meta!E$2:E$43)</f>
        <v>E</v>
      </c>
      <c r="G21" s="5">
        <f>LOOKUP($D21,Site_Meta!$C$2:$C$43,Site_Meta!F$2:F$43)</f>
        <v>18.360330000000001</v>
      </c>
      <c r="H21" s="5">
        <f>LOOKUP($D21,Site_Meta!$C$2:$C$43,Site_Meta!G$2:G$43)</f>
        <v>-65.530900000000003</v>
      </c>
      <c r="I21" s="5">
        <f>LOOKUP($D21,Site_Meta!$C$2:$C$43,Site_Meta!H$2:H$43)</f>
        <v>5</v>
      </c>
      <c r="J21" s="6">
        <v>10</v>
      </c>
      <c r="K21" s="6">
        <v>15</v>
      </c>
      <c r="L21" s="6">
        <v>2023</v>
      </c>
      <c r="M21" s="7" t="str">
        <f t="shared" si="0"/>
        <v>10/15/2023</v>
      </c>
      <c r="N21" s="6" t="s">
        <v>70</v>
      </c>
      <c r="O21" s="6" t="s">
        <v>63</v>
      </c>
      <c r="P21" s="6" t="s">
        <v>58</v>
      </c>
      <c r="Q21" s="6"/>
      <c r="R21" s="8">
        <v>0.35069444444444442</v>
      </c>
      <c r="S21" s="8">
        <v>0.3576388888888889</v>
      </c>
      <c r="T21" s="6">
        <v>30.4</v>
      </c>
      <c r="U21" s="6">
        <v>0.51</v>
      </c>
      <c r="V21" s="6">
        <v>36.75</v>
      </c>
      <c r="W21" s="6">
        <v>0.51</v>
      </c>
      <c r="X21" s="6">
        <v>34.5</v>
      </c>
      <c r="Y21" s="6">
        <v>5.16</v>
      </c>
      <c r="Z21" s="6">
        <v>0.51</v>
      </c>
      <c r="AA21" s="6">
        <v>6.19</v>
      </c>
      <c r="AB21" s="6">
        <v>0.51</v>
      </c>
      <c r="AC21" s="6">
        <v>31.97</v>
      </c>
      <c r="AD21" s="6">
        <v>3.55</v>
      </c>
      <c r="AE21" s="6">
        <v>35.76</v>
      </c>
      <c r="AF21" s="6">
        <v>3.55</v>
      </c>
      <c r="AG21" s="6">
        <v>34.1</v>
      </c>
      <c r="AH21" s="6">
        <v>4.5199999999999996</v>
      </c>
      <c r="AI21" s="6">
        <v>3.55</v>
      </c>
      <c r="AJ21" s="6">
        <v>7.16</v>
      </c>
      <c r="AK21" s="6">
        <v>3.55</v>
      </c>
      <c r="AL21" s="11" t="s">
        <v>59</v>
      </c>
      <c r="AM21" s="11" t="s">
        <v>59</v>
      </c>
      <c r="AN21" s="11" t="s">
        <v>59</v>
      </c>
      <c r="AO21" s="6" t="e">
        <f t="shared" si="1"/>
        <v>#DIV/0!</v>
      </c>
      <c r="AP21" s="6" t="s">
        <v>59</v>
      </c>
      <c r="AQ21" s="6" t="s">
        <v>59</v>
      </c>
      <c r="AR21" s="11" t="s">
        <v>59</v>
      </c>
      <c r="AS21" s="11" t="s">
        <v>59</v>
      </c>
      <c r="AT21" s="11" t="s">
        <v>59</v>
      </c>
      <c r="AU21" s="11" t="s">
        <v>59</v>
      </c>
      <c r="AV21" s="11" t="s">
        <v>59</v>
      </c>
      <c r="AW21" s="11" t="s">
        <v>59</v>
      </c>
      <c r="AX21" s="11" t="s">
        <v>59</v>
      </c>
      <c r="AY21" s="11" t="s">
        <v>59</v>
      </c>
      <c r="AZ21" s="11" t="s">
        <v>59</v>
      </c>
      <c r="BA21" s="11" t="s">
        <v>59</v>
      </c>
      <c r="BB21" s="11" t="s">
        <v>59</v>
      </c>
      <c r="BC21" s="15" t="s">
        <v>72</v>
      </c>
      <c r="BD21" s="19"/>
    </row>
    <row r="22" spans="1:56" ht="15.75" customHeight="1" x14ac:dyDescent="0.15">
      <c r="A22" s="4">
        <v>2</v>
      </c>
      <c r="B22" s="5" t="str">
        <f>LOOKUP($D22,Site_Meta!$C$2:$C$43,Site_Meta!A$2:A$43)</f>
        <v>Dominos 5m</v>
      </c>
      <c r="C22" s="5" t="str">
        <f>LOOKUP($D22,Site_Meta!$C$2:$C$43,Site_Meta!B$2:B$43)</f>
        <v>San Juan</v>
      </c>
      <c r="D22" s="5" t="s">
        <v>99</v>
      </c>
      <c r="E22" s="5" t="str">
        <f>LOOKUP($D22,Site_Meta!$C$2:$C$43,Site_Meta!D$2:D$43)</f>
        <v>North/Northeast</v>
      </c>
      <c r="F22" s="5" t="str">
        <f>LOOKUP($D22,Site_Meta!$C$2:$C$43,Site_Meta!E$2:E$43)</f>
        <v>N</v>
      </c>
      <c r="G22" s="5">
        <f>LOOKUP($D22,Site_Meta!$C$2:$C$43,Site_Meta!F$2:F$43)</f>
        <v>18.462219999999999</v>
      </c>
      <c r="H22" s="5">
        <f>LOOKUP($D22,Site_Meta!$C$2:$C$43,Site_Meta!G$2:G$43)</f>
        <v>-66.051699999999997</v>
      </c>
      <c r="I22" s="5">
        <f>LOOKUP($D22,Site_Meta!$C$2:$C$43,Site_Meta!H$2:H$43)</f>
        <v>5</v>
      </c>
      <c r="J22" s="18">
        <v>10</v>
      </c>
      <c r="K22" s="18">
        <v>6</v>
      </c>
      <c r="L22" s="18">
        <v>2023</v>
      </c>
      <c r="M22" s="7" t="str">
        <f t="shared" si="0"/>
        <v>10/6/2023</v>
      </c>
      <c r="N22" s="6" t="s">
        <v>86</v>
      </c>
      <c r="O22" s="6" t="s">
        <v>57</v>
      </c>
      <c r="P22" s="6" t="s">
        <v>58</v>
      </c>
      <c r="Q22" s="6"/>
      <c r="R22" s="8">
        <v>0.3972222222222222</v>
      </c>
      <c r="S22" s="8">
        <v>0.41111111111111109</v>
      </c>
      <c r="T22" s="6">
        <v>29.85</v>
      </c>
      <c r="U22" s="6">
        <v>0.63</v>
      </c>
      <c r="V22" s="6">
        <v>14.79</v>
      </c>
      <c r="W22" s="6">
        <v>0.53</v>
      </c>
      <c r="X22" s="6">
        <v>34.799999999999997</v>
      </c>
      <c r="Y22" s="6">
        <v>6.67</v>
      </c>
      <c r="Z22" s="6">
        <v>0.44</v>
      </c>
      <c r="AA22" s="6">
        <v>7.96</v>
      </c>
      <c r="AB22" s="6">
        <v>0.45</v>
      </c>
      <c r="AC22" s="6">
        <v>29.81</v>
      </c>
      <c r="AD22" s="6">
        <v>4</v>
      </c>
      <c r="AE22" s="6">
        <v>7.09</v>
      </c>
      <c r="AF22" s="6">
        <v>4.03</v>
      </c>
      <c r="AG22" s="14">
        <v>35</v>
      </c>
      <c r="AH22" s="6">
        <v>7.02</v>
      </c>
      <c r="AI22" s="6">
        <v>4.04</v>
      </c>
      <c r="AJ22" s="6">
        <v>8.0500000000000007</v>
      </c>
      <c r="AK22" s="6">
        <v>4.0199999999999996</v>
      </c>
      <c r="AL22" s="6" t="s">
        <v>100</v>
      </c>
      <c r="AM22" s="6" t="s">
        <v>100</v>
      </c>
      <c r="AN22" s="6" t="s">
        <v>100</v>
      </c>
      <c r="AO22" s="6" t="e">
        <f t="shared" si="1"/>
        <v>#DIV/0!</v>
      </c>
      <c r="AP22" s="6">
        <v>0.5</v>
      </c>
      <c r="AQ22" s="6">
        <v>4</v>
      </c>
      <c r="AR22" s="6">
        <v>301</v>
      </c>
      <c r="AS22" s="6">
        <v>302</v>
      </c>
      <c r="AT22" s="11">
        <v>303</v>
      </c>
      <c r="AU22" s="11">
        <v>304</v>
      </c>
      <c r="AV22" s="11">
        <v>305</v>
      </c>
      <c r="AW22" s="11">
        <v>306</v>
      </c>
      <c r="AX22" s="11">
        <v>307</v>
      </c>
      <c r="AY22" s="11">
        <v>308</v>
      </c>
      <c r="AZ22" s="11">
        <v>309</v>
      </c>
      <c r="BA22" s="11">
        <v>310</v>
      </c>
      <c r="BB22" s="11">
        <v>333</v>
      </c>
      <c r="BC22" s="13" t="s">
        <v>88</v>
      </c>
      <c r="BD22" s="19"/>
    </row>
    <row r="23" spans="1:56" ht="15.75" customHeight="1" x14ac:dyDescent="0.15">
      <c r="A23" s="4">
        <v>2</v>
      </c>
      <c r="B23" s="5" t="str">
        <f>LOOKUP($D23,Site_Meta!$C$2:$C$43,Site_Meta!A$2:A$43)</f>
        <v>Esperanza 10m</v>
      </c>
      <c r="C23" s="5" t="str">
        <f>LOOKUP($D23,Site_Meta!$C$2:$C$43,Site_Meta!B$2:B$43)</f>
        <v>Isla Vieques</v>
      </c>
      <c r="D23" s="5" t="s">
        <v>101</v>
      </c>
      <c r="E23" s="5" t="str">
        <f>LOOKUP($D23,Site_Meta!$C$2:$C$43,Site_Meta!D$2:D$43)</f>
        <v>Vieques/Culebra</v>
      </c>
      <c r="F23" s="5" t="str">
        <f>LOOKUP($D23,Site_Meta!$C$2:$C$43,Site_Meta!E$2:E$43)</f>
        <v>E</v>
      </c>
      <c r="G23" s="5">
        <f>LOOKUP($D23,Site_Meta!$C$2:$C$43,Site_Meta!F$2:F$43)</f>
        <v>18.080570000000002</v>
      </c>
      <c r="H23" s="5">
        <f>LOOKUP($D23,Site_Meta!$C$2:$C$43,Site_Meta!G$2:G$43)</f>
        <v>-65.487899999999996</v>
      </c>
      <c r="I23" s="5">
        <f>LOOKUP($D23,Site_Meta!$C$2:$C$43,Site_Meta!H$2:H$43)</f>
        <v>10</v>
      </c>
      <c r="J23" s="6">
        <v>10</v>
      </c>
      <c r="K23" s="6">
        <v>14</v>
      </c>
      <c r="L23" s="6">
        <v>2023</v>
      </c>
      <c r="M23" s="7" t="str">
        <f t="shared" si="0"/>
        <v>10/14/2023</v>
      </c>
      <c r="N23" s="6" t="s">
        <v>70</v>
      </c>
      <c r="O23" s="6" t="s">
        <v>74</v>
      </c>
      <c r="P23" s="6" t="s">
        <v>58</v>
      </c>
      <c r="Q23" s="6"/>
      <c r="R23" s="8">
        <v>0.38541666666666669</v>
      </c>
      <c r="S23" s="8">
        <v>0.40555555555555556</v>
      </c>
      <c r="T23" s="6">
        <v>30.3</v>
      </c>
      <c r="U23" s="6">
        <v>0.55000000000000004</v>
      </c>
      <c r="V23" s="6">
        <v>35.32</v>
      </c>
      <c r="W23" s="6">
        <v>0.55000000000000004</v>
      </c>
      <c r="X23" s="6">
        <v>34.200000000000003</v>
      </c>
      <c r="Y23" s="6">
        <v>6.36</v>
      </c>
      <c r="Z23" s="6">
        <v>0.54</v>
      </c>
      <c r="AA23" s="6">
        <v>7.69</v>
      </c>
      <c r="AB23" s="6">
        <v>0.54</v>
      </c>
      <c r="AC23" s="6">
        <v>30.13</v>
      </c>
      <c r="AD23" s="6">
        <v>12.03</v>
      </c>
      <c r="AE23" s="6">
        <v>35.49</v>
      </c>
      <c r="AF23" s="6">
        <v>12.02</v>
      </c>
      <c r="AG23" s="6">
        <v>34.1</v>
      </c>
      <c r="AH23" s="6">
        <v>6.2</v>
      </c>
      <c r="AI23" s="6">
        <v>12.03</v>
      </c>
      <c r="AJ23" s="6">
        <v>6.58</v>
      </c>
      <c r="AK23" s="6">
        <v>12</v>
      </c>
      <c r="AL23" s="6" t="s">
        <v>102</v>
      </c>
      <c r="AM23" s="6" t="s">
        <v>102</v>
      </c>
      <c r="AN23" s="6" t="s">
        <v>102</v>
      </c>
      <c r="AO23" s="6" t="e">
        <f t="shared" si="1"/>
        <v>#DIV/0!</v>
      </c>
      <c r="AP23" s="6">
        <v>0.5</v>
      </c>
      <c r="AQ23" s="6">
        <v>12</v>
      </c>
      <c r="AR23" s="6">
        <v>345</v>
      </c>
      <c r="AS23" s="6">
        <v>346</v>
      </c>
      <c r="AT23" s="11">
        <v>347</v>
      </c>
      <c r="AU23" s="11">
        <v>348</v>
      </c>
      <c r="AV23" s="11">
        <v>349</v>
      </c>
      <c r="AW23" s="11">
        <v>350</v>
      </c>
      <c r="AX23" s="11">
        <v>351</v>
      </c>
      <c r="AY23" s="11">
        <v>352</v>
      </c>
      <c r="AZ23" s="11">
        <v>353</v>
      </c>
      <c r="BA23" s="11">
        <v>354</v>
      </c>
      <c r="BB23" s="11">
        <v>509</v>
      </c>
      <c r="BC23" s="13" t="s">
        <v>61</v>
      </c>
      <c r="BD23" s="19"/>
    </row>
    <row r="24" spans="1:56" ht="15.75" customHeight="1" x14ac:dyDescent="0.15">
      <c r="A24" s="4">
        <v>2</v>
      </c>
      <c r="B24" s="5" t="str">
        <f>LOOKUP($D24,Site_Meta!$C$2:$C$43,Site_Meta!A$2:A$43)</f>
        <v>Efras Wall 20m</v>
      </c>
      <c r="C24" s="5" t="str">
        <f>LOOKUP($D24,Site_Meta!$C$2:$C$43,Site_Meta!B$2:B$43)</f>
        <v>La Parguera</v>
      </c>
      <c r="D24" s="5" t="s">
        <v>103</v>
      </c>
      <c r="E24" s="5" t="str">
        <f>LOOKUP($D24,Site_Meta!$C$2:$C$43,Site_Meta!D$2:D$43)</f>
        <v>Southwest</v>
      </c>
      <c r="F24" s="5" t="str">
        <f>LOOKUP($D24,Site_Meta!$C$2:$C$43,Site_Meta!E$2:E$43)</f>
        <v>SW</v>
      </c>
      <c r="G24" s="5">
        <f>LOOKUP($D24,Site_Meta!$C$2:$C$43,Site_Meta!F$2:F$43)</f>
        <v>17.897600000000001</v>
      </c>
      <c r="H24" s="5">
        <f>LOOKUP($D24,Site_Meta!$C$2:$C$43,Site_Meta!G$2:G$43)</f>
        <v>-66.959900000000005</v>
      </c>
      <c r="I24" s="5">
        <f>LOOKUP($D24,Site_Meta!$C$2:$C$43,Site_Meta!H$2:H$43)</f>
        <v>20</v>
      </c>
      <c r="J24" s="6">
        <v>9</v>
      </c>
      <c r="K24" s="6">
        <v>19</v>
      </c>
      <c r="L24" s="6">
        <v>2023</v>
      </c>
      <c r="M24" s="7" t="str">
        <f t="shared" si="0"/>
        <v>9/19/2023</v>
      </c>
      <c r="N24" s="6" t="s">
        <v>56</v>
      </c>
      <c r="O24" s="6" t="s">
        <v>63</v>
      </c>
      <c r="P24" s="6" t="s">
        <v>57</v>
      </c>
      <c r="Q24" s="6" t="s">
        <v>58</v>
      </c>
      <c r="R24" s="8">
        <v>0.33333333333333331</v>
      </c>
      <c r="S24" s="8">
        <v>0.36041666666666666</v>
      </c>
      <c r="T24" s="20">
        <v>30.05</v>
      </c>
      <c r="U24" s="20">
        <v>0.6</v>
      </c>
      <c r="V24" s="20">
        <v>34.869999999999997</v>
      </c>
      <c r="W24" s="20">
        <v>0.61</v>
      </c>
      <c r="X24" s="20">
        <v>33.6</v>
      </c>
      <c r="Y24" s="20">
        <v>6.35</v>
      </c>
      <c r="Z24" s="20">
        <v>0.62</v>
      </c>
      <c r="AA24" s="20">
        <v>7.7</v>
      </c>
      <c r="AB24" s="20">
        <v>0.61</v>
      </c>
      <c r="AC24" s="20">
        <v>30.16</v>
      </c>
      <c r="AD24" s="20">
        <v>17.28</v>
      </c>
      <c r="AE24" s="20">
        <v>34.76</v>
      </c>
      <c r="AF24" s="20">
        <v>17.399999999999999</v>
      </c>
      <c r="AG24" s="20">
        <v>34.1</v>
      </c>
      <c r="AH24" s="20">
        <v>5.73</v>
      </c>
      <c r="AI24" s="20">
        <v>17.510000000000002</v>
      </c>
      <c r="AJ24" s="20">
        <v>8.06</v>
      </c>
      <c r="AK24" s="20">
        <v>17.5</v>
      </c>
      <c r="AL24" s="20">
        <v>10.25</v>
      </c>
      <c r="AM24" s="20">
        <v>10</v>
      </c>
      <c r="AN24" s="20">
        <v>10.5</v>
      </c>
      <c r="AO24" s="20">
        <f t="shared" si="1"/>
        <v>10.25</v>
      </c>
      <c r="AP24" s="6">
        <v>0.5</v>
      </c>
      <c r="AQ24" s="6">
        <v>17.5</v>
      </c>
      <c r="AR24" s="6">
        <v>182</v>
      </c>
      <c r="AS24" s="6">
        <v>183</v>
      </c>
      <c r="AT24" s="11">
        <v>113</v>
      </c>
      <c r="AU24" s="11">
        <v>114</v>
      </c>
      <c r="AV24" s="11">
        <v>55</v>
      </c>
      <c r="AW24" s="11">
        <v>57</v>
      </c>
      <c r="AX24" s="11">
        <v>58</v>
      </c>
      <c r="AY24" s="11">
        <v>55</v>
      </c>
      <c r="AZ24" s="11">
        <v>72</v>
      </c>
      <c r="BA24" s="11">
        <v>78</v>
      </c>
      <c r="BB24" s="11">
        <v>48</v>
      </c>
      <c r="BC24" s="13" t="s">
        <v>61</v>
      </c>
      <c r="BD24" s="19"/>
    </row>
    <row r="25" spans="1:56" ht="15.75" customHeight="1" x14ac:dyDescent="0.15">
      <c r="A25" s="4">
        <v>2</v>
      </c>
      <c r="B25" s="5" t="str">
        <f>LOOKUP($D25,Site_Meta!$C$2:$C$43,Site_Meta!A$2:A$43)</f>
        <v>Gallardo 5m</v>
      </c>
      <c r="C25" s="5" t="str">
        <f>LOOKUP($D25,Site_Meta!$C$2:$C$43,Site_Meta!B$2:B$43)</f>
        <v>Cabo Rojo</v>
      </c>
      <c r="D25" s="5" t="s">
        <v>104</v>
      </c>
      <c r="E25" s="5" t="str">
        <f>LOOKUP($D25,Site_Meta!$C$2:$C$43,Site_Meta!D$2:D$43)</f>
        <v>West</v>
      </c>
      <c r="F25" s="5" t="str">
        <f>LOOKUP($D25,Site_Meta!$C$2:$C$43,Site_Meta!E$2:E$43)</f>
        <v>W</v>
      </c>
      <c r="G25" s="5">
        <f>LOOKUP($D25,Site_Meta!$C$2:$C$43,Site_Meta!F$2:F$43)</f>
        <v>18.0017</v>
      </c>
      <c r="H25" s="5">
        <f>LOOKUP($D25,Site_Meta!$C$2:$C$43,Site_Meta!G$2:G$43)</f>
        <v>-67.329899999999995</v>
      </c>
      <c r="I25" s="5">
        <f>LOOKUP($D25,Site_Meta!$C$2:$C$43,Site_Meta!H$2:H$43)</f>
        <v>5</v>
      </c>
      <c r="J25" s="6">
        <v>9</v>
      </c>
      <c r="K25" s="6">
        <v>20</v>
      </c>
      <c r="L25" s="6">
        <v>2023</v>
      </c>
      <c r="M25" s="7" t="str">
        <f t="shared" si="0"/>
        <v>9/20/2023</v>
      </c>
      <c r="N25" s="6" t="s">
        <v>56</v>
      </c>
      <c r="O25" s="6" t="s">
        <v>63</v>
      </c>
      <c r="P25" s="6" t="s">
        <v>58</v>
      </c>
      <c r="Q25" s="6"/>
      <c r="R25" s="8">
        <v>0.37152777777777779</v>
      </c>
      <c r="S25" s="8">
        <v>0.3888888888888889</v>
      </c>
      <c r="T25" s="6">
        <v>30.51</v>
      </c>
      <c r="U25" s="6">
        <v>0.6</v>
      </c>
      <c r="V25" s="6">
        <v>33.89</v>
      </c>
      <c r="W25" s="6">
        <v>0.61</v>
      </c>
      <c r="X25" s="6" t="s">
        <v>59</v>
      </c>
      <c r="Y25" s="6">
        <v>5.77</v>
      </c>
      <c r="Z25" s="6">
        <v>0.62</v>
      </c>
      <c r="AA25" s="6">
        <v>7.83</v>
      </c>
      <c r="AB25" s="6">
        <v>0.57999999999999996</v>
      </c>
      <c r="AC25" s="6">
        <v>30.58</v>
      </c>
      <c r="AD25" s="6">
        <v>6.6</v>
      </c>
      <c r="AE25" s="6">
        <v>33.94</v>
      </c>
      <c r="AF25" s="6">
        <v>6.55</v>
      </c>
      <c r="AG25" s="6">
        <v>33.6</v>
      </c>
      <c r="AH25" s="6">
        <v>5.75</v>
      </c>
      <c r="AI25" s="6">
        <v>6.58</v>
      </c>
      <c r="AJ25" s="6">
        <v>8.02</v>
      </c>
      <c r="AK25" s="6">
        <v>6.63</v>
      </c>
      <c r="AL25" s="6" t="s">
        <v>105</v>
      </c>
      <c r="AM25" s="6" t="s">
        <v>105</v>
      </c>
      <c r="AN25" s="6" t="s">
        <v>105</v>
      </c>
      <c r="AO25" s="6" t="e">
        <f t="shared" si="1"/>
        <v>#DIV/0!</v>
      </c>
      <c r="AP25" s="6">
        <v>0.5</v>
      </c>
      <c r="AQ25" s="6">
        <v>6.5</v>
      </c>
      <c r="AR25" s="6">
        <v>187</v>
      </c>
      <c r="AS25" s="6">
        <v>186</v>
      </c>
      <c r="AT25" s="11">
        <v>117</v>
      </c>
      <c r="AU25" s="11">
        <v>118</v>
      </c>
      <c r="AV25" s="11">
        <v>57</v>
      </c>
      <c r="AW25" s="11">
        <v>59</v>
      </c>
      <c r="AX25" s="11">
        <v>60</v>
      </c>
      <c r="AY25" s="11">
        <v>57</v>
      </c>
      <c r="AZ25" s="11">
        <v>74</v>
      </c>
      <c r="BA25" s="11">
        <v>80</v>
      </c>
      <c r="BB25" s="11">
        <v>50</v>
      </c>
      <c r="BC25" s="13" t="s">
        <v>106</v>
      </c>
      <c r="BD25" s="10"/>
    </row>
    <row r="26" spans="1:56" ht="15.75" customHeight="1" x14ac:dyDescent="0.15">
      <c r="A26" s="4">
        <v>2</v>
      </c>
      <c r="B26" s="5" t="str">
        <f>LOOKUP($D26,Site_Meta!$C$2:$C$43,Site_Meta!A$2:A$43)</f>
        <v>Guanajibo 20m</v>
      </c>
      <c r="C26" s="5" t="str">
        <f>LOOKUP($D26,Site_Meta!$C$2:$C$43,Site_Meta!B$2:B$43)</f>
        <v>Mayaguez</v>
      </c>
      <c r="D26" s="5" t="s">
        <v>107</v>
      </c>
      <c r="E26" s="5" t="str">
        <f>LOOKUP($D26,Site_Meta!$C$2:$C$43,Site_Meta!D$2:D$43)</f>
        <v>West</v>
      </c>
      <c r="F26" s="5" t="str">
        <f>LOOKUP($D26,Site_Meta!$C$2:$C$43,Site_Meta!E$2:E$43)</f>
        <v>W</v>
      </c>
      <c r="G26" s="5">
        <f>LOOKUP($D26,Site_Meta!$C$2:$C$43,Site_Meta!F$2:F$43)</f>
        <v>18.17202</v>
      </c>
      <c r="H26" s="5">
        <f>LOOKUP($D26,Site_Meta!$C$2:$C$43,Site_Meta!G$2:G$43)</f>
        <v>-67.253</v>
      </c>
      <c r="I26" s="5">
        <f>LOOKUP($D26,Site_Meta!$C$2:$C$43,Site_Meta!H$2:H$43)</f>
        <v>20</v>
      </c>
      <c r="J26" s="6">
        <v>10</v>
      </c>
      <c r="K26" s="6">
        <v>25</v>
      </c>
      <c r="L26" s="6">
        <v>2023</v>
      </c>
      <c r="M26" s="7" t="str">
        <f t="shared" si="0"/>
        <v>10/25/2023</v>
      </c>
      <c r="N26" s="6" t="s">
        <v>108</v>
      </c>
      <c r="O26" s="6" t="s">
        <v>63</v>
      </c>
      <c r="P26" s="6" t="s">
        <v>58</v>
      </c>
      <c r="Q26" s="6"/>
      <c r="R26" s="8">
        <v>0.37916666666666665</v>
      </c>
      <c r="S26" s="8">
        <v>0.39444444444444443</v>
      </c>
      <c r="T26" s="6">
        <v>30.34</v>
      </c>
      <c r="U26" s="6">
        <v>0.34</v>
      </c>
      <c r="V26" s="6">
        <v>35.44</v>
      </c>
      <c r="W26" s="6">
        <v>0.34</v>
      </c>
      <c r="X26" s="14">
        <v>34</v>
      </c>
      <c r="Y26" s="6">
        <v>6.12</v>
      </c>
      <c r="Z26" s="6">
        <v>0.34</v>
      </c>
      <c r="AA26" s="6">
        <v>8.1999999999999993</v>
      </c>
      <c r="AB26" s="6">
        <v>0.34</v>
      </c>
      <c r="AC26" s="6">
        <v>30.02</v>
      </c>
      <c r="AD26" s="6">
        <v>11.18</v>
      </c>
      <c r="AE26" s="6">
        <v>35.770000000000003</v>
      </c>
      <c r="AF26" s="6">
        <v>11.18</v>
      </c>
      <c r="AG26" s="6">
        <v>34.6</v>
      </c>
      <c r="AH26" s="6">
        <v>6.09</v>
      </c>
      <c r="AI26" s="6">
        <v>11.18</v>
      </c>
      <c r="AJ26" s="6">
        <v>8.2100000000000009</v>
      </c>
      <c r="AK26" s="6">
        <v>11.18</v>
      </c>
      <c r="AL26" s="6" t="s">
        <v>109</v>
      </c>
      <c r="AM26" s="6" t="s">
        <v>109</v>
      </c>
      <c r="AN26" s="6" t="s">
        <v>109</v>
      </c>
      <c r="AO26" s="6" t="e">
        <f t="shared" si="1"/>
        <v>#DIV/0!</v>
      </c>
      <c r="AP26" s="6">
        <v>0.5</v>
      </c>
      <c r="AQ26" s="6">
        <v>18</v>
      </c>
      <c r="AR26" s="6">
        <v>587</v>
      </c>
      <c r="AS26" s="6">
        <v>588</v>
      </c>
      <c r="AT26" s="11">
        <v>589</v>
      </c>
      <c r="AU26" s="11">
        <v>590</v>
      </c>
      <c r="AV26" s="11">
        <v>591</v>
      </c>
      <c r="AW26" s="11">
        <v>592</v>
      </c>
      <c r="AX26" s="11">
        <v>593</v>
      </c>
      <c r="AY26" s="11">
        <v>594</v>
      </c>
      <c r="AZ26" s="11">
        <v>595</v>
      </c>
      <c r="BA26" s="11">
        <v>596</v>
      </c>
      <c r="BB26" s="11">
        <v>586</v>
      </c>
      <c r="BC26" s="21" t="s">
        <v>110</v>
      </c>
      <c r="BD26" s="10"/>
    </row>
    <row r="27" spans="1:56" ht="15.75" customHeight="1" x14ac:dyDescent="0.15">
      <c r="A27" s="4">
        <v>2</v>
      </c>
      <c r="B27" s="5" t="str">
        <f>LOOKUP($D27,Site_Meta!$C$2:$C$43,Site_Meta!A$2:A$43)</f>
        <v>Canal Luis Pena 5m</v>
      </c>
      <c r="C27" s="5" t="str">
        <f>LOOKUP($D27,Site_Meta!$C$2:$C$43,Site_Meta!B$2:B$43)</f>
        <v>Isla Culebra</v>
      </c>
      <c r="D27" s="5" t="s">
        <v>111</v>
      </c>
      <c r="E27" s="5" t="str">
        <f>LOOKUP($D27,Site_Meta!$C$2:$C$43,Site_Meta!D$2:D$43)</f>
        <v>Vieques/Culebra</v>
      </c>
      <c r="F27" s="5" t="str">
        <f>LOOKUP($D27,Site_Meta!$C$2:$C$43,Site_Meta!E$2:E$43)</f>
        <v>E</v>
      </c>
      <c r="G27" s="5">
        <f>LOOKUP($D27,Site_Meta!$C$2:$C$43,Site_Meta!F$2:F$43)</f>
        <v>18.304929999999999</v>
      </c>
      <c r="H27" s="5">
        <f>LOOKUP($D27,Site_Meta!$C$2:$C$43,Site_Meta!G$2:G$43)</f>
        <v>-65.327699999999993</v>
      </c>
      <c r="I27" s="5">
        <f>LOOKUP($D27,Site_Meta!$C$2:$C$43,Site_Meta!H$2:H$43)</f>
        <v>5</v>
      </c>
      <c r="J27" s="6">
        <v>10</v>
      </c>
      <c r="K27" s="6">
        <v>13</v>
      </c>
      <c r="L27" s="6">
        <v>2023</v>
      </c>
      <c r="M27" s="7" t="str">
        <f t="shared" si="0"/>
        <v>10/13/2023</v>
      </c>
      <c r="N27" s="6" t="s">
        <v>70</v>
      </c>
      <c r="O27" s="6" t="s">
        <v>63</v>
      </c>
      <c r="P27" s="6" t="s">
        <v>58</v>
      </c>
      <c r="Q27" s="6"/>
      <c r="R27" s="8">
        <v>0.35625000000000001</v>
      </c>
      <c r="S27" s="8">
        <v>0.37083333333333335</v>
      </c>
      <c r="T27" s="6">
        <v>29.67</v>
      </c>
      <c r="U27" s="6">
        <v>0.51</v>
      </c>
      <c r="V27" s="6">
        <v>35.880000000000003</v>
      </c>
      <c r="W27" s="6">
        <v>0.51</v>
      </c>
      <c r="X27" s="14">
        <v>34</v>
      </c>
      <c r="Y27" s="6">
        <v>5.84</v>
      </c>
      <c r="Z27" s="6">
        <v>0.52</v>
      </c>
      <c r="AA27" s="6">
        <v>7.73</v>
      </c>
      <c r="AB27" s="6">
        <v>0.52</v>
      </c>
      <c r="AC27" s="6">
        <v>29.81</v>
      </c>
      <c r="AD27" s="6">
        <v>4.58</v>
      </c>
      <c r="AE27" s="6">
        <v>35.82</v>
      </c>
      <c r="AF27" s="6">
        <v>4.53</v>
      </c>
      <c r="AG27" s="6">
        <v>34.200000000000003</v>
      </c>
      <c r="AH27" s="6">
        <v>5.82</v>
      </c>
      <c r="AI27" s="6">
        <v>4.53</v>
      </c>
      <c r="AJ27" s="6">
        <v>8.0299999999999994</v>
      </c>
      <c r="AK27" s="6">
        <v>4.53</v>
      </c>
      <c r="AL27" s="6" t="s">
        <v>112</v>
      </c>
      <c r="AM27" s="6" t="s">
        <v>112</v>
      </c>
      <c r="AN27" s="6" t="s">
        <v>112</v>
      </c>
      <c r="AO27" s="6" t="e">
        <f t="shared" si="1"/>
        <v>#DIV/0!</v>
      </c>
      <c r="AP27" s="6">
        <v>0.5</v>
      </c>
      <c r="AQ27" s="6">
        <v>5</v>
      </c>
      <c r="AR27" s="6">
        <v>378</v>
      </c>
      <c r="AS27" s="6">
        <v>379</v>
      </c>
      <c r="AT27" s="11">
        <v>380</v>
      </c>
      <c r="AU27" s="11">
        <v>381</v>
      </c>
      <c r="AV27" s="11">
        <v>382</v>
      </c>
      <c r="AW27" s="11">
        <v>383</v>
      </c>
      <c r="AX27" s="11">
        <v>384</v>
      </c>
      <c r="AY27" s="11">
        <v>385</v>
      </c>
      <c r="AZ27" s="11">
        <v>387</v>
      </c>
      <c r="BA27" s="11">
        <v>386</v>
      </c>
      <c r="BB27" s="11">
        <v>476</v>
      </c>
      <c r="BC27" s="13" t="s">
        <v>61</v>
      </c>
      <c r="BD27" s="10"/>
    </row>
    <row r="28" spans="1:56" ht="15.75" customHeight="1" x14ac:dyDescent="0.15">
      <c r="A28" s="4">
        <v>2</v>
      </c>
      <c r="B28" s="6" t="str">
        <f>LOOKUP($D28,Site_Meta!$C$2:$C$43,Site_Meta!A$2:A$43)</f>
        <v>Manchas Exteriores 10m</v>
      </c>
      <c r="C28" s="6" t="str">
        <f>LOOKUP($D28,Site_Meta!$C$2:$C$43,Site_Meta!B$2:B$43)</f>
        <v>Mayaguez</v>
      </c>
      <c r="D28" s="6" t="s">
        <v>113</v>
      </c>
      <c r="E28" s="6" t="str">
        <f>LOOKUP($D28,Site_Meta!$C$2:$C$43,Site_Meta!D$2:D$43)</f>
        <v>West</v>
      </c>
      <c r="F28" s="6" t="str">
        <f>LOOKUP($D28,Site_Meta!$C$2:$C$43,Site_Meta!E$2:E$43)</f>
        <v>W</v>
      </c>
      <c r="G28" s="6">
        <f>LOOKUP($D28,Site_Meta!$C$2:$C$43,Site_Meta!F$2:F$43)</f>
        <v>18.233529999999998</v>
      </c>
      <c r="H28" s="6">
        <f>LOOKUP($D28,Site_Meta!$C$2:$C$43,Site_Meta!G$2:G$43)</f>
        <v>-67.200599999999994</v>
      </c>
      <c r="I28" s="6">
        <f>LOOKUP($D28,Site_Meta!$C$2:$C$43,Site_Meta!H$2:H$43)</f>
        <v>10</v>
      </c>
      <c r="J28" s="6">
        <v>10</v>
      </c>
      <c r="K28" s="6">
        <v>23</v>
      </c>
      <c r="L28" s="6">
        <v>2023</v>
      </c>
      <c r="M28" s="6" t="str">
        <f t="shared" si="0"/>
        <v>10/23/2023</v>
      </c>
      <c r="N28" s="6" t="s">
        <v>56</v>
      </c>
      <c r="O28" s="6" t="s">
        <v>63</v>
      </c>
      <c r="P28" s="6" t="s">
        <v>57</v>
      </c>
      <c r="Q28" s="6"/>
      <c r="R28" s="8">
        <v>0.57638888888888884</v>
      </c>
      <c r="S28" s="8">
        <v>0.6020833333333333</v>
      </c>
      <c r="T28" s="6">
        <v>30.71</v>
      </c>
      <c r="U28" s="6">
        <v>0.51</v>
      </c>
      <c r="V28" s="6">
        <v>35.33</v>
      </c>
      <c r="W28" s="6">
        <v>0.51</v>
      </c>
      <c r="X28" s="6">
        <v>33.9</v>
      </c>
      <c r="Y28" s="6">
        <v>6.21</v>
      </c>
      <c r="Z28" s="6">
        <v>0.51</v>
      </c>
      <c r="AA28" s="6">
        <v>8.1199999999999992</v>
      </c>
      <c r="AB28" s="6">
        <v>0.51</v>
      </c>
      <c r="AC28" s="6">
        <v>30.66</v>
      </c>
      <c r="AD28" s="6">
        <v>10.96</v>
      </c>
      <c r="AE28" s="6">
        <v>35.43</v>
      </c>
      <c r="AF28" s="6">
        <v>10.96</v>
      </c>
      <c r="AG28" s="6">
        <v>33.9</v>
      </c>
      <c r="AH28" s="6">
        <v>6.22</v>
      </c>
      <c r="AI28" s="6">
        <v>10.96</v>
      </c>
      <c r="AJ28" s="6">
        <v>8.19</v>
      </c>
      <c r="AK28" s="6">
        <v>10.96</v>
      </c>
      <c r="AL28" s="6" t="s">
        <v>82</v>
      </c>
      <c r="AM28" s="6" t="s">
        <v>82</v>
      </c>
      <c r="AN28" s="6" t="s">
        <v>82</v>
      </c>
      <c r="AO28" s="6" t="e">
        <f t="shared" si="1"/>
        <v>#DIV/0!</v>
      </c>
      <c r="AP28" s="6">
        <v>0.5</v>
      </c>
      <c r="AQ28" s="6">
        <v>10</v>
      </c>
      <c r="AR28" s="6">
        <v>499</v>
      </c>
      <c r="AS28" s="6">
        <v>500</v>
      </c>
      <c r="AT28" s="11">
        <v>501</v>
      </c>
      <c r="AU28" s="11">
        <v>502</v>
      </c>
      <c r="AV28" s="11">
        <v>503</v>
      </c>
      <c r="AW28" s="11">
        <v>504</v>
      </c>
      <c r="AX28" s="11">
        <v>505</v>
      </c>
      <c r="AY28" s="11">
        <v>506</v>
      </c>
      <c r="AZ28" s="11">
        <v>507</v>
      </c>
      <c r="BA28" s="11">
        <v>508</v>
      </c>
      <c r="BB28" s="11">
        <v>355</v>
      </c>
      <c r="BC28" s="21" t="s">
        <v>110</v>
      </c>
      <c r="BD28" s="10"/>
    </row>
    <row r="29" spans="1:56" ht="15.75" customHeight="1" x14ac:dyDescent="0.15">
      <c r="A29" s="4">
        <v>2</v>
      </c>
      <c r="B29" s="6" t="str">
        <f>LOOKUP($D29,Site_Meta!$C$2:$C$43,Site_Meta!A$2:A$43)</f>
        <v>Manchas Exteriores 20m</v>
      </c>
      <c r="C29" s="6" t="str">
        <f>LOOKUP($D29,Site_Meta!$C$2:$C$43,Site_Meta!B$2:B$43)</f>
        <v>Mayaguez</v>
      </c>
      <c r="D29" s="6" t="s">
        <v>114</v>
      </c>
      <c r="E29" s="6" t="str">
        <f>LOOKUP($D29,Site_Meta!$C$2:$C$43,Site_Meta!D$2:D$43)</f>
        <v>West</v>
      </c>
      <c r="F29" s="6" t="str">
        <f>LOOKUP($D29,Site_Meta!$C$2:$C$43,Site_Meta!E$2:E$43)</f>
        <v>W</v>
      </c>
      <c r="G29" s="6">
        <f>LOOKUP($D29,Site_Meta!$C$2:$C$43,Site_Meta!F$2:F$43)</f>
        <v>18.233499999999999</v>
      </c>
      <c r="H29" s="6">
        <f>LOOKUP($D29,Site_Meta!$C$2:$C$43,Site_Meta!G$2:G$43)</f>
        <v>-67.200900000000004</v>
      </c>
      <c r="I29" s="6">
        <f>LOOKUP($D29,Site_Meta!$C$2:$C$43,Site_Meta!H$2:H$43)</f>
        <v>20</v>
      </c>
      <c r="J29" s="6">
        <v>10</v>
      </c>
      <c r="K29" s="6">
        <v>24</v>
      </c>
      <c r="L29" s="6">
        <v>2023</v>
      </c>
      <c r="M29" s="6" t="str">
        <f t="shared" si="0"/>
        <v>10/24/2023</v>
      </c>
      <c r="N29" s="6" t="s">
        <v>56</v>
      </c>
      <c r="O29" s="6" t="s">
        <v>63</v>
      </c>
      <c r="P29" s="6" t="s">
        <v>115</v>
      </c>
      <c r="Q29" s="6" t="s">
        <v>58</v>
      </c>
      <c r="R29" s="8">
        <v>0.4826388888888889</v>
      </c>
      <c r="S29" s="8">
        <v>0.50138888888888888</v>
      </c>
      <c r="T29" s="6">
        <v>30.75</v>
      </c>
      <c r="U29" s="6">
        <v>0.74</v>
      </c>
      <c r="V29" s="6">
        <v>35.28</v>
      </c>
      <c r="W29" s="6">
        <v>0.74</v>
      </c>
      <c r="X29" s="6" t="s">
        <v>59</v>
      </c>
      <c r="Y29" s="6">
        <v>6.22</v>
      </c>
      <c r="Z29" s="6">
        <v>0.74</v>
      </c>
      <c r="AA29" s="6">
        <v>8.19</v>
      </c>
      <c r="AB29" s="6">
        <v>0.74</v>
      </c>
      <c r="AC29" s="6">
        <v>29.77</v>
      </c>
      <c r="AD29" s="6">
        <v>18.66</v>
      </c>
      <c r="AE29" s="6">
        <v>35.83</v>
      </c>
      <c r="AF29" s="6">
        <v>18.66</v>
      </c>
      <c r="AG29" s="6">
        <v>34.6</v>
      </c>
      <c r="AH29" s="6">
        <v>6.07</v>
      </c>
      <c r="AI29" s="6">
        <v>18.66</v>
      </c>
      <c r="AJ29" s="6">
        <v>8.1999999999999993</v>
      </c>
      <c r="AK29" s="6">
        <v>18.66</v>
      </c>
      <c r="AL29" s="6">
        <v>11.25</v>
      </c>
      <c r="AM29" s="6">
        <v>11.25</v>
      </c>
      <c r="AN29" s="6">
        <v>10.75</v>
      </c>
      <c r="AO29" s="6">
        <f t="shared" si="1"/>
        <v>11.083333333333334</v>
      </c>
      <c r="AP29" s="6">
        <v>0.5</v>
      </c>
      <c r="AQ29" s="6">
        <v>18</v>
      </c>
      <c r="AR29" s="6">
        <v>576</v>
      </c>
      <c r="AS29" s="6">
        <v>577</v>
      </c>
      <c r="AT29" s="6">
        <v>578</v>
      </c>
      <c r="AU29" s="6">
        <v>579</v>
      </c>
      <c r="AV29" s="6">
        <v>580</v>
      </c>
      <c r="AW29" s="6">
        <v>581</v>
      </c>
      <c r="AX29" s="6">
        <v>582</v>
      </c>
      <c r="AY29" s="6">
        <v>583</v>
      </c>
      <c r="AZ29" s="6">
        <v>584</v>
      </c>
      <c r="BA29" s="6">
        <v>585</v>
      </c>
      <c r="BB29" s="6">
        <v>388</v>
      </c>
      <c r="BC29" s="12" t="s">
        <v>65</v>
      </c>
      <c r="BD29" s="10"/>
    </row>
    <row r="30" spans="1:56" ht="15.75" customHeight="1" x14ac:dyDescent="0.15">
      <c r="A30" s="4">
        <v>2</v>
      </c>
      <c r="B30" s="5" t="str">
        <f>LOOKUP($D30,Site_Meta!$C$2:$C$43,Site_Meta!A$2:A$43)</f>
        <v>Maria Langa 5m</v>
      </c>
      <c r="C30" s="5" t="str">
        <f>LOOKUP($D30,Site_Meta!$C$2:$C$43,Site_Meta!B$2:B$43)</f>
        <v>Guayanilla</v>
      </c>
      <c r="D30" s="5" t="s">
        <v>116</v>
      </c>
      <c r="E30" s="5" t="str">
        <f>LOOKUP($D30,Site_Meta!$C$2:$C$43,Site_Meta!D$2:D$43)</f>
        <v>South</v>
      </c>
      <c r="F30" s="5" t="str">
        <f>LOOKUP($D30,Site_Meta!$C$2:$C$43,Site_Meta!E$2:E$43)</f>
        <v>S</v>
      </c>
      <c r="G30" s="5">
        <f>LOOKUP($D30,Site_Meta!$C$2:$C$43,Site_Meta!F$2:F$43)</f>
        <v>17.964880000000001</v>
      </c>
      <c r="H30" s="5">
        <f>LOOKUP($D30,Site_Meta!$C$2:$C$43,Site_Meta!G$2:G$43)</f>
        <v>-66.756500000000003</v>
      </c>
      <c r="I30" s="5">
        <f>LOOKUP($D30,Site_Meta!$C$2:$C$43,Site_Meta!H$2:H$43)</f>
        <v>5</v>
      </c>
      <c r="J30" s="6">
        <v>10</v>
      </c>
      <c r="K30" s="6">
        <v>4</v>
      </c>
      <c r="L30" s="6">
        <v>2023</v>
      </c>
      <c r="M30" s="7" t="str">
        <f t="shared" si="0"/>
        <v>10/4/2023</v>
      </c>
      <c r="N30" s="6" t="s">
        <v>56</v>
      </c>
      <c r="O30" s="6" t="s">
        <v>57</v>
      </c>
      <c r="P30" s="6" t="s">
        <v>58</v>
      </c>
      <c r="Q30" s="6"/>
      <c r="R30" s="8">
        <v>0.36736111111111114</v>
      </c>
      <c r="S30" s="8">
        <v>0.3840277777777778</v>
      </c>
      <c r="T30" s="6">
        <v>31.17</v>
      </c>
      <c r="U30" s="6">
        <v>0.53</v>
      </c>
      <c r="V30" s="6">
        <v>36.24</v>
      </c>
      <c r="W30" s="6">
        <v>0.55000000000000004</v>
      </c>
      <c r="X30" s="6">
        <v>34.200000000000003</v>
      </c>
      <c r="Y30" s="6">
        <v>5.1100000000000003</v>
      </c>
      <c r="Z30" s="6">
        <v>0.54</v>
      </c>
      <c r="AA30" s="6">
        <v>7.9</v>
      </c>
      <c r="AB30" s="6">
        <v>0.54</v>
      </c>
      <c r="AC30" s="6">
        <v>30.96</v>
      </c>
      <c r="AD30" s="6">
        <v>4.0999999999999996</v>
      </c>
      <c r="AE30" s="6">
        <v>36.479999999999997</v>
      </c>
      <c r="AF30" s="6">
        <v>4.07</v>
      </c>
      <c r="AG30" s="14">
        <v>34</v>
      </c>
      <c r="AH30" s="6">
        <v>5.05</v>
      </c>
      <c r="AI30" s="6">
        <v>4.0199999999999996</v>
      </c>
      <c r="AJ30" s="6">
        <v>8.02</v>
      </c>
      <c r="AK30" s="6">
        <v>4.0199999999999996</v>
      </c>
      <c r="AL30" s="6" t="s">
        <v>117</v>
      </c>
      <c r="AM30" s="6" t="s">
        <v>117</v>
      </c>
      <c r="AN30" s="6" t="s">
        <v>117</v>
      </c>
      <c r="AO30" s="6" t="e">
        <f t="shared" si="1"/>
        <v>#DIV/0!</v>
      </c>
      <c r="AP30" s="6">
        <v>0.5</v>
      </c>
      <c r="AQ30" s="6">
        <v>4</v>
      </c>
      <c r="AR30" s="6">
        <v>257</v>
      </c>
      <c r="AS30" s="6">
        <v>258</v>
      </c>
      <c r="AT30" s="11">
        <v>259</v>
      </c>
      <c r="AU30" s="11">
        <v>260</v>
      </c>
      <c r="AV30" s="11">
        <v>261</v>
      </c>
      <c r="AW30" s="11">
        <v>262</v>
      </c>
      <c r="AX30" s="11">
        <v>263</v>
      </c>
      <c r="AY30" s="11">
        <v>264</v>
      </c>
      <c r="AZ30" s="11">
        <v>265</v>
      </c>
      <c r="BA30" s="11">
        <v>266</v>
      </c>
      <c r="BB30" s="11">
        <v>234</v>
      </c>
      <c r="BC30" s="13" t="s">
        <v>61</v>
      </c>
      <c r="BD30" s="10"/>
    </row>
    <row r="31" spans="1:56" ht="15.75" customHeight="1" x14ac:dyDescent="0.15">
      <c r="A31" s="4">
        <v>2</v>
      </c>
      <c r="B31" s="5" t="str">
        <f>LOOKUP($D31,Site_Meta!$C$2:$C$43,Site_Meta!A$2:A$43)</f>
        <v>Maria Langa 5m</v>
      </c>
      <c r="C31" s="5" t="str">
        <f>LOOKUP($D31,Site_Meta!$C$2:$C$43,Site_Meta!B$2:B$43)</f>
        <v>Guayanilla</v>
      </c>
      <c r="D31" s="5" t="s">
        <v>118</v>
      </c>
      <c r="E31" s="5" t="str">
        <f>LOOKUP($D31,Site_Meta!$C$2:$C$43,Site_Meta!D$2:D$43)</f>
        <v>South</v>
      </c>
      <c r="F31" s="5" t="str">
        <f>LOOKUP($D31,Site_Meta!$C$2:$C$43,Site_Meta!E$2:E$43)</f>
        <v>S</v>
      </c>
      <c r="G31" s="5">
        <f>LOOKUP($D31,Site_Meta!$C$2:$C$43,Site_Meta!F$2:F$43)</f>
        <v>17.964880000000001</v>
      </c>
      <c r="H31" s="5">
        <f>LOOKUP($D31,Site_Meta!$C$2:$C$43,Site_Meta!G$2:G$43)</f>
        <v>-66.756500000000003</v>
      </c>
      <c r="I31" s="5">
        <f>LOOKUP($D31,Site_Meta!$C$2:$C$43,Site_Meta!H$2:H$43)</f>
        <v>5</v>
      </c>
      <c r="J31" s="6">
        <v>10</v>
      </c>
      <c r="K31" s="6">
        <v>4</v>
      </c>
      <c r="L31" s="6">
        <v>2023</v>
      </c>
      <c r="M31" s="7" t="str">
        <f t="shared" si="0"/>
        <v>10/4/2023</v>
      </c>
      <c r="N31" s="6" t="s">
        <v>56</v>
      </c>
      <c r="O31" s="6" t="s">
        <v>57</v>
      </c>
      <c r="P31" s="6" t="s">
        <v>58</v>
      </c>
      <c r="Q31" s="6"/>
      <c r="R31" s="8">
        <v>0.3840277777777778</v>
      </c>
      <c r="S31" s="8">
        <v>0.3972222222222222</v>
      </c>
      <c r="T31" s="6">
        <v>31.04</v>
      </c>
      <c r="U31" s="6">
        <v>0.57999999999999996</v>
      </c>
      <c r="V31" s="6">
        <v>36.299999999999997</v>
      </c>
      <c r="W31" s="6">
        <v>0.6</v>
      </c>
      <c r="X31" s="6">
        <v>33.799999999999997</v>
      </c>
      <c r="Y31" s="6">
        <v>4.37</v>
      </c>
      <c r="Z31" s="6">
        <v>0.6</v>
      </c>
      <c r="AA31" s="6">
        <v>7.83</v>
      </c>
      <c r="AB31" s="6">
        <v>0.6</v>
      </c>
      <c r="AC31" s="6">
        <v>31.02</v>
      </c>
      <c r="AD31" s="6">
        <v>2.94</v>
      </c>
      <c r="AE31" s="6">
        <v>36.25</v>
      </c>
      <c r="AF31" s="6">
        <v>3.18</v>
      </c>
      <c r="AG31" s="6">
        <v>33.4</v>
      </c>
      <c r="AH31" s="6">
        <v>5.01</v>
      </c>
      <c r="AI31" s="6">
        <v>3.14</v>
      </c>
      <c r="AJ31" s="6">
        <v>7.99</v>
      </c>
      <c r="AK31" s="6">
        <v>3.02</v>
      </c>
      <c r="AL31" s="6" t="s">
        <v>60</v>
      </c>
      <c r="AM31" s="6" t="s">
        <v>60</v>
      </c>
      <c r="AN31" s="6" t="s">
        <v>60</v>
      </c>
      <c r="AO31" s="6" t="e">
        <f t="shared" si="1"/>
        <v>#DIV/0!</v>
      </c>
      <c r="AP31" s="6">
        <v>0.5</v>
      </c>
      <c r="AQ31" s="6">
        <v>3</v>
      </c>
      <c r="AR31" s="6">
        <v>268</v>
      </c>
      <c r="AS31" s="6">
        <v>269</v>
      </c>
      <c r="AT31" s="11">
        <v>270</v>
      </c>
      <c r="AU31" s="11">
        <v>271</v>
      </c>
      <c r="AV31" s="11">
        <v>272</v>
      </c>
      <c r="AW31" s="11">
        <v>273</v>
      </c>
      <c r="AX31" s="11">
        <v>274</v>
      </c>
      <c r="AY31" s="11">
        <v>275</v>
      </c>
      <c r="AZ31" s="11">
        <v>276</v>
      </c>
      <c r="BA31" s="11">
        <v>277</v>
      </c>
      <c r="BB31" s="11">
        <v>245</v>
      </c>
      <c r="BC31" s="13" t="s">
        <v>61</v>
      </c>
      <c r="BD31" s="10"/>
    </row>
    <row r="32" spans="1:56" ht="15.75" customHeight="1" x14ac:dyDescent="0.15">
      <c r="A32" s="4">
        <v>2</v>
      </c>
      <c r="B32" s="5" t="str">
        <f>LOOKUP($D32,Site_Meta!$C$2:$C$43,Site_Meta!A$2:A$43)</f>
        <v>Maria Langa 10m</v>
      </c>
      <c r="C32" s="5" t="str">
        <f>LOOKUP($D32,Site_Meta!$C$2:$C$43,Site_Meta!B$2:B$43)</f>
        <v>Guayanilla</v>
      </c>
      <c r="D32" s="5" t="s">
        <v>119</v>
      </c>
      <c r="E32" s="5" t="str">
        <f>LOOKUP($D32,Site_Meta!$C$2:$C$43,Site_Meta!D$2:D$43)</f>
        <v>South</v>
      </c>
      <c r="F32" s="5" t="str">
        <f>LOOKUP($D32,Site_Meta!$C$2:$C$43,Site_Meta!E$2:E$43)</f>
        <v>S</v>
      </c>
      <c r="G32" s="5">
        <f>LOOKUP($D32,Site_Meta!$C$2:$C$43,Site_Meta!F$2:F$43)</f>
        <v>17.960930000000001</v>
      </c>
      <c r="H32" s="5">
        <f>LOOKUP($D32,Site_Meta!$C$2:$C$43,Site_Meta!G$2:G$43)</f>
        <v>-66.752899999999997</v>
      </c>
      <c r="I32" s="5">
        <f>LOOKUP($D32,Site_Meta!$C$2:$C$43,Site_Meta!H$2:H$43)</f>
        <v>10</v>
      </c>
      <c r="J32" s="6">
        <v>10</v>
      </c>
      <c r="K32" s="6">
        <v>4</v>
      </c>
      <c r="L32" s="6">
        <v>2023</v>
      </c>
      <c r="M32" s="7" t="str">
        <f t="shared" si="0"/>
        <v>10/4/2023</v>
      </c>
      <c r="N32" s="6" t="s">
        <v>56</v>
      </c>
      <c r="O32" s="6" t="s">
        <v>57</v>
      </c>
      <c r="P32" s="6" t="s">
        <v>58</v>
      </c>
      <c r="Q32" s="6"/>
      <c r="R32" s="8">
        <v>0.34236111111111112</v>
      </c>
      <c r="S32" s="8">
        <v>0.36041666666666666</v>
      </c>
      <c r="T32" s="6">
        <v>30.8</v>
      </c>
      <c r="U32" s="6">
        <v>0.53</v>
      </c>
      <c r="V32" s="6">
        <v>36.49</v>
      </c>
      <c r="W32" s="6">
        <v>0.57999999999999996</v>
      </c>
      <c r="X32" s="6">
        <v>34.299999999999997</v>
      </c>
      <c r="Y32" s="6">
        <v>5.51</v>
      </c>
      <c r="Z32" s="6">
        <v>0.56999999999999995</v>
      </c>
      <c r="AA32" s="6">
        <v>7.92</v>
      </c>
      <c r="AB32" s="6">
        <v>0.56000000000000005</v>
      </c>
      <c r="AC32" s="6">
        <v>30.72</v>
      </c>
      <c r="AD32" s="6">
        <v>8.76</v>
      </c>
      <c r="AE32" s="6">
        <v>36.5</v>
      </c>
      <c r="AF32" s="6">
        <v>8.82</v>
      </c>
      <c r="AG32" s="6">
        <v>34.200000000000003</v>
      </c>
      <c r="AH32" s="6">
        <v>5.41</v>
      </c>
      <c r="AI32" s="6">
        <v>8.86</v>
      </c>
      <c r="AJ32" s="6">
        <v>8.0399999999999991</v>
      </c>
      <c r="AK32" s="6">
        <v>8.92</v>
      </c>
      <c r="AL32" s="6" t="s">
        <v>120</v>
      </c>
      <c r="AM32" s="6" t="s">
        <v>120</v>
      </c>
      <c r="AN32" s="6" t="s">
        <v>120</v>
      </c>
      <c r="AO32" s="6" t="e">
        <f t="shared" si="1"/>
        <v>#DIV/0!</v>
      </c>
      <c r="AP32" s="6">
        <v>0.5</v>
      </c>
      <c r="AQ32" s="6">
        <v>8</v>
      </c>
      <c r="AR32" s="6">
        <v>246</v>
      </c>
      <c r="AS32" s="6">
        <v>247</v>
      </c>
      <c r="AT32" s="6">
        <v>248</v>
      </c>
      <c r="AU32" s="6">
        <v>249</v>
      </c>
      <c r="AV32" s="6">
        <v>250</v>
      </c>
      <c r="AW32" s="6">
        <v>251</v>
      </c>
      <c r="AX32" s="6">
        <v>252</v>
      </c>
      <c r="AY32" s="6">
        <v>253</v>
      </c>
      <c r="AZ32" s="6">
        <v>254</v>
      </c>
      <c r="BA32" s="6">
        <v>255</v>
      </c>
      <c r="BB32" s="6">
        <v>223</v>
      </c>
      <c r="BC32" s="9" t="s">
        <v>61</v>
      </c>
      <c r="BD32" s="10"/>
    </row>
    <row r="33" spans="1:56" ht="15" customHeight="1" x14ac:dyDescent="0.15">
      <c r="A33" s="4">
        <v>2</v>
      </c>
      <c r="B33" s="5" t="str">
        <f>LOOKUP($D33,Site_Meta!$C$2:$C$43,Site_Meta!A$2:A$43)</f>
        <v>Maria Langa 20m</v>
      </c>
      <c r="C33" s="5" t="str">
        <f>LOOKUP($D33,Site_Meta!$C$2:$C$43,Site_Meta!B$2:B$43)</f>
        <v>Guayanilla</v>
      </c>
      <c r="D33" s="5" t="s">
        <v>121</v>
      </c>
      <c r="E33" s="5" t="str">
        <f>LOOKUP($D33,Site_Meta!$C$2:$C$43,Site_Meta!D$2:D$43)</f>
        <v>South</v>
      </c>
      <c r="F33" s="5" t="str">
        <f>LOOKUP($D33,Site_Meta!$C$2:$C$43,Site_Meta!E$2:E$43)</f>
        <v>S</v>
      </c>
      <c r="G33" s="5">
        <f>LOOKUP($D33,Site_Meta!$C$2:$C$43,Site_Meta!F$2:F$43)</f>
        <v>17.959530000000001</v>
      </c>
      <c r="H33" s="5">
        <f>LOOKUP($D33,Site_Meta!$C$2:$C$43,Site_Meta!G$2:G$43)</f>
        <v>-66.747</v>
      </c>
      <c r="I33" s="5">
        <f>LOOKUP($D33,Site_Meta!$C$2:$C$43,Site_Meta!H$2:H$43)</f>
        <v>20</v>
      </c>
      <c r="J33" s="6">
        <v>10</v>
      </c>
      <c r="K33" s="6">
        <v>4</v>
      </c>
      <c r="L33" s="6">
        <v>2023</v>
      </c>
      <c r="M33" s="7" t="str">
        <f t="shared" si="0"/>
        <v>10/4/2023</v>
      </c>
      <c r="N33" s="6" t="s">
        <v>56</v>
      </c>
      <c r="O33" s="6" t="s">
        <v>57</v>
      </c>
      <c r="P33" s="6" t="s">
        <v>58</v>
      </c>
      <c r="Q33" s="6"/>
      <c r="R33" s="8">
        <v>0.30555555555555558</v>
      </c>
      <c r="S33" s="8">
        <v>0.33680555555555558</v>
      </c>
      <c r="T33" s="6">
        <v>31</v>
      </c>
      <c r="U33" s="6">
        <v>0.57999999999999996</v>
      </c>
      <c r="V33" s="6">
        <v>36.36</v>
      </c>
      <c r="W33" s="6">
        <v>0.59</v>
      </c>
      <c r="X33" s="6">
        <v>34.200000000000003</v>
      </c>
      <c r="Y33" s="6">
        <v>5.05</v>
      </c>
      <c r="Z33" s="6">
        <v>0.57999999999999996</v>
      </c>
      <c r="AA33" s="6">
        <v>7.4</v>
      </c>
      <c r="AB33" s="6">
        <v>0.59</v>
      </c>
      <c r="AC33" s="6">
        <v>30.37</v>
      </c>
      <c r="AD33" s="6">
        <v>18.5</v>
      </c>
      <c r="AE33" s="6">
        <v>36.950000000000003</v>
      </c>
      <c r="AF33" s="6">
        <v>18.5</v>
      </c>
      <c r="AG33" s="6">
        <v>34.6</v>
      </c>
      <c r="AH33" s="6">
        <v>6.04</v>
      </c>
      <c r="AI33" s="6">
        <v>18.05</v>
      </c>
      <c r="AJ33" s="6">
        <v>8.08</v>
      </c>
      <c r="AK33" s="6">
        <v>17.87</v>
      </c>
      <c r="AL33" s="6">
        <v>11.25</v>
      </c>
      <c r="AM33" s="6">
        <v>11.25</v>
      </c>
      <c r="AN33" s="6">
        <v>11.25</v>
      </c>
      <c r="AO33" s="6">
        <f t="shared" si="1"/>
        <v>11.25</v>
      </c>
      <c r="AP33" s="6">
        <v>0.5</v>
      </c>
      <c r="AQ33" s="6">
        <v>18</v>
      </c>
      <c r="AR33" s="6">
        <v>235</v>
      </c>
      <c r="AS33" s="6">
        <v>236</v>
      </c>
      <c r="AT33" s="11">
        <v>237</v>
      </c>
      <c r="AU33" s="11">
        <v>238</v>
      </c>
      <c r="AV33" s="11">
        <v>239</v>
      </c>
      <c r="AW33" s="11">
        <v>240</v>
      </c>
      <c r="AX33" s="11">
        <v>241</v>
      </c>
      <c r="AY33" s="11">
        <v>242</v>
      </c>
      <c r="AZ33" s="11">
        <v>243</v>
      </c>
      <c r="BA33" s="11">
        <v>244</v>
      </c>
      <c r="BB33" s="11">
        <v>212</v>
      </c>
      <c r="BC33" s="13" t="s">
        <v>61</v>
      </c>
      <c r="BD33" s="10"/>
    </row>
    <row r="34" spans="1:56" ht="15.75" customHeight="1" x14ac:dyDescent="0.15">
      <c r="A34" s="4">
        <v>2</v>
      </c>
      <c r="B34" s="5" t="str">
        <f>LOOKUP($D34,Site_Meta!$C$2:$C$43,Site_Meta!A$2:A$43)</f>
        <v>Media Luna 5m</v>
      </c>
      <c r="C34" s="5" t="str">
        <f>LOOKUP($D34,Site_Meta!$C$2:$C$43,Site_Meta!B$2:B$43)</f>
        <v>La Parguera</v>
      </c>
      <c r="D34" s="5" t="s">
        <v>122</v>
      </c>
      <c r="E34" s="5" t="str">
        <f>LOOKUP($D34,Site_Meta!$C$2:$C$43,Site_Meta!D$2:D$43)</f>
        <v>Southwest</v>
      </c>
      <c r="F34" s="5" t="str">
        <f>LOOKUP($D34,Site_Meta!$C$2:$C$43,Site_Meta!E$2:E$43)</f>
        <v>SW</v>
      </c>
      <c r="G34" s="5">
        <f>LOOKUP($D34,Site_Meta!$C$2:$C$43,Site_Meta!F$2:F$43)</f>
        <v>17.93937</v>
      </c>
      <c r="H34" s="5">
        <f>LOOKUP($D34,Site_Meta!$C$2:$C$43,Site_Meta!G$2:G$43)</f>
        <v>-67.050700000000006</v>
      </c>
      <c r="I34" s="5">
        <f>LOOKUP($D34,Site_Meta!$C$2:$C$43,Site_Meta!H$2:H$43)</f>
        <v>5</v>
      </c>
      <c r="J34" s="6">
        <v>9</v>
      </c>
      <c r="K34" s="6">
        <v>19</v>
      </c>
      <c r="L34" s="6">
        <v>2023</v>
      </c>
      <c r="M34" s="7" t="str">
        <f t="shared" si="0"/>
        <v>9/19/2023</v>
      </c>
      <c r="N34" s="6" t="s">
        <v>56</v>
      </c>
      <c r="O34" s="6" t="s">
        <v>63</v>
      </c>
      <c r="P34" s="6" t="s">
        <v>57</v>
      </c>
      <c r="Q34" s="6" t="s">
        <v>58</v>
      </c>
      <c r="R34" s="8">
        <v>0.42986111111111114</v>
      </c>
      <c r="S34" s="8">
        <v>0.44722222222222224</v>
      </c>
      <c r="T34" s="6">
        <v>31.25</v>
      </c>
      <c r="U34" s="6">
        <v>0.6</v>
      </c>
      <c r="V34" s="14">
        <v>34</v>
      </c>
      <c r="W34" s="6">
        <v>0.56000000000000005</v>
      </c>
      <c r="X34" s="6">
        <v>33.6</v>
      </c>
      <c r="Y34" s="6">
        <v>5.89</v>
      </c>
      <c r="Z34" s="6">
        <v>0.56999999999999995</v>
      </c>
      <c r="AA34" s="6">
        <v>7.99</v>
      </c>
      <c r="AB34" s="6">
        <v>0.6</v>
      </c>
      <c r="AC34" s="6">
        <v>31.01</v>
      </c>
      <c r="AD34" s="6">
        <v>3.2</v>
      </c>
      <c r="AE34" s="6">
        <v>34.26</v>
      </c>
      <c r="AF34" s="6">
        <v>3.08</v>
      </c>
      <c r="AG34" s="6">
        <v>33.9</v>
      </c>
      <c r="AH34" s="6">
        <v>5.89</v>
      </c>
      <c r="AI34" s="6">
        <v>3.09</v>
      </c>
      <c r="AJ34" s="6">
        <v>8.0299999999999994</v>
      </c>
      <c r="AK34" s="6">
        <v>3.07</v>
      </c>
      <c r="AL34" s="6" t="s">
        <v>98</v>
      </c>
      <c r="AM34" s="6" t="s">
        <v>98</v>
      </c>
      <c r="AN34" s="6" t="s">
        <v>98</v>
      </c>
      <c r="AO34" s="6" t="e">
        <f t="shared" si="1"/>
        <v>#DIV/0!</v>
      </c>
      <c r="AP34" s="6">
        <v>0.5</v>
      </c>
      <c r="AQ34" s="6">
        <v>3</v>
      </c>
      <c r="AR34" s="6">
        <v>176</v>
      </c>
      <c r="AS34" s="6">
        <v>177</v>
      </c>
      <c r="AT34" s="11">
        <v>107</v>
      </c>
      <c r="AU34" s="11">
        <v>108</v>
      </c>
      <c r="AV34" s="11">
        <v>52</v>
      </c>
      <c r="AW34" s="11">
        <v>54</v>
      </c>
      <c r="AX34" s="11">
        <v>55</v>
      </c>
      <c r="AY34" s="11">
        <v>52</v>
      </c>
      <c r="AZ34" s="11">
        <v>69</v>
      </c>
      <c r="BA34" s="11">
        <v>75</v>
      </c>
      <c r="BB34" s="11">
        <v>55</v>
      </c>
      <c r="BC34" s="13" t="s">
        <v>61</v>
      </c>
      <c r="BD34" s="10"/>
    </row>
    <row r="35" spans="1:56" ht="15.75" customHeight="1" x14ac:dyDescent="0.15">
      <c r="A35" s="4">
        <v>2</v>
      </c>
      <c r="B35" s="5" t="str">
        <f>LOOKUP($D35,Site_Meta!$C$2:$C$43,Site_Meta!A$2:A$43)</f>
        <v>Media Luna 10m</v>
      </c>
      <c r="C35" s="5" t="str">
        <f>LOOKUP($D35,Site_Meta!$C$2:$C$43,Site_Meta!B$2:B$43)</f>
        <v>La Parguera</v>
      </c>
      <c r="D35" s="5" t="s">
        <v>123</v>
      </c>
      <c r="E35" s="5" t="str">
        <f>LOOKUP($D35,Site_Meta!$C$2:$C$43,Site_Meta!D$2:D$43)</f>
        <v>Southwest</v>
      </c>
      <c r="F35" s="5" t="str">
        <f>LOOKUP($D35,Site_Meta!$C$2:$C$43,Site_Meta!E$2:E$43)</f>
        <v>SW</v>
      </c>
      <c r="G35" s="5">
        <f>LOOKUP($D35,Site_Meta!$C$2:$C$43,Site_Meta!F$2:F$43)</f>
        <v>17.934719999999999</v>
      </c>
      <c r="H35" s="5">
        <f>LOOKUP($D35,Site_Meta!$C$2:$C$43,Site_Meta!G$2:G$43)</f>
        <v>-67.048500000000004</v>
      </c>
      <c r="I35" s="5">
        <f>LOOKUP($D35,Site_Meta!$C$2:$C$43,Site_Meta!H$2:H$43)</f>
        <v>10</v>
      </c>
      <c r="J35" s="6">
        <v>9</v>
      </c>
      <c r="K35" s="6">
        <v>19</v>
      </c>
      <c r="L35" s="6">
        <v>2023</v>
      </c>
      <c r="M35" s="7" t="str">
        <f t="shared" si="0"/>
        <v>9/19/2023</v>
      </c>
      <c r="N35" s="6" t="s">
        <v>56</v>
      </c>
      <c r="O35" s="6" t="s">
        <v>63</v>
      </c>
      <c r="P35" s="6" t="s">
        <v>57</v>
      </c>
      <c r="Q35" s="6" t="s">
        <v>58</v>
      </c>
      <c r="R35" s="8">
        <v>0.40763888888888888</v>
      </c>
      <c r="S35" s="8">
        <v>0.42499999999999999</v>
      </c>
      <c r="T35" s="6">
        <v>30.92</v>
      </c>
      <c r="U35" s="6">
        <v>0.55000000000000004</v>
      </c>
      <c r="V35" s="6">
        <v>34.159999999999997</v>
      </c>
      <c r="W35" s="6">
        <v>0.56000000000000005</v>
      </c>
      <c r="X35" s="6">
        <v>34.4</v>
      </c>
      <c r="Y35" s="6">
        <v>6.11</v>
      </c>
      <c r="Z35" s="6">
        <v>0.56000000000000005</v>
      </c>
      <c r="AA35" s="6">
        <v>7.97</v>
      </c>
      <c r="AB35" s="6">
        <v>0.5</v>
      </c>
      <c r="AC35" s="6">
        <v>30.8</v>
      </c>
      <c r="AD35" s="6">
        <v>5.6</v>
      </c>
      <c r="AE35" s="6">
        <v>34.200000000000003</v>
      </c>
      <c r="AF35" s="6">
        <v>5.65</v>
      </c>
      <c r="AG35" s="6">
        <v>33.9</v>
      </c>
      <c r="AH35" s="6">
        <v>6.12</v>
      </c>
      <c r="AI35" s="6">
        <v>5.64</v>
      </c>
      <c r="AJ35" s="6">
        <v>8.06</v>
      </c>
      <c r="AK35" s="6">
        <v>5.65</v>
      </c>
      <c r="AL35" s="6" t="s">
        <v>124</v>
      </c>
      <c r="AM35" s="6" t="s">
        <v>124</v>
      </c>
      <c r="AN35" s="6" t="s">
        <v>124</v>
      </c>
      <c r="AO35" s="6" t="e">
        <f t="shared" si="1"/>
        <v>#DIV/0!</v>
      </c>
      <c r="AP35" s="6">
        <v>0.5</v>
      </c>
      <c r="AQ35" s="6">
        <v>5</v>
      </c>
      <c r="AR35" s="6">
        <v>181</v>
      </c>
      <c r="AS35" s="6">
        <v>180</v>
      </c>
      <c r="AT35" s="11">
        <v>111</v>
      </c>
      <c r="AU35" s="11">
        <v>112</v>
      </c>
      <c r="AV35" s="11">
        <v>54</v>
      </c>
      <c r="AW35" s="11">
        <v>56</v>
      </c>
      <c r="AX35" s="11">
        <v>57</v>
      </c>
      <c r="AY35" s="11">
        <v>54</v>
      </c>
      <c r="AZ35" s="11">
        <v>71</v>
      </c>
      <c r="BA35" s="11">
        <v>77</v>
      </c>
      <c r="BB35" s="11">
        <v>49</v>
      </c>
      <c r="BC35" s="13" t="s">
        <v>125</v>
      </c>
      <c r="BD35" s="10"/>
    </row>
    <row r="36" spans="1:56" ht="15.75" customHeight="1" x14ac:dyDescent="0.15">
      <c r="A36" s="4">
        <v>2</v>
      </c>
      <c r="B36" s="5" t="str">
        <f>LOOKUP($D36,Site_Meta!$C$2:$C$43,Site_Meta!A$2:A$43)</f>
        <v>El Negro 5m</v>
      </c>
      <c r="C36" s="5" t="str">
        <f>LOOKUP($D36,Site_Meta!$C$2:$C$43,Site_Meta!B$2:B$43)</f>
        <v>Cabo Rojo</v>
      </c>
      <c r="D36" s="5" t="s">
        <v>126</v>
      </c>
      <c r="E36" s="5" t="str">
        <f>LOOKUP($D36,Site_Meta!$C$2:$C$43,Site_Meta!D$2:D$43)</f>
        <v>West</v>
      </c>
      <c r="F36" s="5" t="str">
        <f>LOOKUP($D36,Site_Meta!$C$2:$C$43,Site_Meta!E$2:E$43)</f>
        <v>W</v>
      </c>
      <c r="G36" s="5">
        <f>LOOKUP($D36,Site_Meta!$C$2:$C$43,Site_Meta!F$2:F$43)</f>
        <v>18.14658</v>
      </c>
      <c r="H36" s="5">
        <f>LOOKUP($D36,Site_Meta!$C$2:$C$43,Site_Meta!G$2:G$43)</f>
        <v>-67.247600000000006</v>
      </c>
      <c r="I36" s="5">
        <f>LOOKUP($D36,Site_Meta!$C$2:$C$43,Site_Meta!H$2:H$43)</f>
        <v>5</v>
      </c>
      <c r="J36" s="6">
        <v>10</v>
      </c>
      <c r="K36" s="6">
        <v>25</v>
      </c>
      <c r="L36" s="6">
        <v>2023</v>
      </c>
      <c r="M36" s="7" t="str">
        <f t="shared" si="0"/>
        <v>10/25/2023</v>
      </c>
      <c r="N36" s="6" t="s">
        <v>108</v>
      </c>
      <c r="O36" s="6" t="s">
        <v>63</v>
      </c>
      <c r="P36" s="6" t="s">
        <v>58</v>
      </c>
      <c r="Q36" s="6"/>
      <c r="R36" s="8">
        <v>0.32777777777777778</v>
      </c>
      <c r="S36" s="8">
        <v>0.34166666666666667</v>
      </c>
      <c r="T36" s="6">
        <v>30.35</v>
      </c>
      <c r="U36" s="6">
        <v>0.55000000000000004</v>
      </c>
      <c r="V36" s="6">
        <v>35.11</v>
      </c>
      <c r="W36" s="6">
        <v>0.55000000000000004</v>
      </c>
      <c r="X36" s="6">
        <v>34.200000000000003</v>
      </c>
      <c r="Y36" s="6">
        <v>6.03</v>
      </c>
      <c r="Z36" s="6">
        <v>0.55000000000000004</v>
      </c>
      <c r="AA36" s="6">
        <v>8.17</v>
      </c>
      <c r="AB36" s="6">
        <v>0.55000000000000004</v>
      </c>
      <c r="AC36" s="6">
        <v>30.04</v>
      </c>
      <c r="AD36" s="6">
        <v>8.76</v>
      </c>
      <c r="AE36" s="6">
        <v>35.71</v>
      </c>
      <c r="AF36" s="6">
        <v>8.76</v>
      </c>
      <c r="AG36" s="6">
        <v>34.6</v>
      </c>
      <c r="AH36" s="6">
        <v>5.88</v>
      </c>
      <c r="AI36" s="6">
        <v>8.76</v>
      </c>
      <c r="AJ36" s="6">
        <v>8.19</v>
      </c>
      <c r="AK36" s="6">
        <v>8.76</v>
      </c>
      <c r="AL36" s="6" t="s">
        <v>71</v>
      </c>
      <c r="AM36" s="6" t="s">
        <v>71</v>
      </c>
      <c r="AN36" s="6" t="s">
        <v>71</v>
      </c>
      <c r="AO36" s="6" t="e">
        <f t="shared" si="1"/>
        <v>#DIV/0!</v>
      </c>
      <c r="AP36" s="6">
        <v>0.5</v>
      </c>
      <c r="AQ36" s="6">
        <v>7.5</v>
      </c>
      <c r="AR36" s="6">
        <v>477</v>
      </c>
      <c r="AS36" s="6">
        <v>478</v>
      </c>
      <c r="AT36" s="11">
        <v>479</v>
      </c>
      <c r="AU36" s="11">
        <v>480</v>
      </c>
      <c r="AV36" s="11">
        <v>481</v>
      </c>
      <c r="AW36" s="11">
        <v>482</v>
      </c>
      <c r="AX36" s="11">
        <v>483</v>
      </c>
      <c r="AY36" s="11">
        <v>484</v>
      </c>
      <c r="AZ36" s="11">
        <v>485</v>
      </c>
      <c r="BA36" s="11">
        <v>486</v>
      </c>
      <c r="BB36" s="11">
        <v>575</v>
      </c>
      <c r="BC36" s="21" t="s">
        <v>110</v>
      </c>
      <c r="BD36" s="10"/>
    </row>
    <row r="37" spans="1:56" ht="15.75" customHeight="1" x14ac:dyDescent="0.15">
      <c r="A37" s="4">
        <v>2</v>
      </c>
      <c r="B37" s="5" t="str">
        <f>LOOKUP($D37,Site_Meta!$C$2:$C$43,Site_Meta!A$2:A$43)</f>
        <v>El Negro 10m</v>
      </c>
      <c r="C37" s="5" t="str">
        <f>LOOKUP($D37,Site_Meta!$C$2:$C$43,Site_Meta!B$2:B$43)</f>
        <v>Cabo Rojo</v>
      </c>
      <c r="D37" s="5" t="s">
        <v>127</v>
      </c>
      <c r="E37" s="5" t="str">
        <f>LOOKUP($D37,Site_Meta!$C$2:$C$43,Site_Meta!D$2:D$43)</f>
        <v>West</v>
      </c>
      <c r="F37" s="5" t="str">
        <f>LOOKUP($D37,Site_Meta!$C$2:$C$43,Site_Meta!E$2:E$43)</f>
        <v>W</v>
      </c>
      <c r="G37" s="5">
        <f>LOOKUP($D37,Site_Meta!$C$2:$C$43,Site_Meta!F$2:F$43)</f>
        <v>18.146529999999998</v>
      </c>
      <c r="H37" s="5">
        <f>LOOKUP($D37,Site_Meta!$C$2:$C$43,Site_Meta!G$2:G$43)</f>
        <v>-67.248000000000005</v>
      </c>
      <c r="I37" s="5">
        <f>LOOKUP($D37,Site_Meta!$C$2:$C$43,Site_Meta!H$2:H$43)</f>
        <v>10</v>
      </c>
      <c r="J37" s="6">
        <v>10</v>
      </c>
      <c r="K37" s="6">
        <v>25</v>
      </c>
      <c r="L37" s="6">
        <v>2023</v>
      </c>
      <c r="M37" s="7" t="str">
        <f t="shared" si="0"/>
        <v>10/25/2023</v>
      </c>
      <c r="N37" s="6" t="s">
        <v>108</v>
      </c>
      <c r="O37" s="6" t="s">
        <v>63</v>
      </c>
      <c r="P37" s="6" t="s">
        <v>58</v>
      </c>
      <c r="Q37" s="6"/>
      <c r="R37" s="8">
        <v>0.34722222222222221</v>
      </c>
      <c r="S37" s="8">
        <v>0.36319444444444443</v>
      </c>
      <c r="T37" s="6">
        <v>30.31</v>
      </c>
      <c r="U37" s="6">
        <v>0.47</v>
      </c>
      <c r="V37" s="6">
        <v>35.380000000000003</v>
      </c>
      <c r="W37" s="6">
        <v>0.47</v>
      </c>
      <c r="X37" s="6">
        <v>34.299999999999997</v>
      </c>
      <c r="Y37" s="6">
        <v>6.29</v>
      </c>
      <c r="Z37" s="6">
        <v>0.47</v>
      </c>
      <c r="AA37" s="6">
        <v>8.15</v>
      </c>
      <c r="AB37" s="6">
        <v>0.47</v>
      </c>
      <c r="AC37" s="6">
        <v>29.89</v>
      </c>
      <c r="AD37" s="6">
        <v>19.010000000000002</v>
      </c>
      <c r="AE37" s="6">
        <v>35.869999999999997</v>
      </c>
      <c r="AF37" s="6">
        <v>19.010000000000002</v>
      </c>
      <c r="AG37" s="6">
        <v>34.799999999999997</v>
      </c>
      <c r="AH37" s="6">
        <v>5.99</v>
      </c>
      <c r="AI37" s="6">
        <v>19.010000000000002</v>
      </c>
      <c r="AJ37" s="6">
        <v>8.1999999999999993</v>
      </c>
      <c r="AK37" s="6">
        <v>19.010000000000002</v>
      </c>
      <c r="AL37" s="6">
        <v>10</v>
      </c>
      <c r="AM37" s="6">
        <v>10</v>
      </c>
      <c r="AN37" s="6">
        <v>10</v>
      </c>
      <c r="AO37" s="6">
        <f t="shared" si="1"/>
        <v>10</v>
      </c>
      <c r="AP37" s="6">
        <v>0.5</v>
      </c>
      <c r="AQ37" s="6">
        <v>18</v>
      </c>
      <c r="AR37" s="6">
        <v>609</v>
      </c>
      <c r="AS37" s="6">
        <v>610</v>
      </c>
      <c r="AT37" s="11">
        <v>611</v>
      </c>
      <c r="AU37" s="11">
        <v>612</v>
      </c>
      <c r="AV37" s="11">
        <v>613</v>
      </c>
      <c r="AW37" s="11">
        <v>614</v>
      </c>
      <c r="AX37" s="11">
        <v>615</v>
      </c>
      <c r="AY37" s="11">
        <v>616</v>
      </c>
      <c r="AZ37" s="11">
        <v>617</v>
      </c>
      <c r="BA37" s="11">
        <v>618</v>
      </c>
      <c r="BB37" s="11">
        <v>564</v>
      </c>
      <c r="BC37" s="21" t="s">
        <v>110</v>
      </c>
      <c r="BD37" s="10"/>
    </row>
    <row r="38" spans="1:56" ht="15.75" customHeight="1" x14ac:dyDescent="0.15">
      <c r="A38" s="4">
        <v>2</v>
      </c>
      <c r="B38" s="5" t="str">
        <f>LOOKUP($D38,Site_Meta!$C$2:$C$43,Site_Meta!A$2:A$43)</f>
        <v>Palominos 20m</v>
      </c>
      <c r="C38" s="5" t="str">
        <f>LOOKUP($D38,Site_Meta!$C$2:$C$43,Site_Meta!B$2:B$43)</f>
        <v>Fajardo</v>
      </c>
      <c r="D38" s="5" t="s">
        <v>128</v>
      </c>
      <c r="E38" s="5" t="str">
        <f>LOOKUP($D38,Site_Meta!$C$2:$C$43,Site_Meta!D$2:D$43)</f>
        <v>North/Northeast</v>
      </c>
      <c r="F38" s="5" t="str">
        <f>LOOKUP($D38,Site_Meta!$C$2:$C$43,Site_Meta!E$2:E$43)</f>
        <v>E</v>
      </c>
      <c r="G38" s="5">
        <f>LOOKUP($D38,Site_Meta!$C$2:$C$43,Site_Meta!F$2:F$43)</f>
        <v>18.354659999999999</v>
      </c>
      <c r="H38" s="5">
        <f>LOOKUP($D38,Site_Meta!$C$2:$C$43,Site_Meta!G$2:G$43)</f>
        <v>-65.567099999999996</v>
      </c>
      <c r="I38" s="5">
        <f>LOOKUP($D38,Site_Meta!$C$2:$C$43,Site_Meta!H$2:H$43)</f>
        <v>20</v>
      </c>
      <c r="J38" s="6">
        <v>10</v>
      </c>
      <c r="K38" s="6">
        <v>15</v>
      </c>
      <c r="L38" s="6">
        <v>2023</v>
      </c>
      <c r="M38" s="7" t="str">
        <f t="shared" si="0"/>
        <v>10/15/2023</v>
      </c>
      <c r="N38" s="6" t="s">
        <v>70</v>
      </c>
      <c r="O38" s="6" t="s">
        <v>63</v>
      </c>
      <c r="P38" s="6" t="s">
        <v>58</v>
      </c>
      <c r="Q38" s="6"/>
      <c r="R38" s="8">
        <v>0.40694444444444444</v>
      </c>
      <c r="S38" s="8">
        <v>0.42152777777777778</v>
      </c>
      <c r="T38" s="6" t="s">
        <v>59</v>
      </c>
      <c r="U38" s="6" t="s">
        <v>59</v>
      </c>
      <c r="V38" s="6" t="s">
        <v>59</v>
      </c>
      <c r="W38" s="6" t="s">
        <v>59</v>
      </c>
      <c r="X38" s="6">
        <v>35.1</v>
      </c>
      <c r="Y38" s="6" t="s">
        <v>59</v>
      </c>
      <c r="Z38" s="6" t="s">
        <v>59</v>
      </c>
      <c r="AA38" s="6" t="s">
        <v>59</v>
      </c>
      <c r="AB38" s="6" t="s">
        <v>59</v>
      </c>
      <c r="AC38" s="6" t="s">
        <v>59</v>
      </c>
      <c r="AD38" s="6" t="s">
        <v>59</v>
      </c>
      <c r="AE38" s="6" t="s">
        <v>59</v>
      </c>
      <c r="AF38" s="6" t="s">
        <v>59</v>
      </c>
      <c r="AG38" s="6">
        <v>35.200000000000003</v>
      </c>
      <c r="AH38" s="6" t="s">
        <v>59</v>
      </c>
      <c r="AI38" s="6" t="s">
        <v>59</v>
      </c>
      <c r="AJ38" s="6" t="s">
        <v>59</v>
      </c>
      <c r="AK38" s="6" t="s">
        <v>59</v>
      </c>
      <c r="AL38" s="6">
        <v>12.25</v>
      </c>
      <c r="AM38" s="6">
        <v>12.5</v>
      </c>
      <c r="AN38" s="6">
        <v>12.5</v>
      </c>
      <c r="AO38" s="6">
        <f t="shared" si="1"/>
        <v>12.416666666666666</v>
      </c>
      <c r="AP38" s="6">
        <v>0.5</v>
      </c>
      <c r="AQ38" s="6">
        <v>17.5</v>
      </c>
      <c r="AR38" s="6">
        <v>433</v>
      </c>
      <c r="AS38" s="6">
        <v>434</v>
      </c>
      <c r="AT38" s="11">
        <v>435</v>
      </c>
      <c r="AU38" s="11">
        <v>436</v>
      </c>
      <c r="AV38" s="11">
        <v>437</v>
      </c>
      <c r="AW38" s="11">
        <v>438</v>
      </c>
      <c r="AX38" s="11">
        <v>439</v>
      </c>
      <c r="AY38" s="11">
        <v>440</v>
      </c>
      <c r="AZ38" s="11">
        <v>441</v>
      </c>
      <c r="BA38" s="11">
        <v>442</v>
      </c>
      <c r="BB38" s="11">
        <v>432</v>
      </c>
      <c r="BC38" s="12" t="s">
        <v>129</v>
      </c>
      <c r="BD38" s="10"/>
    </row>
    <row r="39" spans="1:56" ht="15.75" customHeight="1" x14ac:dyDescent="0.15">
      <c r="A39" s="4">
        <v>2</v>
      </c>
      <c r="B39" s="5" t="str">
        <f>LOOKUP($D39,Site_Meta!$C$2:$C$43,Site_Meta!A$2:A$43)</f>
        <v>Palominos 20m</v>
      </c>
      <c r="C39" s="5" t="str">
        <f>LOOKUP($D39,Site_Meta!$C$2:$C$43,Site_Meta!B$2:B$43)</f>
        <v>Fajardo</v>
      </c>
      <c r="D39" s="5" t="s">
        <v>128</v>
      </c>
      <c r="E39" s="5" t="str">
        <f>LOOKUP($D39,Site_Meta!$C$2:$C$43,Site_Meta!D$2:D$43)</f>
        <v>North/Northeast</v>
      </c>
      <c r="F39" s="5" t="str">
        <f>LOOKUP($D39,Site_Meta!$C$2:$C$43,Site_Meta!E$2:E$43)</f>
        <v>E</v>
      </c>
      <c r="G39" s="5">
        <f>LOOKUP($D39,Site_Meta!$C$2:$C$43,Site_Meta!F$2:F$43)</f>
        <v>18.354659999999999</v>
      </c>
      <c r="H39" s="5">
        <f>LOOKUP($D39,Site_Meta!$C$2:$C$43,Site_Meta!G$2:G$43)</f>
        <v>-65.567099999999996</v>
      </c>
      <c r="I39" s="5">
        <f>LOOKUP($D39,Site_Meta!$C$2:$C$43,Site_Meta!H$2:H$43)</f>
        <v>20</v>
      </c>
      <c r="J39" s="6">
        <v>10</v>
      </c>
      <c r="K39" s="6">
        <v>15</v>
      </c>
      <c r="L39" s="6">
        <v>2023</v>
      </c>
      <c r="M39" s="7" t="str">
        <f t="shared" si="0"/>
        <v>10/15/2023</v>
      </c>
      <c r="N39" s="6" t="s">
        <v>70</v>
      </c>
      <c r="O39" s="6" t="s">
        <v>63</v>
      </c>
      <c r="P39" s="6" t="s">
        <v>58</v>
      </c>
      <c r="Q39" s="6"/>
      <c r="R39" s="8">
        <v>0.41041666666666665</v>
      </c>
      <c r="S39" s="8">
        <v>0.42083333333333334</v>
      </c>
      <c r="T39" s="6">
        <v>30.76</v>
      </c>
      <c r="U39" s="6">
        <v>0.63</v>
      </c>
      <c r="V39" s="6">
        <v>36.68</v>
      </c>
      <c r="W39" s="6">
        <v>0.63</v>
      </c>
      <c r="X39" s="6">
        <v>35.1</v>
      </c>
      <c r="Y39" s="6">
        <v>5.17</v>
      </c>
      <c r="Z39" s="6">
        <v>0.63</v>
      </c>
      <c r="AA39" s="6">
        <v>6.49</v>
      </c>
      <c r="AB39" s="6">
        <v>0.63</v>
      </c>
      <c r="AC39" s="6">
        <v>32.04</v>
      </c>
      <c r="AD39" s="6">
        <v>18.149999999999999</v>
      </c>
      <c r="AE39" s="6">
        <v>35.770000000000003</v>
      </c>
      <c r="AF39" s="6">
        <v>18.149999999999999</v>
      </c>
      <c r="AG39" s="6">
        <v>35.200000000000003</v>
      </c>
      <c r="AH39" s="6">
        <v>4.91</v>
      </c>
      <c r="AI39" s="6">
        <v>18.149999999999999</v>
      </c>
      <c r="AJ39" s="6">
        <v>6.99</v>
      </c>
      <c r="AK39" s="6">
        <v>18.149999999999999</v>
      </c>
      <c r="AL39" s="11" t="s">
        <v>59</v>
      </c>
      <c r="AM39" s="11" t="s">
        <v>59</v>
      </c>
      <c r="AN39" s="11" t="s">
        <v>59</v>
      </c>
      <c r="AO39" s="6" t="e">
        <f t="shared" si="1"/>
        <v>#DIV/0!</v>
      </c>
      <c r="AP39" s="6" t="s">
        <v>59</v>
      </c>
      <c r="AQ39" s="6" t="s">
        <v>59</v>
      </c>
      <c r="AR39" s="11" t="s">
        <v>59</v>
      </c>
      <c r="AS39" s="11" t="s">
        <v>59</v>
      </c>
      <c r="AT39" s="11" t="s">
        <v>59</v>
      </c>
      <c r="AU39" s="11" t="s">
        <v>59</v>
      </c>
      <c r="AV39" s="11" t="s">
        <v>59</v>
      </c>
      <c r="AW39" s="11" t="s">
        <v>59</v>
      </c>
      <c r="AX39" s="11" t="s">
        <v>59</v>
      </c>
      <c r="AY39" s="11" t="s">
        <v>59</v>
      </c>
      <c r="AZ39" s="11" t="s">
        <v>59</v>
      </c>
      <c r="BA39" s="11" t="s">
        <v>59</v>
      </c>
      <c r="BB39" s="11" t="s">
        <v>59</v>
      </c>
      <c r="BC39" s="12" t="s">
        <v>72</v>
      </c>
      <c r="BD39" s="10"/>
    </row>
    <row r="40" spans="1:56" ht="15.75" customHeight="1" x14ac:dyDescent="0.15">
      <c r="A40" s="4">
        <v>2</v>
      </c>
      <c r="B40" s="5" t="str">
        <f>LOOKUP($D40,Site_Meta!$C$2:$C$43,Site_Meta!A$2:A$43)</f>
        <v>Palominitos 10m</v>
      </c>
      <c r="C40" s="5" t="str">
        <f>LOOKUP($D40,Site_Meta!$C$2:$C$43,Site_Meta!B$2:B$43)</f>
        <v>Fajardo</v>
      </c>
      <c r="D40" s="5" t="s">
        <v>130</v>
      </c>
      <c r="E40" s="5" t="str">
        <f>LOOKUP($D40,Site_Meta!$C$2:$C$43,Site_Meta!D$2:D$43)</f>
        <v>North/Northeast</v>
      </c>
      <c r="F40" s="5" t="str">
        <f>LOOKUP($D40,Site_Meta!$C$2:$C$43,Site_Meta!E$2:E$43)</f>
        <v>E</v>
      </c>
      <c r="G40" s="5">
        <f>LOOKUP($D40,Site_Meta!$C$2:$C$43,Site_Meta!F$2:F$43)</f>
        <v>18.335370000000001</v>
      </c>
      <c r="H40" s="5">
        <f>LOOKUP($D40,Site_Meta!$C$2:$C$43,Site_Meta!G$2:G$43)</f>
        <v>-65.565600000000003</v>
      </c>
      <c r="I40" s="5">
        <f>LOOKUP($D40,Site_Meta!$C$2:$C$43,Site_Meta!H$2:H$43)</f>
        <v>10</v>
      </c>
      <c r="J40" s="6">
        <v>10</v>
      </c>
      <c r="K40" s="6">
        <v>15</v>
      </c>
      <c r="L40" s="6">
        <v>2023</v>
      </c>
      <c r="M40" s="7" t="str">
        <f t="shared" si="0"/>
        <v>10/15/2023</v>
      </c>
      <c r="N40" s="6" t="s">
        <v>70</v>
      </c>
      <c r="O40" s="6" t="s">
        <v>63</v>
      </c>
      <c r="P40" s="6" t="s">
        <v>58</v>
      </c>
      <c r="Q40" s="6"/>
      <c r="R40" s="8">
        <v>0.3527777777777778</v>
      </c>
      <c r="S40" s="8">
        <v>0.37430555555555556</v>
      </c>
      <c r="T40" s="6">
        <v>30.35</v>
      </c>
      <c r="U40" s="6">
        <v>0.53</v>
      </c>
      <c r="V40" s="6">
        <v>35.61</v>
      </c>
      <c r="W40" s="6">
        <v>0.55000000000000004</v>
      </c>
      <c r="X40" s="6">
        <v>34.799999999999997</v>
      </c>
      <c r="Y40" s="6">
        <v>6.3</v>
      </c>
      <c r="Z40" s="6">
        <v>0.54</v>
      </c>
      <c r="AA40" s="6">
        <v>7.81</v>
      </c>
      <c r="AB40" s="6">
        <v>0.54</v>
      </c>
      <c r="AC40" s="6">
        <v>30.36</v>
      </c>
      <c r="AD40" s="6">
        <v>8.5</v>
      </c>
      <c r="AE40" s="6">
        <v>34.229999999999997</v>
      </c>
      <c r="AF40" s="6">
        <v>8.1999999999999993</v>
      </c>
      <c r="AG40" s="6">
        <v>33.799999999999997</v>
      </c>
      <c r="AH40" s="6">
        <v>6.12</v>
      </c>
      <c r="AI40" s="6">
        <v>8.1</v>
      </c>
      <c r="AJ40" s="6">
        <v>8.11</v>
      </c>
      <c r="AK40" s="6">
        <v>7.96</v>
      </c>
      <c r="AL40" s="6" t="s">
        <v>131</v>
      </c>
      <c r="AM40" s="6" t="s">
        <v>131</v>
      </c>
      <c r="AN40" s="6" t="s">
        <v>131</v>
      </c>
      <c r="AO40" s="6" t="e">
        <f t="shared" si="1"/>
        <v>#DIV/0!</v>
      </c>
      <c r="AP40" s="6">
        <v>0.5</v>
      </c>
      <c r="AQ40" s="6">
        <v>8.5</v>
      </c>
      <c r="AR40" s="6">
        <v>422</v>
      </c>
      <c r="AS40" s="6">
        <v>423</v>
      </c>
      <c r="AT40" s="11">
        <v>424</v>
      </c>
      <c r="AU40" s="11">
        <v>425</v>
      </c>
      <c r="AV40" s="11">
        <v>426</v>
      </c>
      <c r="AW40" s="11">
        <v>427</v>
      </c>
      <c r="AX40" s="11">
        <v>428</v>
      </c>
      <c r="AY40" s="11">
        <v>429</v>
      </c>
      <c r="AZ40" s="11">
        <v>430</v>
      </c>
      <c r="BA40" s="11">
        <v>431</v>
      </c>
      <c r="BB40" s="11">
        <v>421</v>
      </c>
      <c r="BC40" s="13" t="s">
        <v>61</v>
      </c>
      <c r="BD40" s="10"/>
    </row>
    <row r="41" spans="1:56" ht="15.75" customHeight="1" x14ac:dyDescent="0.15">
      <c r="A41" s="4">
        <v>2</v>
      </c>
      <c r="B41" s="5" t="str">
        <f>LOOKUP($D41,Site_Meta!$C$2:$C$43,Site_Meta!A$2:A$43)</f>
        <v>Palominitos 10m</v>
      </c>
      <c r="C41" s="5" t="str">
        <f>LOOKUP($D41,Site_Meta!$C$2:$C$43,Site_Meta!B$2:B$43)</f>
        <v>Fajardo</v>
      </c>
      <c r="D41" s="5" t="s">
        <v>130</v>
      </c>
      <c r="E41" s="5" t="str">
        <f>LOOKUP($D41,Site_Meta!$C$2:$C$43,Site_Meta!D$2:D$43)</f>
        <v>North/Northeast</v>
      </c>
      <c r="F41" s="5" t="str">
        <f>LOOKUP($D41,Site_Meta!$C$2:$C$43,Site_Meta!E$2:E$43)</f>
        <v>E</v>
      </c>
      <c r="G41" s="5">
        <f>LOOKUP($D41,Site_Meta!$C$2:$C$43,Site_Meta!F$2:F$43)</f>
        <v>18.335370000000001</v>
      </c>
      <c r="H41" s="5">
        <f>LOOKUP($D41,Site_Meta!$C$2:$C$43,Site_Meta!G$2:G$43)</f>
        <v>-65.565600000000003</v>
      </c>
      <c r="I41" s="5">
        <f>LOOKUP($D41,Site_Meta!$C$2:$C$43,Site_Meta!H$2:H$43)</f>
        <v>10</v>
      </c>
      <c r="J41" s="6">
        <v>10</v>
      </c>
      <c r="K41" s="6">
        <v>15</v>
      </c>
      <c r="L41" s="6">
        <v>2023</v>
      </c>
      <c r="M41" s="7" t="str">
        <f t="shared" si="0"/>
        <v>10/15/2023</v>
      </c>
      <c r="N41" s="6" t="s">
        <v>70</v>
      </c>
      <c r="O41" s="6" t="s">
        <v>63</v>
      </c>
      <c r="P41" s="6" t="s">
        <v>58</v>
      </c>
      <c r="Q41" s="6"/>
      <c r="R41" s="8">
        <v>0.38819444444444445</v>
      </c>
      <c r="S41" s="8">
        <v>0.39444444444444443</v>
      </c>
      <c r="T41" s="6">
        <v>30.16</v>
      </c>
      <c r="U41" s="6">
        <v>0.6</v>
      </c>
      <c r="V41" s="6">
        <v>37.020000000000003</v>
      </c>
      <c r="W41" s="6">
        <v>0.6</v>
      </c>
      <c r="X41" s="6">
        <v>34.799999999999997</v>
      </c>
      <c r="Y41" s="6">
        <v>5.25</v>
      </c>
      <c r="Z41" s="6">
        <v>0.6</v>
      </c>
      <c r="AA41" s="6">
        <v>6.22</v>
      </c>
      <c r="AB41" s="6">
        <v>0.6</v>
      </c>
      <c r="AC41" s="6">
        <v>32.01</v>
      </c>
      <c r="AD41" s="6">
        <v>5.84</v>
      </c>
      <c r="AE41" s="6">
        <v>35.770000000000003</v>
      </c>
      <c r="AF41" s="6">
        <v>5.84</v>
      </c>
      <c r="AG41" s="6">
        <v>33.799999999999997</v>
      </c>
      <c r="AH41" s="6">
        <v>5.89</v>
      </c>
      <c r="AI41" s="6">
        <v>5.84</v>
      </c>
      <c r="AJ41" s="6">
        <v>7.18</v>
      </c>
      <c r="AK41" s="6">
        <v>5.84</v>
      </c>
      <c r="AL41" s="11" t="s">
        <v>59</v>
      </c>
      <c r="AM41" s="11" t="s">
        <v>59</v>
      </c>
      <c r="AN41" s="11" t="s">
        <v>59</v>
      </c>
      <c r="AO41" s="6" t="e">
        <f t="shared" si="1"/>
        <v>#DIV/0!</v>
      </c>
      <c r="AP41" s="6" t="s">
        <v>59</v>
      </c>
      <c r="AQ41" s="6" t="s">
        <v>59</v>
      </c>
      <c r="AR41" s="11" t="s">
        <v>59</v>
      </c>
      <c r="AS41" s="11" t="s">
        <v>59</v>
      </c>
      <c r="AT41" s="11" t="s">
        <v>59</v>
      </c>
      <c r="AU41" s="11" t="s">
        <v>59</v>
      </c>
      <c r="AV41" s="11" t="s">
        <v>59</v>
      </c>
      <c r="AW41" s="11" t="s">
        <v>59</v>
      </c>
      <c r="AX41" s="11" t="s">
        <v>59</v>
      </c>
      <c r="AY41" s="11" t="s">
        <v>59</v>
      </c>
      <c r="AZ41" s="11" t="s">
        <v>59</v>
      </c>
      <c r="BA41" s="11" t="s">
        <v>59</v>
      </c>
      <c r="BB41" s="11" t="s">
        <v>59</v>
      </c>
      <c r="BC41" s="12" t="s">
        <v>72</v>
      </c>
      <c r="BD41" s="10"/>
    </row>
    <row r="42" spans="1:56" ht="15.75" customHeight="1" x14ac:dyDescent="0.15">
      <c r="A42" s="4">
        <v>2</v>
      </c>
      <c r="B42" s="5" t="str">
        <f>LOOKUP($D42,Site_Meta!$C$2:$C$43,Site_Meta!A$2:A$43)</f>
        <v>Cayo Ratones 5m</v>
      </c>
      <c r="C42" s="5" t="str">
        <f>LOOKUP($D42,Site_Meta!$C$2:$C$43,Site_Meta!B$2:B$43)</f>
        <v>Salinas</v>
      </c>
      <c r="D42" s="5" t="s">
        <v>132</v>
      </c>
      <c r="E42" s="5" t="str">
        <f>LOOKUP($D42,Site_Meta!$C$2:$C$43,Site_Meta!D$2:D$43)</f>
        <v>Southeast</v>
      </c>
      <c r="F42" s="5" t="str">
        <f>LOOKUP($D42,Site_Meta!$C$2:$C$43,Site_Meta!E$2:E$43)</f>
        <v>S</v>
      </c>
      <c r="G42" s="5">
        <f>LOOKUP($D42,Site_Meta!$C$2:$C$43,Site_Meta!F$2:F$43)</f>
        <v>17.9346</v>
      </c>
      <c r="H42" s="5">
        <f>LOOKUP($D42,Site_Meta!$C$2:$C$43,Site_Meta!G$2:G$43)</f>
        <v>-66.302499999999995</v>
      </c>
      <c r="I42" s="5">
        <f>LOOKUP($D42,Site_Meta!$C$2:$C$43,Site_Meta!H$2:H$43)</f>
        <v>5</v>
      </c>
      <c r="J42" s="6">
        <v>9</v>
      </c>
      <c r="K42" s="6">
        <v>21</v>
      </c>
      <c r="L42" s="6">
        <v>2023</v>
      </c>
      <c r="M42" s="7" t="str">
        <f t="shared" si="0"/>
        <v>9/21/2023</v>
      </c>
      <c r="N42" s="6" t="s">
        <v>56</v>
      </c>
      <c r="O42" s="6" t="s">
        <v>63</v>
      </c>
      <c r="P42" s="6" t="s">
        <v>81</v>
      </c>
      <c r="Q42" s="6" t="s">
        <v>58</v>
      </c>
      <c r="R42" s="8">
        <v>0.40555555555555556</v>
      </c>
      <c r="S42" s="8">
        <v>0.41944444444444445</v>
      </c>
      <c r="T42" s="6">
        <v>30.78</v>
      </c>
      <c r="U42" s="6">
        <v>0.64</v>
      </c>
      <c r="V42" s="6">
        <v>35.32</v>
      </c>
      <c r="W42" s="6">
        <v>0.64</v>
      </c>
      <c r="X42" s="6" t="s">
        <v>59</v>
      </c>
      <c r="Y42" s="6">
        <v>5.8</v>
      </c>
      <c r="Z42" s="6">
        <v>0.63</v>
      </c>
      <c r="AA42" s="6">
        <v>8.0299999999999994</v>
      </c>
      <c r="AB42" s="6">
        <v>0.62</v>
      </c>
      <c r="AC42" s="6">
        <v>30.65</v>
      </c>
      <c r="AD42" s="6">
        <v>4.12</v>
      </c>
      <c r="AE42" s="6">
        <v>35.380000000000003</v>
      </c>
      <c r="AF42" s="6">
        <v>4.22</v>
      </c>
      <c r="AG42" s="6" t="s">
        <v>59</v>
      </c>
      <c r="AH42" s="6">
        <v>5.23</v>
      </c>
      <c r="AI42" s="6">
        <v>4.37</v>
      </c>
      <c r="AJ42" s="6">
        <v>7.95</v>
      </c>
      <c r="AK42" s="6">
        <v>4.3099999999999996</v>
      </c>
      <c r="AL42" s="6" t="s">
        <v>117</v>
      </c>
      <c r="AM42" s="6" t="s">
        <v>117</v>
      </c>
      <c r="AN42" s="6" t="s">
        <v>117</v>
      </c>
      <c r="AO42" s="6" t="e">
        <f t="shared" si="1"/>
        <v>#DIV/0!</v>
      </c>
      <c r="AP42" s="6">
        <v>0.5</v>
      </c>
      <c r="AQ42" s="6">
        <v>4</v>
      </c>
      <c r="AR42" s="6">
        <v>188</v>
      </c>
      <c r="AS42" s="6">
        <v>189</v>
      </c>
      <c r="AT42" s="11">
        <v>119</v>
      </c>
      <c r="AU42" s="11">
        <v>120</v>
      </c>
      <c r="AV42" s="11">
        <v>58</v>
      </c>
      <c r="AW42" s="11">
        <v>60</v>
      </c>
      <c r="AX42" s="11">
        <v>61</v>
      </c>
      <c r="AY42" s="11">
        <v>58</v>
      </c>
      <c r="AZ42" s="11">
        <v>75</v>
      </c>
      <c r="BA42" s="11">
        <v>81</v>
      </c>
      <c r="BB42" s="11">
        <v>51</v>
      </c>
      <c r="BC42" s="13" t="s">
        <v>61</v>
      </c>
      <c r="BD42" s="10"/>
    </row>
    <row r="43" spans="1:56" ht="15.75" customHeight="1" x14ac:dyDescent="0.15">
      <c r="A43" s="4">
        <v>2</v>
      </c>
      <c r="B43" s="5" t="str">
        <f>LOOKUP($D43,Site_Meta!$C$2:$C$43,Site_Meta!A$2:A$43)</f>
        <v>Resuellos 10m</v>
      </c>
      <c r="C43" s="5" t="str">
        <f>LOOKUP($D43,Site_Meta!$C$2:$C$43,Site_Meta!B$2:B$43)</f>
        <v>Cabo Rojo</v>
      </c>
      <c r="D43" s="5" t="s">
        <v>133</v>
      </c>
      <c r="E43" s="5" t="str">
        <f>LOOKUP($D43,Site_Meta!$C$2:$C$43,Site_Meta!D$2:D$43)</f>
        <v>West</v>
      </c>
      <c r="F43" s="5" t="str">
        <f>LOOKUP($D43,Site_Meta!$C$2:$C$43,Site_Meta!E$2:E$43)</f>
        <v>W</v>
      </c>
      <c r="G43" s="5">
        <f>LOOKUP($D43,Site_Meta!$C$2:$C$43,Site_Meta!F$2:F$43)</f>
        <v>17.991160000000001</v>
      </c>
      <c r="H43" s="5">
        <f>LOOKUP($D43,Site_Meta!$C$2:$C$43,Site_Meta!G$2:G$43)</f>
        <v>-67.233199999999997</v>
      </c>
      <c r="I43" s="5">
        <f>LOOKUP($D43,Site_Meta!$C$2:$C$43,Site_Meta!H$2:H$43)</f>
        <v>10</v>
      </c>
      <c r="J43" s="6">
        <v>9</v>
      </c>
      <c r="K43" s="6">
        <v>20</v>
      </c>
      <c r="L43" s="6">
        <v>2023</v>
      </c>
      <c r="M43" s="7" t="str">
        <f t="shared" si="0"/>
        <v>9/20/2023</v>
      </c>
      <c r="N43" s="6" t="s">
        <v>56</v>
      </c>
      <c r="O43" s="6" t="s">
        <v>63</v>
      </c>
      <c r="P43" s="6" t="s">
        <v>58</v>
      </c>
      <c r="Q43" s="6"/>
      <c r="R43" s="8">
        <v>0.40972222222222221</v>
      </c>
      <c r="S43" s="8">
        <v>0.42986111111111114</v>
      </c>
      <c r="T43" s="6">
        <v>30.72</v>
      </c>
      <c r="U43" s="6">
        <v>0.54</v>
      </c>
      <c r="V43" s="6">
        <v>34.15</v>
      </c>
      <c r="W43" s="6">
        <v>0.52</v>
      </c>
      <c r="X43" s="6">
        <v>33.799999999999997</v>
      </c>
      <c r="Y43" s="6">
        <v>6.38</v>
      </c>
      <c r="Z43" s="6">
        <v>0.55000000000000004</v>
      </c>
      <c r="AA43" s="6">
        <v>7.98</v>
      </c>
      <c r="AB43" s="6">
        <v>0.55000000000000004</v>
      </c>
      <c r="AC43" s="6">
        <v>30.84</v>
      </c>
      <c r="AD43" s="6">
        <v>13.69</v>
      </c>
      <c r="AE43" s="6">
        <v>34.17</v>
      </c>
      <c r="AF43" s="6">
        <v>13.7</v>
      </c>
      <c r="AG43" s="6" t="s">
        <v>59</v>
      </c>
      <c r="AH43" s="6">
        <v>6.4</v>
      </c>
      <c r="AI43" s="6">
        <v>13.67</v>
      </c>
      <c r="AJ43" s="6">
        <v>8.07</v>
      </c>
      <c r="AK43" s="6">
        <v>13.65</v>
      </c>
      <c r="AL43" s="6">
        <v>7.5</v>
      </c>
      <c r="AM43" s="6">
        <v>7.5</v>
      </c>
      <c r="AN43" s="6">
        <v>7.5</v>
      </c>
      <c r="AO43" s="6">
        <f t="shared" si="1"/>
        <v>7.5</v>
      </c>
      <c r="AP43" s="6">
        <v>0.5</v>
      </c>
      <c r="AQ43" s="6">
        <v>13.5</v>
      </c>
      <c r="AR43" s="6">
        <v>192</v>
      </c>
      <c r="AS43" s="6">
        <v>193</v>
      </c>
      <c r="AT43" s="11">
        <v>123</v>
      </c>
      <c r="AU43" s="11">
        <v>124</v>
      </c>
      <c r="AV43" s="11">
        <v>60</v>
      </c>
      <c r="AW43" s="11">
        <v>62</v>
      </c>
      <c r="AX43" s="11">
        <v>63</v>
      </c>
      <c r="AY43" s="11">
        <v>60</v>
      </c>
      <c r="AZ43" s="11">
        <v>77</v>
      </c>
      <c r="BA43" s="11">
        <v>83</v>
      </c>
      <c r="BB43" s="11">
        <v>54</v>
      </c>
      <c r="BC43" s="13" t="s">
        <v>106</v>
      </c>
      <c r="BD43" s="19"/>
    </row>
    <row r="44" spans="1:56" ht="15.75" customHeight="1" x14ac:dyDescent="0.15">
      <c r="A44" s="4">
        <v>2</v>
      </c>
      <c r="B44" s="5" t="str">
        <f>LOOKUP($D44,Site_Meta!$C$2:$C$43,Site_Meta!A$2:A$43)</f>
        <v>Resuellos 10m</v>
      </c>
      <c r="C44" s="5" t="str">
        <f>LOOKUP($D44,Site_Meta!$C$2:$C$43,Site_Meta!B$2:B$43)</f>
        <v>Cabo Rojo</v>
      </c>
      <c r="D44" s="5" t="s">
        <v>134</v>
      </c>
      <c r="E44" s="5" t="str">
        <f>LOOKUP($D44,Site_Meta!$C$2:$C$43,Site_Meta!D$2:D$43)</f>
        <v>West</v>
      </c>
      <c r="F44" s="5" t="str">
        <f>LOOKUP($D44,Site_Meta!$C$2:$C$43,Site_Meta!E$2:E$43)</f>
        <v>W</v>
      </c>
      <c r="G44" s="5">
        <f>LOOKUP($D44,Site_Meta!$C$2:$C$43,Site_Meta!F$2:F$43)</f>
        <v>17.991160000000001</v>
      </c>
      <c r="H44" s="5">
        <f>LOOKUP($D44,Site_Meta!$C$2:$C$43,Site_Meta!G$2:G$43)</f>
        <v>-67.233199999999997</v>
      </c>
      <c r="I44" s="5">
        <f>LOOKUP($D44,Site_Meta!$C$2:$C$43,Site_Meta!H$2:H$43)</f>
        <v>10</v>
      </c>
      <c r="J44" s="6">
        <v>9</v>
      </c>
      <c r="K44" s="6">
        <v>20</v>
      </c>
      <c r="L44" s="6">
        <v>2023</v>
      </c>
      <c r="M44" s="7" t="str">
        <f t="shared" si="0"/>
        <v>9/20/2023</v>
      </c>
      <c r="N44" s="6" t="s">
        <v>56</v>
      </c>
      <c r="O44" s="6" t="s">
        <v>63</v>
      </c>
      <c r="P44" s="6" t="s">
        <v>58</v>
      </c>
      <c r="Q44" s="6"/>
      <c r="R44" s="8">
        <v>0.43402777777777779</v>
      </c>
      <c r="S44" s="8">
        <v>0.45208333333333334</v>
      </c>
      <c r="T44" s="6">
        <v>30.78</v>
      </c>
      <c r="U44" s="6">
        <v>0.62</v>
      </c>
      <c r="V44" s="6">
        <v>34.119999999999997</v>
      </c>
      <c r="W44" s="6">
        <v>0.61</v>
      </c>
      <c r="X44" s="6">
        <v>33.6</v>
      </c>
      <c r="Y44" s="6">
        <v>6.5</v>
      </c>
      <c r="Z44" s="6">
        <v>0.6</v>
      </c>
      <c r="AA44" s="6">
        <v>8.02</v>
      </c>
      <c r="AB44" s="6">
        <v>0.59</v>
      </c>
      <c r="AC44" s="6">
        <v>30.91</v>
      </c>
      <c r="AD44" s="6">
        <v>5.48</v>
      </c>
      <c r="AE44" s="6">
        <v>34.15</v>
      </c>
      <c r="AF44" s="6">
        <v>5.46</v>
      </c>
      <c r="AG44" s="14">
        <v>33</v>
      </c>
      <c r="AH44" s="6">
        <v>6.33</v>
      </c>
      <c r="AI44" s="6">
        <v>5.45</v>
      </c>
      <c r="AJ44" s="6">
        <v>8.08</v>
      </c>
      <c r="AK44" s="6">
        <v>5.43</v>
      </c>
      <c r="AL44" s="6">
        <v>7.25</v>
      </c>
      <c r="AM44" s="6">
        <v>7</v>
      </c>
      <c r="AN44" s="6">
        <v>7</v>
      </c>
      <c r="AO44" s="6">
        <f t="shared" si="1"/>
        <v>7.083333333333333</v>
      </c>
      <c r="AP44" s="6">
        <v>0.5</v>
      </c>
      <c r="AQ44" s="6">
        <v>5.5</v>
      </c>
      <c r="AR44" s="6">
        <v>194</v>
      </c>
      <c r="AS44" s="6">
        <v>195</v>
      </c>
      <c r="AT44" s="11">
        <v>125</v>
      </c>
      <c r="AU44" s="11">
        <v>126</v>
      </c>
      <c r="AV44" s="11">
        <v>61</v>
      </c>
      <c r="AW44" s="11">
        <v>63</v>
      </c>
      <c r="AX44" s="11">
        <v>64</v>
      </c>
      <c r="AY44" s="11">
        <v>61</v>
      </c>
      <c r="AZ44" s="11">
        <v>78</v>
      </c>
      <c r="BA44" s="11">
        <v>84</v>
      </c>
      <c r="BB44" s="11">
        <v>53</v>
      </c>
      <c r="BC44" s="13" t="s">
        <v>106</v>
      </c>
      <c r="BD44" s="19"/>
    </row>
    <row r="45" spans="1:56" ht="15.75" customHeight="1" x14ac:dyDescent="0.15">
      <c r="A45" s="4">
        <v>2</v>
      </c>
      <c r="B45" s="5" t="str">
        <f>LOOKUP($D45,Site_Meta!$C$2:$C$43,Site_Meta!A$2:A$43)</f>
        <v>Cayo Rodriguez 5m</v>
      </c>
      <c r="C45" s="5" t="str">
        <f>LOOKUP($D45,Site_Meta!$C$2:$C$43,Site_Meta!B$2:B$43)</f>
        <v>Mayaguez</v>
      </c>
      <c r="D45" s="5" t="s">
        <v>135</v>
      </c>
      <c r="E45" s="5" t="str">
        <f>LOOKUP($D45,Site_Meta!$C$2:$C$43,Site_Meta!D$2:D$43)</f>
        <v>West</v>
      </c>
      <c r="F45" s="5" t="str">
        <f>LOOKUP($D45,Site_Meta!$C$2:$C$43,Site_Meta!E$2:E$43)</f>
        <v>W</v>
      </c>
      <c r="G45" s="5">
        <f>LOOKUP($D45,Site_Meta!$C$2:$C$43,Site_Meta!F$2:F$43)</f>
        <v>18.189299999999999</v>
      </c>
      <c r="H45" s="5">
        <f>LOOKUP($D45,Site_Meta!$C$2:$C$43,Site_Meta!G$2:G$43)</f>
        <v>-67.191900000000004</v>
      </c>
      <c r="I45" s="5">
        <f>LOOKUP($D45,Site_Meta!$C$2:$C$43,Site_Meta!H$2:H$43)</f>
        <v>5</v>
      </c>
      <c r="J45" s="6">
        <v>10</v>
      </c>
      <c r="K45" s="6">
        <v>25</v>
      </c>
      <c r="L45" s="6">
        <v>2023</v>
      </c>
      <c r="M45" s="7" t="str">
        <f t="shared" si="0"/>
        <v>10/25/2023</v>
      </c>
      <c r="N45" s="6" t="s">
        <v>108</v>
      </c>
      <c r="O45" s="6" t="s">
        <v>63</v>
      </c>
      <c r="P45" s="6" t="s">
        <v>58</v>
      </c>
      <c r="Q45" s="6"/>
      <c r="R45" s="8">
        <v>0.41180555555555554</v>
      </c>
      <c r="S45" s="8">
        <v>0.42569444444444443</v>
      </c>
      <c r="T45" s="6">
        <v>30.53</v>
      </c>
      <c r="U45" s="6">
        <v>0.54</v>
      </c>
      <c r="V45" s="6">
        <v>35.04</v>
      </c>
      <c r="W45" s="6">
        <v>0.54</v>
      </c>
      <c r="X45" s="6">
        <v>34.200000000000003</v>
      </c>
      <c r="Y45" s="6">
        <v>6.34</v>
      </c>
      <c r="Z45" s="6">
        <v>0.54</v>
      </c>
      <c r="AA45" s="6">
        <v>8.09</v>
      </c>
      <c r="AB45" s="6">
        <v>0.54</v>
      </c>
      <c r="AC45" s="6">
        <v>30.49</v>
      </c>
      <c r="AD45" s="6">
        <v>9.86</v>
      </c>
      <c r="AE45" s="6">
        <v>35.479999999999997</v>
      </c>
      <c r="AF45" s="6">
        <v>9.86</v>
      </c>
      <c r="AG45" s="6">
        <v>33.299999999999997</v>
      </c>
      <c r="AH45" s="6">
        <v>5.72</v>
      </c>
      <c r="AI45" s="6">
        <v>9.86</v>
      </c>
      <c r="AJ45" s="6">
        <v>8.17</v>
      </c>
      <c r="AK45" s="6">
        <v>9.86</v>
      </c>
      <c r="AL45" s="6">
        <v>5.25</v>
      </c>
      <c r="AM45" s="6">
        <v>5.25</v>
      </c>
      <c r="AN45" s="6">
        <v>5.25</v>
      </c>
      <c r="AO45" s="6">
        <f t="shared" si="1"/>
        <v>5.25</v>
      </c>
      <c r="AP45" s="6">
        <v>0.5</v>
      </c>
      <c r="AQ45" s="6">
        <v>9.5</v>
      </c>
      <c r="AR45" s="6">
        <v>367</v>
      </c>
      <c r="AS45" s="6">
        <v>368</v>
      </c>
      <c r="AT45" s="11">
        <v>369</v>
      </c>
      <c r="AU45" s="11">
        <v>370</v>
      </c>
      <c r="AV45" s="11">
        <v>371</v>
      </c>
      <c r="AW45" s="11">
        <v>372</v>
      </c>
      <c r="AX45" s="11">
        <v>373</v>
      </c>
      <c r="AY45" s="11">
        <v>374</v>
      </c>
      <c r="AZ45" s="11">
        <v>375</v>
      </c>
      <c r="BA45" s="11">
        <v>376</v>
      </c>
      <c r="BB45" s="11">
        <v>553</v>
      </c>
      <c r="BC45" s="21" t="s">
        <v>110</v>
      </c>
      <c r="BD45" s="19"/>
    </row>
    <row r="46" spans="1:56" ht="15.75" customHeight="1" x14ac:dyDescent="0.15">
      <c r="A46" s="4">
        <v>2</v>
      </c>
      <c r="B46" s="5" t="str">
        <f>LOOKUP($D46,Site_Meta!$C$2:$C$43,Site_Meta!A$2:A$43)</f>
        <v>El Seco 30m</v>
      </c>
      <c r="C46" s="5" t="str">
        <f>LOOKUP($D46,Site_Meta!$C$2:$C$43,Site_Meta!B$2:B$43)</f>
        <v>Isla Vieques</v>
      </c>
      <c r="D46" s="5" t="s">
        <v>136</v>
      </c>
      <c r="E46" s="5" t="str">
        <f>LOOKUP($D46,Site_Meta!$C$2:$C$43,Site_Meta!D$2:D$43)</f>
        <v>Vieques/Culebra</v>
      </c>
      <c r="F46" s="5" t="str">
        <f>LOOKUP($D46,Site_Meta!$C$2:$C$43,Site_Meta!E$2:E$43)</f>
        <v>E</v>
      </c>
      <c r="G46" s="5">
        <f>LOOKUP($D46,Site_Meta!$C$2:$C$43,Site_Meta!F$2:F$43)</f>
        <v>18.13869</v>
      </c>
      <c r="H46" s="5">
        <f>LOOKUP($D46,Site_Meta!$C$2:$C$43,Site_Meta!G$2:G$43)</f>
        <v>-65.197100000000006</v>
      </c>
      <c r="I46" s="5">
        <f>LOOKUP($D46,Site_Meta!$C$2:$C$43,Site_Meta!H$2:H$43)</f>
        <v>30</v>
      </c>
      <c r="J46" s="6">
        <v>10</v>
      </c>
      <c r="K46" s="6">
        <v>14</v>
      </c>
      <c r="L46" s="6">
        <v>2023</v>
      </c>
      <c r="M46" s="7" t="str">
        <f t="shared" si="0"/>
        <v>10/14/2023</v>
      </c>
      <c r="N46" s="6" t="s">
        <v>70</v>
      </c>
      <c r="O46" s="6" t="s">
        <v>74</v>
      </c>
      <c r="P46" s="6" t="s">
        <v>58</v>
      </c>
      <c r="Q46" s="6"/>
      <c r="R46" s="8">
        <v>0.31805555555555554</v>
      </c>
      <c r="S46" s="8">
        <v>0.34375</v>
      </c>
      <c r="T46" s="6">
        <v>29.81</v>
      </c>
      <c r="U46" s="6">
        <v>0.54</v>
      </c>
      <c r="V46" s="6">
        <v>29.34</v>
      </c>
      <c r="W46" s="6">
        <v>0.54</v>
      </c>
      <c r="X46" s="6">
        <v>34.200000000000003</v>
      </c>
      <c r="Y46" s="6">
        <v>6.55</v>
      </c>
      <c r="Z46" s="6">
        <v>0.55000000000000004</v>
      </c>
      <c r="AA46" s="6">
        <v>7.89</v>
      </c>
      <c r="AB46" s="6">
        <v>0.55000000000000004</v>
      </c>
      <c r="AC46" s="6">
        <v>29.29</v>
      </c>
      <c r="AD46" s="6">
        <v>35.450000000000003</v>
      </c>
      <c r="AE46" s="6">
        <v>25.84</v>
      </c>
      <c r="AF46" s="6">
        <v>35.479999999999997</v>
      </c>
      <c r="AG46" s="6">
        <v>34.6</v>
      </c>
      <c r="AH46" s="6">
        <v>6.15</v>
      </c>
      <c r="AI46" s="6">
        <v>35.520000000000003</v>
      </c>
      <c r="AJ46" s="6">
        <v>8.07</v>
      </c>
      <c r="AK46" s="6">
        <v>35.51</v>
      </c>
      <c r="AL46" s="6" t="s">
        <v>137</v>
      </c>
      <c r="AM46" s="6" t="s">
        <v>137</v>
      </c>
      <c r="AN46" s="6" t="s">
        <v>137</v>
      </c>
      <c r="AO46" s="6" t="e">
        <f t="shared" si="1"/>
        <v>#DIV/0!</v>
      </c>
      <c r="AP46" s="6">
        <v>0.5</v>
      </c>
      <c r="AQ46" s="6">
        <v>35</v>
      </c>
      <c r="AR46" s="6">
        <v>455</v>
      </c>
      <c r="AS46" s="6">
        <v>456</v>
      </c>
      <c r="AT46" s="6">
        <v>457</v>
      </c>
      <c r="AU46" s="6">
        <v>458</v>
      </c>
      <c r="AV46" s="6">
        <v>459</v>
      </c>
      <c r="AW46" s="6">
        <v>460</v>
      </c>
      <c r="AX46" s="6">
        <v>461</v>
      </c>
      <c r="AY46" s="6">
        <v>462</v>
      </c>
      <c r="AZ46" s="6">
        <v>463</v>
      </c>
      <c r="BA46" s="6">
        <v>464</v>
      </c>
      <c r="BB46" s="6">
        <v>498</v>
      </c>
      <c r="BC46" s="13" t="s">
        <v>61</v>
      </c>
      <c r="BD46" s="19"/>
    </row>
    <row r="47" spans="1:56" ht="15.75" customHeight="1" x14ac:dyDescent="0.15">
      <c r="A47" s="4">
        <v>2</v>
      </c>
      <c r="B47" s="5" t="str">
        <f>LOOKUP($D47,Site_Meta!$C$2:$C$43,Site_Meta!A$2:A$43)</f>
        <v>Tourmaline 10m</v>
      </c>
      <c r="C47" s="5" t="str">
        <f>LOOKUP($D47,Site_Meta!$C$2:$C$43,Site_Meta!B$2:B$43)</f>
        <v>Cabo Rojo</v>
      </c>
      <c r="D47" s="5" t="s">
        <v>138</v>
      </c>
      <c r="E47" s="5" t="str">
        <f>LOOKUP($D47,Site_Meta!$C$2:$C$43,Site_Meta!D$2:D$43)</f>
        <v>West</v>
      </c>
      <c r="F47" s="5" t="str">
        <f>LOOKUP($D47,Site_Meta!$C$2:$C$43,Site_Meta!E$2:E$43)</f>
        <v>W</v>
      </c>
      <c r="G47" s="5">
        <f>LOOKUP($D47,Site_Meta!$C$2:$C$43,Site_Meta!F$2:F$43)</f>
        <v>18.163039999999999</v>
      </c>
      <c r="H47" s="5">
        <f>LOOKUP($D47,Site_Meta!$C$2:$C$43,Site_Meta!G$2:G$43)</f>
        <v>-67.273700000000005</v>
      </c>
      <c r="I47" s="5">
        <f>LOOKUP($D47,Site_Meta!$C$2:$C$43,Site_Meta!H$2:H$43)</f>
        <v>10</v>
      </c>
      <c r="J47" s="6">
        <v>10</v>
      </c>
      <c r="K47" s="6">
        <v>5</v>
      </c>
      <c r="L47" s="6">
        <v>2023</v>
      </c>
      <c r="M47" s="7" t="str">
        <f t="shared" si="0"/>
        <v>10/5/2023</v>
      </c>
      <c r="N47" s="6" t="s">
        <v>56</v>
      </c>
      <c r="O47" s="6" t="s">
        <v>63</v>
      </c>
      <c r="P47" s="6" t="s">
        <v>115</v>
      </c>
      <c r="Q47" s="6" t="s">
        <v>58</v>
      </c>
      <c r="R47" s="8">
        <v>0.42430555555555555</v>
      </c>
      <c r="S47" s="8">
        <v>0.45</v>
      </c>
      <c r="T47" s="6">
        <v>30.51</v>
      </c>
      <c r="U47" s="6">
        <v>0.55000000000000004</v>
      </c>
      <c r="V47" s="11">
        <v>90.04</v>
      </c>
      <c r="W47" s="6">
        <v>0.54</v>
      </c>
      <c r="X47" s="6">
        <v>34.1</v>
      </c>
      <c r="Y47" s="6">
        <v>4.54</v>
      </c>
      <c r="Z47" s="6">
        <v>0.64</v>
      </c>
      <c r="AA47" s="6">
        <v>8.6300000000000008</v>
      </c>
      <c r="AB47" s="6">
        <v>0.77</v>
      </c>
      <c r="AC47" s="6">
        <v>30.51</v>
      </c>
      <c r="AD47" s="6">
        <v>9.57</v>
      </c>
      <c r="AE47" s="6">
        <v>94.4</v>
      </c>
      <c r="AF47" s="6">
        <v>9.68</v>
      </c>
      <c r="AG47" s="6">
        <v>34.4</v>
      </c>
      <c r="AH47" s="6">
        <v>4.37</v>
      </c>
      <c r="AI47" s="6">
        <v>9.92</v>
      </c>
      <c r="AJ47" s="6">
        <v>8.68</v>
      </c>
      <c r="AK47" s="6">
        <v>9.5</v>
      </c>
      <c r="AL47" s="6" t="s">
        <v>82</v>
      </c>
      <c r="AM47" s="6" t="s">
        <v>82</v>
      </c>
      <c r="AN47" s="6" t="s">
        <v>82</v>
      </c>
      <c r="AO47" s="6" t="e">
        <f t="shared" si="1"/>
        <v>#DIV/0!</v>
      </c>
      <c r="AP47" s="6">
        <v>0.5</v>
      </c>
      <c r="AQ47" s="6">
        <v>9.5</v>
      </c>
      <c r="AR47" s="6">
        <v>213</v>
      </c>
      <c r="AS47" s="6">
        <v>214</v>
      </c>
      <c r="AT47" s="11">
        <v>215</v>
      </c>
      <c r="AU47" s="11">
        <v>216</v>
      </c>
      <c r="AV47" s="11">
        <v>217</v>
      </c>
      <c r="AW47" s="11">
        <v>218</v>
      </c>
      <c r="AX47" s="11">
        <v>219</v>
      </c>
      <c r="AY47" s="11">
        <v>220</v>
      </c>
      <c r="AZ47" s="11">
        <v>221</v>
      </c>
      <c r="BA47" s="11">
        <v>222</v>
      </c>
      <c r="BB47" s="11">
        <v>300</v>
      </c>
      <c r="BC47" s="12" t="s">
        <v>139</v>
      </c>
      <c r="BD47" s="19"/>
    </row>
    <row r="48" spans="1:56" ht="15.75" customHeight="1" x14ac:dyDescent="0.15">
      <c r="A48" s="4">
        <v>2</v>
      </c>
      <c r="B48" s="5" t="str">
        <f>LOOKUP($D48,Site_Meta!$C$2:$C$43,Site_Meta!A$2:A$43)</f>
        <v>Tourmaline 10m</v>
      </c>
      <c r="C48" s="5" t="str">
        <f>LOOKUP($D48,Site_Meta!$C$2:$C$43,Site_Meta!B$2:B$43)</f>
        <v>Cabo Rojo</v>
      </c>
      <c r="D48" s="5" t="s">
        <v>138</v>
      </c>
      <c r="E48" s="5" t="str">
        <f>LOOKUP($D48,Site_Meta!$C$2:$C$43,Site_Meta!D$2:D$43)</f>
        <v>West</v>
      </c>
      <c r="F48" s="5" t="str">
        <f>LOOKUP($D48,Site_Meta!$C$2:$C$43,Site_Meta!E$2:E$43)</f>
        <v>W</v>
      </c>
      <c r="G48" s="5">
        <f>LOOKUP($D48,Site_Meta!$C$2:$C$43,Site_Meta!F$2:F$43)</f>
        <v>18.163039999999999</v>
      </c>
      <c r="H48" s="5">
        <f>LOOKUP($D48,Site_Meta!$C$2:$C$43,Site_Meta!G$2:G$43)</f>
        <v>-67.273700000000005</v>
      </c>
      <c r="I48" s="5">
        <f>LOOKUP($D48,Site_Meta!$C$2:$C$43,Site_Meta!H$2:H$43)</f>
        <v>10</v>
      </c>
      <c r="J48" s="6">
        <v>10</v>
      </c>
      <c r="K48" s="6">
        <v>5</v>
      </c>
      <c r="L48" s="6">
        <v>2023</v>
      </c>
      <c r="M48" s="7" t="str">
        <f t="shared" si="0"/>
        <v>10/5/2023</v>
      </c>
      <c r="N48" s="6" t="s">
        <v>56</v>
      </c>
      <c r="O48" s="6" t="s">
        <v>63</v>
      </c>
      <c r="P48" s="6" t="s">
        <v>115</v>
      </c>
      <c r="Q48" s="6" t="s">
        <v>58</v>
      </c>
      <c r="R48" s="8">
        <v>0.42430555555555555</v>
      </c>
      <c r="S48" s="8">
        <v>0.45</v>
      </c>
      <c r="T48" s="6">
        <v>30.5</v>
      </c>
      <c r="U48" s="6">
        <v>0.5</v>
      </c>
      <c r="V48" s="6">
        <v>27.32</v>
      </c>
      <c r="W48" s="6">
        <v>0.49</v>
      </c>
      <c r="X48" s="6">
        <v>34.1</v>
      </c>
      <c r="Y48" s="6">
        <v>6.38</v>
      </c>
      <c r="Z48" s="6">
        <v>0.56000000000000005</v>
      </c>
      <c r="AA48" s="6">
        <v>8.0399999999999991</v>
      </c>
      <c r="AB48" s="6">
        <v>0.51</v>
      </c>
      <c r="AC48" s="6">
        <v>30.53</v>
      </c>
      <c r="AD48" s="6">
        <v>9.4</v>
      </c>
      <c r="AE48" s="6">
        <v>27.91</v>
      </c>
      <c r="AF48" s="6">
        <v>9.5399999999999991</v>
      </c>
      <c r="AG48" s="6">
        <v>34.4</v>
      </c>
      <c r="AH48" s="6">
        <v>6.31</v>
      </c>
      <c r="AI48" s="6">
        <v>9.51</v>
      </c>
      <c r="AJ48" s="6">
        <v>8.1</v>
      </c>
      <c r="AK48" s="6">
        <v>9.5500000000000007</v>
      </c>
      <c r="AL48" s="6" t="s">
        <v>59</v>
      </c>
      <c r="AM48" s="6" t="s">
        <v>59</v>
      </c>
      <c r="AN48" s="6" t="s">
        <v>59</v>
      </c>
      <c r="AO48" s="6" t="e">
        <f t="shared" si="1"/>
        <v>#DIV/0!</v>
      </c>
      <c r="AP48" s="6" t="s">
        <v>59</v>
      </c>
      <c r="AQ48" s="6" t="s">
        <v>59</v>
      </c>
      <c r="AR48" s="11" t="s">
        <v>59</v>
      </c>
      <c r="AS48" s="11" t="s">
        <v>59</v>
      </c>
      <c r="AT48" s="11" t="s">
        <v>59</v>
      </c>
      <c r="AU48" s="11" t="s">
        <v>59</v>
      </c>
      <c r="AV48" s="11" t="s">
        <v>59</v>
      </c>
      <c r="AW48" s="11" t="s">
        <v>59</v>
      </c>
      <c r="AX48" s="11" t="s">
        <v>59</v>
      </c>
      <c r="AY48" s="11" t="s">
        <v>59</v>
      </c>
      <c r="AZ48" s="11" t="s">
        <v>59</v>
      </c>
      <c r="BA48" s="11" t="s">
        <v>59</v>
      </c>
      <c r="BB48" s="11" t="s">
        <v>59</v>
      </c>
      <c r="BC48" s="13" t="s">
        <v>61</v>
      </c>
      <c r="BD48" s="19"/>
    </row>
    <row r="49" spans="1:56" ht="15.75" customHeight="1" x14ac:dyDescent="0.15">
      <c r="A49" s="4">
        <v>2</v>
      </c>
      <c r="B49" s="5" t="str">
        <f>LOOKUP($D49,Site_Meta!$C$2:$C$43,Site_Meta!A$2:A$43)</f>
        <v>Tourmaline 20m</v>
      </c>
      <c r="C49" s="5" t="str">
        <f>LOOKUP($D49,Site_Meta!$C$2:$C$43,Site_Meta!B$2:B$43)</f>
        <v>Cabo Rojo</v>
      </c>
      <c r="D49" s="5" t="s">
        <v>140</v>
      </c>
      <c r="E49" s="5" t="str">
        <f>LOOKUP($D49,Site_Meta!$C$2:$C$43,Site_Meta!D$2:D$43)</f>
        <v>West</v>
      </c>
      <c r="F49" s="5" t="str">
        <f>LOOKUP($D49,Site_Meta!$C$2:$C$43,Site_Meta!E$2:E$43)</f>
        <v>W</v>
      </c>
      <c r="G49" s="5">
        <f>LOOKUP($D49,Site_Meta!$C$2:$C$43,Site_Meta!F$2:F$43)</f>
        <v>18.16517</v>
      </c>
      <c r="H49" s="5">
        <f>LOOKUP($D49,Site_Meta!$C$2:$C$43,Site_Meta!G$2:G$43)</f>
        <v>-67.275199999999998</v>
      </c>
      <c r="I49" s="5">
        <f>LOOKUP($D49,Site_Meta!$C$2:$C$43,Site_Meta!H$2:H$43)</f>
        <v>20</v>
      </c>
      <c r="J49" s="6">
        <v>10</v>
      </c>
      <c r="K49" s="6">
        <v>5</v>
      </c>
      <c r="L49" s="6">
        <v>2023</v>
      </c>
      <c r="M49" s="7" t="str">
        <f t="shared" si="0"/>
        <v>10/5/2023</v>
      </c>
      <c r="N49" s="6" t="s">
        <v>56</v>
      </c>
      <c r="O49" s="6" t="s">
        <v>63</v>
      </c>
      <c r="P49" s="6" t="s">
        <v>115</v>
      </c>
      <c r="Q49" s="6" t="s">
        <v>58</v>
      </c>
      <c r="R49" s="8">
        <v>0.39583333333333331</v>
      </c>
      <c r="S49" s="8">
        <v>0.41805555555555557</v>
      </c>
      <c r="T49" s="6">
        <v>30.54</v>
      </c>
      <c r="U49" s="6">
        <v>0.32</v>
      </c>
      <c r="V49" s="6">
        <v>119.6</v>
      </c>
      <c r="W49" s="6">
        <v>0.57999999999999996</v>
      </c>
      <c r="X49" s="6">
        <v>34.200000000000003</v>
      </c>
      <c r="Y49" s="6">
        <v>3.3</v>
      </c>
      <c r="Z49" s="6">
        <v>0.27</v>
      </c>
      <c r="AA49" s="6">
        <v>8.7100000000000009</v>
      </c>
      <c r="AB49" s="6">
        <v>0.4</v>
      </c>
      <c r="AC49" s="6">
        <v>29.36</v>
      </c>
      <c r="AD49" s="6">
        <v>22.66</v>
      </c>
      <c r="AE49" s="6">
        <v>125.3</v>
      </c>
      <c r="AF49" s="6">
        <v>22.65</v>
      </c>
      <c r="AG49" s="6">
        <v>34.5</v>
      </c>
      <c r="AH49" s="6">
        <v>3.76</v>
      </c>
      <c r="AI49" s="6">
        <v>22.55</v>
      </c>
      <c r="AJ49" s="6">
        <v>8.75</v>
      </c>
      <c r="AK49" s="6">
        <v>22.71</v>
      </c>
      <c r="AL49" s="6">
        <v>10.75</v>
      </c>
      <c r="AM49" s="6">
        <v>10.75</v>
      </c>
      <c r="AN49" s="6">
        <v>11</v>
      </c>
      <c r="AO49" s="6">
        <f t="shared" si="1"/>
        <v>10.833333333333334</v>
      </c>
      <c r="AP49" s="6">
        <v>0.5</v>
      </c>
      <c r="AQ49" s="6">
        <v>22</v>
      </c>
      <c r="AR49" s="6">
        <v>202</v>
      </c>
      <c r="AS49" s="6">
        <v>203</v>
      </c>
      <c r="AT49" s="11">
        <v>204</v>
      </c>
      <c r="AU49" s="11">
        <v>205</v>
      </c>
      <c r="AV49" s="11">
        <v>206</v>
      </c>
      <c r="AW49" s="11">
        <v>207</v>
      </c>
      <c r="AX49" s="11">
        <v>208</v>
      </c>
      <c r="AY49" s="11">
        <v>209</v>
      </c>
      <c r="AZ49" s="11">
        <v>210</v>
      </c>
      <c r="BA49" s="11">
        <v>211</v>
      </c>
      <c r="BB49" s="11">
        <v>289</v>
      </c>
      <c r="BC49" s="12" t="s">
        <v>139</v>
      </c>
      <c r="BD49" s="19"/>
    </row>
    <row r="50" spans="1:56" ht="15.75" customHeight="1" x14ac:dyDescent="0.15">
      <c r="A50" s="4">
        <v>2</v>
      </c>
      <c r="B50" s="5" t="str">
        <f>LOOKUP($D50,Site_Meta!$C$2:$C$43,Site_Meta!A$2:A$43)</f>
        <v>Tourmaline 20m</v>
      </c>
      <c r="C50" s="5" t="str">
        <f>LOOKUP($D50,Site_Meta!$C$2:$C$43,Site_Meta!B$2:B$43)</f>
        <v>Cabo Rojo</v>
      </c>
      <c r="D50" s="5" t="s">
        <v>140</v>
      </c>
      <c r="E50" s="5" t="str">
        <f>LOOKUP($D50,Site_Meta!$C$2:$C$43,Site_Meta!D$2:D$43)</f>
        <v>West</v>
      </c>
      <c r="F50" s="5" t="str">
        <f>LOOKUP($D50,Site_Meta!$C$2:$C$43,Site_Meta!E$2:E$43)</f>
        <v>W</v>
      </c>
      <c r="G50" s="5">
        <f>LOOKUP($D50,Site_Meta!$C$2:$C$43,Site_Meta!F$2:F$43)</f>
        <v>18.16517</v>
      </c>
      <c r="H50" s="5">
        <f>LOOKUP($D50,Site_Meta!$C$2:$C$43,Site_Meta!G$2:G$43)</f>
        <v>-67.275199999999998</v>
      </c>
      <c r="I50" s="5">
        <f>LOOKUP($D50,Site_Meta!$C$2:$C$43,Site_Meta!H$2:H$43)</f>
        <v>20</v>
      </c>
      <c r="J50" s="6">
        <v>10</v>
      </c>
      <c r="K50" s="6">
        <v>5</v>
      </c>
      <c r="L50" s="6">
        <v>2023</v>
      </c>
      <c r="M50" s="7" t="str">
        <f t="shared" si="0"/>
        <v>10/5/2023</v>
      </c>
      <c r="N50" s="6" t="s">
        <v>56</v>
      </c>
      <c r="O50" s="6" t="s">
        <v>63</v>
      </c>
      <c r="P50" s="6" t="s">
        <v>115</v>
      </c>
      <c r="Q50" s="6" t="s">
        <v>58</v>
      </c>
      <c r="R50" s="8">
        <v>0.39583333333333331</v>
      </c>
      <c r="S50" s="8">
        <v>0.41805555555555557</v>
      </c>
      <c r="T50" s="6">
        <v>30.48</v>
      </c>
      <c r="U50" s="6">
        <v>0.5</v>
      </c>
      <c r="V50" s="6">
        <v>12.74</v>
      </c>
      <c r="W50" s="6">
        <v>0.54</v>
      </c>
      <c r="X50" s="6">
        <v>34.200000000000003</v>
      </c>
      <c r="Y50" s="6">
        <v>6.79</v>
      </c>
      <c r="Z50" s="6">
        <v>0.54</v>
      </c>
      <c r="AA50" s="6">
        <v>8.0500000000000007</v>
      </c>
      <c r="AB50" s="6">
        <v>0.53</v>
      </c>
      <c r="AC50" s="6">
        <v>30.54</v>
      </c>
      <c r="AD50" s="6">
        <v>21.79</v>
      </c>
      <c r="AE50" s="6">
        <v>13.72</v>
      </c>
      <c r="AF50" s="6">
        <v>21.65</v>
      </c>
      <c r="AG50" s="6">
        <v>34.5</v>
      </c>
      <c r="AH50" s="6">
        <v>6.78</v>
      </c>
      <c r="AI50" s="6">
        <v>21.69</v>
      </c>
      <c r="AJ50" s="6">
        <v>8.1</v>
      </c>
      <c r="AK50" s="6">
        <v>21.08</v>
      </c>
      <c r="AL50" s="6" t="s">
        <v>59</v>
      </c>
      <c r="AM50" s="6" t="s">
        <v>59</v>
      </c>
      <c r="AN50" s="6" t="s">
        <v>59</v>
      </c>
      <c r="AO50" s="6" t="e">
        <f t="shared" si="1"/>
        <v>#DIV/0!</v>
      </c>
      <c r="AP50" s="6" t="s">
        <v>59</v>
      </c>
      <c r="AQ50" s="6" t="s">
        <v>59</v>
      </c>
      <c r="AR50" s="11" t="s">
        <v>59</v>
      </c>
      <c r="AS50" s="11" t="s">
        <v>59</v>
      </c>
      <c r="AT50" s="11" t="s">
        <v>59</v>
      </c>
      <c r="AU50" s="11" t="s">
        <v>59</v>
      </c>
      <c r="AV50" s="11" t="s">
        <v>59</v>
      </c>
      <c r="AW50" s="11" t="s">
        <v>59</v>
      </c>
      <c r="AX50" s="11" t="s">
        <v>59</v>
      </c>
      <c r="AY50" s="11" t="s">
        <v>59</v>
      </c>
      <c r="AZ50" s="11" t="s">
        <v>59</v>
      </c>
      <c r="BA50" s="11" t="s">
        <v>59</v>
      </c>
      <c r="BB50" s="11" t="s">
        <v>59</v>
      </c>
      <c r="BC50" s="13" t="s">
        <v>61</v>
      </c>
      <c r="BD50" s="19"/>
    </row>
    <row r="51" spans="1:56" ht="15.75" customHeight="1" x14ac:dyDescent="0.15">
      <c r="A51" s="4">
        <v>2</v>
      </c>
      <c r="B51" s="5" t="str">
        <f>LOOKUP($D51,Site_Meta!$C$2:$C$43,Site_Meta!A$2:A$43)</f>
        <v>Tourmaline 30m</v>
      </c>
      <c r="C51" s="5" t="str">
        <f>LOOKUP($D51,Site_Meta!$C$2:$C$43,Site_Meta!B$2:B$43)</f>
        <v>Cabo Rojo</v>
      </c>
      <c r="D51" s="5" t="s">
        <v>141</v>
      </c>
      <c r="E51" s="5" t="str">
        <f>LOOKUP($D51,Site_Meta!$C$2:$C$43,Site_Meta!D$2:D$43)</f>
        <v>West</v>
      </c>
      <c r="F51" s="5" t="str">
        <f>LOOKUP($D51,Site_Meta!$C$2:$C$43,Site_Meta!E$2:E$43)</f>
        <v>W</v>
      </c>
      <c r="G51" s="5">
        <f>LOOKUP($D51,Site_Meta!$C$2:$C$43,Site_Meta!F$2:F$43)</f>
        <v>18.166370000000001</v>
      </c>
      <c r="H51" s="5">
        <f>LOOKUP($D51,Site_Meta!$C$2:$C$43,Site_Meta!G$2:G$43)</f>
        <v>-67.276300000000006</v>
      </c>
      <c r="I51" s="5">
        <f>LOOKUP($D51,Site_Meta!$C$2:$C$43,Site_Meta!H$2:H$43)</f>
        <v>30</v>
      </c>
      <c r="J51" s="6">
        <v>10</v>
      </c>
      <c r="K51" s="6">
        <v>5</v>
      </c>
      <c r="L51" s="6">
        <v>2023</v>
      </c>
      <c r="M51" s="7" t="str">
        <f t="shared" si="0"/>
        <v>10/5/2023</v>
      </c>
      <c r="N51" s="6" t="s">
        <v>56</v>
      </c>
      <c r="O51" s="6" t="s">
        <v>63</v>
      </c>
      <c r="P51" s="6" t="s">
        <v>115</v>
      </c>
      <c r="Q51" s="6" t="s">
        <v>58</v>
      </c>
      <c r="R51" s="22">
        <v>0.34722222222222221</v>
      </c>
      <c r="S51" s="8">
        <v>0.37777777777777777</v>
      </c>
      <c r="T51" s="6">
        <v>30.54</v>
      </c>
      <c r="U51" s="6">
        <v>0.43</v>
      </c>
      <c r="V51" s="6">
        <v>120.8</v>
      </c>
      <c r="W51" s="6">
        <v>0.43</v>
      </c>
      <c r="X51" s="14">
        <v>34</v>
      </c>
      <c r="Y51" s="6">
        <v>3.78</v>
      </c>
      <c r="Z51" s="6">
        <v>0.43</v>
      </c>
      <c r="AA51" s="6">
        <v>8.7100000000000009</v>
      </c>
      <c r="AB51" s="6">
        <v>0.43</v>
      </c>
      <c r="AC51" s="6">
        <v>29.35</v>
      </c>
      <c r="AD51" s="6">
        <v>22.85</v>
      </c>
      <c r="AE51" s="6">
        <v>125</v>
      </c>
      <c r="AF51" s="6">
        <v>22.85</v>
      </c>
      <c r="AG51" s="6">
        <v>35.200000000000003</v>
      </c>
      <c r="AH51" s="6">
        <v>3.77</v>
      </c>
      <c r="AI51" s="6">
        <v>22.85</v>
      </c>
      <c r="AJ51" s="6">
        <v>8.75</v>
      </c>
      <c r="AK51" s="6">
        <v>22.85</v>
      </c>
      <c r="AL51" s="6">
        <v>14.25</v>
      </c>
      <c r="AM51" s="6">
        <v>14.5</v>
      </c>
      <c r="AN51" s="6">
        <v>14.5</v>
      </c>
      <c r="AO51" s="6">
        <f t="shared" si="1"/>
        <v>14.416666666666666</v>
      </c>
      <c r="AP51" s="6">
        <v>0.5</v>
      </c>
      <c r="AQ51" s="6">
        <v>27</v>
      </c>
      <c r="AR51" s="6">
        <v>224</v>
      </c>
      <c r="AS51" s="6">
        <v>225</v>
      </c>
      <c r="AT51" s="11">
        <v>226</v>
      </c>
      <c r="AU51" s="11">
        <v>227</v>
      </c>
      <c r="AV51" s="11">
        <v>228</v>
      </c>
      <c r="AW51" s="11">
        <v>229</v>
      </c>
      <c r="AX51" s="11">
        <v>230</v>
      </c>
      <c r="AY51" s="11">
        <v>231</v>
      </c>
      <c r="AZ51" s="11">
        <v>232</v>
      </c>
      <c r="BA51" s="11">
        <v>233</v>
      </c>
      <c r="BB51" s="11">
        <v>278</v>
      </c>
      <c r="BC51" s="12" t="s">
        <v>142</v>
      </c>
      <c r="BD51" s="19"/>
    </row>
    <row r="52" spans="1:56" ht="15.75" customHeight="1" x14ac:dyDescent="0.15">
      <c r="A52" s="4">
        <v>2</v>
      </c>
      <c r="B52" s="5" t="str">
        <f>LOOKUP($D52,Site_Meta!$C$2:$C$43,Site_Meta!A$2:A$43)</f>
        <v>Tourmaline 30m</v>
      </c>
      <c r="C52" s="5" t="str">
        <f>LOOKUP($D52,Site_Meta!$C$2:$C$43,Site_Meta!B$2:B$43)</f>
        <v>Cabo Rojo</v>
      </c>
      <c r="D52" s="5" t="s">
        <v>141</v>
      </c>
      <c r="E52" s="5" t="str">
        <f>LOOKUP($D52,Site_Meta!$C$2:$C$43,Site_Meta!D$2:D$43)</f>
        <v>West</v>
      </c>
      <c r="F52" s="5" t="str">
        <f>LOOKUP($D52,Site_Meta!$C$2:$C$43,Site_Meta!E$2:E$43)</f>
        <v>W</v>
      </c>
      <c r="G52" s="5">
        <f>LOOKUP($D52,Site_Meta!$C$2:$C$43,Site_Meta!F$2:F$43)</f>
        <v>18.166370000000001</v>
      </c>
      <c r="H52" s="5">
        <f>LOOKUP($D52,Site_Meta!$C$2:$C$43,Site_Meta!G$2:G$43)</f>
        <v>-67.276300000000006</v>
      </c>
      <c r="I52" s="5">
        <f>LOOKUP($D52,Site_Meta!$C$2:$C$43,Site_Meta!H$2:H$43)</f>
        <v>30</v>
      </c>
      <c r="J52" s="6">
        <v>10</v>
      </c>
      <c r="K52" s="6">
        <v>5</v>
      </c>
      <c r="L52" s="6">
        <v>2023</v>
      </c>
      <c r="M52" s="7" t="str">
        <f t="shared" si="0"/>
        <v>10/5/2023</v>
      </c>
      <c r="N52" s="6" t="s">
        <v>56</v>
      </c>
      <c r="O52" s="6" t="s">
        <v>63</v>
      </c>
      <c r="P52" s="6" t="s">
        <v>115</v>
      </c>
      <c r="Q52" s="6" t="s">
        <v>58</v>
      </c>
      <c r="R52" s="8">
        <v>0.33958333333333335</v>
      </c>
      <c r="S52" s="8">
        <v>0.37777777777777777</v>
      </c>
      <c r="T52" s="6">
        <v>30.49</v>
      </c>
      <c r="U52" s="6">
        <v>0.56000000000000005</v>
      </c>
      <c r="V52" s="6">
        <v>35.01</v>
      </c>
      <c r="W52" s="6">
        <v>0.56999999999999995</v>
      </c>
      <c r="X52" s="6">
        <v>34.4</v>
      </c>
      <c r="Y52" s="6">
        <v>6.19</v>
      </c>
      <c r="Z52" s="6">
        <v>0.57999999999999996</v>
      </c>
      <c r="AA52" s="6">
        <v>8</v>
      </c>
      <c r="AB52" s="6">
        <v>0.57999999999999996</v>
      </c>
      <c r="AC52" s="6">
        <v>29.38</v>
      </c>
      <c r="AD52" s="6">
        <v>27.45</v>
      </c>
      <c r="AE52" s="6">
        <v>35.54</v>
      </c>
      <c r="AF52" s="6">
        <v>27.39</v>
      </c>
      <c r="AG52" s="6">
        <v>35.200000000000003</v>
      </c>
      <c r="AH52" s="6">
        <v>6.36</v>
      </c>
      <c r="AI52" s="6">
        <v>27.39</v>
      </c>
      <c r="AJ52" s="6">
        <v>8.1199999999999992</v>
      </c>
      <c r="AK52" s="6">
        <v>28.09</v>
      </c>
      <c r="AL52" s="6" t="s">
        <v>59</v>
      </c>
      <c r="AM52" s="6" t="s">
        <v>59</v>
      </c>
      <c r="AN52" s="6" t="s">
        <v>59</v>
      </c>
      <c r="AO52" s="6" t="e">
        <f t="shared" si="1"/>
        <v>#DIV/0!</v>
      </c>
      <c r="AP52" s="6" t="s">
        <v>59</v>
      </c>
      <c r="AQ52" s="6" t="s">
        <v>59</v>
      </c>
      <c r="AR52" s="11" t="s">
        <v>59</v>
      </c>
      <c r="AS52" s="11" t="s">
        <v>59</v>
      </c>
      <c r="AT52" s="11" t="s">
        <v>59</v>
      </c>
      <c r="AU52" s="11" t="s">
        <v>59</v>
      </c>
      <c r="AV52" s="11" t="s">
        <v>59</v>
      </c>
      <c r="AW52" s="11" t="s">
        <v>59</v>
      </c>
      <c r="AX52" s="11" t="s">
        <v>59</v>
      </c>
      <c r="AY52" s="11" t="s">
        <v>59</v>
      </c>
      <c r="AZ52" s="11" t="s">
        <v>59</v>
      </c>
      <c r="BA52" s="11" t="s">
        <v>59</v>
      </c>
      <c r="BB52" s="11" t="s">
        <v>59</v>
      </c>
      <c r="BC52" s="13" t="s">
        <v>61</v>
      </c>
      <c r="BD52" s="4"/>
    </row>
    <row r="53" spans="1:56" ht="15.75" customHeight="1" x14ac:dyDescent="0.15">
      <c r="A53" s="4">
        <v>2</v>
      </c>
      <c r="B53" s="6" t="str">
        <f>LOOKUP($D53,Site_Meta!$C$2:$C$43,Site_Meta!A$2:A$43)</f>
        <v>Tres Palmas 05m</v>
      </c>
      <c r="C53" s="6" t="str">
        <f>LOOKUP($D53,Site_Meta!$C$2:$C$43,Site_Meta!B$2:B$43)</f>
        <v>Rincon</v>
      </c>
      <c r="D53" s="6" t="s">
        <v>143</v>
      </c>
      <c r="E53" s="6" t="str">
        <f>LOOKUP($D53,Site_Meta!$C$2:$C$43,Site_Meta!D$2:D$43)</f>
        <v>West</v>
      </c>
      <c r="F53" s="6" t="str">
        <f>LOOKUP($D53,Site_Meta!$C$2:$C$43,Site_Meta!E$2:E$43)</f>
        <v>W</v>
      </c>
      <c r="G53" s="6">
        <f>LOOKUP($D53,Site_Meta!$C$2:$C$43,Site_Meta!F$2:F$43)</f>
        <v>18.350719999999999</v>
      </c>
      <c r="H53" s="6">
        <f>LOOKUP($D53,Site_Meta!$C$2:$C$43,Site_Meta!G$2:G$43)</f>
        <v>-67.266900000000007</v>
      </c>
      <c r="I53" s="6">
        <f>LOOKUP($D53,Site_Meta!$C$2:$C$43,Site_Meta!H$2:H$43)</f>
        <v>5</v>
      </c>
      <c r="J53" s="6">
        <v>10</v>
      </c>
      <c r="K53" s="6">
        <v>24</v>
      </c>
      <c r="L53" s="6">
        <v>2023</v>
      </c>
      <c r="M53" s="6" t="str">
        <f t="shared" si="0"/>
        <v>10/24/2023</v>
      </c>
      <c r="N53" s="6" t="s">
        <v>56</v>
      </c>
      <c r="O53" s="6" t="s">
        <v>63</v>
      </c>
      <c r="P53" s="6" t="s">
        <v>115</v>
      </c>
      <c r="Q53" s="6" t="s">
        <v>58</v>
      </c>
      <c r="R53" s="8">
        <v>0.38750000000000001</v>
      </c>
      <c r="S53" s="8">
        <v>0.40277777777777779</v>
      </c>
      <c r="T53" s="6">
        <v>30.28</v>
      </c>
      <c r="U53" s="6">
        <v>0.62</v>
      </c>
      <c r="V53" s="6">
        <v>35.270000000000003</v>
      </c>
      <c r="W53" s="6">
        <v>0.62</v>
      </c>
      <c r="X53" s="6">
        <v>33.9</v>
      </c>
      <c r="Y53" s="6">
        <v>6</v>
      </c>
      <c r="Z53" s="6">
        <v>0.62</v>
      </c>
      <c r="AA53" s="6">
        <v>8.16</v>
      </c>
      <c r="AB53" s="6">
        <v>0.62</v>
      </c>
      <c r="AC53" s="6">
        <v>30.29</v>
      </c>
      <c r="AD53" s="6">
        <v>4.9000000000000004</v>
      </c>
      <c r="AE53" s="6">
        <v>35.28</v>
      </c>
      <c r="AF53" s="6">
        <v>4.9000000000000004</v>
      </c>
      <c r="AG53" s="6">
        <v>34.4</v>
      </c>
      <c r="AH53" s="6">
        <v>5.99</v>
      </c>
      <c r="AI53" s="6">
        <v>4.9000000000000004</v>
      </c>
      <c r="AJ53" s="6">
        <v>8.18</v>
      </c>
      <c r="AK53" s="6">
        <v>4.9000000000000004</v>
      </c>
      <c r="AL53" s="6" t="s">
        <v>100</v>
      </c>
      <c r="AM53" s="6" t="s">
        <v>100</v>
      </c>
      <c r="AN53" s="6" t="s">
        <v>100</v>
      </c>
      <c r="AO53" s="6" t="e">
        <f t="shared" si="1"/>
        <v>#DIV/0!</v>
      </c>
      <c r="AP53" s="6">
        <v>0.5</v>
      </c>
      <c r="AQ53" s="6">
        <v>4.5</v>
      </c>
      <c r="AR53" s="6">
        <v>543</v>
      </c>
      <c r="AS53" s="6">
        <v>544</v>
      </c>
      <c r="AT53" s="11">
        <v>545</v>
      </c>
      <c r="AU53" s="11">
        <v>546</v>
      </c>
      <c r="AV53" s="11">
        <v>547</v>
      </c>
      <c r="AW53" s="11">
        <v>548</v>
      </c>
      <c r="AX53" s="11">
        <v>549</v>
      </c>
      <c r="AY53" s="11">
        <v>550</v>
      </c>
      <c r="AZ53" s="11">
        <v>551</v>
      </c>
      <c r="BA53" s="11">
        <v>552</v>
      </c>
      <c r="BB53" s="11">
        <v>587</v>
      </c>
      <c r="BC53" s="12" t="s">
        <v>65</v>
      </c>
      <c r="BD53" s="4"/>
    </row>
    <row r="54" spans="1:56" ht="15.75" customHeight="1" x14ac:dyDescent="0.15">
      <c r="A54" s="4">
        <v>2</v>
      </c>
      <c r="B54" s="6" t="str">
        <f>LOOKUP($D54,Site_Meta!$C$2:$C$43,Site_Meta!A$2:A$43)</f>
        <v>Tres Palmas 10m</v>
      </c>
      <c r="C54" s="6" t="str">
        <f>LOOKUP($D54,Site_Meta!$C$2:$C$43,Site_Meta!B$2:B$43)</f>
        <v>Rincon</v>
      </c>
      <c r="D54" s="6" t="s">
        <v>144</v>
      </c>
      <c r="E54" s="6" t="str">
        <f>LOOKUP($D54,Site_Meta!$C$2:$C$43,Site_Meta!D$2:D$43)</f>
        <v>West</v>
      </c>
      <c r="F54" s="6" t="str">
        <f>LOOKUP($D54,Site_Meta!$C$2:$C$43,Site_Meta!E$2:E$43)</f>
        <v>W</v>
      </c>
      <c r="G54" s="6">
        <f>LOOKUP($D54,Site_Meta!$C$2:$C$43,Site_Meta!F$2:F$43)</f>
        <v>18.34732</v>
      </c>
      <c r="H54" s="6">
        <f>LOOKUP($D54,Site_Meta!$C$2:$C$43,Site_Meta!G$2:G$43)</f>
        <v>-67.27</v>
      </c>
      <c r="I54" s="6">
        <f>LOOKUP($D54,Site_Meta!$C$2:$C$43,Site_Meta!H$2:H$43)</f>
        <v>10</v>
      </c>
      <c r="J54" s="6">
        <v>10</v>
      </c>
      <c r="K54" s="6">
        <v>24</v>
      </c>
      <c r="L54" s="6">
        <v>2023</v>
      </c>
      <c r="M54" s="6" t="str">
        <f t="shared" si="0"/>
        <v>10/24/2023</v>
      </c>
      <c r="N54" s="6" t="s">
        <v>56</v>
      </c>
      <c r="O54" s="6" t="s">
        <v>63</v>
      </c>
      <c r="P54" s="6" t="s">
        <v>115</v>
      </c>
      <c r="Q54" s="6" t="s">
        <v>58</v>
      </c>
      <c r="R54" s="8">
        <v>0.41111111111111109</v>
      </c>
      <c r="S54" s="8">
        <v>0.43055555555555558</v>
      </c>
      <c r="T54" s="6">
        <v>30.43</v>
      </c>
      <c r="U54" s="6">
        <v>0.66</v>
      </c>
      <c r="V54" s="6">
        <v>35.29</v>
      </c>
      <c r="W54" s="6">
        <v>0.66</v>
      </c>
      <c r="X54" s="6" t="s">
        <v>59</v>
      </c>
      <c r="Y54" s="6">
        <v>6.2</v>
      </c>
      <c r="Z54" s="6">
        <v>0.66</v>
      </c>
      <c r="AA54" s="6">
        <v>8.1999999999999993</v>
      </c>
      <c r="AB54" s="6">
        <v>0.66</v>
      </c>
      <c r="AC54" s="6">
        <v>30.43</v>
      </c>
      <c r="AD54" s="6">
        <v>10.85</v>
      </c>
      <c r="AE54" s="6">
        <v>35.35</v>
      </c>
      <c r="AF54" s="6">
        <v>10.85</v>
      </c>
      <c r="AG54" s="6">
        <v>33.200000000000003</v>
      </c>
      <c r="AH54" s="6">
        <v>6.15</v>
      </c>
      <c r="AI54" s="6">
        <v>10.85</v>
      </c>
      <c r="AJ54" s="6">
        <v>8.1999999999999993</v>
      </c>
      <c r="AK54" s="6">
        <v>10.85</v>
      </c>
      <c r="AL54" s="6" t="s">
        <v>145</v>
      </c>
      <c r="AM54" s="6" t="s">
        <v>145</v>
      </c>
      <c r="AN54" s="6" t="s">
        <v>145</v>
      </c>
      <c r="AO54" s="6" t="e">
        <f t="shared" si="1"/>
        <v>#DIV/0!</v>
      </c>
      <c r="AP54" s="6">
        <v>0.5</v>
      </c>
      <c r="AQ54" s="6">
        <v>9.5</v>
      </c>
      <c r="AR54" s="6">
        <v>554</v>
      </c>
      <c r="AS54" s="6">
        <v>555</v>
      </c>
      <c r="AT54" s="11">
        <v>556</v>
      </c>
      <c r="AU54" s="11">
        <v>557</v>
      </c>
      <c r="AV54" s="11">
        <v>558</v>
      </c>
      <c r="AW54" s="11">
        <v>559</v>
      </c>
      <c r="AX54" s="11">
        <v>560</v>
      </c>
      <c r="AY54" s="11">
        <v>561</v>
      </c>
      <c r="AZ54" s="11">
        <v>562</v>
      </c>
      <c r="BA54" s="11">
        <v>563</v>
      </c>
      <c r="BB54" s="11">
        <v>377</v>
      </c>
      <c r="BC54" s="12" t="s">
        <v>65</v>
      </c>
      <c r="BD54" s="4"/>
    </row>
    <row r="55" spans="1:56" ht="15.75" customHeight="1" x14ac:dyDescent="0.15">
      <c r="A55" s="4">
        <v>2</v>
      </c>
      <c r="B55" s="6" t="str">
        <f>LOOKUP($D55,Site_Meta!$C$2:$C$43,Site_Meta!A$2:A$43)</f>
        <v>Tres Palmas 20m</v>
      </c>
      <c r="C55" s="6" t="str">
        <f>LOOKUP($D55,Site_Meta!$C$2:$C$43,Site_Meta!B$2:B$43)</f>
        <v>Rincon</v>
      </c>
      <c r="D55" s="6" t="s">
        <v>146</v>
      </c>
      <c r="E55" s="6" t="str">
        <f>LOOKUP($D55,Site_Meta!$C$2:$C$43,Site_Meta!D$2:D$43)</f>
        <v>West</v>
      </c>
      <c r="F55" s="6" t="str">
        <f>LOOKUP($D55,Site_Meta!$C$2:$C$43,Site_Meta!E$2:E$43)</f>
        <v>W</v>
      </c>
      <c r="G55" s="6">
        <f>LOOKUP($D55,Site_Meta!$C$2:$C$43,Site_Meta!F$2:F$43)</f>
        <v>18.346520000000002</v>
      </c>
      <c r="H55" s="6">
        <f>LOOKUP($D55,Site_Meta!$C$2:$C$43,Site_Meta!G$2:G$43)</f>
        <v>-67.271199999999993</v>
      </c>
      <c r="I55" s="6">
        <f>LOOKUP($D55,Site_Meta!$C$2:$C$43,Site_Meta!H$2:H$43)</f>
        <v>20</v>
      </c>
      <c r="J55" s="6">
        <v>10</v>
      </c>
      <c r="K55" s="6">
        <v>24</v>
      </c>
      <c r="L55" s="6">
        <v>2023</v>
      </c>
      <c r="M55" s="6" t="str">
        <f t="shared" si="0"/>
        <v>10/24/2023</v>
      </c>
      <c r="N55" s="6" t="s">
        <v>56</v>
      </c>
      <c r="O55" s="6" t="s">
        <v>63</v>
      </c>
      <c r="P55" s="6" t="s">
        <v>115</v>
      </c>
      <c r="Q55" s="6" t="s">
        <v>58</v>
      </c>
      <c r="R55" s="8">
        <v>0.43541666666666667</v>
      </c>
      <c r="S55" s="8">
        <v>0.45555555555555555</v>
      </c>
      <c r="T55" s="6">
        <v>30.46</v>
      </c>
      <c r="U55" s="6">
        <v>0.79</v>
      </c>
      <c r="V55" s="6">
        <v>35.24</v>
      </c>
      <c r="W55" s="6">
        <v>0.79</v>
      </c>
      <c r="X55" s="6" t="s">
        <v>59</v>
      </c>
      <c r="Y55" s="6">
        <v>6.14</v>
      </c>
      <c r="Z55" s="6">
        <v>0.79</v>
      </c>
      <c r="AA55" s="6">
        <v>8.1999999999999993</v>
      </c>
      <c r="AB55" s="6">
        <v>0.79</v>
      </c>
      <c r="AC55" s="6">
        <v>30.14</v>
      </c>
      <c r="AD55" s="6">
        <v>18.05</v>
      </c>
      <c r="AE55" s="6">
        <v>35.619999999999997</v>
      </c>
      <c r="AF55" s="6">
        <v>18.05</v>
      </c>
      <c r="AG55" s="6">
        <v>34.4</v>
      </c>
      <c r="AH55" s="6">
        <v>6.14</v>
      </c>
      <c r="AI55" s="6">
        <v>18.05</v>
      </c>
      <c r="AJ55" s="6">
        <v>8.2100000000000009</v>
      </c>
      <c r="AK55" s="6">
        <v>18.05</v>
      </c>
      <c r="AL55" s="6" t="s">
        <v>147</v>
      </c>
      <c r="AM55" s="6" t="s">
        <v>147</v>
      </c>
      <c r="AN55" s="6" t="s">
        <v>147</v>
      </c>
      <c r="AO55" s="6" t="e">
        <f t="shared" si="1"/>
        <v>#DIV/0!</v>
      </c>
      <c r="AP55" s="6">
        <v>0.5</v>
      </c>
      <c r="AQ55" s="6">
        <v>17.5</v>
      </c>
      <c r="AR55" s="6">
        <v>565</v>
      </c>
      <c r="AS55" s="6">
        <v>566</v>
      </c>
      <c r="AT55" s="11">
        <v>567</v>
      </c>
      <c r="AU55" s="11">
        <v>568</v>
      </c>
      <c r="AV55" s="11">
        <v>569</v>
      </c>
      <c r="AW55" s="11">
        <v>570</v>
      </c>
      <c r="AX55" s="11">
        <v>571</v>
      </c>
      <c r="AY55" s="11">
        <v>572</v>
      </c>
      <c r="AZ55" s="11">
        <v>573</v>
      </c>
      <c r="BA55" s="11">
        <v>574</v>
      </c>
      <c r="BB55" s="11">
        <v>588</v>
      </c>
      <c r="BC55" s="21" t="s">
        <v>110</v>
      </c>
      <c r="BD55" s="4"/>
    </row>
    <row r="56" spans="1:56" ht="15.75" customHeight="1" x14ac:dyDescent="0.15">
      <c r="BC56" s="23"/>
    </row>
    <row r="57" spans="1:56" ht="15.75" customHeight="1" x14ac:dyDescent="0.15">
      <c r="AS57" s="4" t="s">
        <v>148</v>
      </c>
    </row>
    <row r="58" spans="1:56" ht="15.75" customHeight="1" x14ac:dyDescent="0.15">
      <c r="AS58" s="4" t="s">
        <v>148</v>
      </c>
    </row>
    <row r="59" spans="1:56" ht="15.75" customHeight="1" x14ac:dyDescent="0.15"/>
    <row r="60" spans="1:56" ht="15.75" customHeight="1" x14ac:dyDescent="0.15">
      <c r="BC60" s="23"/>
    </row>
    <row r="61" spans="1:56" ht="15.75" customHeight="1" x14ac:dyDescent="0.15">
      <c r="BC61" s="23"/>
    </row>
    <row r="62" spans="1:56" ht="15.75" customHeight="1" x14ac:dyDescent="0.15">
      <c r="BC62" s="23"/>
    </row>
    <row r="63" spans="1:56" ht="15.75" customHeight="1" x14ac:dyDescent="0.15">
      <c r="BC63" s="23"/>
    </row>
    <row r="64" spans="1:56" ht="15.75" customHeight="1" x14ac:dyDescent="0.15">
      <c r="BC64" s="23"/>
    </row>
    <row r="65" spans="55:55" ht="15.75" customHeight="1" x14ac:dyDescent="0.15">
      <c r="BC65" s="23"/>
    </row>
    <row r="66" spans="55:55" ht="15.75" customHeight="1" x14ac:dyDescent="0.15">
      <c r="BC66" s="23"/>
    </row>
    <row r="67" spans="55:55" ht="15.75" customHeight="1" x14ac:dyDescent="0.15">
      <c r="BC67" s="23"/>
    </row>
    <row r="68" spans="55:55" ht="15.75" customHeight="1" x14ac:dyDescent="0.15">
      <c r="BC68" s="23"/>
    </row>
    <row r="69" spans="55:55" ht="15.75" customHeight="1" x14ac:dyDescent="0.15">
      <c r="BC69" s="23"/>
    </row>
    <row r="70" spans="55:55" ht="15.75" customHeight="1" x14ac:dyDescent="0.15">
      <c r="BC70" s="23"/>
    </row>
    <row r="71" spans="55:55" ht="15.75" customHeight="1" x14ac:dyDescent="0.15">
      <c r="BC71" s="23"/>
    </row>
    <row r="72" spans="55:55" ht="15.75" customHeight="1" x14ac:dyDescent="0.15">
      <c r="BC72" s="23"/>
    </row>
    <row r="73" spans="55:55" ht="15.75" customHeight="1" x14ac:dyDescent="0.15">
      <c r="BC73" s="23"/>
    </row>
    <row r="74" spans="55:55" ht="15.75" customHeight="1" x14ac:dyDescent="0.15">
      <c r="BC74" s="23"/>
    </row>
    <row r="75" spans="55:55" ht="15.75" customHeight="1" x14ac:dyDescent="0.15">
      <c r="BC75" s="23"/>
    </row>
    <row r="76" spans="55:55" ht="15.75" customHeight="1" x14ac:dyDescent="0.15">
      <c r="BC76" s="23"/>
    </row>
    <row r="77" spans="55:55" ht="15.75" customHeight="1" x14ac:dyDescent="0.15">
      <c r="BC77" s="23"/>
    </row>
    <row r="78" spans="55:55" ht="15.75" customHeight="1" x14ac:dyDescent="0.15">
      <c r="BC78" s="23"/>
    </row>
    <row r="79" spans="55:55" ht="15.75" customHeight="1" x14ac:dyDescent="0.15">
      <c r="BC79" s="23"/>
    </row>
    <row r="80" spans="55:55" ht="15.75" customHeight="1" x14ac:dyDescent="0.15">
      <c r="BC80" s="23"/>
    </row>
    <row r="81" spans="55:55" ht="15.75" customHeight="1" x14ac:dyDescent="0.15">
      <c r="BC81" s="23"/>
    </row>
    <row r="82" spans="55:55" ht="15.75" customHeight="1" x14ac:dyDescent="0.15">
      <c r="BC82" s="23"/>
    </row>
    <row r="83" spans="55:55" ht="15.75" customHeight="1" x14ac:dyDescent="0.15">
      <c r="BC83" s="23"/>
    </row>
    <row r="84" spans="55:55" ht="15.75" customHeight="1" x14ac:dyDescent="0.15">
      <c r="BC84" s="23"/>
    </row>
    <row r="85" spans="55:55" ht="15.75" customHeight="1" x14ac:dyDescent="0.15">
      <c r="BC85" s="23"/>
    </row>
    <row r="86" spans="55:55" ht="15.75" customHeight="1" x14ac:dyDescent="0.15">
      <c r="BC86" s="23"/>
    </row>
    <row r="87" spans="55:55" ht="15.75" customHeight="1" x14ac:dyDescent="0.15">
      <c r="BC87" s="23"/>
    </row>
    <row r="88" spans="55:55" ht="15.75" customHeight="1" x14ac:dyDescent="0.15">
      <c r="BC88" s="23"/>
    </row>
    <row r="89" spans="55:55" ht="15.75" customHeight="1" x14ac:dyDescent="0.15">
      <c r="BC89" s="23"/>
    </row>
    <row r="90" spans="55:55" ht="15.75" customHeight="1" x14ac:dyDescent="0.15">
      <c r="BC90" s="23"/>
    </row>
    <row r="91" spans="55:55" ht="15.75" customHeight="1" x14ac:dyDescent="0.15">
      <c r="BC91" s="23"/>
    </row>
    <row r="92" spans="55:55" ht="15.75" customHeight="1" x14ac:dyDescent="0.15">
      <c r="BC92" s="23"/>
    </row>
    <row r="93" spans="55:55" ht="15.75" customHeight="1" x14ac:dyDescent="0.15">
      <c r="BC93" s="23"/>
    </row>
    <row r="94" spans="55:55" ht="15.75" customHeight="1" x14ac:dyDescent="0.15">
      <c r="BC94" s="23"/>
    </row>
    <row r="95" spans="55:55" ht="15.75" customHeight="1" x14ac:dyDescent="0.15">
      <c r="BC95" s="23"/>
    </row>
    <row r="96" spans="55:55" ht="15.75" customHeight="1" x14ac:dyDescent="0.15">
      <c r="BC96" s="23"/>
    </row>
    <row r="97" spans="55:55" ht="15.75" customHeight="1" x14ac:dyDescent="0.15">
      <c r="BC97" s="23"/>
    </row>
    <row r="98" spans="55:55" ht="15.75" customHeight="1" x14ac:dyDescent="0.15">
      <c r="BC98" s="23"/>
    </row>
    <row r="99" spans="55:55" ht="15.75" customHeight="1" x14ac:dyDescent="0.15">
      <c r="BC99" s="23"/>
    </row>
    <row r="100" spans="55:55" ht="15.75" customHeight="1" x14ac:dyDescent="0.15">
      <c r="BC100" s="23"/>
    </row>
    <row r="101" spans="55:55" ht="15.75" customHeight="1" x14ac:dyDescent="0.15">
      <c r="BC101" s="23"/>
    </row>
    <row r="102" spans="55:55" ht="15.75" customHeight="1" x14ac:dyDescent="0.15">
      <c r="BC102" s="23"/>
    </row>
    <row r="103" spans="55:55" ht="15.75" customHeight="1" x14ac:dyDescent="0.15">
      <c r="BC103" s="23"/>
    </row>
    <row r="104" spans="55:55" ht="15.75" customHeight="1" x14ac:dyDescent="0.15">
      <c r="BC104" s="23"/>
    </row>
    <row r="105" spans="55:55" ht="15.75" customHeight="1" x14ac:dyDescent="0.15">
      <c r="BC105" s="23"/>
    </row>
    <row r="106" spans="55:55" ht="15.75" customHeight="1" x14ac:dyDescent="0.15">
      <c r="BC106" s="23"/>
    </row>
    <row r="107" spans="55:55" ht="15.75" customHeight="1" x14ac:dyDescent="0.15">
      <c r="BC107" s="23"/>
    </row>
    <row r="108" spans="55:55" ht="15.75" customHeight="1" x14ac:dyDescent="0.15">
      <c r="BC108" s="23"/>
    </row>
    <row r="109" spans="55:55" ht="15.75" customHeight="1" x14ac:dyDescent="0.15">
      <c r="BC109" s="23"/>
    </row>
    <row r="110" spans="55:55" ht="15.75" customHeight="1" x14ac:dyDescent="0.15">
      <c r="BC110" s="23"/>
    </row>
    <row r="111" spans="55:55" ht="15.75" customHeight="1" x14ac:dyDescent="0.15">
      <c r="BC111" s="23"/>
    </row>
    <row r="112" spans="55:55" ht="15.75" customHeight="1" x14ac:dyDescent="0.15">
      <c r="BC112" s="23"/>
    </row>
    <row r="113" spans="55:55" ht="15.75" customHeight="1" x14ac:dyDescent="0.15">
      <c r="BC113" s="23"/>
    </row>
    <row r="114" spans="55:55" ht="15.75" customHeight="1" x14ac:dyDescent="0.15">
      <c r="BC114" s="23"/>
    </row>
    <row r="115" spans="55:55" ht="15.75" customHeight="1" x14ac:dyDescent="0.15">
      <c r="BC115" s="23"/>
    </row>
    <row r="116" spans="55:55" ht="15.75" customHeight="1" x14ac:dyDescent="0.15">
      <c r="BC116" s="23"/>
    </row>
    <row r="117" spans="55:55" ht="15.75" customHeight="1" x14ac:dyDescent="0.15">
      <c r="BC117" s="23"/>
    </row>
    <row r="118" spans="55:55" ht="15.75" customHeight="1" x14ac:dyDescent="0.15">
      <c r="BC118" s="23"/>
    </row>
    <row r="119" spans="55:55" ht="15.75" customHeight="1" x14ac:dyDescent="0.15">
      <c r="BC119" s="23"/>
    </row>
    <row r="120" spans="55:55" ht="15.75" customHeight="1" x14ac:dyDescent="0.15">
      <c r="BC120" s="23"/>
    </row>
    <row r="121" spans="55:55" ht="15.75" customHeight="1" x14ac:dyDescent="0.15">
      <c r="BC121" s="23"/>
    </row>
    <row r="122" spans="55:55" ht="15.75" customHeight="1" x14ac:dyDescent="0.15">
      <c r="BC122" s="23"/>
    </row>
    <row r="123" spans="55:55" ht="15.75" customHeight="1" x14ac:dyDescent="0.15">
      <c r="BC123" s="23"/>
    </row>
    <row r="124" spans="55:55" ht="15.75" customHeight="1" x14ac:dyDescent="0.15">
      <c r="BC124" s="23"/>
    </row>
    <row r="125" spans="55:55" ht="15.75" customHeight="1" x14ac:dyDescent="0.15">
      <c r="BC125" s="23"/>
    </row>
    <row r="126" spans="55:55" ht="15.75" customHeight="1" x14ac:dyDescent="0.15">
      <c r="BC126" s="23"/>
    </row>
    <row r="127" spans="55:55" ht="15.75" customHeight="1" x14ac:dyDescent="0.15">
      <c r="BC127" s="23"/>
    </row>
    <row r="128" spans="55:55" ht="15.75" customHeight="1" x14ac:dyDescent="0.15">
      <c r="BC128" s="23"/>
    </row>
    <row r="129" spans="55:55" ht="15.75" customHeight="1" x14ac:dyDescent="0.15">
      <c r="BC129" s="23"/>
    </row>
    <row r="130" spans="55:55" ht="15.75" customHeight="1" x14ac:dyDescent="0.15">
      <c r="BC130" s="23"/>
    </row>
    <row r="131" spans="55:55" ht="15.75" customHeight="1" x14ac:dyDescent="0.15">
      <c r="BC131" s="23"/>
    </row>
    <row r="132" spans="55:55" ht="15.75" customHeight="1" x14ac:dyDescent="0.15">
      <c r="BC132" s="23"/>
    </row>
    <row r="133" spans="55:55" ht="15.75" customHeight="1" x14ac:dyDescent="0.15">
      <c r="BC133" s="23"/>
    </row>
    <row r="134" spans="55:55" ht="15.75" customHeight="1" x14ac:dyDescent="0.15">
      <c r="BC134" s="23"/>
    </row>
    <row r="135" spans="55:55" ht="15.75" customHeight="1" x14ac:dyDescent="0.15">
      <c r="BC135" s="23"/>
    </row>
    <row r="136" spans="55:55" ht="15.75" customHeight="1" x14ac:dyDescent="0.15">
      <c r="BC136" s="23"/>
    </row>
    <row r="137" spans="55:55" ht="15.75" customHeight="1" x14ac:dyDescent="0.15">
      <c r="BC137" s="23"/>
    </row>
    <row r="138" spans="55:55" ht="15.75" customHeight="1" x14ac:dyDescent="0.15">
      <c r="BC138" s="23"/>
    </row>
    <row r="139" spans="55:55" ht="15.75" customHeight="1" x14ac:dyDescent="0.15">
      <c r="BC139" s="23"/>
    </row>
    <row r="140" spans="55:55" ht="15.75" customHeight="1" x14ac:dyDescent="0.15">
      <c r="BC140" s="23"/>
    </row>
    <row r="141" spans="55:55" ht="15.75" customHeight="1" x14ac:dyDescent="0.15">
      <c r="BC141" s="23"/>
    </row>
    <row r="142" spans="55:55" ht="15.75" customHeight="1" x14ac:dyDescent="0.15">
      <c r="BC142" s="23"/>
    </row>
    <row r="143" spans="55:55" ht="15.75" customHeight="1" x14ac:dyDescent="0.15">
      <c r="BC143" s="23"/>
    </row>
    <row r="144" spans="55:55" ht="15.75" customHeight="1" x14ac:dyDescent="0.15">
      <c r="BC144" s="23"/>
    </row>
    <row r="145" spans="55:55" ht="15.75" customHeight="1" x14ac:dyDescent="0.15">
      <c r="BC145" s="23"/>
    </row>
    <row r="146" spans="55:55" ht="15.75" customHeight="1" x14ac:dyDescent="0.15">
      <c r="BC146" s="23"/>
    </row>
    <row r="147" spans="55:55" ht="15.75" customHeight="1" x14ac:dyDescent="0.15">
      <c r="BC147" s="23"/>
    </row>
    <row r="148" spans="55:55" ht="15.75" customHeight="1" x14ac:dyDescent="0.15">
      <c r="BC148" s="23"/>
    </row>
    <row r="149" spans="55:55" ht="15.75" customHeight="1" x14ac:dyDescent="0.15">
      <c r="BC149" s="23"/>
    </row>
    <row r="150" spans="55:55" ht="15.75" customHeight="1" x14ac:dyDescent="0.15">
      <c r="BC150" s="23"/>
    </row>
    <row r="151" spans="55:55" ht="15.75" customHeight="1" x14ac:dyDescent="0.15">
      <c r="BC151" s="23"/>
    </row>
    <row r="152" spans="55:55" ht="15.75" customHeight="1" x14ac:dyDescent="0.15">
      <c r="BC152" s="23"/>
    </row>
    <row r="153" spans="55:55" ht="15.75" customHeight="1" x14ac:dyDescent="0.15">
      <c r="BC153" s="23"/>
    </row>
    <row r="154" spans="55:55" ht="15.75" customHeight="1" x14ac:dyDescent="0.15">
      <c r="BC154" s="23"/>
    </row>
    <row r="155" spans="55:55" ht="15.75" customHeight="1" x14ac:dyDescent="0.15">
      <c r="BC155" s="23"/>
    </row>
    <row r="156" spans="55:55" ht="15.75" customHeight="1" x14ac:dyDescent="0.15">
      <c r="BC156" s="23"/>
    </row>
    <row r="157" spans="55:55" ht="15.75" customHeight="1" x14ac:dyDescent="0.15">
      <c r="BC157" s="23"/>
    </row>
    <row r="158" spans="55:55" ht="15.75" customHeight="1" x14ac:dyDescent="0.15">
      <c r="BC158" s="23"/>
    </row>
    <row r="159" spans="55:55" ht="15.75" customHeight="1" x14ac:dyDescent="0.15">
      <c r="BC159" s="23"/>
    </row>
    <row r="160" spans="55:55" ht="15.75" customHeight="1" x14ac:dyDescent="0.15">
      <c r="BC160" s="23"/>
    </row>
    <row r="161" spans="55:55" ht="15.75" customHeight="1" x14ac:dyDescent="0.15">
      <c r="BC161" s="23"/>
    </row>
    <row r="162" spans="55:55" ht="15.75" customHeight="1" x14ac:dyDescent="0.15">
      <c r="BC162" s="23"/>
    </row>
    <row r="163" spans="55:55" ht="15.75" customHeight="1" x14ac:dyDescent="0.15">
      <c r="BC163" s="23"/>
    </row>
    <row r="164" spans="55:55" ht="15.75" customHeight="1" x14ac:dyDescent="0.15">
      <c r="BC164" s="23"/>
    </row>
    <row r="165" spans="55:55" ht="15.75" customHeight="1" x14ac:dyDescent="0.15">
      <c r="BC165" s="23"/>
    </row>
    <row r="166" spans="55:55" ht="15.75" customHeight="1" x14ac:dyDescent="0.15">
      <c r="BC166" s="23"/>
    </row>
    <row r="167" spans="55:55" ht="15.75" customHeight="1" x14ac:dyDescent="0.15">
      <c r="BC167" s="23"/>
    </row>
    <row r="168" spans="55:55" ht="15.75" customHeight="1" x14ac:dyDescent="0.15">
      <c r="BC168" s="23"/>
    </row>
    <row r="169" spans="55:55" ht="15.75" customHeight="1" x14ac:dyDescent="0.15">
      <c r="BC169" s="23"/>
    </row>
    <row r="170" spans="55:55" ht="15.75" customHeight="1" x14ac:dyDescent="0.15">
      <c r="BC170" s="23"/>
    </row>
    <row r="171" spans="55:55" ht="15.75" customHeight="1" x14ac:dyDescent="0.15">
      <c r="BC171" s="23"/>
    </row>
    <row r="172" spans="55:55" ht="15.75" customHeight="1" x14ac:dyDescent="0.15">
      <c r="BC172" s="23"/>
    </row>
    <row r="173" spans="55:55" ht="15.75" customHeight="1" x14ac:dyDescent="0.15">
      <c r="BC173" s="23"/>
    </row>
    <row r="174" spans="55:55" ht="15.75" customHeight="1" x14ac:dyDescent="0.15">
      <c r="BC174" s="23"/>
    </row>
    <row r="175" spans="55:55" ht="15.75" customHeight="1" x14ac:dyDescent="0.15">
      <c r="BC175" s="23"/>
    </row>
    <row r="176" spans="55:55" ht="15.75" customHeight="1" x14ac:dyDescent="0.15">
      <c r="BC176" s="23"/>
    </row>
    <row r="177" spans="55:55" ht="15.75" customHeight="1" x14ac:dyDescent="0.15">
      <c r="BC177" s="23"/>
    </row>
    <row r="178" spans="55:55" ht="15.75" customHeight="1" x14ac:dyDescent="0.15">
      <c r="BC178" s="23"/>
    </row>
    <row r="179" spans="55:55" ht="15.75" customHeight="1" x14ac:dyDescent="0.15">
      <c r="BC179" s="23"/>
    </row>
    <row r="180" spans="55:55" ht="15.75" customHeight="1" x14ac:dyDescent="0.15">
      <c r="BC180" s="23"/>
    </row>
    <row r="181" spans="55:55" ht="15.75" customHeight="1" x14ac:dyDescent="0.15">
      <c r="BC181" s="23"/>
    </row>
    <row r="182" spans="55:55" ht="15.75" customHeight="1" x14ac:dyDescent="0.15">
      <c r="BC182" s="23"/>
    </row>
    <row r="183" spans="55:55" ht="15.75" customHeight="1" x14ac:dyDescent="0.15">
      <c r="BC183" s="23"/>
    </row>
    <row r="184" spans="55:55" ht="15.75" customHeight="1" x14ac:dyDescent="0.15">
      <c r="BC184" s="23"/>
    </row>
    <row r="185" spans="55:55" ht="15.75" customHeight="1" x14ac:dyDescent="0.15">
      <c r="BC185" s="23"/>
    </row>
    <row r="186" spans="55:55" ht="15.75" customHeight="1" x14ac:dyDescent="0.15">
      <c r="BC186" s="23"/>
    </row>
    <row r="187" spans="55:55" ht="15.75" customHeight="1" x14ac:dyDescent="0.15">
      <c r="BC187" s="23"/>
    </row>
    <row r="188" spans="55:55" ht="15.75" customHeight="1" x14ac:dyDescent="0.15">
      <c r="BC188" s="23"/>
    </row>
    <row r="189" spans="55:55" ht="15.75" customHeight="1" x14ac:dyDescent="0.15">
      <c r="BC189" s="23"/>
    </row>
    <row r="190" spans="55:55" ht="15.75" customHeight="1" x14ac:dyDescent="0.15">
      <c r="BC190" s="23"/>
    </row>
    <row r="191" spans="55:55" ht="15.75" customHeight="1" x14ac:dyDescent="0.15">
      <c r="BC191" s="23"/>
    </row>
    <row r="192" spans="55:55" ht="15.75" customHeight="1" x14ac:dyDescent="0.15">
      <c r="BC192" s="23"/>
    </row>
    <row r="193" spans="55:55" ht="15.75" customHeight="1" x14ac:dyDescent="0.15">
      <c r="BC193" s="23"/>
    </row>
    <row r="194" spans="55:55" ht="15.75" customHeight="1" x14ac:dyDescent="0.15">
      <c r="BC194" s="23"/>
    </row>
    <row r="195" spans="55:55" ht="15.75" customHeight="1" x14ac:dyDescent="0.15">
      <c r="BC195" s="23"/>
    </row>
    <row r="196" spans="55:55" ht="15.75" customHeight="1" x14ac:dyDescent="0.15">
      <c r="BC196" s="23"/>
    </row>
    <row r="197" spans="55:55" ht="15.75" customHeight="1" x14ac:dyDescent="0.15">
      <c r="BC197" s="23"/>
    </row>
    <row r="198" spans="55:55" ht="15.75" customHeight="1" x14ac:dyDescent="0.15">
      <c r="BC198" s="23"/>
    </row>
    <row r="199" spans="55:55" ht="15.75" customHeight="1" x14ac:dyDescent="0.15">
      <c r="BC199" s="23"/>
    </row>
    <row r="200" spans="55:55" ht="15.75" customHeight="1" x14ac:dyDescent="0.15">
      <c r="BC200" s="23"/>
    </row>
    <row r="201" spans="55:55" ht="15.75" customHeight="1" x14ac:dyDescent="0.15">
      <c r="BC201" s="23"/>
    </row>
    <row r="202" spans="55:55" ht="15.75" customHeight="1" x14ac:dyDescent="0.15">
      <c r="BC202" s="23"/>
    </row>
    <row r="203" spans="55:55" ht="15.75" customHeight="1" x14ac:dyDescent="0.15">
      <c r="BC203" s="23"/>
    </row>
    <row r="204" spans="55:55" ht="15.75" customHeight="1" x14ac:dyDescent="0.15">
      <c r="BC204" s="23"/>
    </row>
    <row r="205" spans="55:55" ht="15.75" customHeight="1" x14ac:dyDescent="0.15">
      <c r="BC205" s="23"/>
    </row>
    <row r="206" spans="55:55" ht="15.75" customHeight="1" x14ac:dyDescent="0.15">
      <c r="BC206" s="23"/>
    </row>
    <row r="207" spans="55:55" ht="15.75" customHeight="1" x14ac:dyDescent="0.15">
      <c r="BC207" s="23"/>
    </row>
    <row r="208" spans="55:55" ht="15.75" customHeight="1" x14ac:dyDescent="0.15">
      <c r="BC208" s="23"/>
    </row>
    <row r="209" spans="55:55" ht="15.75" customHeight="1" x14ac:dyDescent="0.15">
      <c r="BC209" s="23"/>
    </row>
    <row r="210" spans="55:55" ht="15.75" customHeight="1" x14ac:dyDescent="0.15">
      <c r="BC210" s="23"/>
    </row>
    <row r="211" spans="55:55" ht="15.75" customHeight="1" x14ac:dyDescent="0.15">
      <c r="BC211" s="23"/>
    </row>
    <row r="212" spans="55:55" ht="15.75" customHeight="1" x14ac:dyDescent="0.15">
      <c r="BC212" s="23"/>
    </row>
    <row r="213" spans="55:55" ht="15.75" customHeight="1" x14ac:dyDescent="0.15">
      <c r="BC213" s="23"/>
    </row>
    <row r="214" spans="55:55" ht="15.75" customHeight="1" x14ac:dyDescent="0.15">
      <c r="BC214" s="23"/>
    </row>
    <row r="215" spans="55:55" ht="15.75" customHeight="1" x14ac:dyDescent="0.15">
      <c r="BC215" s="23"/>
    </row>
    <row r="216" spans="55:55" ht="15.75" customHeight="1" x14ac:dyDescent="0.15">
      <c r="BC216" s="23"/>
    </row>
    <row r="217" spans="55:55" ht="15.75" customHeight="1" x14ac:dyDescent="0.15">
      <c r="BC217" s="23"/>
    </row>
    <row r="218" spans="55:55" ht="15.75" customHeight="1" x14ac:dyDescent="0.15">
      <c r="BC218" s="23"/>
    </row>
    <row r="219" spans="55:55" ht="15.75" customHeight="1" x14ac:dyDescent="0.15">
      <c r="BC219" s="23"/>
    </row>
    <row r="220" spans="55:55" ht="15.75" customHeight="1" x14ac:dyDescent="0.15">
      <c r="BC220" s="23"/>
    </row>
    <row r="221" spans="55:55" ht="15.75" customHeight="1" x14ac:dyDescent="0.15">
      <c r="BC221" s="23"/>
    </row>
    <row r="222" spans="55:55" ht="15.75" customHeight="1" x14ac:dyDescent="0.15">
      <c r="BC222" s="23"/>
    </row>
    <row r="223" spans="55:55" ht="15.75" customHeight="1" x14ac:dyDescent="0.15">
      <c r="BC223" s="23"/>
    </row>
    <row r="224" spans="55:55" ht="15.75" customHeight="1" x14ac:dyDescent="0.15">
      <c r="BC224" s="23"/>
    </row>
    <row r="225" spans="55:55" ht="15.75" customHeight="1" x14ac:dyDescent="0.15">
      <c r="BC225" s="23"/>
    </row>
    <row r="226" spans="55:55" ht="15.75" customHeight="1" x14ac:dyDescent="0.15">
      <c r="BC226" s="23"/>
    </row>
    <row r="227" spans="55:55" ht="15.75" customHeight="1" x14ac:dyDescent="0.15">
      <c r="BC227" s="23"/>
    </row>
    <row r="228" spans="55:55" ht="15.75" customHeight="1" x14ac:dyDescent="0.15">
      <c r="BC228" s="23"/>
    </row>
    <row r="229" spans="55:55" ht="15.75" customHeight="1" x14ac:dyDescent="0.15">
      <c r="BC229" s="23"/>
    </row>
    <row r="230" spans="55:55" ht="15.75" customHeight="1" x14ac:dyDescent="0.15">
      <c r="BC230" s="23"/>
    </row>
    <row r="231" spans="55:55" ht="15.75" customHeight="1" x14ac:dyDescent="0.15">
      <c r="BC231" s="23"/>
    </row>
    <row r="232" spans="55:55" ht="15.75" customHeight="1" x14ac:dyDescent="0.15">
      <c r="BC232" s="23"/>
    </row>
    <row r="233" spans="55:55" ht="15.75" customHeight="1" x14ac:dyDescent="0.15">
      <c r="BC233" s="23"/>
    </row>
    <row r="234" spans="55:55" ht="15.75" customHeight="1" x14ac:dyDescent="0.15">
      <c r="BC234" s="23"/>
    </row>
    <row r="235" spans="55:55" ht="15.75" customHeight="1" x14ac:dyDescent="0.15">
      <c r="BC235" s="23"/>
    </row>
    <row r="236" spans="55:55" ht="15.75" customHeight="1" x14ac:dyDescent="0.15">
      <c r="BC236" s="23"/>
    </row>
    <row r="237" spans="55:55" ht="15.75" customHeight="1" x14ac:dyDescent="0.15">
      <c r="BC237" s="23"/>
    </row>
    <row r="238" spans="55:55" ht="15.75" customHeight="1" x14ac:dyDescent="0.15">
      <c r="BC238" s="23"/>
    </row>
    <row r="239" spans="55:55" ht="15.75" customHeight="1" x14ac:dyDescent="0.15">
      <c r="BC239" s="23"/>
    </row>
    <row r="240" spans="55:55" ht="15.75" customHeight="1" x14ac:dyDescent="0.15">
      <c r="BC240" s="23"/>
    </row>
    <row r="241" spans="55:55" ht="15.75" customHeight="1" x14ac:dyDescent="0.15">
      <c r="BC241" s="23"/>
    </row>
    <row r="242" spans="55:55" ht="15.75" customHeight="1" x14ac:dyDescent="0.15">
      <c r="BC242" s="23"/>
    </row>
    <row r="243" spans="55:55" ht="15.75" customHeight="1" x14ac:dyDescent="0.15">
      <c r="BC243" s="23"/>
    </row>
    <row r="244" spans="55:55" ht="15.75" customHeight="1" x14ac:dyDescent="0.15">
      <c r="BC244" s="23"/>
    </row>
    <row r="245" spans="55:55" ht="15.75" customHeight="1" x14ac:dyDescent="0.15">
      <c r="BC245" s="23"/>
    </row>
    <row r="246" spans="55:55" ht="15.75" customHeight="1" x14ac:dyDescent="0.15">
      <c r="BC246" s="23"/>
    </row>
    <row r="247" spans="55:55" ht="15.75" customHeight="1" x14ac:dyDescent="0.15">
      <c r="BC247" s="23"/>
    </row>
    <row r="248" spans="55:55" ht="15.75" customHeight="1" x14ac:dyDescent="0.15">
      <c r="BC248" s="23"/>
    </row>
    <row r="249" spans="55:55" ht="15.75" customHeight="1" x14ac:dyDescent="0.15">
      <c r="BC249" s="23"/>
    </row>
    <row r="250" spans="55:55" ht="15.75" customHeight="1" x14ac:dyDescent="0.15">
      <c r="BC250" s="23"/>
    </row>
    <row r="251" spans="55:55" ht="15.75" customHeight="1" x14ac:dyDescent="0.15">
      <c r="BC251" s="23"/>
    </row>
    <row r="252" spans="55:55" ht="15.75" customHeight="1" x14ac:dyDescent="0.15">
      <c r="BC252" s="23"/>
    </row>
    <row r="253" spans="55:55" ht="15.75" customHeight="1" x14ac:dyDescent="0.15">
      <c r="BC253" s="23"/>
    </row>
    <row r="254" spans="55:55" ht="15.75" customHeight="1" x14ac:dyDescent="0.15">
      <c r="BC254" s="23"/>
    </row>
    <row r="255" spans="55:55" ht="15.75" customHeight="1" x14ac:dyDescent="0.15">
      <c r="BC255" s="23"/>
    </row>
    <row r="256" spans="55:55" ht="15.75" customHeight="1" x14ac:dyDescent="0.15">
      <c r="BC256" s="23"/>
    </row>
    <row r="257" spans="55:55" ht="15.75" customHeight="1" x14ac:dyDescent="0.15">
      <c r="BC257" s="23"/>
    </row>
    <row r="258" spans="55:55" ht="15.75" customHeight="1" x14ac:dyDescent="0.15">
      <c r="BC258" s="23"/>
    </row>
    <row r="259" spans="55:55" ht="15.75" customHeight="1" x14ac:dyDescent="0.15">
      <c r="BC259" s="23"/>
    </row>
    <row r="260" spans="55:55" ht="15.75" customHeight="1" x14ac:dyDescent="0.15">
      <c r="BC260" s="23"/>
    </row>
    <row r="261" spans="55:55" ht="15.75" customHeight="1" x14ac:dyDescent="0.15">
      <c r="BC261" s="23"/>
    </row>
    <row r="262" spans="55:55" ht="15.75" customHeight="1" x14ac:dyDescent="0.15">
      <c r="BC262" s="23"/>
    </row>
    <row r="263" spans="55:55" ht="15.75" customHeight="1" x14ac:dyDescent="0.15">
      <c r="BC263" s="23"/>
    </row>
    <row r="264" spans="55:55" ht="15.75" customHeight="1" x14ac:dyDescent="0.15">
      <c r="BC264" s="23"/>
    </row>
    <row r="265" spans="55:55" ht="15.75" customHeight="1" x14ac:dyDescent="0.15">
      <c r="BC265" s="23"/>
    </row>
    <row r="266" spans="55:55" ht="15.75" customHeight="1" x14ac:dyDescent="0.15">
      <c r="BC266" s="23"/>
    </row>
    <row r="267" spans="55:55" ht="15.75" customHeight="1" x14ac:dyDescent="0.15">
      <c r="BC267" s="23"/>
    </row>
    <row r="268" spans="55:55" ht="15.75" customHeight="1" x14ac:dyDescent="0.15">
      <c r="BC268" s="23"/>
    </row>
    <row r="269" spans="55:55" ht="15.75" customHeight="1" x14ac:dyDescent="0.15">
      <c r="BC269" s="23"/>
    </row>
    <row r="270" spans="55:55" ht="15.75" customHeight="1" x14ac:dyDescent="0.15">
      <c r="BC270" s="23"/>
    </row>
    <row r="271" spans="55:55" ht="15.75" customHeight="1" x14ac:dyDescent="0.15">
      <c r="BC271" s="23"/>
    </row>
    <row r="272" spans="55:55" ht="15.75" customHeight="1" x14ac:dyDescent="0.15">
      <c r="BC272" s="23"/>
    </row>
    <row r="273" spans="55:55" ht="15.75" customHeight="1" x14ac:dyDescent="0.15">
      <c r="BC273" s="23"/>
    </row>
    <row r="274" spans="55:55" ht="15.75" customHeight="1" x14ac:dyDescent="0.15">
      <c r="BC274" s="23"/>
    </row>
    <row r="275" spans="55:55" ht="15.75" customHeight="1" x14ac:dyDescent="0.15">
      <c r="BC275" s="23"/>
    </row>
    <row r="276" spans="55:55" ht="15.75" customHeight="1" x14ac:dyDescent="0.15">
      <c r="BC276" s="23"/>
    </row>
    <row r="277" spans="55:55" ht="15.75" customHeight="1" x14ac:dyDescent="0.15">
      <c r="BC277" s="23"/>
    </row>
    <row r="278" spans="55:55" ht="15.75" customHeight="1" x14ac:dyDescent="0.15">
      <c r="BC278" s="23"/>
    </row>
    <row r="279" spans="55:55" ht="15.75" customHeight="1" x14ac:dyDescent="0.15">
      <c r="BC279" s="23"/>
    </row>
    <row r="280" spans="55:55" ht="15.75" customHeight="1" x14ac:dyDescent="0.15">
      <c r="BC280" s="23"/>
    </row>
    <row r="281" spans="55:55" ht="15.75" customHeight="1" x14ac:dyDescent="0.15">
      <c r="BC281" s="23"/>
    </row>
    <row r="282" spans="55:55" ht="15.75" customHeight="1" x14ac:dyDescent="0.15">
      <c r="BC282" s="23"/>
    </row>
    <row r="283" spans="55:55" ht="15.75" customHeight="1" x14ac:dyDescent="0.15">
      <c r="BC283" s="23"/>
    </row>
    <row r="284" spans="55:55" ht="15.75" customHeight="1" x14ac:dyDescent="0.15">
      <c r="BC284" s="23"/>
    </row>
    <row r="285" spans="55:55" ht="15.75" customHeight="1" x14ac:dyDescent="0.15">
      <c r="BC285" s="23"/>
    </row>
    <row r="286" spans="55:55" ht="15.75" customHeight="1" x14ac:dyDescent="0.15">
      <c r="BC286" s="23"/>
    </row>
    <row r="287" spans="55:55" ht="15.75" customHeight="1" x14ac:dyDescent="0.15">
      <c r="BC287" s="23"/>
    </row>
    <row r="288" spans="55:55" ht="15.75" customHeight="1" x14ac:dyDescent="0.15">
      <c r="BC288" s="23"/>
    </row>
    <row r="289" spans="55:55" ht="15.75" customHeight="1" x14ac:dyDescent="0.15">
      <c r="BC289" s="23"/>
    </row>
    <row r="290" spans="55:55" ht="15.75" customHeight="1" x14ac:dyDescent="0.15">
      <c r="BC290" s="23"/>
    </row>
    <row r="291" spans="55:55" ht="15.75" customHeight="1" x14ac:dyDescent="0.15">
      <c r="BC291" s="23"/>
    </row>
    <row r="292" spans="55:55" ht="15.75" customHeight="1" x14ac:dyDescent="0.15">
      <c r="BC292" s="23"/>
    </row>
    <row r="293" spans="55:55" ht="15.75" customHeight="1" x14ac:dyDescent="0.15">
      <c r="BC293" s="23"/>
    </row>
    <row r="294" spans="55:55" ht="15.75" customHeight="1" x14ac:dyDescent="0.15">
      <c r="BC294" s="23"/>
    </row>
    <row r="295" spans="55:55" ht="15.75" customHeight="1" x14ac:dyDescent="0.15">
      <c r="BC295" s="23"/>
    </row>
    <row r="296" spans="55:55" ht="15.75" customHeight="1" x14ac:dyDescent="0.15">
      <c r="BC296" s="23"/>
    </row>
    <row r="297" spans="55:55" ht="15.75" customHeight="1" x14ac:dyDescent="0.15">
      <c r="BC297" s="23"/>
    </row>
    <row r="298" spans="55:55" ht="15.75" customHeight="1" x14ac:dyDescent="0.15">
      <c r="BC298" s="23"/>
    </row>
    <row r="299" spans="55:55" ht="15.75" customHeight="1" x14ac:dyDescent="0.15">
      <c r="BC299" s="23"/>
    </row>
    <row r="300" spans="55:55" ht="15.75" customHeight="1" x14ac:dyDescent="0.15">
      <c r="BC300" s="23"/>
    </row>
    <row r="301" spans="55:55" ht="15.75" customHeight="1" x14ac:dyDescent="0.15">
      <c r="BC301" s="23"/>
    </row>
    <row r="302" spans="55:55" ht="15.75" customHeight="1" x14ac:dyDescent="0.15">
      <c r="BC302" s="23"/>
    </row>
    <row r="303" spans="55:55" ht="15.75" customHeight="1" x14ac:dyDescent="0.15">
      <c r="BC303" s="23"/>
    </row>
    <row r="304" spans="55:55" ht="15.75" customHeight="1" x14ac:dyDescent="0.15">
      <c r="BC304" s="23"/>
    </row>
    <row r="305" spans="55:55" ht="15.75" customHeight="1" x14ac:dyDescent="0.15">
      <c r="BC305" s="23"/>
    </row>
    <row r="306" spans="55:55" ht="15.75" customHeight="1" x14ac:dyDescent="0.15">
      <c r="BC306" s="23"/>
    </row>
    <row r="307" spans="55:55" ht="15.75" customHeight="1" x14ac:dyDescent="0.15">
      <c r="BC307" s="23"/>
    </row>
    <row r="308" spans="55:55" ht="15.75" customHeight="1" x14ac:dyDescent="0.15">
      <c r="BC308" s="23"/>
    </row>
    <row r="309" spans="55:55" ht="15.75" customHeight="1" x14ac:dyDescent="0.15">
      <c r="BC309" s="23"/>
    </row>
    <row r="310" spans="55:55" ht="15.75" customHeight="1" x14ac:dyDescent="0.15">
      <c r="BC310" s="23"/>
    </row>
    <row r="311" spans="55:55" ht="15.75" customHeight="1" x14ac:dyDescent="0.15">
      <c r="BC311" s="23"/>
    </row>
    <row r="312" spans="55:55" ht="15.75" customHeight="1" x14ac:dyDescent="0.15">
      <c r="BC312" s="23"/>
    </row>
    <row r="313" spans="55:55" ht="15.75" customHeight="1" x14ac:dyDescent="0.15">
      <c r="BC313" s="23"/>
    </row>
    <row r="314" spans="55:55" ht="15.75" customHeight="1" x14ac:dyDescent="0.15">
      <c r="BC314" s="23"/>
    </row>
    <row r="315" spans="55:55" ht="15.75" customHeight="1" x14ac:dyDescent="0.15">
      <c r="BC315" s="23"/>
    </row>
    <row r="316" spans="55:55" ht="15.75" customHeight="1" x14ac:dyDescent="0.15">
      <c r="BC316" s="23"/>
    </row>
    <row r="317" spans="55:55" ht="15.75" customHeight="1" x14ac:dyDescent="0.15">
      <c r="BC317" s="23"/>
    </row>
    <row r="318" spans="55:55" ht="15.75" customHeight="1" x14ac:dyDescent="0.15">
      <c r="BC318" s="23"/>
    </row>
    <row r="319" spans="55:55" ht="15.75" customHeight="1" x14ac:dyDescent="0.15">
      <c r="BC319" s="23"/>
    </row>
    <row r="320" spans="55:55" ht="15.75" customHeight="1" x14ac:dyDescent="0.15">
      <c r="BC320" s="23"/>
    </row>
    <row r="321" spans="55:55" ht="15.75" customHeight="1" x14ac:dyDescent="0.15">
      <c r="BC321" s="23"/>
    </row>
    <row r="322" spans="55:55" ht="15.75" customHeight="1" x14ac:dyDescent="0.15">
      <c r="BC322" s="23"/>
    </row>
    <row r="323" spans="55:55" ht="15.75" customHeight="1" x14ac:dyDescent="0.15">
      <c r="BC323" s="23"/>
    </row>
    <row r="324" spans="55:55" ht="15.75" customHeight="1" x14ac:dyDescent="0.15">
      <c r="BC324" s="23"/>
    </row>
    <row r="325" spans="55:55" ht="15.75" customHeight="1" x14ac:dyDescent="0.15">
      <c r="BC325" s="23"/>
    </row>
    <row r="326" spans="55:55" ht="15.75" customHeight="1" x14ac:dyDescent="0.15">
      <c r="BC326" s="23"/>
    </row>
    <row r="327" spans="55:55" ht="15.75" customHeight="1" x14ac:dyDescent="0.15">
      <c r="BC327" s="23"/>
    </row>
    <row r="328" spans="55:55" ht="15.75" customHeight="1" x14ac:dyDescent="0.15">
      <c r="BC328" s="23"/>
    </row>
    <row r="329" spans="55:55" ht="15.75" customHeight="1" x14ac:dyDescent="0.15">
      <c r="BC329" s="23"/>
    </row>
    <row r="330" spans="55:55" ht="15.75" customHeight="1" x14ac:dyDescent="0.15">
      <c r="BC330" s="23"/>
    </row>
    <row r="331" spans="55:55" ht="15.75" customHeight="1" x14ac:dyDescent="0.15">
      <c r="BC331" s="23"/>
    </row>
    <row r="332" spans="55:55" ht="15.75" customHeight="1" x14ac:dyDescent="0.15">
      <c r="BC332" s="23"/>
    </row>
    <row r="333" spans="55:55" ht="15.75" customHeight="1" x14ac:dyDescent="0.15">
      <c r="BC333" s="23"/>
    </row>
    <row r="334" spans="55:55" ht="15.75" customHeight="1" x14ac:dyDescent="0.15">
      <c r="BC334" s="23"/>
    </row>
    <row r="335" spans="55:55" ht="15.75" customHeight="1" x14ac:dyDescent="0.15">
      <c r="BC335" s="23"/>
    </row>
    <row r="336" spans="55:55" ht="15.75" customHeight="1" x14ac:dyDescent="0.15">
      <c r="BC336" s="23"/>
    </row>
    <row r="337" spans="55:55" ht="15.75" customHeight="1" x14ac:dyDescent="0.15">
      <c r="BC337" s="23"/>
    </row>
    <row r="338" spans="55:55" ht="15.75" customHeight="1" x14ac:dyDescent="0.15">
      <c r="BC338" s="23"/>
    </row>
    <row r="339" spans="55:55" ht="15.75" customHeight="1" x14ac:dyDescent="0.15">
      <c r="BC339" s="23"/>
    </row>
    <row r="340" spans="55:55" ht="15.75" customHeight="1" x14ac:dyDescent="0.15">
      <c r="BC340" s="23"/>
    </row>
    <row r="341" spans="55:55" ht="15.75" customHeight="1" x14ac:dyDescent="0.15">
      <c r="BC341" s="23"/>
    </row>
    <row r="342" spans="55:55" ht="15.75" customHeight="1" x14ac:dyDescent="0.15">
      <c r="BC342" s="23"/>
    </row>
    <row r="343" spans="55:55" ht="15.75" customHeight="1" x14ac:dyDescent="0.15">
      <c r="BC343" s="23"/>
    </row>
    <row r="344" spans="55:55" ht="15.75" customHeight="1" x14ac:dyDescent="0.15">
      <c r="BC344" s="23"/>
    </row>
    <row r="345" spans="55:55" ht="15.75" customHeight="1" x14ac:dyDescent="0.15">
      <c r="BC345" s="23"/>
    </row>
    <row r="346" spans="55:55" ht="15.75" customHeight="1" x14ac:dyDescent="0.15">
      <c r="BC346" s="23"/>
    </row>
    <row r="347" spans="55:55" ht="15.75" customHeight="1" x14ac:dyDescent="0.15">
      <c r="BC347" s="23"/>
    </row>
    <row r="348" spans="55:55" ht="15.75" customHeight="1" x14ac:dyDescent="0.15">
      <c r="BC348" s="23"/>
    </row>
    <row r="349" spans="55:55" ht="15.75" customHeight="1" x14ac:dyDescent="0.15">
      <c r="BC349" s="23"/>
    </row>
    <row r="350" spans="55:55" ht="15.75" customHeight="1" x14ac:dyDescent="0.15">
      <c r="BC350" s="23"/>
    </row>
    <row r="351" spans="55:55" ht="15.75" customHeight="1" x14ac:dyDescent="0.15">
      <c r="BC351" s="23"/>
    </row>
    <row r="352" spans="55:55" ht="15.75" customHeight="1" x14ac:dyDescent="0.15">
      <c r="BC352" s="23"/>
    </row>
    <row r="353" spans="55:55" ht="15.75" customHeight="1" x14ac:dyDescent="0.15">
      <c r="BC353" s="23"/>
    </row>
    <row r="354" spans="55:55" ht="15.75" customHeight="1" x14ac:dyDescent="0.15">
      <c r="BC354" s="23"/>
    </row>
    <row r="355" spans="55:55" ht="15.75" customHeight="1" x14ac:dyDescent="0.15">
      <c r="BC355" s="23"/>
    </row>
    <row r="356" spans="55:55" ht="15.75" customHeight="1" x14ac:dyDescent="0.15">
      <c r="BC356" s="23"/>
    </row>
    <row r="357" spans="55:55" ht="15.75" customHeight="1" x14ac:dyDescent="0.15">
      <c r="BC357" s="23"/>
    </row>
    <row r="358" spans="55:55" ht="15.75" customHeight="1" x14ac:dyDescent="0.15">
      <c r="BC358" s="23"/>
    </row>
    <row r="359" spans="55:55" ht="15.75" customHeight="1" x14ac:dyDescent="0.15">
      <c r="BC359" s="23"/>
    </row>
    <row r="360" spans="55:55" ht="15.75" customHeight="1" x14ac:dyDescent="0.15">
      <c r="BC360" s="23"/>
    </row>
    <row r="361" spans="55:55" ht="15.75" customHeight="1" x14ac:dyDescent="0.15">
      <c r="BC361" s="23"/>
    </row>
    <row r="362" spans="55:55" ht="15.75" customHeight="1" x14ac:dyDescent="0.15">
      <c r="BC362" s="23"/>
    </row>
    <row r="363" spans="55:55" ht="15.75" customHeight="1" x14ac:dyDescent="0.15">
      <c r="BC363" s="23"/>
    </row>
    <row r="364" spans="55:55" ht="15.75" customHeight="1" x14ac:dyDescent="0.15">
      <c r="BC364" s="23"/>
    </row>
    <row r="365" spans="55:55" ht="15.75" customHeight="1" x14ac:dyDescent="0.15">
      <c r="BC365" s="23"/>
    </row>
    <row r="366" spans="55:55" ht="15.75" customHeight="1" x14ac:dyDescent="0.15">
      <c r="BC366" s="23"/>
    </row>
    <row r="367" spans="55:55" ht="15.75" customHeight="1" x14ac:dyDescent="0.15">
      <c r="BC367" s="23"/>
    </row>
    <row r="368" spans="55:55" ht="15.75" customHeight="1" x14ac:dyDescent="0.15">
      <c r="BC368" s="23"/>
    </row>
    <row r="369" spans="55:55" ht="15.75" customHeight="1" x14ac:dyDescent="0.15">
      <c r="BC369" s="23"/>
    </row>
    <row r="370" spans="55:55" ht="15.75" customHeight="1" x14ac:dyDescent="0.15">
      <c r="BC370" s="23"/>
    </row>
    <row r="371" spans="55:55" ht="15.75" customHeight="1" x14ac:dyDescent="0.15">
      <c r="BC371" s="23"/>
    </row>
    <row r="372" spans="55:55" ht="15.75" customHeight="1" x14ac:dyDescent="0.15">
      <c r="BC372" s="23"/>
    </row>
    <row r="373" spans="55:55" ht="15.75" customHeight="1" x14ac:dyDescent="0.15">
      <c r="BC373" s="23"/>
    </row>
    <row r="374" spans="55:55" ht="15.75" customHeight="1" x14ac:dyDescent="0.15">
      <c r="BC374" s="23"/>
    </row>
    <row r="375" spans="55:55" ht="15.75" customHeight="1" x14ac:dyDescent="0.15">
      <c r="BC375" s="23"/>
    </row>
    <row r="376" spans="55:55" ht="15.75" customHeight="1" x14ac:dyDescent="0.15">
      <c r="BC376" s="23"/>
    </row>
    <row r="377" spans="55:55" ht="15.75" customHeight="1" x14ac:dyDescent="0.15">
      <c r="BC377" s="23"/>
    </row>
    <row r="378" spans="55:55" ht="15.75" customHeight="1" x14ac:dyDescent="0.15">
      <c r="BC378" s="23"/>
    </row>
    <row r="379" spans="55:55" ht="15.75" customHeight="1" x14ac:dyDescent="0.15">
      <c r="BC379" s="23"/>
    </row>
    <row r="380" spans="55:55" ht="15.75" customHeight="1" x14ac:dyDescent="0.15">
      <c r="BC380" s="23"/>
    </row>
    <row r="381" spans="55:55" ht="15.75" customHeight="1" x14ac:dyDescent="0.15">
      <c r="BC381" s="23"/>
    </row>
    <row r="382" spans="55:55" ht="15.75" customHeight="1" x14ac:dyDescent="0.15">
      <c r="BC382" s="23"/>
    </row>
    <row r="383" spans="55:55" ht="15.75" customHeight="1" x14ac:dyDescent="0.15">
      <c r="BC383" s="23"/>
    </row>
    <row r="384" spans="55:55" ht="15.75" customHeight="1" x14ac:dyDescent="0.15">
      <c r="BC384" s="23"/>
    </row>
    <row r="385" spans="55:55" ht="15.75" customHeight="1" x14ac:dyDescent="0.15">
      <c r="BC385" s="23"/>
    </row>
    <row r="386" spans="55:55" ht="15.75" customHeight="1" x14ac:dyDescent="0.15">
      <c r="BC386" s="23"/>
    </row>
    <row r="387" spans="55:55" ht="15.75" customHeight="1" x14ac:dyDescent="0.15">
      <c r="BC387" s="23"/>
    </row>
    <row r="388" spans="55:55" ht="15.75" customHeight="1" x14ac:dyDescent="0.15">
      <c r="BC388" s="23"/>
    </row>
    <row r="389" spans="55:55" ht="15.75" customHeight="1" x14ac:dyDescent="0.15">
      <c r="BC389" s="23"/>
    </row>
    <row r="390" spans="55:55" ht="15.75" customHeight="1" x14ac:dyDescent="0.15">
      <c r="BC390" s="23"/>
    </row>
    <row r="391" spans="55:55" ht="15.75" customHeight="1" x14ac:dyDescent="0.15">
      <c r="BC391" s="23"/>
    </row>
    <row r="392" spans="55:55" ht="15.75" customHeight="1" x14ac:dyDescent="0.15">
      <c r="BC392" s="23"/>
    </row>
    <row r="393" spans="55:55" ht="15.75" customHeight="1" x14ac:dyDescent="0.15">
      <c r="BC393" s="23"/>
    </row>
    <row r="394" spans="55:55" ht="15.75" customHeight="1" x14ac:dyDescent="0.15">
      <c r="BC394" s="23"/>
    </row>
    <row r="395" spans="55:55" ht="15.75" customHeight="1" x14ac:dyDescent="0.15">
      <c r="BC395" s="23"/>
    </row>
    <row r="396" spans="55:55" ht="15.75" customHeight="1" x14ac:dyDescent="0.15">
      <c r="BC396" s="23"/>
    </row>
    <row r="397" spans="55:55" ht="15.75" customHeight="1" x14ac:dyDescent="0.15">
      <c r="BC397" s="23"/>
    </row>
    <row r="398" spans="55:55" ht="15.75" customHeight="1" x14ac:dyDescent="0.15">
      <c r="BC398" s="23"/>
    </row>
    <row r="399" spans="55:55" ht="15.75" customHeight="1" x14ac:dyDescent="0.15">
      <c r="BC399" s="23"/>
    </row>
    <row r="400" spans="55:55" ht="15.75" customHeight="1" x14ac:dyDescent="0.15">
      <c r="BC400" s="23"/>
    </row>
    <row r="401" spans="55:55" ht="15.75" customHeight="1" x14ac:dyDescent="0.15">
      <c r="BC401" s="23"/>
    </row>
    <row r="402" spans="55:55" ht="15.75" customHeight="1" x14ac:dyDescent="0.15">
      <c r="BC402" s="23"/>
    </row>
    <row r="403" spans="55:55" ht="15.75" customHeight="1" x14ac:dyDescent="0.15">
      <c r="BC403" s="23"/>
    </row>
    <row r="404" spans="55:55" ht="15.75" customHeight="1" x14ac:dyDescent="0.15">
      <c r="BC404" s="23"/>
    </row>
    <row r="405" spans="55:55" ht="15.75" customHeight="1" x14ac:dyDescent="0.15">
      <c r="BC405" s="23"/>
    </row>
    <row r="406" spans="55:55" ht="15.75" customHeight="1" x14ac:dyDescent="0.15">
      <c r="BC406" s="23"/>
    </row>
    <row r="407" spans="55:55" ht="15.75" customHeight="1" x14ac:dyDescent="0.15">
      <c r="BC407" s="23"/>
    </row>
    <row r="408" spans="55:55" ht="15.75" customHeight="1" x14ac:dyDescent="0.15">
      <c r="BC408" s="23"/>
    </row>
    <row r="409" spans="55:55" ht="15.75" customHeight="1" x14ac:dyDescent="0.15">
      <c r="BC409" s="23"/>
    </row>
    <row r="410" spans="55:55" ht="15.75" customHeight="1" x14ac:dyDescent="0.15">
      <c r="BC410" s="23"/>
    </row>
    <row r="411" spans="55:55" ht="15.75" customHeight="1" x14ac:dyDescent="0.15">
      <c r="BC411" s="23"/>
    </row>
    <row r="412" spans="55:55" ht="15.75" customHeight="1" x14ac:dyDescent="0.15">
      <c r="BC412" s="23"/>
    </row>
    <row r="413" spans="55:55" ht="15.75" customHeight="1" x14ac:dyDescent="0.15">
      <c r="BC413" s="23"/>
    </row>
    <row r="414" spans="55:55" ht="15.75" customHeight="1" x14ac:dyDescent="0.15">
      <c r="BC414" s="23"/>
    </row>
    <row r="415" spans="55:55" ht="15.75" customHeight="1" x14ac:dyDescent="0.15">
      <c r="BC415" s="23"/>
    </row>
    <row r="416" spans="55:55" ht="15.75" customHeight="1" x14ac:dyDescent="0.15">
      <c r="BC416" s="23"/>
    </row>
    <row r="417" spans="55:55" ht="15.75" customHeight="1" x14ac:dyDescent="0.15">
      <c r="BC417" s="23"/>
    </row>
    <row r="418" spans="55:55" ht="15.75" customHeight="1" x14ac:dyDescent="0.15">
      <c r="BC418" s="23"/>
    </row>
    <row r="419" spans="55:55" ht="15.75" customHeight="1" x14ac:dyDescent="0.15">
      <c r="BC419" s="23"/>
    </row>
    <row r="420" spans="55:55" ht="15.75" customHeight="1" x14ac:dyDescent="0.15">
      <c r="BC420" s="23"/>
    </row>
    <row r="421" spans="55:55" ht="15.75" customHeight="1" x14ac:dyDescent="0.15">
      <c r="BC421" s="23"/>
    </row>
    <row r="422" spans="55:55" ht="15.75" customHeight="1" x14ac:dyDescent="0.15">
      <c r="BC422" s="23"/>
    </row>
    <row r="423" spans="55:55" ht="15.75" customHeight="1" x14ac:dyDescent="0.15">
      <c r="BC423" s="23"/>
    </row>
    <row r="424" spans="55:55" ht="15.75" customHeight="1" x14ac:dyDescent="0.15">
      <c r="BC424" s="23"/>
    </row>
    <row r="425" spans="55:55" ht="15.75" customHeight="1" x14ac:dyDescent="0.15">
      <c r="BC425" s="23"/>
    </row>
    <row r="426" spans="55:55" ht="15.75" customHeight="1" x14ac:dyDescent="0.15">
      <c r="BC426" s="23"/>
    </row>
    <row r="427" spans="55:55" ht="15.75" customHeight="1" x14ac:dyDescent="0.15">
      <c r="BC427" s="23"/>
    </row>
    <row r="428" spans="55:55" ht="15.75" customHeight="1" x14ac:dyDescent="0.15">
      <c r="BC428" s="23"/>
    </row>
    <row r="429" spans="55:55" ht="15.75" customHeight="1" x14ac:dyDescent="0.15">
      <c r="BC429" s="23"/>
    </row>
    <row r="430" spans="55:55" ht="15.75" customHeight="1" x14ac:dyDescent="0.15">
      <c r="BC430" s="23"/>
    </row>
    <row r="431" spans="55:55" ht="15.75" customHeight="1" x14ac:dyDescent="0.15">
      <c r="BC431" s="23"/>
    </row>
    <row r="432" spans="55:55" ht="15.75" customHeight="1" x14ac:dyDescent="0.15">
      <c r="BC432" s="23"/>
    </row>
    <row r="433" spans="55:55" ht="15.75" customHeight="1" x14ac:dyDescent="0.15">
      <c r="BC433" s="23"/>
    </row>
    <row r="434" spans="55:55" ht="15.75" customHeight="1" x14ac:dyDescent="0.15">
      <c r="BC434" s="23"/>
    </row>
    <row r="435" spans="55:55" ht="15.75" customHeight="1" x14ac:dyDescent="0.15">
      <c r="BC435" s="23"/>
    </row>
    <row r="436" spans="55:55" ht="15.75" customHeight="1" x14ac:dyDescent="0.15">
      <c r="BC436" s="23"/>
    </row>
    <row r="437" spans="55:55" ht="15.75" customHeight="1" x14ac:dyDescent="0.15">
      <c r="BC437" s="23"/>
    </row>
    <row r="438" spans="55:55" ht="15.75" customHeight="1" x14ac:dyDescent="0.15">
      <c r="BC438" s="23"/>
    </row>
    <row r="439" spans="55:55" ht="15.75" customHeight="1" x14ac:dyDescent="0.15">
      <c r="BC439" s="23"/>
    </row>
    <row r="440" spans="55:55" ht="15.75" customHeight="1" x14ac:dyDescent="0.15">
      <c r="BC440" s="23"/>
    </row>
    <row r="441" spans="55:55" ht="15.75" customHeight="1" x14ac:dyDescent="0.15">
      <c r="BC441" s="23"/>
    </row>
    <row r="442" spans="55:55" ht="15.75" customHeight="1" x14ac:dyDescent="0.15">
      <c r="BC442" s="23"/>
    </row>
    <row r="443" spans="55:55" ht="15.75" customHeight="1" x14ac:dyDescent="0.15">
      <c r="BC443" s="23"/>
    </row>
    <row r="444" spans="55:55" ht="15.75" customHeight="1" x14ac:dyDescent="0.15">
      <c r="BC444" s="23"/>
    </row>
    <row r="445" spans="55:55" ht="15.75" customHeight="1" x14ac:dyDescent="0.15">
      <c r="BC445" s="23"/>
    </row>
    <row r="446" spans="55:55" ht="15.75" customHeight="1" x14ac:dyDescent="0.15">
      <c r="BC446" s="23"/>
    </row>
    <row r="447" spans="55:55" ht="15.75" customHeight="1" x14ac:dyDescent="0.15">
      <c r="BC447" s="23"/>
    </row>
    <row r="448" spans="55:55" ht="15.75" customHeight="1" x14ac:dyDescent="0.15">
      <c r="BC448" s="23"/>
    </row>
    <row r="449" spans="55:55" ht="15.75" customHeight="1" x14ac:dyDescent="0.15">
      <c r="BC449" s="23"/>
    </row>
    <row r="450" spans="55:55" ht="15.75" customHeight="1" x14ac:dyDescent="0.15">
      <c r="BC450" s="23"/>
    </row>
    <row r="451" spans="55:55" ht="15.75" customHeight="1" x14ac:dyDescent="0.15">
      <c r="BC451" s="23"/>
    </row>
    <row r="452" spans="55:55" ht="15.75" customHeight="1" x14ac:dyDescent="0.15">
      <c r="BC452" s="23"/>
    </row>
    <row r="453" spans="55:55" ht="15.75" customHeight="1" x14ac:dyDescent="0.15">
      <c r="BC453" s="23"/>
    </row>
    <row r="454" spans="55:55" ht="15.75" customHeight="1" x14ac:dyDescent="0.15">
      <c r="BC454" s="23"/>
    </row>
    <row r="455" spans="55:55" ht="15.75" customHeight="1" x14ac:dyDescent="0.15">
      <c r="BC455" s="23"/>
    </row>
    <row r="456" spans="55:55" ht="15.75" customHeight="1" x14ac:dyDescent="0.15">
      <c r="BC456" s="23"/>
    </row>
    <row r="457" spans="55:55" ht="15.75" customHeight="1" x14ac:dyDescent="0.15">
      <c r="BC457" s="23"/>
    </row>
    <row r="458" spans="55:55" ht="15.75" customHeight="1" x14ac:dyDescent="0.15">
      <c r="BC458" s="23"/>
    </row>
    <row r="459" spans="55:55" ht="15.75" customHeight="1" x14ac:dyDescent="0.15">
      <c r="BC459" s="23"/>
    </row>
    <row r="460" spans="55:55" ht="15.75" customHeight="1" x14ac:dyDescent="0.15">
      <c r="BC460" s="23"/>
    </row>
    <row r="461" spans="55:55" ht="15.75" customHeight="1" x14ac:dyDescent="0.15">
      <c r="BC461" s="23"/>
    </row>
    <row r="462" spans="55:55" ht="15.75" customHeight="1" x14ac:dyDescent="0.15">
      <c r="BC462" s="23"/>
    </row>
    <row r="463" spans="55:55" ht="15.75" customHeight="1" x14ac:dyDescent="0.15">
      <c r="BC463" s="23"/>
    </row>
    <row r="464" spans="55:55" ht="15.75" customHeight="1" x14ac:dyDescent="0.15">
      <c r="BC464" s="23"/>
    </row>
    <row r="465" spans="55:55" ht="15.75" customHeight="1" x14ac:dyDescent="0.15">
      <c r="BC465" s="23"/>
    </row>
    <row r="466" spans="55:55" ht="15.75" customHeight="1" x14ac:dyDescent="0.15">
      <c r="BC466" s="23"/>
    </row>
    <row r="467" spans="55:55" ht="15.75" customHeight="1" x14ac:dyDescent="0.15">
      <c r="BC467" s="23"/>
    </row>
    <row r="468" spans="55:55" ht="15.75" customHeight="1" x14ac:dyDescent="0.15">
      <c r="BC468" s="23"/>
    </row>
    <row r="469" spans="55:55" ht="15.75" customHeight="1" x14ac:dyDescent="0.15">
      <c r="BC469" s="23"/>
    </row>
    <row r="470" spans="55:55" ht="15.75" customHeight="1" x14ac:dyDescent="0.15">
      <c r="BC470" s="23"/>
    </row>
    <row r="471" spans="55:55" ht="15.75" customHeight="1" x14ac:dyDescent="0.15">
      <c r="BC471" s="23"/>
    </row>
    <row r="472" spans="55:55" ht="15.75" customHeight="1" x14ac:dyDescent="0.15">
      <c r="BC472" s="23"/>
    </row>
    <row r="473" spans="55:55" ht="15.75" customHeight="1" x14ac:dyDescent="0.15">
      <c r="BC473" s="23"/>
    </row>
    <row r="474" spans="55:55" ht="15.75" customHeight="1" x14ac:dyDescent="0.15">
      <c r="BC474" s="23"/>
    </row>
    <row r="475" spans="55:55" ht="15.75" customHeight="1" x14ac:dyDescent="0.15">
      <c r="BC475" s="23"/>
    </row>
    <row r="476" spans="55:55" ht="15.75" customHeight="1" x14ac:dyDescent="0.15">
      <c r="BC476" s="23"/>
    </row>
    <row r="477" spans="55:55" ht="15.75" customHeight="1" x14ac:dyDescent="0.15">
      <c r="BC477" s="23"/>
    </row>
    <row r="478" spans="55:55" ht="15.75" customHeight="1" x14ac:dyDescent="0.15">
      <c r="BC478" s="23"/>
    </row>
    <row r="479" spans="55:55" ht="15.75" customHeight="1" x14ac:dyDescent="0.15">
      <c r="BC479" s="23"/>
    </row>
    <row r="480" spans="55:55" ht="15.75" customHeight="1" x14ac:dyDescent="0.15">
      <c r="BC480" s="23"/>
    </row>
    <row r="481" spans="55:55" ht="15.75" customHeight="1" x14ac:dyDescent="0.15">
      <c r="BC481" s="23"/>
    </row>
    <row r="482" spans="55:55" ht="15.75" customHeight="1" x14ac:dyDescent="0.15">
      <c r="BC482" s="23"/>
    </row>
    <row r="483" spans="55:55" ht="15.75" customHeight="1" x14ac:dyDescent="0.15">
      <c r="BC483" s="23"/>
    </row>
    <row r="484" spans="55:55" ht="15.75" customHeight="1" x14ac:dyDescent="0.15">
      <c r="BC484" s="23"/>
    </row>
    <row r="485" spans="55:55" ht="15.75" customHeight="1" x14ac:dyDescent="0.15">
      <c r="BC485" s="23"/>
    </row>
    <row r="486" spans="55:55" ht="15.75" customHeight="1" x14ac:dyDescent="0.15">
      <c r="BC486" s="23"/>
    </row>
    <row r="487" spans="55:55" ht="15.75" customHeight="1" x14ac:dyDescent="0.15">
      <c r="BC487" s="23"/>
    </row>
    <row r="488" spans="55:55" ht="15.75" customHeight="1" x14ac:dyDescent="0.15">
      <c r="BC488" s="23"/>
    </row>
    <row r="489" spans="55:55" ht="15.75" customHeight="1" x14ac:dyDescent="0.15">
      <c r="BC489" s="23"/>
    </row>
    <row r="490" spans="55:55" ht="15.75" customHeight="1" x14ac:dyDescent="0.15">
      <c r="BC490" s="23"/>
    </row>
    <row r="491" spans="55:55" ht="15.75" customHeight="1" x14ac:dyDescent="0.15">
      <c r="BC491" s="23"/>
    </row>
    <row r="492" spans="55:55" ht="15.75" customHeight="1" x14ac:dyDescent="0.15">
      <c r="BC492" s="23"/>
    </row>
    <row r="493" spans="55:55" ht="15.75" customHeight="1" x14ac:dyDescent="0.15">
      <c r="BC493" s="23"/>
    </row>
    <row r="494" spans="55:55" ht="15.75" customHeight="1" x14ac:dyDescent="0.15">
      <c r="BC494" s="23"/>
    </row>
    <row r="495" spans="55:55" ht="15.75" customHeight="1" x14ac:dyDescent="0.15">
      <c r="BC495" s="23"/>
    </row>
    <row r="496" spans="55:55" ht="15.75" customHeight="1" x14ac:dyDescent="0.15">
      <c r="BC496" s="23"/>
    </row>
    <row r="497" spans="55:55" ht="15.75" customHeight="1" x14ac:dyDescent="0.15">
      <c r="BC497" s="23"/>
    </row>
    <row r="498" spans="55:55" ht="15.75" customHeight="1" x14ac:dyDescent="0.15">
      <c r="BC498" s="23"/>
    </row>
    <row r="499" spans="55:55" ht="15.75" customHeight="1" x14ac:dyDescent="0.15">
      <c r="BC499" s="23"/>
    </row>
    <row r="500" spans="55:55" ht="15.75" customHeight="1" x14ac:dyDescent="0.15">
      <c r="BC500" s="23"/>
    </row>
    <row r="501" spans="55:55" ht="15.75" customHeight="1" x14ac:dyDescent="0.15">
      <c r="BC501" s="23"/>
    </row>
    <row r="502" spans="55:55" ht="15.75" customHeight="1" x14ac:dyDescent="0.15">
      <c r="BC502" s="23"/>
    </row>
    <row r="503" spans="55:55" ht="15.75" customHeight="1" x14ac:dyDescent="0.15">
      <c r="BC503" s="23"/>
    </row>
    <row r="504" spans="55:55" ht="15.75" customHeight="1" x14ac:dyDescent="0.15">
      <c r="BC504" s="23"/>
    </row>
    <row r="505" spans="55:55" ht="15.75" customHeight="1" x14ac:dyDescent="0.15">
      <c r="BC505" s="23"/>
    </row>
    <row r="506" spans="55:55" ht="15.75" customHeight="1" x14ac:dyDescent="0.15">
      <c r="BC506" s="23"/>
    </row>
    <row r="507" spans="55:55" ht="15.75" customHeight="1" x14ac:dyDescent="0.15">
      <c r="BC507" s="23"/>
    </row>
    <row r="508" spans="55:55" ht="15.75" customHeight="1" x14ac:dyDescent="0.15">
      <c r="BC508" s="23"/>
    </row>
    <row r="509" spans="55:55" ht="15.75" customHeight="1" x14ac:dyDescent="0.15">
      <c r="BC509" s="23"/>
    </row>
    <row r="510" spans="55:55" ht="15.75" customHeight="1" x14ac:dyDescent="0.15">
      <c r="BC510" s="23"/>
    </row>
    <row r="511" spans="55:55" ht="15.75" customHeight="1" x14ac:dyDescent="0.15">
      <c r="BC511" s="23"/>
    </row>
    <row r="512" spans="55:55" ht="15.75" customHeight="1" x14ac:dyDescent="0.15">
      <c r="BC512" s="23"/>
    </row>
    <row r="513" spans="55:55" ht="15.75" customHeight="1" x14ac:dyDescent="0.15">
      <c r="BC513" s="23"/>
    </row>
    <row r="514" spans="55:55" ht="15.75" customHeight="1" x14ac:dyDescent="0.15">
      <c r="BC514" s="23"/>
    </row>
    <row r="515" spans="55:55" ht="15.75" customHeight="1" x14ac:dyDescent="0.15">
      <c r="BC515" s="23"/>
    </row>
    <row r="516" spans="55:55" ht="15.75" customHeight="1" x14ac:dyDescent="0.15">
      <c r="BC516" s="23"/>
    </row>
    <row r="517" spans="55:55" ht="15.75" customHeight="1" x14ac:dyDescent="0.15">
      <c r="BC517" s="23"/>
    </row>
    <row r="518" spans="55:55" ht="15.75" customHeight="1" x14ac:dyDescent="0.15">
      <c r="BC518" s="23"/>
    </row>
    <row r="519" spans="55:55" ht="15.75" customHeight="1" x14ac:dyDescent="0.15">
      <c r="BC519" s="23"/>
    </row>
    <row r="520" spans="55:55" ht="15.75" customHeight="1" x14ac:dyDescent="0.15">
      <c r="BC520" s="23"/>
    </row>
    <row r="521" spans="55:55" ht="15.75" customHeight="1" x14ac:dyDescent="0.15">
      <c r="BC521" s="23"/>
    </row>
    <row r="522" spans="55:55" ht="15.75" customHeight="1" x14ac:dyDescent="0.15">
      <c r="BC522" s="23"/>
    </row>
    <row r="523" spans="55:55" ht="15.75" customHeight="1" x14ac:dyDescent="0.15">
      <c r="BC523" s="23"/>
    </row>
    <row r="524" spans="55:55" ht="15.75" customHeight="1" x14ac:dyDescent="0.15">
      <c r="BC524" s="23"/>
    </row>
    <row r="525" spans="55:55" ht="15.75" customHeight="1" x14ac:dyDescent="0.15">
      <c r="BC525" s="23"/>
    </row>
    <row r="526" spans="55:55" ht="15.75" customHeight="1" x14ac:dyDescent="0.15">
      <c r="BC526" s="23"/>
    </row>
    <row r="527" spans="55:55" ht="15.75" customHeight="1" x14ac:dyDescent="0.15">
      <c r="BC527" s="23"/>
    </row>
    <row r="528" spans="55:55" ht="15.75" customHeight="1" x14ac:dyDescent="0.15">
      <c r="BC528" s="23"/>
    </row>
    <row r="529" spans="55:55" ht="15.75" customHeight="1" x14ac:dyDescent="0.15">
      <c r="BC529" s="23"/>
    </row>
    <row r="530" spans="55:55" ht="15.75" customHeight="1" x14ac:dyDescent="0.15">
      <c r="BC530" s="23"/>
    </row>
    <row r="531" spans="55:55" ht="15.75" customHeight="1" x14ac:dyDescent="0.15">
      <c r="BC531" s="23"/>
    </row>
    <row r="532" spans="55:55" ht="15.75" customHeight="1" x14ac:dyDescent="0.15">
      <c r="BC532" s="23"/>
    </row>
    <row r="533" spans="55:55" ht="15.75" customHeight="1" x14ac:dyDescent="0.15">
      <c r="BC533" s="23"/>
    </row>
    <row r="534" spans="55:55" ht="15.75" customHeight="1" x14ac:dyDescent="0.15">
      <c r="BC534" s="23"/>
    </row>
    <row r="535" spans="55:55" ht="15.75" customHeight="1" x14ac:dyDescent="0.15">
      <c r="BC535" s="23"/>
    </row>
    <row r="536" spans="55:55" ht="15.75" customHeight="1" x14ac:dyDescent="0.15">
      <c r="BC536" s="23"/>
    </row>
    <row r="537" spans="55:55" ht="15.75" customHeight="1" x14ac:dyDescent="0.15">
      <c r="BC537" s="23"/>
    </row>
    <row r="538" spans="55:55" ht="15.75" customHeight="1" x14ac:dyDescent="0.15">
      <c r="BC538" s="23"/>
    </row>
    <row r="539" spans="55:55" ht="15.75" customHeight="1" x14ac:dyDescent="0.15">
      <c r="BC539" s="23"/>
    </row>
    <row r="540" spans="55:55" ht="15.75" customHeight="1" x14ac:dyDescent="0.15">
      <c r="BC540" s="23"/>
    </row>
    <row r="541" spans="55:55" ht="15.75" customHeight="1" x14ac:dyDescent="0.15">
      <c r="BC541" s="23"/>
    </row>
    <row r="542" spans="55:55" ht="15.75" customHeight="1" x14ac:dyDescent="0.15">
      <c r="BC542" s="23"/>
    </row>
    <row r="543" spans="55:55" ht="15.75" customHeight="1" x14ac:dyDescent="0.15">
      <c r="BC543" s="23"/>
    </row>
    <row r="544" spans="55:55" ht="15.75" customHeight="1" x14ac:dyDescent="0.15">
      <c r="BC544" s="23"/>
    </row>
    <row r="545" spans="55:55" ht="15.75" customHeight="1" x14ac:dyDescent="0.15">
      <c r="BC545" s="23"/>
    </row>
    <row r="546" spans="55:55" ht="15.75" customHeight="1" x14ac:dyDescent="0.15">
      <c r="BC546" s="23"/>
    </row>
    <row r="547" spans="55:55" ht="15.75" customHeight="1" x14ac:dyDescent="0.15">
      <c r="BC547" s="23"/>
    </row>
    <row r="548" spans="55:55" ht="15.75" customHeight="1" x14ac:dyDescent="0.15">
      <c r="BC548" s="23"/>
    </row>
    <row r="549" spans="55:55" ht="15.75" customHeight="1" x14ac:dyDescent="0.15">
      <c r="BC549" s="23"/>
    </row>
    <row r="550" spans="55:55" ht="15.75" customHeight="1" x14ac:dyDescent="0.15">
      <c r="BC550" s="23"/>
    </row>
    <row r="551" spans="55:55" ht="15.75" customHeight="1" x14ac:dyDescent="0.15">
      <c r="BC551" s="23"/>
    </row>
    <row r="552" spans="55:55" ht="15.75" customHeight="1" x14ac:dyDescent="0.15">
      <c r="BC552" s="23"/>
    </row>
    <row r="553" spans="55:55" ht="15.75" customHeight="1" x14ac:dyDescent="0.15">
      <c r="BC553" s="23"/>
    </row>
    <row r="554" spans="55:55" ht="15.75" customHeight="1" x14ac:dyDescent="0.15">
      <c r="BC554" s="23"/>
    </row>
    <row r="555" spans="55:55" ht="15.75" customHeight="1" x14ac:dyDescent="0.15">
      <c r="BC555" s="23"/>
    </row>
    <row r="556" spans="55:55" ht="15.75" customHeight="1" x14ac:dyDescent="0.15">
      <c r="BC556" s="23"/>
    </row>
    <row r="557" spans="55:55" ht="15.75" customHeight="1" x14ac:dyDescent="0.15">
      <c r="BC557" s="23"/>
    </row>
    <row r="558" spans="55:55" ht="15.75" customHeight="1" x14ac:dyDescent="0.15">
      <c r="BC558" s="23"/>
    </row>
    <row r="559" spans="55:55" ht="15.75" customHeight="1" x14ac:dyDescent="0.15">
      <c r="BC559" s="23"/>
    </row>
    <row r="560" spans="55:55" ht="15.75" customHeight="1" x14ac:dyDescent="0.15">
      <c r="BC560" s="23"/>
    </row>
    <row r="561" spans="55:55" ht="15.75" customHeight="1" x14ac:dyDescent="0.15">
      <c r="BC561" s="23"/>
    </row>
    <row r="562" spans="55:55" ht="15.75" customHeight="1" x14ac:dyDescent="0.15">
      <c r="BC562" s="23"/>
    </row>
    <row r="563" spans="55:55" ht="15.75" customHeight="1" x14ac:dyDescent="0.15">
      <c r="BC563" s="23"/>
    </row>
    <row r="564" spans="55:55" ht="15.75" customHeight="1" x14ac:dyDescent="0.15">
      <c r="BC564" s="23"/>
    </row>
    <row r="565" spans="55:55" ht="15.75" customHeight="1" x14ac:dyDescent="0.15">
      <c r="BC565" s="23"/>
    </row>
    <row r="566" spans="55:55" ht="15.75" customHeight="1" x14ac:dyDescent="0.15">
      <c r="BC566" s="23"/>
    </row>
    <row r="567" spans="55:55" ht="15.75" customHeight="1" x14ac:dyDescent="0.15">
      <c r="BC567" s="23"/>
    </row>
    <row r="568" spans="55:55" ht="15.75" customHeight="1" x14ac:dyDescent="0.15">
      <c r="BC568" s="23"/>
    </row>
    <row r="569" spans="55:55" ht="15.75" customHeight="1" x14ac:dyDescent="0.15">
      <c r="BC569" s="23"/>
    </row>
    <row r="570" spans="55:55" ht="15.75" customHeight="1" x14ac:dyDescent="0.15">
      <c r="BC570" s="23"/>
    </row>
    <row r="571" spans="55:55" ht="15.75" customHeight="1" x14ac:dyDescent="0.15">
      <c r="BC571" s="23"/>
    </row>
    <row r="572" spans="55:55" ht="15.75" customHeight="1" x14ac:dyDescent="0.15">
      <c r="BC572" s="23"/>
    </row>
    <row r="573" spans="55:55" ht="15.75" customHeight="1" x14ac:dyDescent="0.15">
      <c r="BC573" s="23"/>
    </row>
    <row r="574" spans="55:55" ht="15.75" customHeight="1" x14ac:dyDescent="0.15">
      <c r="BC574" s="23"/>
    </row>
    <row r="575" spans="55:55" ht="15.75" customHeight="1" x14ac:dyDescent="0.15">
      <c r="BC575" s="23"/>
    </row>
    <row r="576" spans="55:55" ht="15.75" customHeight="1" x14ac:dyDescent="0.15">
      <c r="BC576" s="23"/>
    </row>
    <row r="577" spans="55:55" ht="15.75" customHeight="1" x14ac:dyDescent="0.15">
      <c r="BC577" s="23"/>
    </row>
    <row r="578" spans="55:55" ht="15.75" customHeight="1" x14ac:dyDescent="0.15">
      <c r="BC578" s="23"/>
    </row>
    <row r="579" spans="55:55" ht="15.75" customHeight="1" x14ac:dyDescent="0.15">
      <c r="BC579" s="23"/>
    </row>
    <row r="580" spans="55:55" ht="15.75" customHeight="1" x14ac:dyDescent="0.15">
      <c r="BC580" s="23"/>
    </row>
    <row r="581" spans="55:55" ht="15.75" customHeight="1" x14ac:dyDescent="0.15">
      <c r="BC581" s="23"/>
    </row>
    <row r="582" spans="55:55" ht="15.75" customHeight="1" x14ac:dyDescent="0.15">
      <c r="BC582" s="23"/>
    </row>
    <row r="583" spans="55:55" ht="15.75" customHeight="1" x14ac:dyDescent="0.15">
      <c r="BC583" s="23"/>
    </row>
    <row r="584" spans="55:55" ht="15.75" customHeight="1" x14ac:dyDescent="0.15">
      <c r="BC584" s="23"/>
    </row>
    <row r="585" spans="55:55" ht="15.75" customHeight="1" x14ac:dyDescent="0.15">
      <c r="BC585" s="23"/>
    </row>
    <row r="586" spans="55:55" ht="15.75" customHeight="1" x14ac:dyDescent="0.15">
      <c r="BC586" s="23"/>
    </row>
    <row r="587" spans="55:55" ht="15.75" customHeight="1" x14ac:dyDescent="0.15">
      <c r="BC587" s="23"/>
    </row>
    <row r="588" spans="55:55" ht="15.75" customHeight="1" x14ac:dyDescent="0.15">
      <c r="BC588" s="23"/>
    </row>
    <row r="589" spans="55:55" ht="15.75" customHeight="1" x14ac:dyDescent="0.15">
      <c r="BC589" s="23"/>
    </row>
    <row r="590" spans="55:55" ht="15.75" customHeight="1" x14ac:dyDescent="0.15">
      <c r="BC590" s="23"/>
    </row>
    <row r="591" spans="55:55" ht="15.75" customHeight="1" x14ac:dyDescent="0.15">
      <c r="BC591" s="23"/>
    </row>
    <row r="592" spans="55:55" ht="15.75" customHeight="1" x14ac:dyDescent="0.15">
      <c r="BC592" s="23"/>
    </row>
    <row r="593" spans="55:55" ht="15.75" customHeight="1" x14ac:dyDescent="0.15">
      <c r="BC593" s="23"/>
    </row>
    <row r="594" spans="55:55" ht="15.75" customHeight="1" x14ac:dyDescent="0.15">
      <c r="BC594" s="23"/>
    </row>
    <row r="595" spans="55:55" ht="15.75" customHeight="1" x14ac:dyDescent="0.15">
      <c r="BC595" s="23"/>
    </row>
    <row r="596" spans="55:55" ht="15.75" customHeight="1" x14ac:dyDescent="0.15">
      <c r="BC596" s="23"/>
    </row>
    <row r="597" spans="55:55" ht="15.75" customHeight="1" x14ac:dyDescent="0.15">
      <c r="BC597" s="23"/>
    </row>
    <row r="598" spans="55:55" ht="15.75" customHeight="1" x14ac:dyDescent="0.15">
      <c r="BC598" s="23"/>
    </row>
    <row r="599" spans="55:55" ht="15.75" customHeight="1" x14ac:dyDescent="0.15">
      <c r="BC599" s="23"/>
    </row>
    <row r="600" spans="55:55" ht="15.75" customHeight="1" x14ac:dyDescent="0.15">
      <c r="BC600" s="23"/>
    </row>
    <row r="601" spans="55:55" ht="15.75" customHeight="1" x14ac:dyDescent="0.15">
      <c r="BC601" s="23"/>
    </row>
    <row r="602" spans="55:55" ht="15.75" customHeight="1" x14ac:dyDescent="0.15">
      <c r="BC602" s="23"/>
    </row>
    <row r="603" spans="55:55" ht="15.75" customHeight="1" x14ac:dyDescent="0.15">
      <c r="BC603" s="23"/>
    </row>
    <row r="604" spans="55:55" ht="15.75" customHeight="1" x14ac:dyDescent="0.15">
      <c r="BC604" s="23"/>
    </row>
    <row r="605" spans="55:55" ht="15.75" customHeight="1" x14ac:dyDescent="0.15">
      <c r="BC605" s="23"/>
    </row>
    <row r="606" spans="55:55" ht="15.75" customHeight="1" x14ac:dyDescent="0.15">
      <c r="BC606" s="23"/>
    </row>
    <row r="607" spans="55:55" ht="15.75" customHeight="1" x14ac:dyDescent="0.15">
      <c r="BC607" s="23"/>
    </row>
    <row r="608" spans="55:55" ht="15.75" customHeight="1" x14ac:dyDescent="0.15">
      <c r="BC608" s="23"/>
    </row>
    <row r="609" spans="55:55" ht="15.75" customHeight="1" x14ac:dyDescent="0.15">
      <c r="BC609" s="23"/>
    </row>
    <row r="610" spans="55:55" ht="15.75" customHeight="1" x14ac:dyDescent="0.15">
      <c r="BC610" s="23"/>
    </row>
    <row r="611" spans="55:55" ht="15.75" customHeight="1" x14ac:dyDescent="0.15">
      <c r="BC611" s="23"/>
    </row>
    <row r="612" spans="55:55" ht="15.75" customHeight="1" x14ac:dyDescent="0.15">
      <c r="BC612" s="23"/>
    </row>
    <row r="613" spans="55:55" ht="15.75" customHeight="1" x14ac:dyDescent="0.15">
      <c r="BC613" s="23"/>
    </row>
    <row r="614" spans="55:55" ht="15.75" customHeight="1" x14ac:dyDescent="0.15">
      <c r="BC614" s="23"/>
    </row>
    <row r="615" spans="55:55" ht="15.75" customHeight="1" x14ac:dyDescent="0.15">
      <c r="BC615" s="23"/>
    </row>
    <row r="616" spans="55:55" ht="15.75" customHeight="1" x14ac:dyDescent="0.15">
      <c r="BC616" s="23"/>
    </row>
    <row r="617" spans="55:55" ht="15.75" customHeight="1" x14ac:dyDescent="0.15">
      <c r="BC617" s="23"/>
    </row>
    <row r="618" spans="55:55" ht="15.75" customHeight="1" x14ac:dyDescent="0.15">
      <c r="BC618" s="23"/>
    </row>
    <row r="619" spans="55:55" ht="15.75" customHeight="1" x14ac:dyDescent="0.15">
      <c r="BC619" s="23"/>
    </row>
    <row r="620" spans="55:55" ht="15.75" customHeight="1" x14ac:dyDescent="0.15">
      <c r="BC620" s="23"/>
    </row>
    <row r="621" spans="55:55" ht="15.75" customHeight="1" x14ac:dyDescent="0.15">
      <c r="BC621" s="23"/>
    </row>
    <row r="622" spans="55:55" ht="15.75" customHeight="1" x14ac:dyDescent="0.15">
      <c r="BC622" s="23"/>
    </row>
    <row r="623" spans="55:55" ht="15.75" customHeight="1" x14ac:dyDescent="0.15">
      <c r="BC623" s="23"/>
    </row>
    <row r="624" spans="55:55" ht="15.75" customHeight="1" x14ac:dyDescent="0.15">
      <c r="BC624" s="23"/>
    </row>
    <row r="625" spans="55:55" ht="15.75" customHeight="1" x14ac:dyDescent="0.15">
      <c r="BC625" s="23"/>
    </row>
    <row r="626" spans="55:55" ht="15.75" customHeight="1" x14ac:dyDescent="0.15">
      <c r="BC626" s="23"/>
    </row>
    <row r="627" spans="55:55" ht="15.75" customHeight="1" x14ac:dyDescent="0.15">
      <c r="BC627" s="23"/>
    </row>
    <row r="628" spans="55:55" ht="15.75" customHeight="1" x14ac:dyDescent="0.15">
      <c r="BC628" s="23"/>
    </row>
    <row r="629" spans="55:55" ht="15.75" customHeight="1" x14ac:dyDescent="0.15">
      <c r="BC629" s="23"/>
    </row>
    <row r="630" spans="55:55" ht="15.75" customHeight="1" x14ac:dyDescent="0.15">
      <c r="BC630" s="23"/>
    </row>
    <row r="631" spans="55:55" ht="15.75" customHeight="1" x14ac:dyDescent="0.15">
      <c r="BC631" s="23"/>
    </row>
    <row r="632" spans="55:55" ht="15.75" customHeight="1" x14ac:dyDescent="0.15">
      <c r="BC632" s="23"/>
    </row>
    <row r="633" spans="55:55" ht="15.75" customHeight="1" x14ac:dyDescent="0.15">
      <c r="BC633" s="23"/>
    </row>
    <row r="634" spans="55:55" ht="15.75" customHeight="1" x14ac:dyDescent="0.15">
      <c r="BC634" s="23"/>
    </row>
    <row r="635" spans="55:55" ht="15.75" customHeight="1" x14ac:dyDescent="0.15">
      <c r="BC635" s="23"/>
    </row>
    <row r="636" spans="55:55" ht="15.75" customHeight="1" x14ac:dyDescent="0.15">
      <c r="BC636" s="23"/>
    </row>
    <row r="637" spans="55:55" ht="15.75" customHeight="1" x14ac:dyDescent="0.15">
      <c r="BC637" s="23"/>
    </row>
    <row r="638" spans="55:55" ht="15.75" customHeight="1" x14ac:dyDescent="0.15">
      <c r="BC638" s="23"/>
    </row>
    <row r="639" spans="55:55" ht="15.75" customHeight="1" x14ac:dyDescent="0.15">
      <c r="BC639" s="23"/>
    </row>
    <row r="640" spans="55:55" ht="15.75" customHeight="1" x14ac:dyDescent="0.15">
      <c r="BC640" s="23"/>
    </row>
    <row r="641" spans="55:55" ht="15.75" customHeight="1" x14ac:dyDescent="0.15">
      <c r="BC641" s="23"/>
    </row>
    <row r="642" spans="55:55" ht="15.75" customHeight="1" x14ac:dyDescent="0.15">
      <c r="BC642" s="23"/>
    </row>
    <row r="643" spans="55:55" ht="15.75" customHeight="1" x14ac:dyDescent="0.15">
      <c r="BC643" s="23"/>
    </row>
    <row r="644" spans="55:55" ht="15.75" customHeight="1" x14ac:dyDescent="0.15">
      <c r="BC644" s="23"/>
    </row>
    <row r="645" spans="55:55" ht="15.75" customHeight="1" x14ac:dyDescent="0.15">
      <c r="BC645" s="23"/>
    </row>
    <row r="646" spans="55:55" ht="15.75" customHeight="1" x14ac:dyDescent="0.15">
      <c r="BC646" s="23"/>
    </row>
    <row r="647" spans="55:55" ht="15.75" customHeight="1" x14ac:dyDescent="0.15">
      <c r="BC647" s="23"/>
    </row>
    <row r="648" spans="55:55" ht="15.75" customHeight="1" x14ac:dyDescent="0.15">
      <c r="BC648" s="23"/>
    </row>
    <row r="649" spans="55:55" ht="15.75" customHeight="1" x14ac:dyDescent="0.15">
      <c r="BC649" s="23"/>
    </row>
    <row r="650" spans="55:55" ht="15.75" customHeight="1" x14ac:dyDescent="0.15">
      <c r="BC650" s="23"/>
    </row>
    <row r="651" spans="55:55" ht="15.75" customHeight="1" x14ac:dyDescent="0.15">
      <c r="BC651" s="23"/>
    </row>
    <row r="652" spans="55:55" ht="15.75" customHeight="1" x14ac:dyDescent="0.15">
      <c r="BC652" s="23"/>
    </row>
    <row r="653" spans="55:55" ht="15.75" customHeight="1" x14ac:dyDescent="0.15">
      <c r="BC653" s="23"/>
    </row>
    <row r="654" spans="55:55" ht="15.75" customHeight="1" x14ac:dyDescent="0.15">
      <c r="BC654" s="23"/>
    </row>
    <row r="655" spans="55:55" ht="15.75" customHeight="1" x14ac:dyDescent="0.15">
      <c r="BC655" s="23"/>
    </row>
    <row r="656" spans="55:55" ht="15.75" customHeight="1" x14ac:dyDescent="0.15">
      <c r="BC656" s="23"/>
    </row>
    <row r="657" spans="55:55" ht="15.75" customHeight="1" x14ac:dyDescent="0.15">
      <c r="BC657" s="23"/>
    </row>
    <row r="658" spans="55:55" ht="15.75" customHeight="1" x14ac:dyDescent="0.15">
      <c r="BC658" s="23"/>
    </row>
    <row r="659" spans="55:55" ht="15.75" customHeight="1" x14ac:dyDescent="0.15">
      <c r="BC659" s="23"/>
    </row>
    <row r="660" spans="55:55" ht="15.75" customHeight="1" x14ac:dyDescent="0.15">
      <c r="BC660" s="23"/>
    </row>
    <row r="661" spans="55:55" ht="15.75" customHeight="1" x14ac:dyDescent="0.15">
      <c r="BC661" s="23"/>
    </row>
    <row r="662" spans="55:55" ht="15.75" customHeight="1" x14ac:dyDescent="0.15">
      <c r="BC662" s="23"/>
    </row>
    <row r="663" spans="55:55" ht="15.75" customHeight="1" x14ac:dyDescent="0.15">
      <c r="BC663" s="23"/>
    </row>
    <row r="664" spans="55:55" ht="15.75" customHeight="1" x14ac:dyDescent="0.15">
      <c r="BC664" s="23"/>
    </row>
    <row r="665" spans="55:55" ht="15.75" customHeight="1" x14ac:dyDescent="0.15">
      <c r="BC665" s="23"/>
    </row>
    <row r="666" spans="55:55" ht="15.75" customHeight="1" x14ac:dyDescent="0.15">
      <c r="BC666" s="23"/>
    </row>
    <row r="667" spans="55:55" ht="15.75" customHeight="1" x14ac:dyDescent="0.15">
      <c r="BC667" s="23"/>
    </row>
    <row r="668" spans="55:55" ht="15.75" customHeight="1" x14ac:dyDescent="0.15">
      <c r="BC668" s="23"/>
    </row>
    <row r="669" spans="55:55" ht="15.75" customHeight="1" x14ac:dyDescent="0.15">
      <c r="BC669" s="23"/>
    </row>
    <row r="670" spans="55:55" ht="15.75" customHeight="1" x14ac:dyDescent="0.15">
      <c r="BC670" s="23"/>
    </row>
    <row r="671" spans="55:55" ht="15.75" customHeight="1" x14ac:dyDescent="0.15">
      <c r="BC671" s="23"/>
    </row>
    <row r="672" spans="55:55" ht="15.75" customHeight="1" x14ac:dyDescent="0.15">
      <c r="BC672" s="23"/>
    </row>
    <row r="673" spans="55:55" ht="15.75" customHeight="1" x14ac:dyDescent="0.15">
      <c r="BC673" s="23"/>
    </row>
    <row r="674" spans="55:55" ht="15.75" customHeight="1" x14ac:dyDescent="0.15">
      <c r="BC674" s="23"/>
    </row>
    <row r="675" spans="55:55" ht="15.75" customHeight="1" x14ac:dyDescent="0.15">
      <c r="BC675" s="23"/>
    </row>
    <row r="676" spans="55:55" ht="15.75" customHeight="1" x14ac:dyDescent="0.15">
      <c r="BC676" s="23"/>
    </row>
    <row r="677" spans="55:55" ht="15.75" customHeight="1" x14ac:dyDescent="0.15">
      <c r="BC677" s="23"/>
    </row>
    <row r="678" spans="55:55" ht="15.75" customHeight="1" x14ac:dyDescent="0.15">
      <c r="BC678" s="23"/>
    </row>
    <row r="679" spans="55:55" ht="15.75" customHeight="1" x14ac:dyDescent="0.15">
      <c r="BC679" s="23"/>
    </row>
    <row r="680" spans="55:55" ht="15.75" customHeight="1" x14ac:dyDescent="0.15">
      <c r="BC680" s="23"/>
    </row>
    <row r="681" spans="55:55" ht="15.75" customHeight="1" x14ac:dyDescent="0.15">
      <c r="BC681" s="23"/>
    </row>
    <row r="682" spans="55:55" ht="15.75" customHeight="1" x14ac:dyDescent="0.15">
      <c r="BC682" s="23"/>
    </row>
    <row r="683" spans="55:55" ht="15.75" customHeight="1" x14ac:dyDescent="0.15">
      <c r="BC683" s="23"/>
    </row>
    <row r="684" spans="55:55" ht="15.75" customHeight="1" x14ac:dyDescent="0.15">
      <c r="BC684" s="23"/>
    </row>
    <row r="685" spans="55:55" ht="15.75" customHeight="1" x14ac:dyDescent="0.15">
      <c r="BC685" s="23"/>
    </row>
    <row r="686" spans="55:55" ht="15.75" customHeight="1" x14ac:dyDescent="0.15">
      <c r="BC686" s="23"/>
    </row>
    <row r="687" spans="55:55" ht="15.75" customHeight="1" x14ac:dyDescent="0.15">
      <c r="BC687" s="23"/>
    </row>
    <row r="688" spans="55:55" ht="15.75" customHeight="1" x14ac:dyDescent="0.15">
      <c r="BC688" s="23"/>
    </row>
    <row r="689" spans="55:55" ht="15.75" customHeight="1" x14ac:dyDescent="0.15">
      <c r="BC689" s="23"/>
    </row>
    <row r="690" spans="55:55" ht="15.75" customHeight="1" x14ac:dyDescent="0.15">
      <c r="BC690" s="23"/>
    </row>
    <row r="691" spans="55:55" ht="15.75" customHeight="1" x14ac:dyDescent="0.15">
      <c r="BC691" s="23"/>
    </row>
    <row r="692" spans="55:55" ht="15.75" customHeight="1" x14ac:dyDescent="0.15">
      <c r="BC692" s="23"/>
    </row>
    <row r="693" spans="55:55" ht="15.75" customHeight="1" x14ac:dyDescent="0.15">
      <c r="BC693" s="23"/>
    </row>
    <row r="694" spans="55:55" ht="15.75" customHeight="1" x14ac:dyDescent="0.15">
      <c r="BC694" s="23"/>
    </row>
    <row r="695" spans="55:55" ht="15.75" customHeight="1" x14ac:dyDescent="0.15">
      <c r="BC695" s="23"/>
    </row>
    <row r="696" spans="55:55" ht="15.75" customHeight="1" x14ac:dyDescent="0.15">
      <c r="BC696" s="23"/>
    </row>
    <row r="697" spans="55:55" ht="15.75" customHeight="1" x14ac:dyDescent="0.15">
      <c r="BC697" s="23"/>
    </row>
    <row r="698" spans="55:55" ht="15.75" customHeight="1" x14ac:dyDescent="0.15">
      <c r="BC698" s="23"/>
    </row>
    <row r="699" spans="55:55" ht="15.75" customHeight="1" x14ac:dyDescent="0.15">
      <c r="BC699" s="23"/>
    </row>
    <row r="700" spans="55:55" ht="15.75" customHeight="1" x14ac:dyDescent="0.15">
      <c r="BC700" s="23"/>
    </row>
    <row r="701" spans="55:55" ht="15.75" customHeight="1" x14ac:dyDescent="0.15">
      <c r="BC701" s="23"/>
    </row>
    <row r="702" spans="55:55" ht="15.75" customHeight="1" x14ac:dyDescent="0.15">
      <c r="BC702" s="23"/>
    </row>
    <row r="703" spans="55:55" ht="15.75" customHeight="1" x14ac:dyDescent="0.15">
      <c r="BC703" s="23"/>
    </row>
    <row r="704" spans="55:55" ht="15.75" customHeight="1" x14ac:dyDescent="0.15">
      <c r="BC704" s="23"/>
    </row>
    <row r="705" spans="55:55" ht="15.75" customHeight="1" x14ac:dyDescent="0.15">
      <c r="BC705" s="23"/>
    </row>
    <row r="706" spans="55:55" ht="15.75" customHeight="1" x14ac:dyDescent="0.15">
      <c r="BC706" s="23"/>
    </row>
    <row r="707" spans="55:55" ht="15.75" customHeight="1" x14ac:dyDescent="0.15">
      <c r="BC707" s="23"/>
    </row>
    <row r="708" spans="55:55" ht="15.75" customHeight="1" x14ac:dyDescent="0.15">
      <c r="BC708" s="23"/>
    </row>
    <row r="709" spans="55:55" ht="15.75" customHeight="1" x14ac:dyDescent="0.15">
      <c r="BC709" s="23"/>
    </row>
    <row r="710" spans="55:55" ht="15.75" customHeight="1" x14ac:dyDescent="0.15">
      <c r="BC710" s="23"/>
    </row>
    <row r="711" spans="55:55" ht="15.75" customHeight="1" x14ac:dyDescent="0.15">
      <c r="BC711" s="23"/>
    </row>
    <row r="712" spans="55:55" ht="15.75" customHeight="1" x14ac:dyDescent="0.15">
      <c r="BC712" s="23"/>
    </row>
    <row r="713" spans="55:55" ht="15.75" customHeight="1" x14ac:dyDescent="0.15">
      <c r="BC713" s="23"/>
    </row>
    <row r="714" spans="55:55" ht="15.75" customHeight="1" x14ac:dyDescent="0.15">
      <c r="BC714" s="23"/>
    </row>
    <row r="715" spans="55:55" ht="15.75" customHeight="1" x14ac:dyDescent="0.15">
      <c r="BC715" s="23"/>
    </row>
    <row r="716" spans="55:55" ht="15.75" customHeight="1" x14ac:dyDescent="0.15">
      <c r="BC716" s="23"/>
    </row>
    <row r="717" spans="55:55" ht="15.75" customHeight="1" x14ac:dyDescent="0.15">
      <c r="BC717" s="23"/>
    </row>
    <row r="718" spans="55:55" ht="15.75" customHeight="1" x14ac:dyDescent="0.15">
      <c r="BC718" s="23"/>
    </row>
    <row r="719" spans="55:55" ht="15.75" customHeight="1" x14ac:dyDescent="0.15">
      <c r="BC719" s="23"/>
    </row>
    <row r="720" spans="55:55" ht="15.75" customHeight="1" x14ac:dyDescent="0.15">
      <c r="BC720" s="23"/>
    </row>
    <row r="721" spans="55:55" ht="15.75" customHeight="1" x14ac:dyDescent="0.15">
      <c r="BC721" s="23"/>
    </row>
    <row r="722" spans="55:55" ht="15.75" customHeight="1" x14ac:dyDescent="0.15">
      <c r="BC722" s="23"/>
    </row>
    <row r="723" spans="55:55" ht="15.75" customHeight="1" x14ac:dyDescent="0.15">
      <c r="BC723" s="23"/>
    </row>
    <row r="724" spans="55:55" ht="15.75" customHeight="1" x14ac:dyDescent="0.15">
      <c r="BC724" s="23"/>
    </row>
    <row r="725" spans="55:55" ht="15.75" customHeight="1" x14ac:dyDescent="0.15">
      <c r="BC725" s="23"/>
    </row>
    <row r="726" spans="55:55" ht="15.75" customHeight="1" x14ac:dyDescent="0.15">
      <c r="BC726" s="23"/>
    </row>
    <row r="727" spans="55:55" ht="15.75" customHeight="1" x14ac:dyDescent="0.15">
      <c r="BC727" s="23"/>
    </row>
    <row r="728" spans="55:55" ht="15.75" customHeight="1" x14ac:dyDescent="0.15">
      <c r="BC728" s="23"/>
    </row>
    <row r="729" spans="55:55" ht="15.75" customHeight="1" x14ac:dyDescent="0.15">
      <c r="BC729" s="23"/>
    </row>
    <row r="730" spans="55:55" ht="15.75" customHeight="1" x14ac:dyDescent="0.15">
      <c r="BC730" s="23"/>
    </row>
    <row r="731" spans="55:55" ht="15.75" customHeight="1" x14ac:dyDescent="0.15">
      <c r="BC731" s="23"/>
    </row>
    <row r="732" spans="55:55" ht="15.75" customHeight="1" x14ac:dyDescent="0.15">
      <c r="BC732" s="23"/>
    </row>
    <row r="733" spans="55:55" ht="15.75" customHeight="1" x14ac:dyDescent="0.15">
      <c r="BC733" s="23"/>
    </row>
    <row r="734" spans="55:55" ht="15.75" customHeight="1" x14ac:dyDescent="0.15">
      <c r="BC734" s="23"/>
    </row>
    <row r="735" spans="55:55" ht="15.75" customHeight="1" x14ac:dyDescent="0.15">
      <c r="BC735" s="23"/>
    </row>
    <row r="736" spans="55:55" ht="15.75" customHeight="1" x14ac:dyDescent="0.15">
      <c r="BC736" s="23"/>
    </row>
    <row r="737" spans="55:55" ht="15.75" customHeight="1" x14ac:dyDescent="0.15">
      <c r="BC737" s="23"/>
    </row>
    <row r="738" spans="55:55" ht="15.75" customHeight="1" x14ac:dyDescent="0.15">
      <c r="BC738" s="23"/>
    </row>
    <row r="739" spans="55:55" ht="15.75" customHeight="1" x14ac:dyDescent="0.15">
      <c r="BC739" s="23"/>
    </row>
    <row r="740" spans="55:55" ht="15.75" customHeight="1" x14ac:dyDescent="0.15">
      <c r="BC740" s="23"/>
    </row>
    <row r="741" spans="55:55" ht="15.75" customHeight="1" x14ac:dyDescent="0.15">
      <c r="BC741" s="23"/>
    </row>
    <row r="742" spans="55:55" ht="15.75" customHeight="1" x14ac:dyDescent="0.15">
      <c r="BC742" s="23"/>
    </row>
    <row r="743" spans="55:55" ht="15.75" customHeight="1" x14ac:dyDescent="0.15">
      <c r="BC743" s="23"/>
    </row>
    <row r="744" spans="55:55" ht="15.75" customHeight="1" x14ac:dyDescent="0.15">
      <c r="BC744" s="23"/>
    </row>
    <row r="745" spans="55:55" ht="15.75" customHeight="1" x14ac:dyDescent="0.15">
      <c r="BC745" s="23"/>
    </row>
    <row r="746" spans="55:55" ht="15.75" customHeight="1" x14ac:dyDescent="0.15">
      <c r="BC746" s="23"/>
    </row>
    <row r="747" spans="55:55" ht="15.75" customHeight="1" x14ac:dyDescent="0.15">
      <c r="BC747" s="23"/>
    </row>
    <row r="748" spans="55:55" ht="15.75" customHeight="1" x14ac:dyDescent="0.15">
      <c r="BC748" s="23"/>
    </row>
    <row r="749" spans="55:55" ht="15.75" customHeight="1" x14ac:dyDescent="0.15">
      <c r="BC749" s="23"/>
    </row>
    <row r="750" spans="55:55" ht="15.75" customHeight="1" x14ac:dyDescent="0.15">
      <c r="BC750" s="23"/>
    </row>
    <row r="751" spans="55:55" ht="15.75" customHeight="1" x14ac:dyDescent="0.15">
      <c r="BC751" s="23"/>
    </row>
    <row r="752" spans="55:55" ht="15.75" customHeight="1" x14ac:dyDescent="0.15">
      <c r="BC752" s="23"/>
    </row>
    <row r="753" spans="55:55" ht="15.75" customHeight="1" x14ac:dyDescent="0.15">
      <c r="BC753" s="23"/>
    </row>
    <row r="754" spans="55:55" ht="15.75" customHeight="1" x14ac:dyDescent="0.15">
      <c r="BC754" s="23"/>
    </row>
    <row r="755" spans="55:55" ht="15.75" customHeight="1" x14ac:dyDescent="0.15">
      <c r="BC755" s="23"/>
    </row>
    <row r="756" spans="55:55" ht="15.75" customHeight="1" x14ac:dyDescent="0.15">
      <c r="BC756" s="23"/>
    </row>
    <row r="757" spans="55:55" ht="15.75" customHeight="1" x14ac:dyDescent="0.15">
      <c r="BC757" s="23"/>
    </row>
    <row r="758" spans="55:55" ht="15.75" customHeight="1" x14ac:dyDescent="0.15">
      <c r="BC758" s="23"/>
    </row>
    <row r="759" spans="55:55" ht="15.75" customHeight="1" x14ac:dyDescent="0.15">
      <c r="BC759" s="23"/>
    </row>
    <row r="760" spans="55:55" ht="15.75" customHeight="1" x14ac:dyDescent="0.15">
      <c r="BC760" s="23"/>
    </row>
    <row r="761" spans="55:55" ht="15.75" customHeight="1" x14ac:dyDescent="0.15">
      <c r="BC761" s="23"/>
    </row>
    <row r="762" spans="55:55" ht="15.75" customHeight="1" x14ac:dyDescent="0.15">
      <c r="BC762" s="23"/>
    </row>
    <row r="763" spans="55:55" ht="15.75" customHeight="1" x14ac:dyDescent="0.15">
      <c r="BC763" s="23"/>
    </row>
    <row r="764" spans="55:55" ht="15.75" customHeight="1" x14ac:dyDescent="0.15">
      <c r="BC764" s="23"/>
    </row>
    <row r="765" spans="55:55" ht="15.75" customHeight="1" x14ac:dyDescent="0.15">
      <c r="BC765" s="23"/>
    </row>
    <row r="766" spans="55:55" ht="15.75" customHeight="1" x14ac:dyDescent="0.15">
      <c r="BC766" s="23"/>
    </row>
    <row r="767" spans="55:55" ht="15.75" customHeight="1" x14ac:dyDescent="0.15">
      <c r="BC767" s="23"/>
    </row>
    <row r="768" spans="55:55" ht="15.75" customHeight="1" x14ac:dyDescent="0.15">
      <c r="BC768" s="23"/>
    </row>
    <row r="769" spans="55:55" ht="15.75" customHeight="1" x14ac:dyDescent="0.15">
      <c r="BC769" s="23"/>
    </row>
    <row r="770" spans="55:55" ht="15.75" customHeight="1" x14ac:dyDescent="0.15">
      <c r="BC770" s="23"/>
    </row>
    <row r="771" spans="55:55" ht="15.75" customHeight="1" x14ac:dyDescent="0.15">
      <c r="BC771" s="23"/>
    </row>
    <row r="772" spans="55:55" ht="15.75" customHeight="1" x14ac:dyDescent="0.15">
      <c r="BC772" s="23"/>
    </row>
    <row r="773" spans="55:55" ht="15.75" customHeight="1" x14ac:dyDescent="0.15">
      <c r="BC773" s="23"/>
    </row>
    <row r="774" spans="55:55" ht="15.75" customHeight="1" x14ac:dyDescent="0.15">
      <c r="BC774" s="23"/>
    </row>
    <row r="775" spans="55:55" ht="15.75" customHeight="1" x14ac:dyDescent="0.15">
      <c r="BC775" s="23"/>
    </row>
    <row r="776" spans="55:55" ht="15.75" customHeight="1" x14ac:dyDescent="0.15">
      <c r="BC776" s="23"/>
    </row>
    <row r="777" spans="55:55" ht="15.75" customHeight="1" x14ac:dyDescent="0.15">
      <c r="BC777" s="23"/>
    </row>
    <row r="778" spans="55:55" ht="15.75" customHeight="1" x14ac:dyDescent="0.15">
      <c r="BC778" s="23"/>
    </row>
    <row r="779" spans="55:55" ht="15.75" customHeight="1" x14ac:dyDescent="0.15">
      <c r="BC779" s="23"/>
    </row>
    <row r="780" spans="55:55" ht="15.75" customHeight="1" x14ac:dyDescent="0.15">
      <c r="BC780" s="23"/>
    </row>
    <row r="781" spans="55:55" ht="15.75" customHeight="1" x14ac:dyDescent="0.15">
      <c r="BC781" s="23"/>
    </row>
    <row r="782" spans="55:55" ht="15.75" customHeight="1" x14ac:dyDescent="0.15">
      <c r="BC782" s="23"/>
    </row>
    <row r="783" spans="55:55" ht="15.75" customHeight="1" x14ac:dyDescent="0.15">
      <c r="BC783" s="23"/>
    </row>
    <row r="784" spans="55:55" ht="15.75" customHeight="1" x14ac:dyDescent="0.15">
      <c r="BC784" s="23"/>
    </row>
    <row r="785" spans="55:55" ht="15.75" customHeight="1" x14ac:dyDescent="0.15">
      <c r="BC785" s="23"/>
    </row>
    <row r="786" spans="55:55" ht="15.75" customHeight="1" x14ac:dyDescent="0.15">
      <c r="BC786" s="23"/>
    </row>
    <row r="787" spans="55:55" ht="15.75" customHeight="1" x14ac:dyDescent="0.15">
      <c r="BC787" s="23"/>
    </row>
    <row r="788" spans="55:55" ht="15.75" customHeight="1" x14ac:dyDescent="0.15">
      <c r="BC788" s="23"/>
    </row>
    <row r="789" spans="55:55" ht="15.75" customHeight="1" x14ac:dyDescent="0.15">
      <c r="BC789" s="23"/>
    </row>
    <row r="790" spans="55:55" ht="15.75" customHeight="1" x14ac:dyDescent="0.15">
      <c r="BC790" s="23"/>
    </row>
    <row r="791" spans="55:55" ht="15.75" customHeight="1" x14ac:dyDescent="0.15">
      <c r="BC791" s="23"/>
    </row>
    <row r="792" spans="55:55" ht="15.75" customHeight="1" x14ac:dyDescent="0.15">
      <c r="BC792" s="23"/>
    </row>
    <row r="793" spans="55:55" ht="15.75" customHeight="1" x14ac:dyDescent="0.15">
      <c r="BC793" s="23"/>
    </row>
    <row r="794" spans="55:55" ht="15.75" customHeight="1" x14ac:dyDescent="0.15">
      <c r="BC794" s="23"/>
    </row>
    <row r="795" spans="55:55" ht="15.75" customHeight="1" x14ac:dyDescent="0.15">
      <c r="BC795" s="23"/>
    </row>
    <row r="796" spans="55:55" ht="15.75" customHeight="1" x14ac:dyDescent="0.15">
      <c r="BC796" s="23"/>
    </row>
    <row r="797" spans="55:55" ht="15.75" customHeight="1" x14ac:dyDescent="0.15">
      <c r="BC797" s="23"/>
    </row>
    <row r="798" spans="55:55" ht="15.75" customHeight="1" x14ac:dyDescent="0.15">
      <c r="BC798" s="23"/>
    </row>
    <row r="799" spans="55:55" ht="15.75" customHeight="1" x14ac:dyDescent="0.15">
      <c r="BC799" s="23"/>
    </row>
    <row r="800" spans="55:55" ht="15.75" customHeight="1" x14ac:dyDescent="0.15">
      <c r="BC800" s="23"/>
    </row>
    <row r="801" spans="55:55" ht="15.75" customHeight="1" x14ac:dyDescent="0.15">
      <c r="BC801" s="23"/>
    </row>
    <row r="802" spans="55:55" ht="15.75" customHeight="1" x14ac:dyDescent="0.15">
      <c r="BC802" s="23"/>
    </row>
    <row r="803" spans="55:55" ht="15.75" customHeight="1" x14ac:dyDescent="0.15">
      <c r="BC803" s="23"/>
    </row>
    <row r="804" spans="55:55" ht="15.75" customHeight="1" x14ac:dyDescent="0.15">
      <c r="BC804" s="23"/>
    </row>
    <row r="805" spans="55:55" ht="15.75" customHeight="1" x14ac:dyDescent="0.15">
      <c r="BC805" s="23"/>
    </row>
    <row r="806" spans="55:55" ht="15.75" customHeight="1" x14ac:dyDescent="0.15">
      <c r="BC806" s="23"/>
    </row>
    <row r="807" spans="55:55" ht="15.75" customHeight="1" x14ac:dyDescent="0.15">
      <c r="BC807" s="23"/>
    </row>
    <row r="808" spans="55:55" ht="15.75" customHeight="1" x14ac:dyDescent="0.15">
      <c r="BC808" s="23"/>
    </row>
    <row r="809" spans="55:55" ht="15.75" customHeight="1" x14ac:dyDescent="0.15">
      <c r="BC809" s="23"/>
    </row>
    <row r="810" spans="55:55" ht="15.75" customHeight="1" x14ac:dyDescent="0.15">
      <c r="BC810" s="23"/>
    </row>
    <row r="811" spans="55:55" ht="15.75" customHeight="1" x14ac:dyDescent="0.15">
      <c r="BC811" s="23"/>
    </row>
    <row r="812" spans="55:55" ht="15.75" customHeight="1" x14ac:dyDescent="0.15">
      <c r="BC812" s="23"/>
    </row>
    <row r="813" spans="55:55" ht="15.75" customHeight="1" x14ac:dyDescent="0.15">
      <c r="BC813" s="23"/>
    </row>
    <row r="814" spans="55:55" ht="15.75" customHeight="1" x14ac:dyDescent="0.15">
      <c r="BC814" s="23"/>
    </row>
    <row r="815" spans="55:55" ht="15.75" customHeight="1" x14ac:dyDescent="0.15">
      <c r="BC815" s="23"/>
    </row>
    <row r="816" spans="55:55" ht="15.75" customHeight="1" x14ac:dyDescent="0.15">
      <c r="BC816" s="23"/>
    </row>
    <row r="817" spans="55:55" ht="15.75" customHeight="1" x14ac:dyDescent="0.15">
      <c r="BC817" s="23"/>
    </row>
    <row r="818" spans="55:55" ht="15.75" customHeight="1" x14ac:dyDescent="0.15">
      <c r="BC818" s="23"/>
    </row>
    <row r="819" spans="55:55" ht="15.75" customHeight="1" x14ac:dyDescent="0.15">
      <c r="BC819" s="23"/>
    </row>
    <row r="820" spans="55:55" ht="15.75" customHeight="1" x14ac:dyDescent="0.15">
      <c r="BC820" s="23"/>
    </row>
    <row r="821" spans="55:55" ht="15.75" customHeight="1" x14ac:dyDescent="0.15">
      <c r="BC821" s="23"/>
    </row>
    <row r="822" spans="55:55" ht="15.75" customHeight="1" x14ac:dyDescent="0.15">
      <c r="BC822" s="23"/>
    </row>
    <row r="823" spans="55:55" ht="15.75" customHeight="1" x14ac:dyDescent="0.15">
      <c r="BC823" s="23"/>
    </row>
    <row r="824" spans="55:55" ht="15.75" customHeight="1" x14ac:dyDescent="0.15">
      <c r="BC824" s="23"/>
    </row>
    <row r="825" spans="55:55" ht="15.75" customHeight="1" x14ac:dyDescent="0.15">
      <c r="BC825" s="23"/>
    </row>
    <row r="826" spans="55:55" ht="15.75" customHeight="1" x14ac:dyDescent="0.15">
      <c r="BC826" s="23"/>
    </row>
    <row r="827" spans="55:55" ht="15.75" customHeight="1" x14ac:dyDescent="0.15">
      <c r="BC827" s="23"/>
    </row>
    <row r="828" spans="55:55" ht="15.75" customHeight="1" x14ac:dyDescent="0.15">
      <c r="BC828" s="23"/>
    </row>
    <row r="829" spans="55:55" ht="15.75" customHeight="1" x14ac:dyDescent="0.15">
      <c r="BC829" s="23"/>
    </row>
    <row r="830" spans="55:55" ht="15.75" customHeight="1" x14ac:dyDescent="0.15">
      <c r="BC830" s="23"/>
    </row>
    <row r="831" spans="55:55" ht="15.75" customHeight="1" x14ac:dyDescent="0.15">
      <c r="BC831" s="23"/>
    </row>
    <row r="832" spans="55:55" ht="15.75" customHeight="1" x14ac:dyDescent="0.15">
      <c r="BC832" s="23"/>
    </row>
    <row r="833" spans="55:55" ht="15.75" customHeight="1" x14ac:dyDescent="0.15">
      <c r="BC833" s="23"/>
    </row>
    <row r="834" spans="55:55" ht="15.75" customHeight="1" x14ac:dyDescent="0.15">
      <c r="BC834" s="23"/>
    </row>
    <row r="835" spans="55:55" ht="15.75" customHeight="1" x14ac:dyDescent="0.15">
      <c r="BC835" s="23"/>
    </row>
    <row r="836" spans="55:55" ht="15.75" customHeight="1" x14ac:dyDescent="0.15">
      <c r="BC836" s="23"/>
    </row>
    <row r="837" spans="55:55" ht="15.75" customHeight="1" x14ac:dyDescent="0.15">
      <c r="BC837" s="23"/>
    </row>
    <row r="838" spans="55:55" ht="15.75" customHeight="1" x14ac:dyDescent="0.15">
      <c r="BC838" s="23"/>
    </row>
    <row r="839" spans="55:55" ht="15.75" customHeight="1" x14ac:dyDescent="0.15">
      <c r="BC839" s="23"/>
    </row>
    <row r="840" spans="55:55" ht="15.75" customHeight="1" x14ac:dyDescent="0.15">
      <c r="BC840" s="23"/>
    </row>
    <row r="841" spans="55:55" ht="15.75" customHeight="1" x14ac:dyDescent="0.15">
      <c r="BC841" s="23"/>
    </row>
    <row r="842" spans="55:55" ht="15.75" customHeight="1" x14ac:dyDescent="0.15">
      <c r="BC842" s="23"/>
    </row>
    <row r="843" spans="55:55" ht="15.75" customHeight="1" x14ac:dyDescent="0.15">
      <c r="BC843" s="23"/>
    </row>
    <row r="844" spans="55:55" ht="15.75" customHeight="1" x14ac:dyDescent="0.15">
      <c r="BC844" s="23"/>
    </row>
    <row r="845" spans="55:55" ht="15.75" customHeight="1" x14ac:dyDescent="0.15">
      <c r="BC845" s="23"/>
    </row>
    <row r="846" spans="55:55" ht="15.75" customHeight="1" x14ac:dyDescent="0.15">
      <c r="BC846" s="23"/>
    </row>
    <row r="847" spans="55:55" ht="15.75" customHeight="1" x14ac:dyDescent="0.15">
      <c r="BC847" s="23"/>
    </row>
    <row r="848" spans="55:55" ht="15.75" customHeight="1" x14ac:dyDescent="0.15">
      <c r="BC848" s="23"/>
    </row>
    <row r="849" spans="55:55" ht="15.75" customHeight="1" x14ac:dyDescent="0.15">
      <c r="BC849" s="23"/>
    </row>
    <row r="850" spans="55:55" ht="15.75" customHeight="1" x14ac:dyDescent="0.15">
      <c r="BC850" s="23"/>
    </row>
    <row r="851" spans="55:55" ht="15.75" customHeight="1" x14ac:dyDescent="0.15">
      <c r="BC851" s="23"/>
    </row>
    <row r="852" spans="55:55" ht="15.75" customHeight="1" x14ac:dyDescent="0.15">
      <c r="BC852" s="23"/>
    </row>
    <row r="853" spans="55:55" ht="15.75" customHeight="1" x14ac:dyDescent="0.15">
      <c r="BC853" s="23"/>
    </row>
    <row r="854" spans="55:55" ht="15.75" customHeight="1" x14ac:dyDescent="0.15">
      <c r="BC854" s="23"/>
    </row>
    <row r="855" spans="55:55" ht="15.75" customHeight="1" x14ac:dyDescent="0.15">
      <c r="BC855" s="23"/>
    </row>
    <row r="856" spans="55:55" ht="15.75" customHeight="1" x14ac:dyDescent="0.15">
      <c r="BC856" s="23"/>
    </row>
    <row r="857" spans="55:55" ht="15.75" customHeight="1" x14ac:dyDescent="0.15">
      <c r="BC857" s="23"/>
    </row>
    <row r="858" spans="55:55" ht="15.75" customHeight="1" x14ac:dyDescent="0.15">
      <c r="BC858" s="23"/>
    </row>
    <row r="859" spans="55:55" ht="15.75" customHeight="1" x14ac:dyDescent="0.15">
      <c r="BC859" s="23"/>
    </row>
    <row r="860" spans="55:55" ht="15.75" customHeight="1" x14ac:dyDescent="0.15">
      <c r="BC860" s="23"/>
    </row>
    <row r="861" spans="55:55" ht="15.75" customHeight="1" x14ac:dyDescent="0.15">
      <c r="BC861" s="23"/>
    </row>
    <row r="862" spans="55:55" ht="15.75" customHeight="1" x14ac:dyDescent="0.15">
      <c r="BC862" s="23"/>
    </row>
    <row r="863" spans="55:55" ht="15.75" customHeight="1" x14ac:dyDescent="0.15">
      <c r="BC863" s="23"/>
    </row>
    <row r="864" spans="55:55" ht="15.75" customHeight="1" x14ac:dyDescent="0.15">
      <c r="BC864" s="23"/>
    </row>
    <row r="865" spans="55:55" ht="15.75" customHeight="1" x14ac:dyDescent="0.15">
      <c r="BC865" s="23"/>
    </row>
    <row r="866" spans="55:55" ht="15.75" customHeight="1" x14ac:dyDescent="0.15">
      <c r="BC866" s="23"/>
    </row>
    <row r="867" spans="55:55" ht="15.75" customHeight="1" x14ac:dyDescent="0.15">
      <c r="BC867" s="23"/>
    </row>
    <row r="868" spans="55:55" ht="15.75" customHeight="1" x14ac:dyDescent="0.15">
      <c r="BC868" s="23"/>
    </row>
    <row r="869" spans="55:55" ht="15.75" customHeight="1" x14ac:dyDescent="0.15">
      <c r="BC869" s="23"/>
    </row>
    <row r="870" spans="55:55" ht="15.75" customHeight="1" x14ac:dyDescent="0.15">
      <c r="BC870" s="23"/>
    </row>
    <row r="871" spans="55:55" ht="15.75" customHeight="1" x14ac:dyDescent="0.15">
      <c r="BC871" s="23"/>
    </row>
    <row r="872" spans="55:55" ht="15.75" customHeight="1" x14ac:dyDescent="0.15">
      <c r="BC872" s="23"/>
    </row>
    <row r="873" spans="55:55" ht="15.75" customHeight="1" x14ac:dyDescent="0.15">
      <c r="BC873" s="23"/>
    </row>
    <row r="874" spans="55:55" ht="15.75" customHeight="1" x14ac:dyDescent="0.15">
      <c r="BC874" s="23"/>
    </row>
    <row r="875" spans="55:55" ht="15.75" customHeight="1" x14ac:dyDescent="0.15">
      <c r="BC875" s="23"/>
    </row>
    <row r="876" spans="55:55" ht="15.75" customHeight="1" x14ac:dyDescent="0.15">
      <c r="BC876" s="23"/>
    </row>
    <row r="877" spans="55:55" ht="15.75" customHeight="1" x14ac:dyDescent="0.15">
      <c r="BC877" s="23"/>
    </row>
    <row r="878" spans="55:55" ht="15.75" customHeight="1" x14ac:dyDescent="0.15">
      <c r="BC878" s="23"/>
    </row>
    <row r="879" spans="55:55" ht="15.75" customHeight="1" x14ac:dyDescent="0.15">
      <c r="BC879" s="23"/>
    </row>
    <row r="880" spans="55:55" ht="15.75" customHeight="1" x14ac:dyDescent="0.15">
      <c r="BC880" s="23"/>
    </row>
    <row r="881" spans="55:55" ht="15.75" customHeight="1" x14ac:dyDescent="0.15">
      <c r="BC881" s="23"/>
    </row>
    <row r="882" spans="55:55" ht="15.75" customHeight="1" x14ac:dyDescent="0.15">
      <c r="BC882" s="23"/>
    </row>
    <row r="883" spans="55:55" ht="15.75" customHeight="1" x14ac:dyDescent="0.15">
      <c r="BC883" s="23"/>
    </row>
    <row r="884" spans="55:55" ht="15.75" customHeight="1" x14ac:dyDescent="0.15">
      <c r="BC884" s="23"/>
    </row>
    <row r="885" spans="55:55" ht="15.75" customHeight="1" x14ac:dyDescent="0.15">
      <c r="BC885" s="23"/>
    </row>
    <row r="886" spans="55:55" ht="15.75" customHeight="1" x14ac:dyDescent="0.15">
      <c r="BC886" s="23"/>
    </row>
    <row r="887" spans="55:55" ht="15.75" customHeight="1" x14ac:dyDescent="0.15">
      <c r="BC887" s="23"/>
    </row>
    <row r="888" spans="55:55" ht="15.75" customHeight="1" x14ac:dyDescent="0.15">
      <c r="BC888" s="23"/>
    </row>
    <row r="889" spans="55:55" ht="15.75" customHeight="1" x14ac:dyDescent="0.15">
      <c r="BC889" s="23"/>
    </row>
    <row r="890" spans="55:55" ht="15.75" customHeight="1" x14ac:dyDescent="0.15">
      <c r="BC890" s="23"/>
    </row>
    <row r="891" spans="55:55" ht="15.75" customHeight="1" x14ac:dyDescent="0.15">
      <c r="BC891" s="23"/>
    </row>
    <row r="892" spans="55:55" ht="15.75" customHeight="1" x14ac:dyDescent="0.15">
      <c r="BC892" s="23"/>
    </row>
    <row r="893" spans="55:55" ht="15.75" customHeight="1" x14ac:dyDescent="0.15">
      <c r="BC893" s="23"/>
    </row>
    <row r="894" spans="55:55" ht="15.75" customHeight="1" x14ac:dyDescent="0.15">
      <c r="BC894" s="23"/>
    </row>
    <row r="895" spans="55:55" ht="15.75" customHeight="1" x14ac:dyDescent="0.15">
      <c r="BC895" s="23"/>
    </row>
    <row r="896" spans="55:55" ht="15.75" customHeight="1" x14ac:dyDescent="0.15">
      <c r="BC896" s="23"/>
    </row>
    <row r="897" spans="55:55" ht="15.75" customHeight="1" x14ac:dyDescent="0.15">
      <c r="BC897" s="23"/>
    </row>
    <row r="898" spans="55:55" ht="15.75" customHeight="1" x14ac:dyDescent="0.15">
      <c r="BC898" s="23"/>
    </row>
    <row r="899" spans="55:55" ht="15.75" customHeight="1" x14ac:dyDescent="0.15">
      <c r="BC899" s="23"/>
    </row>
    <row r="900" spans="55:55" ht="15.75" customHeight="1" x14ac:dyDescent="0.15">
      <c r="BC900" s="23"/>
    </row>
    <row r="901" spans="55:55" ht="15.75" customHeight="1" x14ac:dyDescent="0.15">
      <c r="BC901" s="23"/>
    </row>
    <row r="902" spans="55:55" ht="15.75" customHeight="1" x14ac:dyDescent="0.15">
      <c r="BC902" s="23"/>
    </row>
    <row r="903" spans="55:55" ht="15.75" customHeight="1" x14ac:dyDescent="0.15">
      <c r="BC903" s="23"/>
    </row>
    <row r="904" spans="55:55" ht="15.75" customHeight="1" x14ac:dyDescent="0.15">
      <c r="BC904" s="23"/>
    </row>
    <row r="905" spans="55:55" ht="15.75" customHeight="1" x14ac:dyDescent="0.15">
      <c r="BC905" s="23"/>
    </row>
    <row r="906" spans="55:55" ht="15.75" customHeight="1" x14ac:dyDescent="0.15">
      <c r="BC906" s="23"/>
    </row>
    <row r="907" spans="55:55" ht="15.75" customHeight="1" x14ac:dyDescent="0.15">
      <c r="BC907" s="23"/>
    </row>
    <row r="908" spans="55:55" ht="15.75" customHeight="1" x14ac:dyDescent="0.15">
      <c r="BC908" s="23"/>
    </row>
    <row r="909" spans="55:55" ht="15.75" customHeight="1" x14ac:dyDescent="0.15">
      <c r="BC909" s="23"/>
    </row>
    <row r="910" spans="55:55" ht="15.75" customHeight="1" x14ac:dyDescent="0.15">
      <c r="BC910" s="23"/>
    </row>
    <row r="911" spans="55:55" ht="15.75" customHeight="1" x14ac:dyDescent="0.15">
      <c r="BC911" s="23"/>
    </row>
    <row r="912" spans="55:55" ht="15.75" customHeight="1" x14ac:dyDescent="0.15">
      <c r="BC912" s="23"/>
    </row>
    <row r="913" spans="55:55" ht="15.75" customHeight="1" x14ac:dyDescent="0.15">
      <c r="BC913" s="23"/>
    </row>
    <row r="914" spans="55:55" ht="15.75" customHeight="1" x14ac:dyDescent="0.15">
      <c r="BC914" s="23"/>
    </row>
    <row r="915" spans="55:55" ht="15.75" customHeight="1" x14ac:dyDescent="0.15">
      <c r="BC915" s="23"/>
    </row>
    <row r="916" spans="55:55" ht="15.75" customHeight="1" x14ac:dyDescent="0.15">
      <c r="BC916" s="23"/>
    </row>
    <row r="917" spans="55:55" ht="15.75" customHeight="1" x14ac:dyDescent="0.15">
      <c r="BC917" s="23"/>
    </row>
    <row r="918" spans="55:55" ht="15.75" customHeight="1" x14ac:dyDescent="0.15">
      <c r="BC918" s="23"/>
    </row>
    <row r="919" spans="55:55" ht="15.75" customHeight="1" x14ac:dyDescent="0.15">
      <c r="BC919" s="23"/>
    </row>
    <row r="920" spans="55:55" ht="15.75" customHeight="1" x14ac:dyDescent="0.15">
      <c r="BC920" s="23"/>
    </row>
    <row r="921" spans="55:55" ht="15.75" customHeight="1" x14ac:dyDescent="0.15">
      <c r="BC921" s="23"/>
    </row>
    <row r="922" spans="55:55" ht="15.75" customHeight="1" x14ac:dyDescent="0.15">
      <c r="BC922" s="23"/>
    </row>
    <row r="923" spans="55:55" ht="15.75" customHeight="1" x14ac:dyDescent="0.15">
      <c r="BC923" s="23"/>
    </row>
    <row r="924" spans="55:55" ht="15.75" customHeight="1" x14ac:dyDescent="0.15">
      <c r="BC924" s="23"/>
    </row>
    <row r="925" spans="55:55" ht="15.75" customHeight="1" x14ac:dyDescent="0.15">
      <c r="BC925" s="23"/>
    </row>
    <row r="926" spans="55:55" ht="15.75" customHeight="1" x14ac:dyDescent="0.15">
      <c r="BC926" s="23"/>
    </row>
    <row r="927" spans="55:55" ht="15.75" customHeight="1" x14ac:dyDescent="0.15">
      <c r="BC927" s="23"/>
    </row>
    <row r="928" spans="55:55" ht="15.75" customHeight="1" x14ac:dyDescent="0.15">
      <c r="BC928" s="23"/>
    </row>
    <row r="929" spans="55:55" ht="15.75" customHeight="1" x14ac:dyDescent="0.15">
      <c r="BC929" s="23"/>
    </row>
    <row r="930" spans="55:55" ht="15.75" customHeight="1" x14ac:dyDescent="0.15">
      <c r="BC930" s="23"/>
    </row>
    <row r="931" spans="55:55" ht="15.75" customHeight="1" x14ac:dyDescent="0.15">
      <c r="BC931" s="23"/>
    </row>
    <row r="932" spans="55:55" ht="15.75" customHeight="1" x14ac:dyDescent="0.15">
      <c r="BC932" s="23"/>
    </row>
    <row r="933" spans="55:55" ht="15.75" customHeight="1" x14ac:dyDescent="0.15">
      <c r="BC933" s="23"/>
    </row>
    <row r="934" spans="55:55" ht="15.75" customHeight="1" x14ac:dyDescent="0.15">
      <c r="BC934" s="23"/>
    </row>
    <row r="935" spans="55:55" ht="15.75" customHeight="1" x14ac:dyDescent="0.15">
      <c r="BC935" s="23"/>
    </row>
    <row r="936" spans="55:55" ht="15.75" customHeight="1" x14ac:dyDescent="0.15">
      <c r="BC936" s="23"/>
    </row>
    <row r="937" spans="55:55" ht="15.75" customHeight="1" x14ac:dyDescent="0.15">
      <c r="BC937" s="23"/>
    </row>
    <row r="938" spans="55:55" ht="15.75" customHeight="1" x14ac:dyDescent="0.15">
      <c r="BC938" s="23"/>
    </row>
    <row r="939" spans="55:55" ht="15.75" customHeight="1" x14ac:dyDescent="0.15">
      <c r="BC939" s="23"/>
    </row>
    <row r="940" spans="55:55" ht="15.75" customHeight="1" x14ac:dyDescent="0.15">
      <c r="BC940" s="23"/>
    </row>
    <row r="941" spans="55:55" ht="15.75" customHeight="1" x14ac:dyDescent="0.15">
      <c r="BC941" s="23"/>
    </row>
    <row r="942" spans="55:55" ht="15.75" customHeight="1" x14ac:dyDescent="0.15">
      <c r="BC942" s="23"/>
    </row>
    <row r="943" spans="55:55" ht="15.75" customHeight="1" x14ac:dyDescent="0.15">
      <c r="BC943" s="23"/>
    </row>
    <row r="944" spans="55:55" ht="15.75" customHeight="1" x14ac:dyDescent="0.15">
      <c r="BC944" s="23"/>
    </row>
    <row r="945" spans="55:55" ht="15.75" customHeight="1" x14ac:dyDescent="0.15">
      <c r="BC945" s="23"/>
    </row>
    <row r="946" spans="55:55" ht="15.75" customHeight="1" x14ac:dyDescent="0.15">
      <c r="BC946" s="23"/>
    </row>
    <row r="947" spans="55:55" ht="15.75" customHeight="1" x14ac:dyDescent="0.15">
      <c r="BC947" s="23"/>
    </row>
    <row r="948" spans="55:55" ht="15.75" customHeight="1" x14ac:dyDescent="0.15">
      <c r="BC948" s="23"/>
    </row>
    <row r="949" spans="55:55" ht="15.75" customHeight="1" x14ac:dyDescent="0.15">
      <c r="BC949" s="23"/>
    </row>
    <row r="950" spans="55:55" ht="15.75" customHeight="1" x14ac:dyDescent="0.15">
      <c r="BC950" s="23"/>
    </row>
    <row r="951" spans="55:55" ht="15.75" customHeight="1" x14ac:dyDescent="0.15">
      <c r="BC951" s="23"/>
    </row>
  </sheetData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A4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2.6640625" defaultRowHeight="15" customHeight="1" x14ac:dyDescent="0.15"/>
  <cols>
    <col min="2" max="2" width="20.1640625" customWidth="1"/>
    <col min="4" max="4" width="9.5" customWidth="1"/>
    <col min="5" max="5" width="13.33203125" customWidth="1"/>
    <col min="6" max="6" width="4.6640625" customWidth="1"/>
    <col min="7" max="7" width="8" customWidth="1"/>
    <col min="8" max="8" width="8.33203125" customWidth="1"/>
    <col min="9" max="9" width="5.5" customWidth="1"/>
    <col min="10" max="10" width="5.6640625" customWidth="1"/>
    <col min="11" max="11" width="4" customWidth="1"/>
    <col min="12" max="12" width="4.6640625" customWidth="1"/>
    <col min="13" max="13" width="9.33203125" customWidth="1"/>
    <col min="14" max="14" width="7" customWidth="1"/>
    <col min="15" max="17" width="6.6640625" customWidth="1"/>
    <col min="19" max="19" width="11.1640625" bestFit="1" customWidth="1"/>
    <col min="20" max="20" width="13.83203125" customWidth="1"/>
    <col min="21" max="21" width="19.5" customWidth="1"/>
    <col min="22" max="22" width="13.6640625" customWidth="1"/>
    <col min="23" max="23" width="17.6640625" customWidth="1"/>
    <col min="24" max="24" width="15.1640625" customWidth="1"/>
    <col min="25" max="25" width="17.83203125" customWidth="1"/>
    <col min="26" max="26" width="9.83203125" customWidth="1"/>
    <col min="27" max="27" width="17.5" customWidth="1"/>
    <col min="28" max="28" width="13.5" customWidth="1"/>
    <col min="29" max="29" width="19" customWidth="1"/>
    <col min="30" max="30" width="13.1640625" customWidth="1"/>
    <col min="31" max="31" width="17.33203125" customWidth="1"/>
    <col min="32" max="32" width="14.83203125" customWidth="1"/>
    <col min="33" max="33" width="17.33203125" customWidth="1"/>
    <col min="34" max="34" width="9.33203125" customWidth="1"/>
    <col min="35" max="35" width="17.1640625" customWidth="1"/>
    <col min="36" max="38" width="15.6640625" customWidth="1"/>
    <col min="39" max="39" width="15.1640625" customWidth="1"/>
    <col min="40" max="40" width="22.6640625" customWidth="1"/>
    <col min="41" max="41" width="22.33203125" customWidth="1"/>
    <col min="42" max="42" width="13.5" customWidth="1"/>
    <col min="46" max="46" width="5.33203125" customWidth="1"/>
    <col min="47" max="47" width="11.6640625" customWidth="1"/>
    <col min="48" max="48" width="13.83203125" customWidth="1"/>
    <col min="49" max="49" width="19.33203125" customWidth="1"/>
    <col min="50" max="50" width="8.5" customWidth="1"/>
    <col min="51" max="51" width="4.33203125" customWidth="1"/>
    <col min="52" max="52" width="11.1640625" customWidth="1"/>
    <col min="53" max="53" width="58.83203125" customWidth="1"/>
  </cols>
  <sheetData>
    <row r="1" spans="1:53" ht="15" customHeight="1" x14ac:dyDescent="0.1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24</v>
      </c>
      <c r="Y1" s="17" t="s">
        <v>25</v>
      </c>
      <c r="Z1" s="17" t="s">
        <v>26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</row>
    <row r="2" spans="1:53" ht="15" customHeight="1" x14ac:dyDescent="0.15">
      <c r="A2" s="17">
        <v>2</v>
      </c>
      <c r="B2" s="17" t="s">
        <v>149</v>
      </c>
      <c r="C2" s="17" t="s">
        <v>150</v>
      </c>
      <c r="D2" s="17" t="s">
        <v>55</v>
      </c>
      <c r="E2" s="17" t="s">
        <v>151</v>
      </c>
      <c r="F2" s="17" t="s">
        <v>152</v>
      </c>
      <c r="G2" s="17">
        <v>17.936900000000001</v>
      </c>
      <c r="H2" s="17">
        <v>-66.873800000000003</v>
      </c>
      <c r="I2" s="17">
        <v>5</v>
      </c>
      <c r="J2" s="17">
        <v>10</v>
      </c>
      <c r="K2" s="17">
        <v>4</v>
      </c>
      <c r="L2" s="17">
        <v>2023</v>
      </c>
      <c r="M2" s="24" t="s">
        <v>153</v>
      </c>
      <c r="N2" s="17" t="s">
        <v>56</v>
      </c>
      <c r="O2" s="17" t="s">
        <v>57</v>
      </c>
      <c r="P2" s="17" t="s">
        <v>58</v>
      </c>
      <c r="Q2" s="17" t="s">
        <v>59</v>
      </c>
      <c r="R2" s="25">
        <v>0.41666666666666669</v>
      </c>
      <c r="S2" s="25">
        <v>0.42986111111111114</v>
      </c>
      <c r="T2" s="17">
        <v>30.87</v>
      </c>
      <c r="U2" s="17">
        <v>0.54</v>
      </c>
      <c r="V2" s="17">
        <v>36.659999999999997</v>
      </c>
      <c r="W2" s="17">
        <v>0.52</v>
      </c>
      <c r="X2" s="17">
        <v>4.7300000000000004</v>
      </c>
      <c r="Y2" s="17">
        <v>0.53</v>
      </c>
      <c r="Z2" s="17">
        <v>7.84</v>
      </c>
      <c r="AA2" s="17">
        <v>0.53</v>
      </c>
      <c r="AB2" s="17">
        <v>31.15</v>
      </c>
      <c r="AC2" s="17">
        <v>3.03</v>
      </c>
      <c r="AD2" s="17">
        <v>36.49</v>
      </c>
      <c r="AE2" s="17">
        <v>3.03</v>
      </c>
      <c r="AF2" s="17">
        <v>4.87</v>
      </c>
      <c r="AG2" s="17">
        <v>3.03</v>
      </c>
      <c r="AH2" s="17">
        <v>7.99</v>
      </c>
      <c r="AI2" s="17">
        <v>3.03</v>
      </c>
      <c r="AJ2" s="17" t="s">
        <v>60</v>
      </c>
      <c r="AK2" s="17" t="s">
        <v>60</v>
      </c>
      <c r="AL2" s="17" t="s">
        <v>60</v>
      </c>
      <c r="AM2" s="17" t="s">
        <v>60</v>
      </c>
      <c r="AN2" s="17">
        <v>0.5</v>
      </c>
      <c r="AO2" s="17">
        <v>3</v>
      </c>
      <c r="AP2" s="17">
        <v>290</v>
      </c>
      <c r="AQ2" s="17">
        <v>291</v>
      </c>
      <c r="AR2" s="17">
        <v>292</v>
      </c>
      <c r="AS2" s="17">
        <v>293</v>
      </c>
      <c r="AT2" s="17">
        <v>294</v>
      </c>
      <c r="AU2" s="17">
        <v>295</v>
      </c>
      <c r="AV2" s="17">
        <v>296</v>
      </c>
      <c r="AW2" s="17">
        <v>297</v>
      </c>
      <c r="AX2" s="17">
        <v>298</v>
      </c>
      <c r="AY2" s="17">
        <v>299</v>
      </c>
      <c r="AZ2" s="17">
        <v>256</v>
      </c>
      <c r="BA2" s="17" t="s">
        <v>61</v>
      </c>
    </row>
    <row r="3" spans="1:53" ht="15" customHeight="1" x14ac:dyDescent="0.15">
      <c r="A3" s="17">
        <v>2</v>
      </c>
      <c r="B3" s="17" t="s">
        <v>154</v>
      </c>
      <c r="C3" s="17" t="s">
        <v>155</v>
      </c>
      <c r="D3" s="17" t="s">
        <v>62</v>
      </c>
      <c r="E3" s="17" t="s">
        <v>156</v>
      </c>
      <c r="F3" s="17" t="s">
        <v>157</v>
      </c>
      <c r="G3" s="17">
        <v>18.382000000000001</v>
      </c>
      <c r="H3" s="17">
        <v>-67.488299999999995</v>
      </c>
      <c r="I3" s="17">
        <v>15</v>
      </c>
      <c r="J3" s="17">
        <v>10</v>
      </c>
      <c r="K3" s="17">
        <v>23</v>
      </c>
      <c r="L3" s="17">
        <v>2023</v>
      </c>
      <c r="M3" s="17" t="s">
        <v>158</v>
      </c>
      <c r="N3" s="17" t="s">
        <v>56</v>
      </c>
      <c r="O3" s="17" t="s">
        <v>63</v>
      </c>
      <c r="P3" s="17" t="s">
        <v>57</v>
      </c>
      <c r="Q3" s="17" t="s">
        <v>59</v>
      </c>
      <c r="R3" s="25">
        <v>0.42916666666666664</v>
      </c>
      <c r="S3" s="25">
        <v>0.45</v>
      </c>
      <c r="T3" s="17">
        <v>30.21</v>
      </c>
      <c r="U3" s="17">
        <v>0.52</v>
      </c>
      <c r="V3" s="17">
        <v>35.94</v>
      </c>
      <c r="W3" s="17">
        <v>0.52</v>
      </c>
      <c r="X3" s="17">
        <v>6.38</v>
      </c>
      <c r="Y3" s="17">
        <v>0.52</v>
      </c>
      <c r="Z3" s="17">
        <v>8.17</v>
      </c>
      <c r="AA3" s="17">
        <v>0.52</v>
      </c>
      <c r="AB3" s="17">
        <v>30.12</v>
      </c>
      <c r="AC3" s="17">
        <v>16.46</v>
      </c>
      <c r="AD3" s="17">
        <v>36.04</v>
      </c>
      <c r="AE3" s="17">
        <v>16.46</v>
      </c>
      <c r="AF3" s="17">
        <v>6.2</v>
      </c>
      <c r="AG3" s="17">
        <v>16.46</v>
      </c>
      <c r="AH3" s="17">
        <v>8.2100000000000009</v>
      </c>
      <c r="AI3" s="17">
        <v>16.46</v>
      </c>
      <c r="AJ3" s="17" t="s">
        <v>64</v>
      </c>
      <c r="AK3" s="17" t="s">
        <v>64</v>
      </c>
      <c r="AL3" s="17" t="s">
        <v>64</v>
      </c>
      <c r="AM3" s="17" t="s">
        <v>64</v>
      </c>
      <c r="AN3" s="17">
        <v>0.5</v>
      </c>
      <c r="AO3" s="17">
        <v>15</v>
      </c>
      <c r="AP3" s="17">
        <v>532</v>
      </c>
      <c r="AQ3" s="17">
        <v>533</v>
      </c>
      <c r="AR3" s="17">
        <v>534</v>
      </c>
      <c r="AS3" s="17">
        <v>535</v>
      </c>
      <c r="AT3" s="17">
        <v>536</v>
      </c>
      <c r="AU3" s="17">
        <v>537</v>
      </c>
      <c r="AV3" s="17">
        <v>538</v>
      </c>
      <c r="AW3" s="17">
        <v>539</v>
      </c>
      <c r="AX3" s="17">
        <v>540</v>
      </c>
      <c r="AY3" s="17">
        <v>541</v>
      </c>
      <c r="AZ3" s="17">
        <v>433</v>
      </c>
      <c r="BA3" s="17" t="s">
        <v>65</v>
      </c>
    </row>
    <row r="4" spans="1:53" ht="15" customHeight="1" x14ac:dyDescent="0.15">
      <c r="A4" s="17">
        <v>2</v>
      </c>
      <c r="B4" s="17" t="s">
        <v>159</v>
      </c>
      <c r="C4" s="17" t="s">
        <v>155</v>
      </c>
      <c r="D4" s="17" t="s">
        <v>66</v>
      </c>
      <c r="E4" s="17" t="s">
        <v>156</v>
      </c>
      <c r="F4" s="17" t="s">
        <v>157</v>
      </c>
      <c r="G4" s="17">
        <v>18.38158</v>
      </c>
      <c r="H4" s="17">
        <v>-67.488600000000005</v>
      </c>
      <c r="I4" s="17">
        <v>20</v>
      </c>
      <c r="J4" s="17">
        <v>10</v>
      </c>
      <c r="K4" s="17">
        <v>23</v>
      </c>
      <c r="L4" s="17">
        <v>2023</v>
      </c>
      <c r="M4" s="17" t="s">
        <v>158</v>
      </c>
      <c r="N4" s="17" t="s">
        <v>56</v>
      </c>
      <c r="O4" s="17" t="s">
        <v>63</v>
      </c>
      <c r="P4" s="17" t="s">
        <v>57</v>
      </c>
      <c r="Q4" s="17" t="s">
        <v>59</v>
      </c>
      <c r="R4" s="25">
        <v>0.39930555555555558</v>
      </c>
      <c r="S4" s="25">
        <v>0.42638888888888887</v>
      </c>
      <c r="T4" s="17">
        <v>30.2</v>
      </c>
      <c r="U4" s="17">
        <v>0.65</v>
      </c>
      <c r="V4" s="17">
        <v>35.81</v>
      </c>
      <c r="W4" s="17">
        <v>0.65</v>
      </c>
      <c r="X4" s="17">
        <v>6.2</v>
      </c>
      <c r="Y4" s="17">
        <v>0.65</v>
      </c>
      <c r="Z4" s="17">
        <v>8.18</v>
      </c>
      <c r="AA4" s="17">
        <v>0.65</v>
      </c>
      <c r="AB4" s="17">
        <v>30.9</v>
      </c>
      <c r="AC4" s="17">
        <v>18.89</v>
      </c>
      <c r="AD4" s="17">
        <v>36.08</v>
      </c>
      <c r="AE4" s="17">
        <v>18.89</v>
      </c>
      <c r="AF4" s="17">
        <v>6.19</v>
      </c>
      <c r="AG4" s="17">
        <v>18.89</v>
      </c>
      <c r="AH4" s="17">
        <v>8.2200000000000006</v>
      </c>
      <c r="AI4" s="17">
        <v>18.89</v>
      </c>
      <c r="AJ4" s="17" t="s">
        <v>67</v>
      </c>
      <c r="AK4" s="17" t="s">
        <v>67</v>
      </c>
      <c r="AL4" s="17" t="s">
        <v>67</v>
      </c>
      <c r="AM4" s="17" t="s">
        <v>67</v>
      </c>
      <c r="AN4" s="17">
        <v>0.5</v>
      </c>
      <c r="AO4" s="17">
        <v>18.5</v>
      </c>
      <c r="AP4" s="17">
        <v>466</v>
      </c>
      <c r="AQ4" s="17">
        <v>467</v>
      </c>
      <c r="AR4" s="17">
        <v>468</v>
      </c>
      <c r="AS4" s="17">
        <v>469</v>
      </c>
      <c r="AT4" s="17">
        <v>470</v>
      </c>
      <c r="AU4" s="17">
        <v>471</v>
      </c>
      <c r="AV4" s="17">
        <v>472</v>
      </c>
      <c r="AW4" s="17">
        <v>473</v>
      </c>
      <c r="AX4" s="17">
        <v>474</v>
      </c>
      <c r="AY4" s="17">
        <v>475</v>
      </c>
      <c r="AZ4" s="17">
        <v>374</v>
      </c>
      <c r="BA4" s="17" t="s">
        <v>65</v>
      </c>
    </row>
    <row r="5" spans="1:53" ht="15" customHeight="1" x14ac:dyDescent="0.15">
      <c r="A5" s="17">
        <v>2</v>
      </c>
      <c r="B5" s="17" t="s">
        <v>160</v>
      </c>
      <c r="C5" s="17" t="s">
        <v>161</v>
      </c>
      <c r="D5" s="17" t="s">
        <v>68</v>
      </c>
      <c r="E5" s="17" t="s">
        <v>151</v>
      </c>
      <c r="F5" s="17" t="s">
        <v>152</v>
      </c>
      <c r="G5" s="17">
        <v>17.888269999999999</v>
      </c>
      <c r="H5" s="17">
        <v>-66.997799999999998</v>
      </c>
      <c r="I5" s="17">
        <v>20</v>
      </c>
      <c r="J5" s="17">
        <v>9</v>
      </c>
      <c r="K5" s="17">
        <v>19</v>
      </c>
      <c r="L5" s="17">
        <v>2023</v>
      </c>
      <c r="M5" s="24" t="s">
        <v>162</v>
      </c>
      <c r="N5" s="17" t="s">
        <v>56</v>
      </c>
      <c r="O5" s="17" t="s">
        <v>63</v>
      </c>
      <c r="P5" s="17" t="s">
        <v>57</v>
      </c>
      <c r="Q5" s="17" t="s">
        <v>58</v>
      </c>
      <c r="R5" s="25">
        <v>0.375</v>
      </c>
      <c r="S5" s="25">
        <v>0.39583333333333331</v>
      </c>
      <c r="T5" s="17">
        <v>30.4</v>
      </c>
      <c r="U5" s="17">
        <v>0.63</v>
      </c>
      <c r="V5" s="17">
        <v>34.49</v>
      </c>
      <c r="W5" s="17">
        <v>0.59</v>
      </c>
      <c r="X5" s="17">
        <v>6.22</v>
      </c>
      <c r="Y5" s="17">
        <v>0.61</v>
      </c>
      <c r="Z5" s="17">
        <v>7.93</v>
      </c>
      <c r="AA5" s="17">
        <v>0.65</v>
      </c>
      <c r="AB5" s="17">
        <v>29.71</v>
      </c>
      <c r="AC5" s="17">
        <v>19.3</v>
      </c>
      <c r="AD5" s="17">
        <v>34.799999999999997</v>
      </c>
      <c r="AE5" s="17">
        <v>19.190000000000001</v>
      </c>
      <c r="AF5" s="17">
        <v>6.18</v>
      </c>
      <c r="AG5" s="17">
        <v>19.100000000000001</v>
      </c>
      <c r="AH5" s="17">
        <v>8.08</v>
      </c>
      <c r="AI5" s="17">
        <v>19.079999999999998</v>
      </c>
      <c r="AJ5" s="17">
        <v>12</v>
      </c>
      <c r="AK5" s="17">
        <v>12</v>
      </c>
      <c r="AL5" s="17">
        <v>12</v>
      </c>
      <c r="AM5" s="17">
        <v>12</v>
      </c>
      <c r="AN5" s="17">
        <v>0.5</v>
      </c>
      <c r="AO5" s="17">
        <v>19</v>
      </c>
      <c r="AP5" s="17">
        <v>179</v>
      </c>
      <c r="AQ5" s="17">
        <v>178</v>
      </c>
      <c r="AR5" s="17">
        <v>110</v>
      </c>
      <c r="AS5" s="17">
        <v>109</v>
      </c>
      <c r="AT5" s="17">
        <v>53</v>
      </c>
      <c r="AU5" s="17">
        <v>55</v>
      </c>
      <c r="AV5" s="17">
        <v>56</v>
      </c>
      <c r="AW5" s="17">
        <v>53</v>
      </c>
      <c r="AX5" s="17">
        <v>70</v>
      </c>
      <c r="AY5" s="17">
        <v>76</v>
      </c>
      <c r="AZ5" s="17">
        <v>47</v>
      </c>
      <c r="BA5" s="17" t="s">
        <v>61</v>
      </c>
    </row>
    <row r="6" spans="1:53" ht="15" customHeight="1" x14ac:dyDescent="0.15">
      <c r="A6" s="17">
        <v>2</v>
      </c>
      <c r="B6" s="17" t="s">
        <v>163</v>
      </c>
      <c r="C6" s="17" t="s">
        <v>164</v>
      </c>
      <c r="D6" s="17" t="s">
        <v>69</v>
      </c>
      <c r="E6" s="17" t="s">
        <v>165</v>
      </c>
      <c r="F6" s="17" t="s">
        <v>166</v>
      </c>
      <c r="G6" s="17">
        <v>18.385439999999999</v>
      </c>
      <c r="H6" s="17">
        <v>-65.6297</v>
      </c>
      <c r="I6" s="17">
        <v>5</v>
      </c>
      <c r="J6" s="17">
        <v>10</v>
      </c>
      <c r="K6" s="17">
        <v>15</v>
      </c>
      <c r="L6" s="17">
        <v>2023</v>
      </c>
      <c r="M6" s="24" t="s">
        <v>167</v>
      </c>
      <c r="N6" s="17" t="s">
        <v>70</v>
      </c>
      <c r="O6" s="17" t="s">
        <v>63</v>
      </c>
      <c r="P6" s="17" t="s">
        <v>58</v>
      </c>
      <c r="Q6" s="17" t="s">
        <v>59</v>
      </c>
      <c r="R6" s="25">
        <v>0.28541666666666665</v>
      </c>
      <c r="S6" s="25">
        <v>0.30208333333333331</v>
      </c>
      <c r="T6" s="17">
        <v>29.88</v>
      </c>
      <c r="U6" s="17">
        <v>0.47</v>
      </c>
      <c r="V6" s="17">
        <v>36.32</v>
      </c>
      <c r="W6" s="17">
        <v>0.51</v>
      </c>
      <c r="X6" s="17">
        <v>5.76</v>
      </c>
      <c r="Y6" s="17">
        <v>0.52</v>
      </c>
      <c r="Z6" s="17">
        <v>7.09</v>
      </c>
      <c r="AA6" s="17">
        <v>0.52</v>
      </c>
      <c r="AB6" s="17">
        <v>30.05</v>
      </c>
      <c r="AC6" s="17">
        <v>7.43</v>
      </c>
      <c r="AD6" s="17">
        <v>35.96</v>
      </c>
      <c r="AE6" s="17">
        <v>7.44</v>
      </c>
      <c r="AF6" s="17">
        <v>5.74</v>
      </c>
      <c r="AG6" s="17">
        <v>7.44</v>
      </c>
      <c r="AH6" s="17">
        <v>7.14</v>
      </c>
      <c r="AI6" s="17">
        <v>7.4</v>
      </c>
      <c r="AJ6" s="17" t="s">
        <v>71</v>
      </c>
      <c r="AK6" s="17" t="s">
        <v>71</v>
      </c>
      <c r="AL6" s="17" t="s">
        <v>71</v>
      </c>
      <c r="AM6" s="17" t="s">
        <v>71</v>
      </c>
      <c r="AN6" s="17">
        <v>0.5</v>
      </c>
      <c r="AO6" s="17">
        <v>7.5</v>
      </c>
      <c r="AP6" s="17">
        <v>400</v>
      </c>
      <c r="AQ6" s="17">
        <v>401</v>
      </c>
      <c r="AR6" s="17">
        <v>402</v>
      </c>
      <c r="AS6" s="17">
        <v>403</v>
      </c>
      <c r="AT6" s="17">
        <v>404</v>
      </c>
      <c r="AU6" s="17">
        <v>405</v>
      </c>
      <c r="AV6" s="17">
        <v>406</v>
      </c>
      <c r="AW6" s="17">
        <v>407</v>
      </c>
      <c r="AX6" s="17">
        <v>408</v>
      </c>
      <c r="AY6" s="17">
        <v>409</v>
      </c>
      <c r="AZ6" s="17">
        <v>531</v>
      </c>
      <c r="BA6" s="17" t="s">
        <v>61</v>
      </c>
    </row>
    <row r="7" spans="1:53" ht="15" customHeight="1" x14ac:dyDescent="0.15">
      <c r="A7" s="17">
        <v>2</v>
      </c>
      <c r="B7" s="17" t="s">
        <v>168</v>
      </c>
      <c r="C7" s="17" t="s">
        <v>169</v>
      </c>
      <c r="D7" s="17" t="s">
        <v>73</v>
      </c>
      <c r="E7" s="17" t="s">
        <v>170</v>
      </c>
      <c r="F7" s="17" t="s">
        <v>166</v>
      </c>
      <c r="G7" s="17">
        <v>18.089639999999999</v>
      </c>
      <c r="H7" s="17">
        <v>-65.590100000000007</v>
      </c>
      <c r="I7" s="17">
        <v>15</v>
      </c>
      <c r="J7" s="17">
        <v>10</v>
      </c>
      <c r="K7" s="17">
        <v>14</v>
      </c>
      <c r="L7" s="17">
        <v>2023</v>
      </c>
      <c r="M7" s="24" t="s">
        <v>171</v>
      </c>
      <c r="N7" s="17" t="s">
        <v>70</v>
      </c>
      <c r="O7" s="17" t="s">
        <v>74</v>
      </c>
      <c r="P7" s="17" t="s">
        <v>58</v>
      </c>
      <c r="Q7" s="17" t="s">
        <v>59</v>
      </c>
      <c r="R7" s="25">
        <v>0.42499999999999999</v>
      </c>
      <c r="S7" s="25">
        <v>0.44236111111111109</v>
      </c>
      <c r="T7" s="17">
        <v>30.13</v>
      </c>
      <c r="U7" s="17">
        <v>0.51</v>
      </c>
      <c r="V7" s="17">
        <v>34.83</v>
      </c>
      <c r="W7" s="17">
        <v>0.51</v>
      </c>
      <c r="X7" s="17">
        <v>6.35</v>
      </c>
      <c r="Y7" s="17">
        <v>0.5</v>
      </c>
      <c r="Z7" s="17">
        <v>7.05</v>
      </c>
      <c r="AA7" s="17">
        <v>0.51</v>
      </c>
      <c r="AB7" s="17">
        <v>30.02</v>
      </c>
      <c r="AC7" s="17">
        <v>14.97</v>
      </c>
      <c r="AD7" s="17">
        <v>35.61</v>
      </c>
      <c r="AE7" s="17">
        <v>15</v>
      </c>
      <c r="AF7" s="17">
        <v>5.48</v>
      </c>
      <c r="AG7" s="17">
        <v>15</v>
      </c>
      <c r="AH7" s="17">
        <v>6.9</v>
      </c>
      <c r="AI7" s="17">
        <v>15.01</v>
      </c>
      <c r="AJ7" s="17" t="s">
        <v>64</v>
      </c>
      <c r="AK7" s="17" t="s">
        <v>64</v>
      </c>
      <c r="AL7" s="17" t="s">
        <v>64</v>
      </c>
      <c r="AM7" s="17" t="s">
        <v>64</v>
      </c>
      <c r="AN7" s="17">
        <v>0.5</v>
      </c>
      <c r="AO7" s="17">
        <v>15</v>
      </c>
      <c r="AP7" s="17">
        <v>444</v>
      </c>
      <c r="AQ7" s="17">
        <v>445</v>
      </c>
      <c r="AR7" s="17">
        <v>446</v>
      </c>
      <c r="AS7" s="17">
        <v>447</v>
      </c>
      <c r="AT7" s="17">
        <v>448</v>
      </c>
      <c r="AU7" s="17">
        <v>449</v>
      </c>
      <c r="AV7" s="17">
        <v>450</v>
      </c>
      <c r="AW7" s="17">
        <v>451</v>
      </c>
      <c r="AX7" s="17">
        <v>452</v>
      </c>
      <c r="AY7" s="17">
        <v>453</v>
      </c>
      <c r="AZ7" s="17">
        <v>520</v>
      </c>
      <c r="BA7" s="17" t="s">
        <v>172</v>
      </c>
    </row>
    <row r="8" spans="1:53" ht="15" customHeight="1" x14ac:dyDescent="0.15">
      <c r="A8" s="17">
        <v>2</v>
      </c>
      <c r="B8" s="17" t="s">
        <v>173</v>
      </c>
      <c r="C8" s="17" t="s">
        <v>155</v>
      </c>
      <c r="D8" s="17" t="s">
        <v>75</v>
      </c>
      <c r="E8" s="17" t="s">
        <v>156</v>
      </c>
      <c r="F8" s="17" t="s">
        <v>157</v>
      </c>
      <c r="G8" s="17">
        <v>18.377469999999999</v>
      </c>
      <c r="H8" s="17">
        <v>-67.483999999999995</v>
      </c>
      <c r="I8" s="17">
        <v>30</v>
      </c>
      <c r="J8" s="17">
        <v>10</v>
      </c>
      <c r="K8" s="17">
        <v>23</v>
      </c>
      <c r="L8" s="17">
        <v>2023</v>
      </c>
      <c r="M8" s="17" t="s">
        <v>158</v>
      </c>
      <c r="N8" s="17" t="s">
        <v>56</v>
      </c>
      <c r="O8" s="17" t="s">
        <v>63</v>
      </c>
      <c r="P8" s="17" t="s">
        <v>57</v>
      </c>
      <c r="Q8" s="17" t="s">
        <v>59</v>
      </c>
      <c r="R8" s="25">
        <v>0.45763888888888887</v>
      </c>
      <c r="S8" s="25">
        <v>0.48333333333333334</v>
      </c>
      <c r="T8" s="17">
        <v>30.25</v>
      </c>
      <c r="U8" s="17">
        <v>0.51</v>
      </c>
      <c r="V8" s="17">
        <v>36.049999999999997</v>
      </c>
      <c r="W8" s="17">
        <v>0.53</v>
      </c>
      <c r="X8" s="17">
        <v>6.33</v>
      </c>
      <c r="Y8" s="17">
        <v>0.56000000000000005</v>
      </c>
      <c r="Z8" s="17">
        <v>8.1999999999999993</v>
      </c>
      <c r="AA8" s="17">
        <v>0.52</v>
      </c>
      <c r="AB8" s="17">
        <v>30.19</v>
      </c>
      <c r="AC8" s="17">
        <v>26.61</v>
      </c>
      <c r="AD8" s="17">
        <v>36.049999999999997</v>
      </c>
      <c r="AE8" s="17">
        <v>26.65</v>
      </c>
      <c r="AF8" s="17">
        <v>6.22</v>
      </c>
      <c r="AG8" s="17">
        <v>26.52</v>
      </c>
      <c r="AH8" s="17">
        <v>8.2200000000000006</v>
      </c>
      <c r="AI8" s="17">
        <v>26.67</v>
      </c>
      <c r="AJ8" s="17" t="s">
        <v>76</v>
      </c>
      <c r="AK8" s="17" t="s">
        <v>76</v>
      </c>
      <c r="AL8" s="17" t="s">
        <v>76</v>
      </c>
      <c r="AM8" s="17" t="s">
        <v>76</v>
      </c>
      <c r="AN8" s="17">
        <v>0.5</v>
      </c>
      <c r="AO8" s="17">
        <v>26.5</v>
      </c>
      <c r="AP8" s="17">
        <v>521</v>
      </c>
      <c r="AQ8" s="17">
        <v>522</v>
      </c>
      <c r="AR8" s="17">
        <v>523</v>
      </c>
      <c r="AS8" s="17">
        <v>524</v>
      </c>
      <c r="AT8" s="17">
        <v>525</v>
      </c>
      <c r="AU8" s="17">
        <v>526</v>
      </c>
      <c r="AV8" s="17">
        <v>527</v>
      </c>
      <c r="AW8" s="17">
        <v>528</v>
      </c>
      <c r="AX8" s="17">
        <v>529</v>
      </c>
      <c r="AY8" s="17">
        <v>530</v>
      </c>
      <c r="AZ8" s="17">
        <v>542</v>
      </c>
      <c r="BA8" s="17" t="s">
        <v>77</v>
      </c>
    </row>
    <row r="9" spans="1:53" ht="15" customHeight="1" x14ac:dyDescent="0.15">
      <c r="A9" s="17">
        <v>2</v>
      </c>
      <c r="B9" s="17" t="s">
        <v>173</v>
      </c>
      <c r="C9" s="17" t="s">
        <v>155</v>
      </c>
      <c r="D9" s="17" t="s">
        <v>78</v>
      </c>
      <c r="E9" s="17" t="s">
        <v>156</v>
      </c>
      <c r="F9" s="17" t="s">
        <v>157</v>
      </c>
      <c r="G9" s="17">
        <v>18.377469999999999</v>
      </c>
      <c r="H9" s="17">
        <v>-67.483999999999995</v>
      </c>
      <c r="I9" s="17">
        <v>30</v>
      </c>
      <c r="J9" s="17">
        <v>10</v>
      </c>
      <c r="K9" s="17">
        <v>23</v>
      </c>
      <c r="L9" s="17">
        <v>2023</v>
      </c>
      <c r="M9" s="17" t="s">
        <v>158</v>
      </c>
      <c r="N9" s="17" t="s">
        <v>56</v>
      </c>
      <c r="O9" s="17" t="s">
        <v>63</v>
      </c>
      <c r="P9" s="17" t="s">
        <v>57</v>
      </c>
      <c r="Q9" s="17" t="s">
        <v>59</v>
      </c>
      <c r="R9" s="25">
        <v>0.4861111111111111</v>
      </c>
      <c r="S9" s="25">
        <v>0.50624999999999998</v>
      </c>
      <c r="T9" s="17">
        <v>30.27</v>
      </c>
      <c r="U9" s="17">
        <v>0.56999999999999995</v>
      </c>
      <c r="V9" s="17">
        <v>35.85</v>
      </c>
      <c r="W9" s="17">
        <v>0.56999999999999995</v>
      </c>
      <c r="X9" s="17">
        <v>6.27</v>
      </c>
      <c r="Y9" s="17">
        <v>0.56999999999999995</v>
      </c>
      <c r="Z9" s="17">
        <v>8.2200000000000006</v>
      </c>
      <c r="AA9" s="17">
        <v>0.56999999999999995</v>
      </c>
      <c r="AB9" s="17">
        <v>30.19</v>
      </c>
      <c r="AC9" s="17">
        <v>29.12</v>
      </c>
      <c r="AD9" s="17">
        <v>34.369999999999997</v>
      </c>
      <c r="AE9" s="17">
        <v>29.12</v>
      </c>
      <c r="AF9" s="17">
        <v>6.3</v>
      </c>
      <c r="AG9" s="17">
        <v>29.12</v>
      </c>
      <c r="AH9" s="17">
        <v>8.2200000000000006</v>
      </c>
      <c r="AI9" s="17">
        <v>29.12</v>
      </c>
      <c r="AJ9" s="17" t="s">
        <v>79</v>
      </c>
      <c r="AK9" s="17" t="s">
        <v>79</v>
      </c>
      <c r="AL9" s="17" t="s">
        <v>79</v>
      </c>
      <c r="AM9" s="17" t="s">
        <v>79</v>
      </c>
      <c r="AN9" s="17">
        <v>0.5</v>
      </c>
      <c r="AO9" s="17">
        <v>29</v>
      </c>
      <c r="AP9" s="17">
        <v>510</v>
      </c>
      <c r="AQ9" s="17">
        <v>511</v>
      </c>
      <c r="AR9" s="17">
        <v>512</v>
      </c>
      <c r="AS9" s="17">
        <v>513</v>
      </c>
      <c r="AT9" s="17">
        <v>514</v>
      </c>
      <c r="AU9" s="17">
        <v>515</v>
      </c>
      <c r="AV9" s="17">
        <v>516</v>
      </c>
      <c r="AW9" s="17">
        <v>517</v>
      </c>
      <c r="AX9" s="17">
        <v>518</v>
      </c>
      <c r="AY9" s="17">
        <v>519</v>
      </c>
      <c r="AZ9" s="17">
        <v>399</v>
      </c>
      <c r="BA9" s="17" t="s">
        <v>65</v>
      </c>
    </row>
    <row r="10" spans="1:53" ht="15" customHeight="1" x14ac:dyDescent="0.15">
      <c r="A10" s="17">
        <v>2</v>
      </c>
      <c r="B10" s="17" t="s">
        <v>174</v>
      </c>
      <c r="C10" s="17" t="s">
        <v>175</v>
      </c>
      <c r="D10" s="17" t="s">
        <v>80</v>
      </c>
      <c r="E10" s="17" t="s">
        <v>176</v>
      </c>
      <c r="F10" s="17" t="s">
        <v>177</v>
      </c>
      <c r="G10" s="17">
        <v>17.915330000000001</v>
      </c>
      <c r="H10" s="17">
        <v>-66.214100000000002</v>
      </c>
      <c r="I10" s="17">
        <v>10</v>
      </c>
      <c r="J10" s="17">
        <v>9</v>
      </c>
      <c r="K10" s="17">
        <v>21</v>
      </c>
      <c r="L10" s="17">
        <v>2023</v>
      </c>
      <c r="M10" s="24" t="s">
        <v>178</v>
      </c>
      <c r="N10" s="17" t="s">
        <v>56</v>
      </c>
      <c r="O10" s="17" t="s">
        <v>63</v>
      </c>
      <c r="P10" s="17" t="s">
        <v>81</v>
      </c>
      <c r="Q10" s="17" t="s">
        <v>58</v>
      </c>
      <c r="R10" s="25">
        <v>0.36805555555555558</v>
      </c>
      <c r="S10" s="25">
        <v>0.39583333333333331</v>
      </c>
      <c r="T10" s="17">
        <v>30.62</v>
      </c>
      <c r="U10" s="17">
        <v>0.54</v>
      </c>
      <c r="V10" s="17">
        <v>35.85</v>
      </c>
      <c r="W10" s="17">
        <v>0.55000000000000004</v>
      </c>
      <c r="X10" s="17">
        <v>6.1</v>
      </c>
      <c r="Y10" s="17">
        <v>0.56000000000000005</v>
      </c>
      <c r="Z10" s="17">
        <v>7.94</v>
      </c>
      <c r="AA10" s="17">
        <v>0.56000000000000005</v>
      </c>
      <c r="AB10" s="17">
        <v>30.84</v>
      </c>
      <c r="AC10" s="17">
        <v>9.51</v>
      </c>
      <c r="AD10" s="17">
        <v>35.549999999999997</v>
      </c>
      <c r="AE10" s="17">
        <v>9.5</v>
      </c>
      <c r="AF10" s="17">
        <v>6.05</v>
      </c>
      <c r="AG10" s="17">
        <v>9.6199999999999992</v>
      </c>
      <c r="AH10" s="17">
        <v>8.08</v>
      </c>
      <c r="AI10" s="17">
        <v>9.6199999999999992</v>
      </c>
      <c r="AJ10" s="17" t="s">
        <v>82</v>
      </c>
      <c r="AK10" s="17" t="s">
        <v>82</v>
      </c>
      <c r="AL10" s="17" t="s">
        <v>82</v>
      </c>
      <c r="AM10" s="17" t="s">
        <v>82</v>
      </c>
      <c r="AN10" s="17">
        <v>0.5</v>
      </c>
      <c r="AO10" s="17">
        <v>9.5</v>
      </c>
      <c r="AP10" s="17">
        <v>184</v>
      </c>
      <c r="AQ10" s="17">
        <v>185</v>
      </c>
      <c r="AR10" s="17">
        <v>115</v>
      </c>
      <c r="AS10" s="17">
        <v>116</v>
      </c>
      <c r="AT10" s="17">
        <v>56</v>
      </c>
      <c r="AU10" s="17">
        <v>58</v>
      </c>
      <c r="AV10" s="17">
        <v>59</v>
      </c>
      <c r="AW10" s="17">
        <v>56</v>
      </c>
      <c r="AX10" s="17">
        <v>73</v>
      </c>
      <c r="AY10" s="17">
        <v>79</v>
      </c>
      <c r="AZ10" s="17">
        <v>65</v>
      </c>
      <c r="BA10" s="17" t="s">
        <v>61</v>
      </c>
    </row>
    <row r="11" spans="1:53" ht="15" customHeight="1" x14ac:dyDescent="0.15">
      <c r="A11" s="17">
        <v>2</v>
      </c>
      <c r="B11" s="17" t="s">
        <v>179</v>
      </c>
      <c r="C11" s="17" t="s">
        <v>180</v>
      </c>
      <c r="D11" s="17" t="s">
        <v>83</v>
      </c>
      <c r="E11" s="17" t="s">
        <v>181</v>
      </c>
      <c r="F11" s="17" t="s">
        <v>177</v>
      </c>
      <c r="G11" s="17">
        <v>17.895019999999999</v>
      </c>
      <c r="H11" s="17">
        <v>-66.528400000000005</v>
      </c>
      <c r="I11" s="17">
        <v>10</v>
      </c>
      <c r="J11" s="17">
        <v>9</v>
      </c>
      <c r="K11" s="17">
        <v>21</v>
      </c>
      <c r="L11" s="17">
        <v>2023</v>
      </c>
      <c r="M11" s="24" t="s">
        <v>178</v>
      </c>
      <c r="N11" s="17" t="s">
        <v>56</v>
      </c>
      <c r="O11" s="17" t="s">
        <v>63</v>
      </c>
      <c r="P11" s="17" t="s">
        <v>81</v>
      </c>
      <c r="Q11" s="17" t="s">
        <v>58</v>
      </c>
      <c r="R11" s="25">
        <v>0.44722222222222224</v>
      </c>
      <c r="S11" s="25">
        <v>0.46111111111111114</v>
      </c>
      <c r="T11" s="17">
        <v>30.86</v>
      </c>
      <c r="U11" s="17">
        <v>0.59</v>
      </c>
      <c r="V11" s="17">
        <v>34.729999999999997</v>
      </c>
      <c r="W11" s="17">
        <v>0.59</v>
      </c>
      <c r="X11" s="17">
        <v>6.52</v>
      </c>
      <c r="Y11" s="17">
        <v>0.62</v>
      </c>
      <c r="Z11" s="17">
        <v>8.0299999999999994</v>
      </c>
      <c r="AA11" s="17">
        <v>0.68</v>
      </c>
      <c r="AB11" s="17">
        <v>30.62</v>
      </c>
      <c r="AC11" s="17">
        <v>8.0299999999999994</v>
      </c>
      <c r="AD11" s="17">
        <v>34.72</v>
      </c>
      <c r="AE11" s="17">
        <v>7.9</v>
      </c>
      <c r="AF11" s="17">
        <v>6.64</v>
      </c>
      <c r="AG11" s="17">
        <v>7.77</v>
      </c>
      <c r="AH11" s="17">
        <v>8.09</v>
      </c>
      <c r="AI11" s="17">
        <v>7.57</v>
      </c>
      <c r="AJ11" s="17" t="s">
        <v>84</v>
      </c>
      <c r="AK11" s="17" t="s">
        <v>84</v>
      </c>
      <c r="AL11" s="17" t="s">
        <v>84</v>
      </c>
      <c r="AM11" s="17" t="s">
        <v>84</v>
      </c>
      <c r="AN11" s="17">
        <v>0.5</v>
      </c>
      <c r="AO11" s="17">
        <v>7.5</v>
      </c>
      <c r="AP11" s="17">
        <v>200</v>
      </c>
      <c r="AQ11" s="17">
        <v>201</v>
      </c>
      <c r="AR11" s="17">
        <v>131</v>
      </c>
      <c r="AS11" s="17">
        <v>132</v>
      </c>
      <c r="AT11" s="17">
        <v>64</v>
      </c>
      <c r="AU11" s="17">
        <v>66</v>
      </c>
      <c r="AV11" s="17">
        <v>67</v>
      </c>
      <c r="AW11" s="17">
        <v>64</v>
      </c>
      <c r="AX11" s="17">
        <v>81</v>
      </c>
      <c r="AY11" s="17">
        <v>87</v>
      </c>
      <c r="AZ11" s="17">
        <v>56</v>
      </c>
      <c r="BA11" s="17" t="s">
        <v>61</v>
      </c>
    </row>
    <row r="12" spans="1:53" ht="15" customHeight="1" x14ac:dyDescent="0.15">
      <c r="A12" s="17">
        <v>2</v>
      </c>
      <c r="B12" s="17" t="s">
        <v>182</v>
      </c>
      <c r="C12" s="17" t="s">
        <v>183</v>
      </c>
      <c r="D12" s="17" t="s">
        <v>85</v>
      </c>
      <c r="E12" s="17" t="s">
        <v>165</v>
      </c>
      <c r="F12" s="17" t="s">
        <v>184</v>
      </c>
      <c r="G12" s="17">
        <v>18.489550000000001</v>
      </c>
      <c r="H12" s="17">
        <v>-66.373599999999996</v>
      </c>
      <c r="I12" s="17">
        <v>10</v>
      </c>
      <c r="J12" s="17">
        <v>10</v>
      </c>
      <c r="K12" s="17">
        <v>6</v>
      </c>
      <c r="L12" s="17">
        <v>2023</v>
      </c>
      <c r="M12" s="24" t="s">
        <v>185</v>
      </c>
      <c r="N12" s="17" t="s">
        <v>86</v>
      </c>
      <c r="O12" s="17" t="s">
        <v>57</v>
      </c>
      <c r="P12" s="17" t="s">
        <v>58</v>
      </c>
      <c r="Q12" s="17" t="s">
        <v>59</v>
      </c>
      <c r="R12" s="25">
        <v>0.27847222222222223</v>
      </c>
      <c r="S12" s="25">
        <v>0.29236111111111113</v>
      </c>
      <c r="T12" s="17">
        <v>29.65</v>
      </c>
      <c r="U12" s="17">
        <v>0.42</v>
      </c>
      <c r="V12" s="17">
        <v>34.71</v>
      </c>
      <c r="W12" s="17">
        <v>0.42</v>
      </c>
      <c r="X12" s="17">
        <v>5.79</v>
      </c>
      <c r="Y12" s="17">
        <v>0.45</v>
      </c>
      <c r="Z12" s="17">
        <v>7.69</v>
      </c>
      <c r="AA12" s="17">
        <v>0.49</v>
      </c>
      <c r="AB12" s="17">
        <v>29.85</v>
      </c>
      <c r="AC12" s="17">
        <v>1.92</v>
      </c>
      <c r="AD12" s="17">
        <v>34.450000000000003</v>
      </c>
      <c r="AE12" s="17">
        <v>1.97</v>
      </c>
      <c r="AF12" s="17">
        <v>5.73</v>
      </c>
      <c r="AG12" s="17">
        <v>2.0099999999999998</v>
      </c>
      <c r="AH12" s="17">
        <v>7.95</v>
      </c>
      <c r="AI12" s="17">
        <v>2.0299999999999998</v>
      </c>
      <c r="AJ12" s="17" t="s">
        <v>87</v>
      </c>
      <c r="AK12" s="17" t="s">
        <v>87</v>
      </c>
      <c r="AL12" s="17" t="s">
        <v>87</v>
      </c>
      <c r="AM12" s="17" t="s">
        <v>87</v>
      </c>
      <c r="AN12" s="17">
        <v>0.5</v>
      </c>
      <c r="AO12" s="17">
        <v>2</v>
      </c>
      <c r="AP12" s="17">
        <v>323</v>
      </c>
      <c r="AQ12" s="17">
        <v>324</v>
      </c>
      <c r="AR12" s="17">
        <v>325</v>
      </c>
      <c r="AS12" s="17">
        <v>326</v>
      </c>
      <c r="AT12" s="17">
        <v>327</v>
      </c>
      <c r="AU12" s="17">
        <v>328</v>
      </c>
      <c r="AV12" s="17">
        <v>329</v>
      </c>
      <c r="AW12" s="17">
        <v>330</v>
      </c>
      <c r="AX12" s="17">
        <v>331</v>
      </c>
      <c r="AY12" s="17">
        <v>332</v>
      </c>
      <c r="AZ12" s="17">
        <v>311</v>
      </c>
      <c r="BA12" s="17" t="s">
        <v>88</v>
      </c>
    </row>
    <row r="13" spans="1:53" ht="15" customHeight="1" x14ac:dyDescent="0.15">
      <c r="A13" s="17">
        <v>2</v>
      </c>
      <c r="B13" s="17" t="s">
        <v>182</v>
      </c>
      <c r="C13" s="17" t="s">
        <v>183</v>
      </c>
      <c r="D13" s="17" t="s">
        <v>89</v>
      </c>
      <c r="E13" s="17" t="s">
        <v>165</v>
      </c>
      <c r="F13" s="17" t="s">
        <v>184</v>
      </c>
      <c r="G13" s="17">
        <v>18.489550000000001</v>
      </c>
      <c r="H13" s="17">
        <v>-66.373599999999996</v>
      </c>
      <c r="I13" s="17">
        <v>10</v>
      </c>
      <c r="J13" s="17">
        <v>10</v>
      </c>
      <c r="K13" s="17">
        <v>6</v>
      </c>
      <c r="L13" s="17">
        <v>2023</v>
      </c>
      <c r="M13" s="24" t="s">
        <v>185</v>
      </c>
      <c r="N13" s="17" t="s">
        <v>86</v>
      </c>
      <c r="O13" s="17" t="s">
        <v>57</v>
      </c>
      <c r="P13" s="17" t="s">
        <v>58</v>
      </c>
      <c r="Q13" s="17" t="s">
        <v>59</v>
      </c>
      <c r="R13" s="25">
        <v>0.29722222222222222</v>
      </c>
      <c r="S13" s="25">
        <v>0.30555555555555558</v>
      </c>
      <c r="T13" s="17">
        <v>29.85</v>
      </c>
      <c r="U13" s="17">
        <v>0.49</v>
      </c>
      <c r="V13" s="17">
        <v>31.76</v>
      </c>
      <c r="W13" s="17">
        <v>0.52</v>
      </c>
      <c r="X13" s="17">
        <v>5.88</v>
      </c>
      <c r="Y13" s="17">
        <v>0.51</v>
      </c>
      <c r="Z13" s="17">
        <v>7.74</v>
      </c>
      <c r="AA13" s="17">
        <v>0.52</v>
      </c>
      <c r="AB13" s="17">
        <v>29.9</v>
      </c>
      <c r="AC13" s="17">
        <v>2.4500000000000002</v>
      </c>
      <c r="AD13" s="17" t="s">
        <v>59</v>
      </c>
      <c r="AE13" s="17">
        <v>2.5</v>
      </c>
      <c r="AF13" s="17">
        <v>6.72</v>
      </c>
      <c r="AG13" s="17">
        <v>2.5</v>
      </c>
      <c r="AH13" s="17">
        <v>8.01</v>
      </c>
      <c r="AI13" s="17">
        <v>2.48</v>
      </c>
      <c r="AJ13" s="17" t="s">
        <v>87</v>
      </c>
      <c r="AK13" s="17" t="s">
        <v>87</v>
      </c>
      <c r="AL13" s="17" t="s">
        <v>87</v>
      </c>
      <c r="AM13" s="17" t="s">
        <v>87</v>
      </c>
      <c r="AN13" s="17">
        <v>0.5</v>
      </c>
      <c r="AO13" s="17">
        <v>2.5</v>
      </c>
      <c r="AP13" s="17">
        <v>334</v>
      </c>
      <c r="AQ13" s="17">
        <v>335</v>
      </c>
      <c r="AR13" s="17">
        <v>336</v>
      </c>
      <c r="AS13" s="17">
        <v>337</v>
      </c>
      <c r="AT13" s="17">
        <v>338</v>
      </c>
      <c r="AU13" s="17">
        <v>339</v>
      </c>
      <c r="AV13" s="17">
        <v>340</v>
      </c>
      <c r="AW13" s="17">
        <v>341</v>
      </c>
      <c r="AX13" s="17">
        <v>342</v>
      </c>
      <c r="AY13" s="17">
        <v>343</v>
      </c>
      <c r="AZ13" s="17">
        <v>322</v>
      </c>
      <c r="BA13" s="17" t="s">
        <v>88</v>
      </c>
    </row>
    <row r="14" spans="1:53" ht="15" customHeight="1" x14ac:dyDescent="0.15">
      <c r="A14" s="17">
        <v>2</v>
      </c>
      <c r="B14" s="17" t="s">
        <v>186</v>
      </c>
      <c r="C14" s="17" t="s">
        <v>150</v>
      </c>
      <c r="D14" s="17" t="s">
        <v>90</v>
      </c>
      <c r="E14" s="17" t="s">
        <v>151</v>
      </c>
      <c r="F14" s="17" t="s">
        <v>152</v>
      </c>
      <c r="G14" s="17">
        <v>17.936199999999999</v>
      </c>
      <c r="H14" s="17">
        <v>-66.888400000000004</v>
      </c>
      <c r="I14" s="17">
        <v>10</v>
      </c>
      <c r="J14" s="17">
        <v>10</v>
      </c>
      <c r="K14" s="17">
        <v>4</v>
      </c>
      <c r="L14" s="17">
        <v>2023</v>
      </c>
      <c r="M14" s="24" t="s">
        <v>153</v>
      </c>
      <c r="N14" s="17" t="s">
        <v>56</v>
      </c>
      <c r="O14" s="17" t="s">
        <v>57</v>
      </c>
      <c r="P14" s="17" t="s">
        <v>58</v>
      </c>
      <c r="Q14" s="17" t="s">
        <v>59</v>
      </c>
      <c r="R14" s="25">
        <v>0.43472222222222223</v>
      </c>
      <c r="S14" s="25">
        <v>0.44930555555555557</v>
      </c>
      <c r="T14" s="17">
        <v>31.21</v>
      </c>
      <c r="U14" s="17">
        <v>0.49</v>
      </c>
      <c r="V14" s="17">
        <v>36.03</v>
      </c>
      <c r="W14" s="17">
        <v>0.49</v>
      </c>
      <c r="X14" s="17">
        <v>5.77</v>
      </c>
      <c r="Y14" s="17">
        <v>0.49</v>
      </c>
      <c r="Z14" s="17">
        <v>7.94</v>
      </c>
      <c r="AA14" s="17">
        <v>0.49</v>
      </c>
      <c r="AB14" s="17">
        <v>30.99</v>
      </c>
      <c r="AC14" s="17">
        <v>8.9</v>
      </c>
      <c r="AD14" s="17">
        <v>36.450000000000003</v>
      </c>
      <c r="AE14" s="17">
        <v>8.9600000000000009</v>
      </c>
      <c r="AF14" s="17">
        <v>3.87</v>
      </c>
      <c r="AG14" s="17">
        <v>8.99</v>
      </c>
      <c r="AH14" s="17">
        <v>7.95</v>
      </c>
      <c r="AI14" s="17">
        <v>9</v>
      </c>
      <c r="AJ14" s="17" t="s">
        <v>91</v>
      </c>
      <c r="AK14" s="17" t="s">
        <v>91</v>
      </c>
      <c r="AL14" s="17" t="s">
        <v>91</v>
      </c>
      <c r="AM14" s="17" t="s">
        <v>91</v>
      </c>
      <c r="AN14" s="17">
        <v>0.5</v>
      </c>
      <c r="AO14" s="17">
        <v>9</v>
      </c>
      <c r="AP14" s="17">
        <v>279</v>
      </c>
      <c r="AQ14" s="17">
        <v>280</v>
      </c>
      <c r="AR14" s="17">
        <v>281</v>
      </c>
      <c r="AS14" s="17">
        <v>282</v>
      </c>
      <c r="AT14" s="17">
        <v>283</v>
      </c>
      <c r="AU14" s="17">
        <v>284</v>
      </c>
      <c r="AV14" s="17">
        <v>285</v>
      </c>
      <c r="AW14" s="17">
        <v>286</v>
      </c>
      <c r="AX14" s="17">
        <v>287</v>
      </c>
      <c r="AY14" s="17">
        <v>288</v>
      </c>
      <c r="AZ14" s="17">
        <v>267</v>
      </c>
      <c r="BA14" s="17" t="s">
        <v>61</v>
      </c>
    </row>
    <row r="15" spans="1:53" ht="15" customHeight="1" x14ac:dyDescent="0.15">
      <c r="A15" s="17">
        <v>2</v>
      </c>
      <c r="B15" s="17" t="s">
        <v>187</v>
      </c>
      <c r="C15" s="17" t="s">
        <v>188</v>
      </c>
      <c r="D15" s="17" t="s">
        <v>92</v>
      </c>
      <c r="E15" s="17" t="s">
        <v>170</v>
      </c>
      <c r="F15" s="17" t="s">
        <v>166</v>
      </c>
      <c r="G15" s="17">
        <v>18.32779</v>
      </c>
      <c r="H15" s="17">
        <v>-65.331999999999994</v>
      </c>
      <c r="I15" s="17">
        <v>10</v>
      </c>
      <c r="J15" s="17">
        <v>10</v>
      </c>
      <c r="K15" s="17">
        <v>13</v>
      </c>
      <c r="L15" s="17">
        <v>2023</v>
      </c>
      <c r="M15" s="24" t="s">
        <v>189</v>
      </c>
      <c r="N15" s="17" t="s">
        <v>70</v>
      </c>
      <c r="O15" s="17" t="s">
        <v>63</v>
      </c>
      <c r="P15" s="17" t="s">
        <v>58</v>
      </c>
      <c r="Q15" s="17" t="s">
        <v>59</v>
      </c>
      <c r="R15" s="25">
        <v>0.39166666666666666</v>
      </c>
      <c r="S15" s="25">
        <v>0.40833333333333333</v>
      </c>
      <c r="T15" s="17">
        <v>29.89</v>
      </c>
      <c r="U15" s="17">
        <v>0.44</v>
      </c>
      <c r="V15" s="17">
        <v>36.07</v>
      </c>
      <c r="W15" s="17">
        <v>0.49</v>
      </c>
      <c r="X15" s="17">
        <v>6.11</v>
      </c>
      <c r="Y15" s="17">
        <v>0.5</v>
      </c>
      <c r="Z15" s="17">
        <v>7.92</v>
      </c>
      <c r="AA15" s="17">
        <v>0.5</v>
      </c>
      <c r="AB15" s="17">
        <v>29.9</v>
      </c>
      <c r="AC15" s="17">
        <v>10.01</v>
      </c>
      <c r="AD15" s="17">
        <v>35.89</v>
      </c>
      <c r="AE15" s="17">
        <v>9.9499999999999993</v>
      </c>
      <c r="AF15" s="17">
        <v>6.06</v>
      </c>
      <c r="AG15" s="17">
        <v>9.9700000000000006</v>
      </c>
      <c r="AH15" s="17">
        <v>8.1</v>
      </c>
      <c r="AI15" s="17">
        <v>9.98</v>
      </c>
      <c r="AJ15" s="17" t="s">
        <v>82</v>
      </c>
      <c r="AK15" s="17" t="s">
        <v>82</v>
      </c>
      <c r="AL15" s="17" t="s">
        <v>82</v>
      </c>
      <c r="AM15" s="17" t="s">
        <v>82</v>
      </c>
      <c r="AN15" s="17">
        <v>0.5</v>
      </c>
      <c r="AO15" s="17">
        <v>10</v>
      </c>
      <c r="AP15" s="17">
        <v>356</v>
      </c>
      <c r="AQ15" s="17">
        <v>357</v>
      </c>
      <c r="AR15" s="17">
        <v>358</v>
      </c>
      <c r="AS15" s="17">
        <v>359</v>
      </c>
      <c r="AT15" s="17">
        <v>360</v>
      </c>
      <c r="AU15" s="17">
        <v>361</v>
      </c>
      <c r="AV15" s="17">
        <v>362</v>
      </c>
      <c r="AW15" s="17">
        <v>363</v>
      </c>
      <c r="AX15" s="17">
        <v>364</v>
      </c>
      <c r="AY15" s="17">
        <v>365</v>
      </c>
      <c r="AZ15" s="17">
        <v>487</v>
      </c>
      <c r="BA15" s="17" t="s">
        <v>172</v>
      </c>
    </row>
    <row r="16" spans="1:53" ht="15" customHeight="1" x14ac:dyDescent="0.15">
      <c r="A16" s="17">
        <v>2</v>
      </c>
      <c r="B16" s="17" t="s">
        <v>190</v>
      </c>
      <c r="C16" s="17" t="s">
        <v>188</v>
      </c>
      <c r="D16" s="17" t="s">
        <v>93</v>
      </c>
      <c r="E16" s="17" t="s">
        <v>170</v>
      </c>
      <c r="F16" s="17" t="s">
        <v>166</v>
      </c>
      <c r="G16" s="17">
        <v>18.275870000000001</v>
      </c>
      <c r="H16" s="17">
        <v>-65.277299999999997</v>
      </c>
      <c r="I16" s="17">
        <v>20</v>
      </c>
      <c r="J16" s="17">
        <v>10</v>
      </c>
      <c r="K16" s="17">
        <v>13</v>
      </c>
      <c r="L16" s="17">
        <v>2023</v>
      </c>
      <c r="M16" s="24" t="s">
        <v>189</v>
      </c>
      <c r="N16" s="17" t="s">
        <v>70</v>
      </c>
      <c r="O16" s="17" t="s">
        <v>63</v>
      </c>
      <c r="P16" s="17" t="s">
        <v>58</v>
      </c>
      <c r="Q16" s="17" t="s">
        <v>59</v>
      </c>
      <c r="R16" s="25">
        <v>0.3</v>
      </c>
      <c r="S16" s="25">
        <v>0.32083333333333336</v>
      </c>
      <c r="T16" s="17">
        <v>29.56</v>
      </c>
      <c r="U16" s="17">
        <v>0.52</v>
      </c>
      <c r="V16" s="17">
        <v>36.04</v>
      </c>
      <c r="W16" s="17">
        <v>0.55000000000000004</v>
      </c>
      <c r="X16" s="17">
        <v>6.26</v>
      </c>
      <c r="Y16" s="17">
        <v>0.55000000000000004</v>
      </c>
      <c r="Z16" s="17">
        <v>7.78</v>
      </c>
      <c r="AA16" s="17">
        <v>0.52</v>
      </c>
      <c r="AB16" s="17">
        <v>29.92</v>
      </c>
      <c r="AC16" s="17">
        <v>20.07</v>
      </c>
      <c r="AD16" s="17">
        <v>36.229999999999997</v>
      </c>
      <c r="AE16" s="17">
        <v>20.07</v>
      </c>
      <c r="AF16" s="17">
        <v>5.52</v>
      </c>
      <c r="AG16" s="17">
        <v>20.059999999999999</v>
      </c>
      <c r="AH16" s="17">
        <v>8.0500000000000007</v>
      </c>
      <c r="AI16" s="17">
        <v>20.059999999999999</v>
      </c>
      <c r="AJ16" s="17" t="s">
        <v>94</v>
      </c>
      <c r="AK16" s="17" t="s">
        <v>94</v>
      </c>
      <c r="AL16" s="17" t="s">
        <v>94</v>
      </c>
      <c r="AM16" s="17" t="s">
        <v>94</v>
      </c>
      <c r="AN16" s="17">
        <v>0.5</v>
      </c>
      <c r="AO16" s="17">
        <v>20</v>
      </c>
      <c r="AP16" s="17">
        <v>389</v>
      </c>
      <c r="AQ16" s="17">
        <v>390</v>
      </c>
      <c r="AR16" s="17">
        <v>391</v>
      </c>
      <c r="AS16" s="17">
        <v>392</v>
      </c>
      <c r="AT16" s="17">
        <v>393</v>
      </c>
      <c r="AU16" s="17">
        <v>394</v>
      </c>
      <c r="AV16" s="17">
        <v>395</v>
      </c>
      <c r="AW16" s="17">
        <v>396</v>
      </c>
      <c r="AX16" s="17">
        <v>397</v>
      </c>
      <c r="AY16" s="17">
        <v>398</v>
      </c>
      <c r="AZ16" s="17">
        <v>454</v>
      </c>
      <c r="BA16" s="17" t="s">
        <v>172</v>
      </c>
    </row>
    <row r="17" spans="1:53" ht="15" customHeight="1" x14ac:dyDescent="0.15">
      <c r="A17" s="17">
        <v>2</v>
      </c>
      <c r="B17" s="17" t="s">
        <v>190</v>
      </c>
      <c r="C17" s="17" t="s">
        <v>188</v>
      </c>
      <c r="D17" s="17" t="s">
        <v>95</v>
      </c>
      <c r="E17" s="17" t="s">
        <v>170</v>
      </c>
      <c r="F17" s="17" t="s">
        <v>166</v>
      </c>
      <c r="G17" s="17">
        <v>18.275870000000001</v>
      </c>
      <c r="H17" s="17">
        <v>-65.277299999999997</v>
      </c>
      <c r="I17" s="17">
        <v>20</v>
      </c>
      <c r="J17" s="17">
        <v>10</v>
      </c>
      <c r="K17" s="17">
        <v>13</v>
      </c>
      <c r="L17" s="17">
        <v>2023</v>
      </c>
      <c r="M17" s="24" t="s">
        <v>189</v>
      </c>
      <c r="N17" s="17" t="s">
        <v>70</v>
      </c>
      <c r="O17" s="17" t="s">
        <v>63</v>
      </c>
      <c r="P17" s="17" t="s">
        <v>58</v>
      </c>
      <c r="Q17" s="17" t="s">
        <v>59</v>
      </c>
      <c r="R17" s="25">
        <v>0.3263888888888889</v>
      </c>
      <c r="S17" s="25">
        <v>0.34166666666666667</v>
      </c>
      <c r="T17" s="17">
        <v>29.7</v>
      </c>
      <c r="U17" s="17">
        <v>0.5</v>
      </c>
      <c r="V17" s="17">
        <v>35.99</v>
      </c>
      <c r="W17" s="17">
        <v>0.5</v>
      </c>
      <c r="X17" s="17">
        <v>6.13</v>
      </c>
      <c r="Y17" s="17">
        <v>0.49</v>
      </c>
      <c r="Z17" s="17">
        <v>7.94</v>
      </c>
      <c r="AA17" s="17">
        <v>0.48</v>
      </c>
      <c r="AB17" s="17">
        <v>29.92</v>
      </c>
      <c r="AC17" s="17">
        <v>19.93</v>
      </c>
      <c r="AD17" s="17">
        <v>36.200000000000003</v>
      </c>
      <c r="AE17" s="17">
        <v>19.97</v>
      </c>
      <c r="AF17" s="17">
        <v>5.72</v>
      </c>
      <c r="AG17" s="17">
        <v>19.98</v>
      </c>
      <c r="AH17" s="17">
        <v>8.08</v>
      </c>
      <c r="AI17" s="17">
        <v>19.97</v>
      </c>
      <c r="AJ17" s="17" t="s">
        <v>94</v>
      </c>
      <c r="AK17" s="17" t="s">
        <v>94</v>
      </c>
      <c r="AL17" s="17" t="s">
        <v>94</v>
      </c>
      <c r="AM17" s="17" t="s">
        <v>94</v>
      </c>
      <c r="AN17" s="17">
        <v>0.5</v>
      </c>
      <c r="AO17" s="17">
        <v>20</v>
      </c>
      <c r="AP17" s="17">
        <v>312</v>
      </c>
      <c r="AQ17" s="17">
        <v>313</v>
      </c>
      <c r="AR17" s="17">
        <v>314</v>
      </c>
      <c r="AS17" s="17">
        <v>315</v>
      </c>
      <c r="AT17" s="17">
        <v>316</v>
      </c>
      <c r="AU17" s="17">
        <v>317</v>
      </c>
      <c r="AV17" s="17">
        <v>318</v>
      </c>
      <c r="AW17" s="17">
        <v>319</v>
      </c>
      <c r="AX17" s="17">
        <v>320</v>
      </c>
      <c r="AY17" s="17">
        <v>321</v>
      </c>
      <c r="AZ17" s="17">
        <v>465</v>
      </c>
      <c r="BA17" s="17" t="s">
        <v>172</v>
      </c>
    </row>
    <row r="18" spans="1:53" ht="15" customHeight="1" x14ac:dyDescent="0.15">
      <c r="A18" s="17">
        <v>2</v>
      </c>
      <c r="B18" s="17" t="s">
        <v>191</v>
      </c>
      <c r="C18" s="17" t="s">
        <v>180</v>
      </c>
      <c r="D18" s="17" t="s">
        <v>96</v>
      </c>
      <c r="E18" s="17" t="s">
        <v>181</v>
      </c>
      <c r="F18" s="17" t="s">
        <v>177</v>
      </c>
      <c r="G18" s="17">
        <v>17.904</v>
      </c>
      <c r="H18" s="17">
        <v>-66.608599999999996</v>
      </c>
      <c r="I18" s="17">
        <v>20</v>
      </c>
      <c r="J18" s="17">
        <v>9</v>
      </c>
      <c r="K18" s="17">
        <v>21</v>
      </c>
      <c r="L18" s="17">
        <v>2023</v>
      </c>
      <c r="M18" s="24" t="s">
        <v>178</v>
      </c>
      <c r="N18" s="17" t="s">
        <v>56</v>
      </c>
      <c r="O18" s="17" t="s">
        <v>63</v>
      </c>
      <c r="P18" s="17" t="s">
        <v>81</v>
      </c>
      <c r="Q18" s="17" t="s">
        <v>58</v>
      </c>
      <c r="R18" s="25">
        <v>0.47569444444444442</v>
      </c>
      <c r="S18" s="25">
        <v>0.49722222222222223</v>
      </c>
      <c r="T18" s="17">
        <v>30.9</v>
      </c>
      <c r="U18" s="17">
        <v>0.63</v>
      </c>
      <c r="V18" s="17">
        <v>34.36</v>
      </c>
      <c r="W18" s="17">
        <v>0.67</v>
      </c>
      <c r="X18" s="17">
        <v>6.32</v>
      </c>
      <c r="Y18" s="17">
        <v>0.7</v>
      </c>
      <c r="Z18" s="17">
        <v>8.08</v>
      </c>
      <c r="AA18" s="17">
        <v>0.7</v>
      </c>
      <c r="AB18" s="17">
        <v>30.12</v>
      </c>
      <c r="AC18" s="17">
        <v>16.5</v>
      </c>
      <c r="AD18" s="17">
        <v>35</v>
      </c>
      <c r="AE18" s="17">
        <v>17</v>
      </c>
      <c r="AF18" s="17">
        <v>6.2</v>
      </c>
      <c r="AG18" s="17">
        <v>17.3</v>
      </c>
      <c r="AH18" s="17">
        <v>8.06</v>
      </c>
      <c r="AI18" s="17">
        <v>17.329999999999998</v>
      </c>
      <c r="AJ18" s="17">
        <v>12.25</v>
      </c>
      <c r="AK18" s="17">
        <v>12.5</v>
      </c>
      <c r="AL18" s="17">
        <v>12.75</v>
      </c>
      <c r="AM18" s="17">
        <v>12.5</v>
      </c>
      <c r="AN18" s="17">
        <v>0.5</v>
      </c>
      <c r="AO18" s="17">
        <v>17</v>
      </c>
      <c r="AP18" s="17">
        <v>190</v>
      </c>
      <c r="AQ18" s="17">
        <v>191</v>
      </c>
      <c r="AR18" s="17">
        <v>121</v>
      </c>
      <c r="AS18" s="17">
        <v>122</v>
      </c>
      <c r="AT18" s="17">
        <v>59</v>
      </c>
      <c r="AU18" s="17">
        <v>61</v>
      </c>
      <c r="AV18" s="17">
        <v>62</v>
      </c>
      <c r="AW18" s="17">
        <v>59</v>
      </c>
      <c r="AX18" s="17">
        <v>76</v>
      </c>
      <c r="AY18" s="17">
        <v>82</v>
      </c>
      <c r="AZ18" s="17">
        <v>57</v>
      </c>
      <c r="BA18" s="17" t="s">
        <v>61</v>
      </c>
    </row>
    <row r="19" spans="1:53" ht="15" customHeight="1" x14ac:dyDescent="0.15">
      <c r="A19" s="17">
        <v>2</v>
      </c>
      <c r="B19" s="17" t="s">
        <v>192</v>
      </c>
      <c r="C19" s="17" t="s">
        <v>164</v>
      </c>
      <c r="D19" s="17" t="s">
        <v>97</v>
      </c>
      <c r="E19" s="17" t="s">
        <v>165</v>
      </c>
      <c r="F19" s="17" t="s">
        <v>166</v>
      </c>
      <c r="G19" s="17">
        <v>18.360330000000001</v>
      </c>
      <c r="H19" s="17">
        <v>-65.530900000000003</v>
      </c>
      <c r="I19" s="17">
        <v>5</v>
      </c>
      <c r="J19" s="17">
        <v>10</v>
      </c>
      <c r="K19" s="17">
        <v>15</v>
      </c>
      <c r="L19" s="17">
        <v>2023</v>
      </c>
      <c r="M19" s="24" t="s">
        <v>167</v>
      </c>
      <c r="N19" s="17" t="s">
        <v>70</v>
      </c>
      <c r="O19" s="17" t="s">
        <v>63</v>
      </c>
      <c r="P19" s="17" t="s">
        <v>58</v>
      </c>
      <c r="Q19" s="17" t="s">
        <v>59</v>
      </c>
      <c r="R19" s="25">
        <v>0.32291666666666669</v>
      </c>
      <c r="S19" s="25">
        <v>0.33611111111111114</v>
      </c>
      <c r="T19" s="17">
        <v>30.24</v>
      </c>
      <c r="U19" s="17">
        <v>0.44</v>
      </c>
      <c r="V19" s="17">
        <v>35.880000000000003</v>
      </c>
      <c r="W19" s="17">
        <v>0.43</v>
      </c>
      <c r="X19" s="17">
        <v>6.01</v>
      </c>
      <c r="Y19" s="17">
        <v>0.43</v>
      </c>
      <c r="Z19" s="17">
        <v>7.83</v>
      </c>
      <c r="AA19" s="17">
        <v>0.43</v>
      </c>
      <c r="AB19" s="17">
        <v>30.28</v>
      </c>
      <c r="AC19" s="17">
        <v>3.5</v>
      </c>
      <c r="AD19" s="17">
        <v>35.86</v>
      </c>
      <c r="AE19" s="17">
        <v>3.4</v>
      </c>
      <c r="AF19" s="17">
        <v>5.79</v>
      </c>
      <c r="AG19" s="17">
        <v>3.3</v>
      </c>
      <c r="AH19" s="17">
        <v>8</v>
      </c>
      <c r="AI19" s="17">
        <v>3.3</v>
      </c>
      <c r="AJ19" s="17" t="s">
        <v>98</v>
      </c>
      <c r="AK19" s="17" t="s">
        <v>98</v>
      </c>
      <c r="AL19" s="17" t="s">
        <v>98</v>
      </c>
      <c r="AM19" s="17" t="s">
        <v>98</v>
      </c>
      <c r="AN19" s="17">
        <v>0.5</v>
      </c>
      <c r="AO19" s="17">
        <v>3.5</v>
      </c>
      <c r="AP19" s="17">
        <v>411</v>
      </c>
      <c r="AQ19" s="17">
        <v>412</v>
      </c>
      <c r="AR19" s="17">
        <v>413</v>
      </c>
      <c r="AS19" s="17">
        <v>414</v>
      </c>
      <c r="AT19" s="17">
        <v>415</v>
      </c>
      <c r="AU19" s="17">
        <v>416</v>
      </c>
      <c r="AV19" s="17">
        <v>417</v>
      </c>
      <c r="AW19" s="17">
        <v>418</v>
      </c>
      <c r="AX19" s="17">
        <v>419</v>
      </c>
      <c r="AY19" s="17">
        <v>420</v>
      </c>
      <c r="AZ19" s="17">
        <v>410</v>
      </c>
      <c r="BA19" s="17" t="s">
        <v>61</v>
      </c>
    </row>
    <row r="20" spans="1:53" ht="15" customHeight="1" x14ac:dyDescent="0.15">
      <c r="A20" s="17">
        <v>2</v>
      </c>
      <c r="B20" s="17" t="s">
        <v>193</v>
      </c>
      <c r="C20" s="17" t="s">
        <v>194</v>
      </c>
      <c r="D20" s="17" t="s">
        <v>99</v>
      </c>
      <c r="E20" s="17" t="s">
        <v>165</v>
      </c>
      <c r="F20" s="17" t="s">
        <v>184</v>
      </c>
      <c r="G20" s="17">
        <v>18.462219999999999</v>
      </c>
      <c r="H20" s="17">
        <v>-66.051699999999997</v>
      </c>
      <c r="I20" s="17">
        <v>5</v>
      </c>
      <c r="J20" s="17">
        <v>10</v>
      </c>
      <c r="K20" s="17">
        <v>6</v>
      </c>
      <c r="L20" s="17">
        <v>2023</v>
      </c>
      <c r="M20" s="24" t="s">
        <v>185</v>
      </c>
      <c r="N20" s="17" t="s">
        <v>86</v>
      </c>
      <c r="O20" s="17" t="s">
        <v>57</v>
      </c>
      <c r="P20" s="17" t="s">
        <v>58</v>
      </c>
      <c r="Q20" s="17" t="s">
        <v>59</v>
      </c>
      <c r="R20" s="25">
        <v>0.3972222222222222</v>
      </c>
      <c r="S20" s="25">
        <v>0.41111111111111109</v>
      </c>
      <c r="T20" s="17">
        <v>29.85</v>
      </c>
      <c r="U20" s="17">
        <v>0.63</v>
      </c>
      <c r="V20" s="17" t="s">
        <v>59</v>
      </c>
      <c r="W20" s="17">
        <v>0.53</v>
      </c>
      <c r="X20" s="17">
        <v>6.67</v>
      </c>
      <c r="Y20" s="17">
        <v>0.44</v>
      </c>
      <c r="Z20" s="17">
        <v>7.96</v>
      </c>
      <c r="AA20" s="17">
        <v>0.45</v>
      </c>
      <c r="AB20" s="17">
        <v>29.81</v>
      </c>
      <c r="AC20" s="17">
        <v>4</v>
      </c>
      <c r="AD20" s="17" t="s">
        <v>59</v>
      </c>
      <c r="AE20" s="17">
        <v>4.03</v>
      </c>
      <c r="AF20" s="17">
        <v>7.02</v>
      </c>
      <c r="AG20" s="17">
        <v>4.04</v>
      </c>
      <c r="AH20" s="17">
        <v>8.0500000000000007</v>
      </c>
      <c r="AI20" s="17">
        <v>4.0199999999999996</v>
      </c>
      <c r="AJ20" s="17" t="s">
        <v>100</v>
      </c>
      <c r="AK20" s="17" t="s">
        <v>100</v>
      </c>
      <c r="AL20" s="17" t="s">
        <v>100</v>
      </c>
      <c r="AM20" s="17" t="s">
        <v>100</v>
      </c>
      <c r="AN20" s="17">
        <v>0.5</v>
      </c>
      <c r="AO20" s="17">
        <v>4</v>
      </c>
      <c r="AP20" s="17">
        <v>301</v>
      </c>
      <c r="AQ20" s="17">
        <v>302</v>
      </c>
      <c r="AR20" s="17">
        <v>303</v>
      </c>
      <c r="AS20" s="17">
        <v>304</v>
      </c>
      <c r="AT20" s="17">
        <v>305</v>
      </c>
      <c r="AU20" s="17">
        <v>306</v>
      </c>
      <c r="AV20" s="17">
        <v>307</v>
      </c>
      <c r="AW20" s="17">
        <v>308</v>
      </c>
      <c r="AX20" s="17">
        <v>309</v>
      </c>
      <c r="AY20" s="17">
        <v>310</v>
      </c>
      <c r="AZ20" s="17">
        <v>333</v>
      </c>
      <c r="BA20" s="17" t="s">
        <v>88</v>
      </c>
    </row>
    <row r="21" spans="1:53" ht="15" customHeight="1" x14ac:dyDescent="0.15">
      <c r="A21" s="17">
        <v>2</v>
      </c>
      <c r="B21" s="17" t="s">
        <v>195</v>
      </c>
      <c r="C21" s="17" t="s">
        <v>169</v>
      </c>
      <c r="D21" s="17" t="s">
        <v>101</v>
      </c>
      <c r="E21" s="17" t="s">
        <v>170</v>
      </c>
      <c r="F21" s="17" t="s">
        <v>166</v>
      </c>
      <c r="G21" s="17">
        <v>18.080570000000002</v>
      </c>
      <c r="H21" s="17">
        <v>-65.487899999999996</v>
      </c>
      <c r="I21" s="17">
        <v>10</v>
      </c>
      <c r="J21" s="17">
        <v>10</v>
      </c>
      <c r="K21" s="17">
        <v>14</v>
      </c>
      <c r="L21" s="17">
        <v>2023</v>
      </c>
      <c r="M21" s="24" t="s">
        <v>171</v>
      </c>
      <c r="N21" s="17" t="s">
        <v>70</v>
      </c>
      <c r="O21" s="17" t="s">
        <v>74</v>
      </c>
      <c r="P21" s="17" t="s">
        <v>58</v>
      </c>
      <c r="Q21" s="17" t="s">
        <v>59</v>
      </c>
      <c r="R21" s="25">
        <v>0.38541666666666669</v>
      </c>
      <c r="S21" s="25">
        <v>0.40555555555555556</v>
      </c>
      <c r="T21" s="17">
        <v>30.3</v>
      </c>
      <c r="U21" s="17">
        <v>0.55000000000000004</v>
      </c>
      <c r="V21" s="17">
        <v>35.32</v>
      </c>
      <c r="W21" s="17">
        <v>0.55000000000000004</v>
      </c>
      <c r="X21" s="17">
        <v>6.36</v>
      </c>
      <c r="Y21" s="17">
        <v>0.54</v>
      </c>
      <c r="Z21" s="17">
        <v>7.69</v>
      </c>
      <c r="AA21" s="17">
        <v>0.54</v>
      </c>
      <c r="AB21" s="17">
        <v>30.13</v>
      </c>
      <c r="AC21" s="17">
        <v>12.03</v>
      </c>
      <c r="AD21" s="17">
        <v>35.49</v>
      </c>
      <c r="AE21" s="17">
        <v>12.02</v>
      </c>
      <c r="AF21" s="17">
        <v>6.2</v>
      </c>
      <c r="AG21" s="17">
        <v>12.03</v>
      </c>
      <c r="AH21" s="17" t="s">
        <v>59</v>
      </c>
      <c r="AI21" s="17">
        <v>12</v>
      </c>
      <c r="AJ21" s="17" t="s">
        <v>102</v>
      </c>
      <c r="AK21" s="17" t="s">
        <v>102</v>
      </c>
      <c r="AL21" s="17" t="s">
        <v>102</v>
      </c>
      <c r="AM21" s="17" t="s">
        <v>102</v>
      </c>
      <c r="AN21" s="17">
        <v>0.5</v>
      </c>
      <c r="AO21" s="17">
        <v>12</v>
      </c>
      <c r="AP21" s="17">
        <v>345</v>
      </c>
      <c r="AQ21" s="17">
        <v>346</v>
      </c>
      <c r="AR21" s="17">
        <v>347</v>
      </c>
      <c r="AS21" s="17">
        <v>348</v>
      </c>
      <c r="AT21" s="17">
        <v>349</v>
      </c>
      <c r="AU21" s="17">
        <v>350</v>
      </c>
      <c r="AV21" s="17">
        <v>351</v>
      </c>
      <c r="AW21" s="17">
        <v>352</v>
      </c>
      <c r="AX21" s="17">
        <v>353</v>
      </c>
      <c r="AY21" s="17">
        <v>354</v>
      </c>
      <c r="AZ21" s="17">
        <v>509</v>
      </c>
      <c r="BA21" s="17" t="s">
        <v>172</v>
      </c>
    </row>
    <row r="22" spans="1:53" ht="15" customHeight="1" x14ac:dyDescent="0.15">
      <c r="A22" s="17">
        <v>2</v>
      </c>
      <c r="B22" s="17" t="s">
        <v>196</v>
      </c>
      <c r="C22" s="17" t="s">
        <v>161</v>
      </c>
      <c r="D22" s="17" t="s">
        <v>103</v>
      </c>
      <c r="E22" s="17" t="s">
        <v>151</v>
      </c>
      <c r="F22" s="17" t="s">
        <v>152</v>
      </c>
      <c r="G22" s="17">
        <v>17.897600000000001</v>
      </c>
      <c r="H22" s="17">
        <v>-66.959900000000005</v>
      </c>
      <c r="I22" s="17">
        <v>20</v>
      </c>
      <c r="J22" s="17">
        <v>9</v>
      </c>
      <c r="K22" s="17">
        <v>19</v>
      </c>
      <c r="L22" s="17">
        <v>2023</v>
      </c>
      <c r="M22" s="24" t="s">
        <v>162</v>
      </c>
      <c r="N22" s="17" t="s">
        <v>56</v>
      </c>
      <c r="O22" s="17" t="s">
        <v>63</v>
      </c>
      <c r="P22" s="17" t="s">
        <v>57</v>
      </c>
      <c r="Q22" s="17" t="s">
        <v>58</v>
      </c>
      <c r="R22" s="25">
        <v>0.33333333333333331</v>
      </c>
      <c r="S22" s="25">
        <v>0.36041666666666666</v>
      </c>
      <c r="T22" s="26">
        <v>30.05</v>
      </c>
      <c r="U22" s="26">
        <v>0.6</v>
      </c>
      <c r="V22" s="26">
        <v>34.869999999999997</v>
      </c>
      <c r="W22" s="26">
        <v>0.61</v>
      </c>
      <c r="X22" s="26">
        <v>6.35</v>
      </c>
      <c r="Y22" s="26">
        <v>0.62</v>
      </c>
      <c r="Z22" s="26">
        <v>7.7</v>
      </c>
      <c r="AA22" s="26">
        <v>0.61</v>
      </c>
      <c r="AB22" s="26">
        <v>30.16</v>
      </c>
      <c r="AC22" s="26">
        <v>17.28</v>
      </c>
      <c r="AD22" s="26">
        <v>34.76</v>
      </c>
      <c r="AE22" s="26">
        <v>17.399999999999999</v>
      </c>
      <c r="AF22" s="26">
        <v>5.73</v>
      </c>
      <c r="AG22" s="26">
        <v>17.510000000000002</v>
      </c>
      <c r="AH22" s="26">
        <v>8.06</v>
      </c>
      <c r="AI22" s="26">
        <v>17.5</v>
      </c>
      <c r="AJ22" s="26">
        <v>10.25</v>
      </c>
      <c r="AK22" s="26">
        <v>10</v>
      </c>
      <c r="AL22" s="26">
        <v>10.5</v>
      </c>
      <c r="AM22" s="26">
        <v>10.25</v>
      </c>
      <c r="AN22" s="17">
        <v>0.5</v>
      </c>
      <c r="AO22" s="17">
        <v>17.5</v>
      </c>
      <c r="AP22" s="17">
        <v>182</v>
      </c>
      <c r="AQ22" s="17">
        <v>183</v>
      </c>
      <c r="AR22" s="17">
        <v>113</v>
      </c>
      <c r="AS22" s="17">
        <v>114</v>
      </c>
      <c r="AT22" s="17">
        <v>55</v>
      </c>
      <c r="AU22" s="17">
        <v>57</v>
      </c>
      <c r="AV22" s="17">
        <v>58</v>
      </c>
      <c r="AW22" s="17">
        <v>55</v>
      </c>
      <c r="AX22" s="17">
        <v>72</v>
      </c>
      <c r="AY22" s="17">
        <v>78</v>
      </c>
      <c r="AZ22" s="17">
        <v>48</v>
      </c>
      <c r="BA22" s="17" t="s">
        <v>61</v>
      </c>
    </row>
    <row r="23" spans="1:53" ht="15" customHeight="1" x14ac:dyDescent="0.15">
      <c r="A23" s="17">
        <v>2</v>
      </c>
      <c r="B23" s="17" t="s">
        <v>197</v>
      </c>
      <c r="C23" s="17" t="s">
        <v>198</v>
      </c>
      <c r="D23" s="17" t="s">
        <v>104</v>
      </c>
      <c r="E23" s="17" t="s">
        <v>199</v>
      </c>
      <c r="F23" s="17" t="s">
        <v>157</v>
      </c>
      <c r="G23" s="17">
        <v>18.0017</v>
      </c>
      <c r="H23" s="17">
        <v>-67.329899999999995</v>
      </c>
      <c r="I23" s="17">
        <v>5</v>
      </c>
      <c r="J23" s="17">
        <v>9</v>
      </c>
      <c r="K23" s="17">
        <v>20</v>
      </c>
      <c r="L23" s="17">
        <v>2023</v>
      </c>
      <c r="M23" s="24" t="s">
        <v>200</v>
      </c>
      <c r="N23" s="17" t="s">
        <v>56</v>
      </c>
      <c r="O23" s="17" t="s">
        <v>63</v>
      </c>
      <c r="P23" s="17" t="s">
        <v>58</v>
      </c>
      <c r="Q23" s="17" t="s">
        <v>59</v>
      </c>
      <c r="R23" s="25">
        <v>0.37152777777777779</v>
      </c>
      <c r="S23" s="25">
        <v>0.3888888888888889</v>
      </c>
      <c r="T23" s="17">
        <v>30.51</v>
      </c>
      <c r="U23" s="17">
        <v>0.6</v>
      </c>
      <c r="V23" s="17">
        <v>33.89</v>
      </c>
      <c r="W23" s="17">
        <v>0.61</v>
      </c>
      <c r="X23" s="17">
        <v>5.77</v>
      </c>
      <c r="Y23" s="17">
        <v>0.62</v>
      </c>
      <c r="Z23" s="17">
        <v>7.83</v>
      </c>
      <c r="AA23" s="17">
        <v>0.57999999999999996</v>
      </c>
      <c r="AB23" s="17">
        <v>30.58</v>
      </c>
      <c r="AC23" s="17">
        <v>6.6</v>
      </c>
      <c r="AD23" s="17">
        <v>33.94</v>
      </c>
      <c r="AE23" s="17">
        <v>6.55</v>
      </c>
      <c r="AF23" s="17">
        <v>5.75</v>
      </c>
      <c r="AG23" s="17">
        <v>6.58</v>
      </c>
      <c r="AH23" s="17">
        <v>8.02</v>
      </c>
      <c r="AI23" s="17">
        <v>6.63</v>
      </c>
      <c r="AJ23" s="17" t="s">
        <v>105</v>
      </c>
      <c r="AK23" s="17" t="s">
        <v>105</v>
      </c>
      <c r="AL23" s="17" t="s">
        <v>105</v>
      </c>
      <c r="AM23" s="17" t="s">
        <v>105</v>
      </c>
      <c r="AN23" s="17">
        <v>0.5</v>
      </c>
      <c r="AO23" s="17">
        <v>6.5</v>
      </c>
      <c r="AP23" s="17">
        <v>187</v>
      </c>
      <c r="AQ23" s="17">
        <v>186</v>
      </c>
      <c r="AR23" s="17">
        <v>117</v>
      </c>
      <c r="AS23" s="17">
        <v>118</v>
      </c>
      <c r="AT23" s="17">
        <v>57</v>
      </c>
      <c r="AU23" s="17">
        <v>59</v>
      </c>
      <c r="AV23" s="17">
        <v>60</v>
      </c>
      <c r="AW23" s="17">
        <v>57</v>
      </c>
      <c r="AX23" s="17">
        <v>74</v>
      </c>
      <c r="AY23" s="17">
        <v>80</v>
      </c>
      <c r="AZ23" s="17">
        <v>50</v>
      </c>
      <c r="BA23" s="17" t="s">
        <v>106</v>
      </c>
    </row>
    <row r="24" spans="1:53" ht="15" customHeight="1" x14ac:dyDescent="0.15">
      <c r="A24" s="17">
        <v>2</v>
      </c>
      <c r="B24" s="17" t="s">
        <v>201</v>
      </c>
      <c r="C24" s="17" t="s">
        <v>202</v>
      </c>
      <c r="D24" s="17" t="s">
        <v>107</v>
      </c>
      <c r="E24" s="17" t="s">
        <v>199</v>
      </c>
      <c r="F24" s="17" t="s">
        <v>157</v>
      </c>
      <c r="G24" s="17">
        <v>18.17202</v>
      </c>
      <c r="H24" s="17">
        <v>-67.253</v>
      </c>
      <c r="I24" s="17">
        <v>20</v>
      </c>
      <c r="J24" s="17">
        <v>10</v>
      </c>
      <c r="K24" s="17">
        <v>25</v>
      </c>
      <c r="L24" s="17">
        <v>2023</v>
      </c>
      <c r="M24" s="24" t="s">
        <v>203</v>
      </c>
      <c r="N24" s="17" t="s">
        <v>108</v>
      </c>
      <c r="O24" s="17" t="s">
        <v>63</v>
      </c>
      <c r="P24" s="17" t="s">
        <v>58</v>
      </c>
      <c r="Q24" s="17" t="s">
        <v>59</v>
      </c>
      <c r="R24" s="25">
        <v>0.37916666666666665</v>
      </c>
      <c r="S24" s="25">
        <v>0.39444444444444443</v>
      </c>
      <c r="T24" s="17">
        <v>30.34</v>
      </c>
      <c r="U24" s="17">
        <v>0.34</v>
      </c>
      <c r="V24" s="17">
        <v>35.44</v>
      </c>
      <c r="W24" s="17">
        <v>0.34</v>
      </c>
      <c r="X24" s="17">
        <v>6.12</v>
      </c>
      <c r="Y24" s="17">
        <v>0.34</v>
      </c>
      <c r="Z24" s="17">
        <v>8.1999999999999993</v>
      </c>
      <c r="AA24" s="17">
        <v>0.34</v>
      </c>
      <c r="AB24" s="17">
        <v>30.02</v>
      </c>
      <c r="AC24" s="17">
        <v>11.18</v>
      </c>
      <c r="AD24" s="17">
        <v>35.770000000000003</v>
      </c>
      <c r="AE24" s="17">
        <v>11.18</v>
      </c>
      <c r="AF24" s="17">
        <v>6.09</v>
      </c>
      <c r="AG24" s="17">
        <v>11.18</v>
      </c>
      <c r="AH24" s="17">
        <v>8.2100000000000009</v>
      </c>
      <c r="AI24" s="17">
        <v>11.18</v>
      </c>
      <c r="AJ24" s="17" t="s">
        <v>109</v>
      </c>
      <c r="AK24" s="17" t="s">
        <v>109</v>
      </c>
      <c r="AL24" s="17" t="s">
        <v>109</v>
      </c>
      <c r="AM24" s="17" t="s">
        <v>109</v>
      </c>
      <c r="AN24" s="17">
        <v>0.5</v>
      </c>
      <c r="AO24" s="17">
        <v>18</v>
      </c>
      <c r="AP24" s="17">
        <v>587</v>
      </c>
      <c r="AQ24" s="17">
        <v>588</v>
      </c>
      <c r="AR24" s="17">
        <v>589</v>
      </c>
      <c r="AS24" s="17">
        <v>590</v>
      </c>
      <c r="AT24" s="17">
        <v>591</v>
      </c>
      <c r="AU24" s="17">
        <v>592</v>
      </c>
      <c r="AV24" s="17">
        <v>593</v>
      </c>
      <c r="AW24" s="17">
        <v>594</v>
      </c>
      <c r="AX24" s="17">
        <v>595</v>
      </c>
      <c r="AY24" s="17">
        <v>596</v>
      </c>
      <c r="AZ24" s="17">
        <v>586</v>
      </c>
      <c r="BA24" s="17" t="s">
        <v>110</v>
      </c>
    </row>
    <row r="25" spans="1:53" ht="15" customHeight="1" x14ac:dyDescent="0.15">
      <c r="A25" s="17">
        <v>2</v>
      </c>
      <c r="B25" s="17" t="s">
        <v>204</v>
      </c>
      <c r="C25" s="17" t="s">
        <v>188</v>
      </c>
      <c r="D25" s="17" t="s">
        <v>111</v>
      </c>
      <c r="E25" s="17" t="s">
        <v>170</v>
      </c>
      <c r="F25" s="17" t="s">
        <v>166</v>
      </c>
      <c r="G25" s="17">
        <v>18.304929999999999</v>
      </c>
      <c r="H25" s="17">
        <v>-65.327699999999993</v>
      </c>
      <c r="I25" s="17">
        <v>5</v>
      </c>
      <c r="J25" s="17">
        <v>10</v>
      </c>
      <c r="K25" s="17">
        <v>13</v>
      </c>
      <c r="L25" s="17">
        <v>2023</v>
      </c>
      <c r="M25" s="24" t="s">
        <v>189</v>
      </c>
      <c r="N25" s="17" t="s">
        <v>70</v>
      </c>
      <c r="O25" s="17" t="s">
        <v>63</v>
      </c>
      <c r="P25" s="17" t="s">
        <v>58</v>
      </c>
      <c r="Q25" s="17" t="s">
        <v>59</v>
      </c>
      <c r="R25" s="25">
        <v>0.35625000000000001</v>
      </c>
      <c r="S25" s="25">
        <v>0.37083333333333335</v>
      </c>
      <c r="T25" s="17">
        <v>29.67</v>
      </c>
      <c r="U25" s="17">
        <v>0.51</v>
      </c>
      <c r="V25" s="17">
        <v>35.880000000000003</v>
      </c>
      <c r="W25" s="17">
        <v>0.51</v>
      </c>
      <c r="X25" s="17">
        <v>5.84</v>
      </c>
      <c r="Y25" s="17">
        <v>0.52</v>
      </c>
      <c r="Z25" s="17">
        <v>7.73</v>
      </c>
      <c r="AA25" s="17">
        <v>0.52</v>
      </c>
      <c r="AB25" s="17">
        <v>29.81</v>
      </c>
      <c r="AC25" s="17">
        <v>4.58</v>
      </c>
      <c r="AD25" s="17">
        <v>35.82</v>
      </c>
      <c r="AE25" s="17">
        <v>4.53</v>
      </c>
      <c r="AF25" s="17">
        <v>5.82</v>
      </c>
      <c r="AG25" s="17">
        <v>4.53</v>
      </c>
      <c r="AH25" s="17">
        <v>8.0299999999999994</v>
      </c>
      <c r="AI25" s="17">
        <v>4.53</v>
      </c>
      <c r="AJ25" s="17" t="s">
        <v>112</v>
      </c>
      <c r="AK25" s="17" t="s">
        <v>112</v>
      </c>
      <c r="AL25" s="17" t="s">
        <v>112</v>
      </c>
      <c r="AM25" s="17" t="s">
        <v>112</v>
      </c>
      <c r="AN25" s="17">
        <v>0.5</v>
      </c>
      <c r="AO25" s="17">
        <v>5</v>
      </c>
      <c r="AP25" s="17">
        <v>378</v>
      </c>
      <c r="AQ25" s="17">
        <v>379</v>
      </c>
      <c r="AR25" s="17">
        <v>380</v>
      </c>
      <c r="AS25" s="17">
        <v>381</v>
      </c>
      <c r="AT25" s="17">
        <v>382</v>
      </c>
      <c r="AU25" s="17">
        <v>383</v>
      </c>
      <c r="AV25" s="17">
        <v>384</v>
      </c>
      <c r="AW25" s="17">
        <v>385</v>
      </c>
      <c r="AX25" s="17">
        <v>387</v>
      </c>
      <c r="AY25" s="17">
        <v>386</v>
      </c>
      <c r="AZ25" s="17">
        <v>476</v>
      </c>
      <c r="BA25" s="17" t="s">
        <v>172</v>
      </c>
    </row>
    <row r="26" spans="1:53" ht="15" customHeight="1" x14ac:dyDescent="0.15">
      <c r="A26" s="17">
        <v>2</v>
      </c>
      <c r="B26" s="17" t="s">
        <v>205</v>
      </c>
      <c r="C26" s="17" t="s">
        <v>202</v>
      </c>
      <c r="D26" s="17" t="s">
        <v>113</v>
      </c>
      <c r="E26" s="17" t="s">
        <v>199</v>
      </c>
      <c r="F26" s="17" t="s">
        <v>157</v>
      </c>
      <c r="G26" s="17">
        <v>18.233529999999998</v>
      </c>
      <c r="H26" s="17">
        <v>-67.200599999999994</v>
      </c>
      <c r="I26" s="17">
        <v>10</v>
      </c>
      <c r="J26" s="17">
        <v>10</v>
      </c>
      <c r="K26" s="17">
        <v>23</v>
      </c>
      <c r="L26" s="17">
        <v>2023</v>
      </c>
      <c r="M26" s="17" t="s">
        <v>158</v>
      </c>
      <c r="N26" s="17" t="s">
        <v>56</v>
      </c>
      <c r="O26" s="17" t="s">
        <v>63</v>
      </c>
      <c r="P26" s="17" t="s">
        <v>57</v>
      </c>
      <c r="Q26" s="17" t="s">
        <v>59</v>
      </c>
      <c r="R26" s="25">
        <v>0.57638888888888884</v>
      </c>
      <c r="S26" s="25">
        <v>0.6020833333333333</v>
      </c>
      <c r="T26" s="17">
        <v>30.71</v>
      </c>
      <c r="U26" s="17">
        <v>0.51</v>
      </c>
      <c r="V26" s="17">
        <v>35.33</v>
      </c>
      <c r="W26" s="17">
        <v>0.51</v>
      </c>
      <c r="X26" s="17">
        <v>6.21</v>
      </c>
      <c r="Y26" s="17">
        <v>0.51</v>
      </c>
      <c r="Z26" s="17">
        <v>8.1199999999999992</v>
      </c>
      <c r="AA26" s="17">
        <v>0.51</v>
      </c>
      <c r="AB26" s="17">
        <v>30.66</v>
      </c>
      <c r="AC26" s="17">
        <v>10.96</v>
      </c>
      <c r="AD26" s="17">
        <v>35.43</v>
      </c>
      <c r="AE26" s="17">
        <v>10.96</v>
      </c>
      <c r="AF26" s="17">
        <v>6.22</v>
      </c>
      <c r="AG26" s="17">
        <v>10.96</v>
      </c>
      <c r="AH26" s="17">
        <v>8.19</v>
      </c>
      <c r="AI26" s="17">
        <v>10.96</v>
      </c>
      <c r="AJ26" s="17" t="s">
        <v>82</v>
      </c>
      <c r="AK26" s="17" t="s">
        <v>82</v>
      </c>
      <c r="AL26" s="17" t="s">
        <v>82</v>
      </c>
      <c r="AM26" s="17" t="s">
        <v>82</v>
      </c>
      <c r="AN26" s="17">
        <v>0.5</v>
      </c>
      <c r="AO26" s="17">
        <v>10</v>
      </c>
      <c r="AP26" s="17">
        <v>499</v>
      </c>
      <c r="AQ26" s="17">
        <v>500</v>
      </c>
      <c r="AR26" s="17">
        <v>501</v>
      </c>
      <c r="AS26" s="17">
        <v>502</v>
      </c>
      <c r="AT26" s="17">
        <v>503</v>
      </c>
      <c r="AU26" s="17">
        <v>504</v>
      </c>
      <c r="AV26" s="17">
        <v>505</v>
      </c>
      <c r="AW26" s="17">
        <v>506</v>
      </c>
      <c r="AX26" s="17">
        <v>507</v>
      </c>
      <c r="AY26" s="17">
        <v>508</v>
      </c>
      <c r="AZ26" s="17">
        <v>355</v>
      </c>
      <c r="BA26" s="17" t="s">
        <v>110</v>
      </c>
    </row>
    <row r="27" spans="1:53" ht="15" customHeight="1" x14ac:dyDescent="0.15">
      <c r="A27" s="17">
        <v>2</v>
      </c>
      <c r="B27" s="17" t="s">
        <v>206</v>
      </c>
      <c r="C27" s="17" t="s">
        <v>202</v>
      </c>
      <c r="D27" s="17" t="s">
        <v>114</v>
      </c>
      <c r="E27" s="17" t="s">
        <v>199</v>
      </c>
      <c r="F27" s="17" t="s">
        <v>157</v>
      </c>
      <c r="G27" s="17">
        <v>18.233499999999999</v>
      </c>
      <c r="H27" s="17">
        <v>-67.200900000000004</v>
      </c>
      <c r="I27" s="17">
        <v>20</v>
      </c>
      <c r="J27" s="17">
        <v>10</v>
      </c>
      <c r="K27" s="17">
        <v>24</v>
      </c>
      <c r="L27" s="17">
        <v>2023</v>
      </c>
      <c r="M27" s="17" t="s">
        <v>207</v>
      </c>
      <c r="N27" s="17" t="s">
        <v>56</v>
      </c>
      <c r="O27" s="17" t="s">
        <v>63</v>
      </c>
      <c r="P27" s="17" t="s">
        <v>115</v>
      </c>
      <c r="Q27" s="17" t="s">
        <v>58</v>
      </c>
      <c r="R27" s="25">
        <v>0.4826388888888889</v>
      </c>
      <c r="S27" s="25">
        <v>0.50138888888888888</v>
      </c>
      <c r="T27" s="17">
        <v>30.75</v>
      </c>
      <c r="U27" s="17">
        <v>0.74</v>
      </c>
      <c r="V27" s="17">
        <v>35.28</v>
      </c>
      <c r="W27" s="17">
        <v>0.74</v>
      </c>
      <c r="X27" s="17">
        <v>6.22</v>
      </c>
      <c r="Y27" s="17">
        <v>0.74</v>
      </c>
      <c r="Z27" s="17">
        <v>8.19</v>
      </c>
      <c r="AA27" s="17">
        <v>0.74</v>
      </c>
      <c r="AB27" s="17">
        <v>29.77</v>
      </c>
      <c r="AC27" s="17">
        <v>18.66</v>
      </c>
      <c r="AD27" s="17">
        <v>35.83</v>
      </c>
      <c r="AE27" s="17">
        <v>18.66</v>
      </c>
      <c r="AF27" s="17">
        <v>6.07</v>
      </c>
      <c r="AG27" s="17">
        <v>18.66</v>
      </c>
      <c r="AH27" s="17">
        <v>8.1999999999999993</v>
      </c>
      <c r="AI27" s="17">
        <v>18.66</v>
      </c>
      <c r="AJ27" s="17">
        <v>11.25</v>
      </c>
      <c r="AK27" s="17">
        <v>11.25</v>
      </c>
      <c r="AL27" s="17">
        <v>10.75</v>
      </c>
      <c r="AM27" s="17">
        <v>11.1</v>
      </c>
      <c r="AN27" s="17">
        <v>0.5</v>
      </c>
      <c r="AO27" s="17">
        <v>18</v>
      </c>
      <c r="AP27" s="17">
        <v>576</v>
      </c>
      <c r="AQ27" s="17">
        <v>577</v>
      </c>
      <c r="AR27" s="17">
        <v>578</v>
      </c>
      <c r="AS27" s="17">
        <v>579</v>
      </c>
      <c r="AT27" s="17">
        <v>580</v>
      </c>
      <c r="AU27" s="17">
        <v>581</v>
      </c>
      <c r="AV27" s="17">
        <v>582</v>
      </c>
      <c r="AW27" s="17">
        <v>583</v>
      </c>
      <c r="AX27" s="17">
        <v>584</v>
      </c>
      <c r="AY27" s="17">
        <v>585</v>
      </c>
      <c r="AZ27" s="17">
        <v>388</v>
      </c>
      <c r="BA27" s="17" t="s">
        <v>65</v>
      </c>
    </row>
    <row r="28" spans="1:53" ht="15" customHeight="1" x14ac:dyDescent="0.15">
      <c r="A28" s="17">
        <v>2</v>
      </c>
      <c r="B28" s="17" t="s">
        <v>208</v>
      </c>
      <c r="C28" s="17" t="s">
        <v>209</v>
      </c>
      <c r="D28" s="17" t="s">
        <v>116</v>
      </c>
      <c r="E28" s="17" t="s">
        <v>181</v>
      </c>
      <c r="F28" s="17" t="s">
        <v>177</v>
      </c>
      <c r="G28" s="17">
        <v>17.964880000000001</v>
      </c>
      <c r="H28" s="17">
        <v>-66.756500000000003</v>
      </c>
      <c r="I28" s="17">
        <v>5</v>
      </c>
      <c r="J28" s="17">
        <v>10</v>
      </c>
      <c r="K28" s="17">
        <v>4</v>
      </c>
      <c r="L28" s="17">
        <v>2023</v>
      </c>
      <c r="M28" s="24" t="s">
        <v>153</v>
      </c>
      <c r="N28" s="17" t="s">
        <v>56</v>
      </c>
      <c r="O28" s="17" t="s">
        <v>57</v>
      </c>
      <c r="P28" s="17" t="s">
        <v>58</v>
      </c>
      <c r="Q28" s="17" t="s">
        <v>59</v>
      </c>
      <c r="R28" s="25">
        <v>0.36736111111111114</v>
      </c>
      <c r="S28" s="25">
        <v>0.3840277777777778</v>
      </c>
      <c r="T28" s="17">
        <v>31.17</v>
      </c>
      <c r="U28" s="17">
        <v>0.53</v>
      </c>
      <c r="V28" s="17">
        <v>36.24</v>
      </c>
      <c r="W28" s="17">
        <v>0.55000000000000004</v>
      </c>
      <c r="X28" s="17">
        <v>5.1100000000000003</v>
      </c>
      <c r="Y28" s="17">
        <v>0.54</v>
      </c>
      <c r="Z28" s="17">
        <v>7.9</v>
      </c>
      <c r="AA28" s="17">
        <v>0.54</v>
      </c>
      <c r="AB28" s="17">
        <v>30.96</v>
      </c>
      <c r="AC28" s="17">
        <v>4.0999999999999996</v>
      </c>
      <c r="AD28" s="17">
        <v>36.479999999999997</v>
      </c>
      <c r="AE28" s="17">
        <v>4.07</v>
      </c>
      <c r="AF28" s="17">
        <v>5.05</v>
      </c>
      <c r="AG28" s="17">
        <v>4.0199999999999996</v>
      </c>
      <c r="AH28" s="17">
        <v>8.02</v>
      </c>
      <c r="AI28" s="17">
        <v>4.0199999999999996</v>
      </c>
      <c r="AJ28" s="17" t="s">
        <v>117</v>
      </c>
      <c r="AK28" s="17" t="s">
        <v>117</v>
      </c>
      <c r="AL28" s="17" t="s">
        <v>117</v>
      </c>
      <c r="AM28" s="17" t="s">
        <v>117</v>
      </c>
      <c r="AN28" s="17">
        <v>0.5</v>
      </c>
      <c r="AO28" s="17">
        <v>4</v>
      </c>
      <c r="AP28" s="17">
        <v>257</v>
      </c>
      <c r="AQ28" s="17">
        <v>258</v>
      </c>
      <c r="AR28" s="17">
        <v>259</v>
      </c>
      <c r="AS28" s="17">
        <v>260</v>
      </c>
      <c r="AT28" s="17">
        <v>261</v>
      </c>
      <c r="AU28" s="17">
        <v>262</v>
      </c>
      <c r="AV28" s="17">
        <v>263</v>
      </c>
      <c r="AW28" s="17">
        <v>264</v>
      </c>
      <c r="AX28" s="17">
        <v>265</v>
      </c>
      <c r="AY28" s="17">
        <v>266</v>
      </c>
      <c r="AZ28" s="17">
        <v>234</v>
      </c>
      <c r="BA28" s="17" t="s">
        <v>61</v>
      </c>
    </row>
    <row r="29" spans="1:53" ht="15" customHeight="1" x14ac:dyDescent="0.15">
      <c r="A29" s="17">
        <v>2</v>
      </c>
      <c r="B29" s="17" t="s">
        <v>208</v>
      </c>
      <c r="C29" s="17" t="s">
        <v>209</v>
      </c>
      <c r="D29" s="17" t="s">
        <v>118</v>
      </c>
      <c r="E29" s="17" t="s">
        <v>181</v>
      </c>
      <c r="F29" s="17" t="s">
        <v>177</v>
      </c>
      <c r="G29" s="17">
        <v>17.964880000000001</v>
      </c>
      <c r="H29" s="17">
        <v>-66.756500000000003</v>
      </c>
      <c r="I29" s="17">
        <v>5</v>
      </c>
      <c r="J29" s="17">
        <v>10</v>
      </c>
      <c r="K29" s="17">
        <v>4</v>
      </c>
      <c r="L29" s="17">
        <v>2023</v>
      </c>
      <c r="M29" s="24" t="s">
        <v>153</v>
      </c>
      <c r="N29" s="17" t="s">
        <v>56</v>
      </c>
      <c r="O29" s="17" t="s">
        <v>57</v>
      </c>
      <c r="P29" s="17" t="s">
        <v>58</v>
      </c>
      <c r="Q29" s="17" t="s">
        <v>59</v>
      </c>
      <c r="R29" s="25">
        <v>0.3840277777777778</v>
      </c>
      <c r="S29" s="25">
        <v>0.3972222222222222</v>
      </c>
      <c r="T29" s="17">
        <v>31.04</v>
      </c>
      <c r="U29" s="17">
        <v>0.57999999999999996</v>
      </c>
      <c r="V29" s="17">
        <v>36.299999999999997</v>
      </c>
      <c r="W29" s="17">
        <v>0.6</v>
      </c>
      <c r="X29" s="17">
        <v>4.37</v>
      </c>
      <c r="Y29" s="17">
        <v>0.6</v>
      </c>
      <c r="Z29" s="17">
        <v>7.83</v>
      </c>
      <c r="AA29" s="17">
        <v>0.6</v>
      </c>
      <c r="AB29" s="17">
        <v>31.02</v>
      </c>
      <c r="AC29" s="17">
        <v>2.94</v>
      </c>
      <c r="AD29" s="17">
        <v>36.25</v>
      </c>
      <c r="AE29" s="17">
        <v>3.18</v>
      </c>
      <c r="AF29" s="17">
        <v>5.01</v>
      </c>
      <c r="AG29" s="17">
        <v>3.14</v>
      </c>
      <c r="AH29" s="17">
        <v>7.99</v>
      </c>
      <c r="AI29" s="17">
        <v>3.02</v>
      </c>
      <c r="AJ29" s="17" t="s">
        <v>60</v>
      </c>
      <c r="AK29" s="17" t="s">
        <v>60</v>
      </c>
      <c r="AL29" s="17" t="s">
        <v>60</v>
      </c>
      <c r="AM29" s="17" t="s">
        <v>60</v>
      </c>
      <c r="AN29" s="17">
        <v>0.5</v>
      </c>
      <c r="AO29" s="17">
        <v>3</v>
      </c>
      <c r="AP29" s="17">
        <v>268</v>
      </c>
      <c r="AQ29" s="17">
        <v>269</v>
      </c>
      <c r="AR29" s="17">
        <v>270</v>
      </c>
      <c r="AS29" s="17">
        <v>271</v>
      </c>
      <c r="AT29" s="17">
        <v>272</v>
      </c>
      <c r="AU29" s="17">
        <v>273</v>
      </c>
      <c r="AV29" s="17">
        <v>274</v>
      </c>
      <c r="AW29" s="17">
        <v>275</v>
      </c>
      <c r="AX29" s="17">
        <v>276</v>
      </c>
      <c r="AY29" s="17">
        <v>277</v>
      </c>
      <c r="AZ29" s="17">
        <v>245</v>
      </c>
      <c r="BA29" s="17" t="s">
        <v>61</v>
      </c>
    </row>
    <row r="30" spans="1:53" ht="15" customHeight="1" x14ac:dyDescent="0.15">
      <c r="A30" s="17">
        <v>2</v>
      </c>
      <c r="B30" s="17" t="s">
        <v>210</v>
      </c>
      <c r="C30" s="17" t="s">
        <v>209</v>
      </c>
      <c r="D30" s="17" t="s">
        <v>119</v>
      </c>
      <c r="E30" s="17" t="s">
        <v>181</v>
      </c>
      <c r="F30" s="17" t="s">
        <v>177</v>
      </c>
      <c r="G30" s="17">
        <v>17.960930000000001</v>
      </c>
      <c r="H30" s="17">
        <v>-66.752899999999997</v>
      </c>
      <c r="I30" s="17">
        <v>10</v>
      </c>
      <c r="J30" s="17">
        <v>10</v>
      </c>
      <c r="K30" s="17">
        <v>4</v>
      </c>
      <c r="L30" s="17">
        <v>2023</v>
      </c>
      <c r="M30" s="24" t="s">
        <v>153</v>
      </c>
      <c r="N30" s="17" t="s">
        <v>56</v>
      </c>
      <c r="O30" s="17" t="s">
        <v>57</v>
      </c>
      <c r="P30" s="17" t="s">
        <v>58</v>
      </c>
      <c r="Q30" s="17" t="s">
        <v>59</v>
      </c>
      <c r="R30" s="25">
        <v>0.34236111111111112</v>
      </c>
      <c r="S30" s="25">
        <v>0.36041666666666666</v>
      </c>
      <c r="T30" s="17">
        <v>30.8</v>
      </c>
      <c r="U30" s="17">
        <v>0.53</v>
      </c>
      <c r="V30" s="17">
        <v>36.49</v>
      </c>
      <c r="W30" s="17">
        <v>0.57999999999999996</v>
      </c>
      <c r="X30" s="17">
        <v>5.51</v>
      </c>
      <c r="Y30" s="17">
        <v>0.56999999999999995</v>
      </c>
      <c r="Z30" s="17">
        <v>7.92</v>
      </c>
      <c r="AA30" s="17">
        <v>0.56000000000000005</v>
      </c>
      <c r="AB30" s="17">
        <v>30.72</v>
      </c>
      <c r="AC30" s="17">
        <v>8.76</v>
      </c>
      <c r="AD30" s="17">
        <v>36.5</v>
      </c>
      <c r="AE30" s="17">
        <v>8.82</v>
      </c>
      <c r="AF30" s="17">
        <v>5.41</v>
      </c>
      <c r="AG30" s="17">
        <v>8.86</v>
      </c>
      <c r="AH30" s="17">
        <v>8.0399999999999991</v>
      </c>
      <c r="AI30" s="17">
        <v>8.92</v>
      </c>
      <c r="AJ30" s="17" t="s">
        <v>120</v>
      </c>
      <c r="AK30" s="17" t="s">
        <v>120</v>
      </c>
      <c r="AL30" s="17" t="s">
        <v>120</v>
      </c>
      <c r="AM30" s="17" t="s">
        <v>120</v>
      </c>
      <c r="AN30" s="17">
        <v>0.5</v>
      </c>
      <c r="AO30" s="17">
        <v>8</v>
      </c>
      <c r="AP30" s="17">
        <v>246</v>
      </c>
      <c r="AQ30" s="17">
        <v>247</v>
      </c>
      <c r="AR30" s="17">
        <v>248</v>
      </c>
      <c r="AS30" s="17">
        <v>249</v>
      </c>
      <c r="AT30" s="17">
        <v>250</v>
      </c>
      <c r="AU30" s="17">
        <v>251</v>
      </c>
      <c r="AV30" s="17">
        <v>252</v>
      </c>
      <c r="AW30" s="17">
        <v>253</v>
      </c>
      <c r="AX30" s="17">
        <v>254</v>
      </c>
      <c r="AY30" s="17">
        <v>255</v>
      </c>
      <c r="AZ30" s="17">
        <v>223</v>
      </c>
      <c r="BA30" s="17" t="s">
        <v>61</v>
      </c>
    </row>
    <row r="31" spans="1:53" ht="15" customHeight="1" x14ac:dyDescent="0.15">
      <c r="A31" s="17">
        <v>2</v>
      </c>
      <c r="B31" s="17" t="s">
        <v>211</v>
      </c>
      <c r="C31" s="17" t="s">
        <v>209</v>
      </c>
      <c r="D31" s="17" t="s">
        <v>121</v>
      </c>
      <c r="E31" s="17" t="s">
        <v>181</v>
      </c>
      <c r="F31" s="17" t="s">
        <v>177</v>
      </c>
      <c r="G31" s="17">
        <v>17.959530000000001</v>
      </c>
      <c r="H31" s="17">
        <v>-66.747</v>
      </c>
      <c r="I31" s="17">
        <v>20</v>
      </c>
      <c r="J31" s="17">
        <v>10</v>
      </c>
      <c r="K31" s="17">
        <v>4</v>
      </c>
      <c r="L31" s="17">
        <v>2023</v>
      </c>
      <c r="M31" s="24" t="s">
        <v>153</v>
      </c>
      <c r="N31" s="17" t="s">
        <v>56</v>
      </c>
      <c r="O31" s="17" t="s">
        <v>57</v>
      </c>
      <c r="P31" s="17" t="s">
        <v>58</v>
      </c>
      <c r="Q31" s="17" t="s">
        <v>59</v>
      </c>
      <c r="R31" s="25">
        <v>0.30555555555555558</v>
      </c>
      <c r="S31" s="25">
        <v>0.33680555555555558</v>
      </c>
      <c r="T31" s="17">
        <v>31</v>
      </c>
      <c r="U31" s="17">
        <v>0.57999999999999996</v>
      </c>
      <c r="V31" s="17">
        <v>36.36</v>
      </c>
      <c r="W31" s="17">
        <v>0.59</v>
      </c>
      <c r="X31" s="17">
        <v>5.05</v>
      </c>
      <c r="Y31" s="17">
        <v>0.57999999999999996</v>
      </c>
      <c r="Z31" s="17">
        <v>7.4</v>
      </c>
      <c r="AA31" s="17">
        <v>0.59</v>
      </c>
      <c r="AB31" s="17">
        <v>30.37</v>
      </c>
      <c r="AC31" s="17">
        <v>18.5</v>
      </c>
      <c r="AD31" s="17">
        <v>36.950000000000003</v>
      </c>
      <c r="AE31" s="17">
        <v>18.5</v>
      </c>
      <c r="AF31" s="17">
        <v>6.04</v>
      </c>
      <c r="AG31" s="17">
        <v>18.05</v>
      </c>
      <c r="AH31" s="17">
        <v>8.08</v>
      </c>
      <c r="AI31" s="17">
        <v>17.87</v>
      </c>
      <c r="AJ31" s="17">
        <v>11.25</v>
      </c>
      <c r="AK31" s="17">
        <v>11.25</v>
      </c>
      <c r="AL31" s="17">
        <v>11.25</v>
      </c>
      <c r="AM31" s="17">
        <v>11.25</v>
      </c>
      <c r="AN31" s="17">
        <v>0.5</v>
      </c>
      <c r="AO31" s="17">
        <v>18</v>
      </c>
      <c r="AP31" s="17">
        <v>235</v>
      </c>
      <c r="AQ31" s="17">
        <v>236</v>
      </c>
      <c r="AR31" s="17">
        <v>237</v>
      </c>
      <c r="AS31" s="17">
        <v>238</v>
      </c>
      <c r="AT31" s="17">
        <v>239</v>
      </c>
      <c r="AU31" s="17">
        <v>240</v>
      </c>
      <c r="AV31" s="17">
        <v>241</v>
      </c>
      <c r="AW31" s="17">
        <v>242</v>
      </c>
      <c r="AX31" s="17">
        <v>243</v>
      </c>
      <c r="AY31" s="17">
        <v>244</v>
      </c>
      <c r="AZ31" s="17">
        <v>212</v>
      </c>
      <c r="BA31" s="17" t="s">
        <v>61</v>
      </c>
    </row>
    <row r="32" spans="1:53" ht="15" customHeight="1" x14ac:dyDescent="0.15">
      <c r="A32" s="17">
        <v>2</v>
      </c>
      <c r="B32" s="17" t="s">
        <v>212</v>
      </c>
      <c r="C32" s="17" t="s">
        <v>161</v>
      </c>
      <c r="D32" s="17" t="s">
        <v>122</v>
      </c>
      <c r="E32" s="17" t="s">
        <v>151</v>
      </c>
      <c r="F32" s="17" t="s">
        <v>152</v>
      </c>
      <c r="G32" s="17">
        <v>17.93937</v>
      </c>
      <c r="H32" s="17">
        <v>-67.050700000000006</v>
      </c>
      <c r="I32" s="17">
        <v>5</v>
      </c>
      <c r="J32" s="17">
        <v>9</v>
      </c>
      <c r="K32" s="17">
        <v>19</v>
      </c>
      <c r="L32" s="17">
        <v>2023</v>
      </c>
      <c r="M32" s="24" t="s">
        <v>162</v>
      </c>
      <c r="N32" s="17" t="s">
        <v>56</v>
      </c>
      <c r="O32" s="17" t="s">
        <v>63</v>
      </c>
      <c r="P32" s="17" t="s">
        <v>57</v>
      </c>
      <c r="Q32" s="17" t="s">
        <v>58</v>
      </c>
      <c r="R32" s="25">
        <v>0.42986111111111114</v>
      </c>
      <c r="S32" s="25">
        <v>0.44722222222222224</v>
      </c>
      <c r="T32" s="17">
        <v>31.25</v>
      </c>
      <c r="U32" s="17">
        <v>0.6</v>
      </c>
      <c r="V32" s="27">
        <v>34</v>
      </c>
      <c r="W32" s="17">
        <v>0.56000000000000005</v>
      </c>
      <c r="X32" s="17">
        <v>5.89</v>
      </c>
      <c r="Y32" s="17">
        <v>0.56999999999999995</v>
      </c>
      <c r="Z32" s="17">
        <v>7.99</v>
      </c>
      <c r="AA32" s="17">
        <v>0.6</v>
      </c>
      <c r="AB32" s="17">
        <v>31.01</v>
      </c>
      <c r="AC32" s="17">
        <v>3.2</v>
      </c>
      <c r="AD32" s="17">
        <v>34.26</v>
      </c>
      <c r="AE32" s="17">
        <v>3.08</v>
      </c>
      <c r="AF32" s="17">
        <v>5.89</v>
      </c>
      <c r="AG32" s="17">
        <v>3.09</v>
      </c>
      <c r="AH32" s="17">
        <v>8.0299999999999994</v>
      </c>
      <c r="AI32" s="17">
        <v>3.07</v>
      </c>
      <c r="AJ32" s="17" t="s">
        <v>98</v>
      </c>
      <c r="AK32" s="17" t="s">
        <v>98</v>
      </c>
      <c r="AL32" s="17" t="s">
        <v>98</v>
      </c>
      <c r="AM32" s="17" t="s">
        <v>98</v>
      </c>
      <c r="AN32" s="17">
        <v>0.5</v>
      </c>
      <c r="AO32" s="17">
        <v>3</v>
      </c>
      <c r="AP32" s="17">
        <v>176</v>
      </c>
      <c r="AQ32" s="17">
        <v>177</v>
      </c>
      <c r="AR32" s="17">
        <v>107</v>
      </c>
      <c r="AS32" s="17">
        <v>108</v>
      </c>
      <c r="AT32" s="17">
        <v>52</v>
      </c>
      <c r="AU32" s="17">
        <v>54</v>
      </c>
      <c r="AV32" s="17">
        <v>55</v>
      </c>
      <c r="AW32" s="17">
        <v>52</v>
      </c>
      <c r="AX32" s="17">
        <v>69</v>
      </c>
      <c r="AY32" s="17">
        <v>75</v>
      </c>
      <c r="AZ32" s="17">
        <v>55</v>
      </c>
      <c r="BA32" s="17" t="s">
        <v>61</v>
      </c>
    </row>
    <row r="33" spans="1:53" ht="15" customHeight="1" x14ac:dyDescent="0.15">
      <c r="A33" s="17">
        <v>2</v>
      </c>
      <c r="B33" s="17" t="s">
        <v>213</v>
      </c>
      <c r="C33" s="17" t="s">
        <v>161</v>
      </c>
      <c r="D33" s="17" t="s">
        <v>123</v>
      </c>
      <c r="E33" s="17" t="s">
        <v>151</v>
      </c>
      <c r="F33" s="17" t="s">
        <v>152</v>
      </c>
      <c r="G33" s="17">
        <v>17.934719999999999</v>
      </c>
      <c r="H33" s="17">
        <v>-67.048500000000004</v>
      </c>
      <c r="I33" s="17">
        <v>10</v>
      </c>
      <c r="J33" s="17">
        <v>9</v>
      </c>
      <c r="K33" s="17">
        <v>19</v>
      </c>
      <c r="L33" s="17">
        <v>2023</v>
      </c>
      <c r="M33" s="24" t="s">
        <v>162</v>
      </c>
      <c r="N33" s="17" t="s">
        <v>56</v>
      </c>
      <c r="O33" s="17" t="s">
        <v>63</v>
      </c>
      <c r="P33" s="17" t="s">
        <v>57</v>
      </c>
      <c r="Q33" s="17" t="s">
        <v>58</v>
      </c>
      <c r="R33" s="25">
        <v>0.40763888888888888</v>
      </c>
      <c r="S33" s="25">
        <v>0.42499999999999999</v>
      </c>
      <c r="T33" s="17">
        <v>30.92</v>
      </c>
      <c r="U33" s="17">
        <v>0.55000000000000004</v>
      </c>
      <c r="V33" s="17">
        <v>34.159999999999997</v>
      </c>
      <c r="W33" s="17">
        <v>0.56000000000000005</v>
      </c>
      <c r="X33" s="17">
        <v>6.11</v>
      </c>
      <c r="Y33" s="17">
        <v>0.56000000000000005</v>
      </c>
      <c r="Z33" s="17">
        <v>7.97</v>
      </c>
      <c r="AA33" s="17">
        <v>0.5</v>
      </c>
      <c r="AB33" s="17">
        <v>30.8</v>
      </c>
      <c r="AC33" s="17">
        <v>5.6</v>
      </c>
      <c r="AD33" s="17">
        <v>34.200000000000003</v>
      </c>
      <c r="AE33" s="17">
        <v>5.65</v>
      </c>
      <c r="AF33" s="17">
        <v>6.12</v>
      </c>
      <c r="AG33" s="17">
        <v>5.64</v>
      </c>
      <c r="AH33" s="17">
        <v>8.06</v>
      </c>
      <c r="AI33" s="17">
        <v>5.65</v>
      </c>
      <c r="AJ33" s="17" t="s">
        <v>124</v>
      </c>
      <c r="AK33" s="17" t="s">
        <v>124</v>
      </c>
      <c r="AL33" s="17" t="s">
        <v>124</v>
      </c>
      <c r="AM33" s="17" t="s">
        <v>124</v>
      </c>
      <c r="AN33" s="17">
        <v>0.5</v>
      </c>
      <c r="AO33" s="17">
        <v>5</v>
      </c>
      <c r="AP33" s="17">
        <v>181</v>
      </c>
      <c r="AQ33" s="17">
        <v>180</v>
      </c>
      <c r="AR33" s="17">
        <v>111</v>
      </c>
      <c r="AS33" s="17">
        <v>112</v>
      </c>
      <c r="AT33" s="17">
        <v>54</v>
      </c>
      <c r="AU33" s="17">
        <v>56</v>
      </c>
      <c r="AV33" s="17">
        <v>57</v>
      </c>
      <c r="AW33" s="17">
        <v>54</v>
      </c>
      <c r="AX33" s="17">
        <v>71</v>
      </c>
      <c r="AY33" s="17">
        <v>77</v>
      </c>
      <c r="AZ33" s="17">
        <v>49</v>
      </c>
      <c r="BA33" s="17" t="s">
        <v>61</v>
      </c>
    </row>
    <row r="34" spans="1:53" ht="15" customHeight="1" x14ac:dyDescent="0.15">
      <c r="A34" s="17">
        <v>2</v>
      </c>
      <c r="B34" s="17" t="s">
        <v>214</v>
      </c>
      <c r="C34" s="17" t="s">
        <v>198</v>
      </c>
      <c r="D34" s="17" t="s">
        <v>126</v>
      </c>
      <c r="E34" s="17" t="s">
        <v>199</v>
      </c>
      <c r="F34" s="17" t="s">
        <v>157</v>
      </c>
      <c r="G34" s="17">
        <v>18.14658</v>
      </c>
      <c r="H34" s="17">
        <v>-67.247600000000006</v>
      </c>
      <c r="I34" s="17">
        <v>5</v>
      </c>
      <c r="J34" s="17">
        <v>10</v>
      </c>
      <c r="K34" s="17">
        <v>25</v>
      </c>
      <c r="L34" s="17">
        <v>2023</v>
      </c>
      <c r="M34" s="24" t="s">
        <v>203</v>
      </c>
      <c r="N34" s="17" t="s">
        <v>108</v>
      </c>
      <c r="O34" s="17" t="s">
        <v>63</v>
      </c>
      <c r="P34" s="17" t="s">
        <v>58</v>
      </c>
      <c r="Q34" s="17" t="s">
        <v>59</v>
      </c>
      <c r="R34" s="25">
        <v>0.32777777777777778</v>
      </c>
      <c r="S34" s="25">
        <v>0.34166666666666667</v>
      </c>
      <c r="T34" s="17">
        <v>30.35</v>
      </c>
      <c r="U34" s="17">
        <v>0.55000000000000004</v>
      </c>
      <c r="V34" s="17">
        <v>35.11</v>
      </c>
      <c r="W34" s="17">
        <v>0.55000000000000004</v>
      </c>
      <c r="X34" s="17">
        <v>6.03</v>
      </c>
      <c r="Y34" s="17">
        <v>0.55000000000000004</v>
      </c>
      <c r="Z34" s="17">
        <v>8.17</v>
      </c>
      <c r="AA34" s="17">
        <v>0.55000000000000004</v>
      </c>
      <c r="AB34" s="17">
        <v>30.04</v>
      </c>
      <c r="AC34" s="17">
        <v>8.76</v>
      </c>
      <c r="AD34" s="17">
        <v>35.71</v>
      </c>
      <c r="AE34" s="17">
        <v>8.76</v>
      </c>
      <c r="AF34" s="17">
        <v>5.88</v>
      </c>
      <c r="AG34" s="17">
        <v>8.76</v>
      </c>
      <c r="AH34" s="17">
        <v>8.19</v>
      </c>
      <c r="AI34" s="17">
        <v>8.76</v>
      </c>
      <c r="AJ34" s="17" t="s">
        <v>71</v>
      </c>
      <c r="AK34" s="17" t="s">
        <v>71</v>
      </c>
      <c r="AL34" s="17" t="s">
        <v>71</v>
      </c>
      <c r="AM34" s="17" t="s">
        <v>71</v>
      </c>
      <c r="AN34" s="17">
        <v>0.5</v>
      </c>
      <c r="AO34" s="17">
        <v>7.5</v>
      </c>
      <c r="AP34" s="17">
        <v>477</v>
      </c>
      <c r="AQ34" s="17">
        <v>478</v>
      </c>
      <c r="AR34" s="17">
        <v>479</v>
      </c>
      <c r="AS34" s="17">
        <v>480</v>
      </c>
      <c r="AT34" s="17">
        <v>481</v>
      </c>
      <c r="AU34" s="17">
        <v>482</v>
      </c>
      <c r="AV34" s="17">
        <v>483</v>
      </c>
      <c r="AW34" s="17">
        <v>484</v>
      </c>
      <c r="AX34" s="17">
        <v>485</v>
      </c>
      <c r="AY34" s="17">
        <v>486</v>
      </c>
      <c r="AZ34" s="17">
        <v>575</v>
      </c>
      <c r="BA34" s="17" t="s">
        <v>110</v>
      </c>
    </row>
    <row r="35" spans="1:53" ht="15" customHeight="1" x14ac:dyDescent="0.15">
      <c r="A35" s="17">
        <v>2</v>
      </c>
      <c r="B35" s="17" t="s">
        <v>215</v>
      </c>
      <c r="C35" s="17" t="s">
        <v>198</v>
      </c>
      <c r="D35" s="17" t="s">
        <v>127</v>
      </c>
      <c r="E35" s="17" t="s">
        <v>199</v>
      </c>
      <c r="F35" s="17" t="s">
        <v>157</v>
      </c>
      <c r="G35" s="17">
        <v>18.146529999999998</v>
      </c>
      <c r="H35" s="17">
        <v>-67.248000000000005</v>
      </c>
      <c r="I35" s="17">
        <v>10</v>
      </c>
      <c r="J35" s="17">
        <v>10</v>
      </c>
      <c r="K35" s="17">
        <v>25</v>
      </c>
      <c r="L35" s="17">
        <v>2023</v>
      </c>
      <c r="M35" s="24" t="s">
        <v>203</v>
      </c>
      <c r="N35" s="17" t="s">
        <v>108</v>
      </c>
      <c r="O35" s="17" t="s">
        <v>63</v>
      </c>
      <c r="P35" s="17" t="s">
        <v>58</v>
      </c>
      <c r="Q35" s="17" t="s">
        <v>59</v>
      </c>
      <c r="R35" s="25">
        <v>0.34722222222222221</v>
      </c>
      <c r="S35" s="25">
        <v>0.36319444444444443</v>
      </c>
      <c r="T35" s="17">
        <v>30.31</v>
      </c>
      <c r="U35" s="17">
        <v>0.47</v>
      </c>
      <c r="V35" s="17">
        <v>35.380000000000003</v>
      </c>
      <c r="W35" s="17">
        <v>0.47</v>
      </c>
      <c r="X35" s="17">
        <v>6.29</v>
      </c>
      <c r="Y35" s="17">
        <v>0.47</v>
      </c>
      <c r="Z35" s="17">
        <v>8.15</v>
      </c>
      <c r="AA35" s="17">
        <v>0.47</v>
      </c>
      <c r="AB35" s="17">
        <v>29.89</v>
      </c>
      <c r="AC35" s="17">
        <v>19.010000000000002</v>
      </c>
      <c r="AD35" s="17">
        <v>35.869999999999997</v>
      </c>
      <c r="AE35" s="17">
        <v>19.010000000000002</v>
      </c>
      <c r="AF35" s="17">
        <v>5.99</v>
      </c>
      <c r="AG35" s="17">
        <v>19.010000000000002</v>
      </c>
      <c r="AH35" s="17">
        <v>8.1999999999999993</v>
      </c>
      <c r="AI35" s="17">
        <v>19.010000000000002</v>
      </c>
      <c r="AJ35" s="17">
        <v>10</v>
      </c>
      <c r="AK35" s="17">
        <v>10</v>
      </c>
      <c r="AL35" s="17">
        <v>10</v>
      </c>
      <c r="AM35" s="17">
        <v>10</v>
      </c>
      <c r="AN35" s="17">
        <v>0.5</v>
      </c>
      <c r="AO35" s="17">
        <v>18</v>
      </c>
      <c r="AP35" s="17">
        <v>609</v>
      </c>
      <c r="AQ35" s="17">
        <v>610</v>
      </c>
      <c r="AR35" s="17">
        <v>611</v>
      </c>
      <c r="AS35" s="17">
        <v>612</v>
      </c>
      <c r="AT35" s="17">
        <v>613</v>
      </c>
      <c r="AU35" s="17">
        <v>614</v>
      </c>
      <c r="AV35" s="17">
        <v>615</v>
      </c>
      <c r="AW35" s="17">
        <v>616</v>
      </c>
      <c r="AX35" s="17">
        <v>617</v>
      </c>
      <c r="AY35" s="17">
        <v>618</v>
      </c>
      <c r="AZ35" s="17">
        <v>564</v>
      </c>
      <c r="BA35" s="17" t="s">
        <v>110</v>
      </c>
    </row>
    <row r="36" spans="1:53" ht="15" customHeight="1" x14ac:dyDescent="0.15">
      <c r="A36" s="17">
        <v>2</v>
      </c>
      <c r="B36" s="17" t="s">
        <v>216</v>
      </c>
      <c r="C36" s="17" t="s">
        <v>164</v>
      </c>
      <c r="D36" s="17" t="s">
        <v>128</v>
      </c>
      <c r="E36" s="17" t="s">
        <v>165</v>
      </c>
      <c r="F36" s="17" t="s">
        <v>166</v>
      </c>
      <c r="G36" s="17">
        <v>18.354659999999999</v>
      </c>
      <c r="H36" s="17">
        <v>-65.567099999999996</v>
      </c>
      <c r="I36" s="17">
        <v>20</v>
      </c>
      <c r="J36" s="17">
        <v>10</v>
      </c>
      <c r="K36" s="17">
        <v>15</v>
      </c>
      <c r="L36" s="17">
        <v>2023</v>
      </c>
      <c r="M36" s="24" t="s">
        <v>167</v>
      </c>
      <c r="N36" s="17" t="s">
        <v>70</v>
      </c>
      <c r="O36" s="17" t="s">
        <v>63</v>
      </c>
      <c r="P36" s="17" t="s">
        <v>58</v>
      </c>
      <c r="Q36" s="17" t="s">
        <v>59</v>
      </c>
      <c r="R36" s="25">
        <v>0.40694444444444444</v>
      </c>
      <c r="S36" s="25">
        <v>0.42152777777777778</v>
      </c>
      <c r="T36" s="17" t="s">
        <v>59</v>
      </c>
      <c r="U36" s="17" t="s">
        <v>59</v>
      </c>
      <c r="V36" s="17" t="s">
        <v>59</v>
      </c>
      <c r="W36" s="17" t="s">
        <v>59</v>
      </c>
      <c r="X36" s="17" t="s">
        <v>59</v>
      </c>
      <c r="Y36" s="17" t="s">
        <v>59</v>
      </c>
      <c r="Z36" s="17" t="s">
        <v>59</v>
      </c>
      <c r="AA36" s="17" t="s">
        <v>59</v>
      </c>
      <c r="AB36" s="17" t="s">
        <v>59</v>
      </c>
      <c r="AC36" s="17" t="s">
        <v>59</v>
      </c>
      <c r="AD36" s="17" t="s">
        <v>59</v>
      </c>
      <c r="AE36" s="17" t="s">
        <v>59</v>
      </c>
      <c r="AF36" s="17" t="s">
        <v>59</v>
      </c>
      <c r="AG36" s="17" t="s">
        <v>59</v>
      </c>
      <c r="AH36" s="17" t="s">
        <v>59</v>
      </c>
      <c r="AI36" s="17" t="s">
        <v>59</v>
      </c>
      <c r="AJ36" s="17">
        <v>12.25</v>
      </c>
      <c r="AK36" s="17">
        <v>12.5</v>
      </c>
      <c r="AL36" s="17">
        <v>12.5</v>
      </c>
      <c r="AM36" s="17">
        <v>12.4</v>
      </c>
      <c r="AN36" s="17">
        <v>0.5</v>
      </c>
      <c r="AO36" s="17">
        <v>17.5</v>
      </c>
      <c r="AP36" s="17">
        <v>433</v>
      </c>
      <c r="AQ36" s="17">
        <v>434</v>
      </c>
      <c r="AR36" s="17">
        <v>435</v>
      </c>
      <c r="AS36" s="17">
        <v>436</v>
      </c>
      <c r="AT36" s="17">
        <v>437</v>
      </c>
      <c r="AU36" s="17">
        <v>438</v>
      </c>
      <c r="AV36" s="17">
        <v>439</v>
      </c>
      <c r="AW36" s="17">
        <v>440</v>
      </c>
      <c r="AX36" s="17">
        <v>441</v>
      </c>
      <c r="AY36" s="17">
        <v>442</v>
      </c>
      <c r="AZ36" s="17">
        <v>432</v>
      </c>
      <c r="BA36" s="17" t="s">
        <v>129</v>
      </c>
    </row>
    <row r="37" spans="1:53" ht="15" customHeight="1" x14ac:dyDescent="0.15">
      <c r="A37" s="17">
        <v>2</v>
      </c>
      <c r="B37" s="17" t="s">
        <v>217</v>
      </c>
      <c r="C37" s="17" t="s">
        <v>164</v>
      </c>
      <c r="D37" s="17" t="s">
        <v>130</v>
      </c>
      <c r="E37" s="17" t="s">
        <v>165</v>
      </c>
      <c r="F37" s="17" t="s">
        <v>166</v>
      </c>
      <c r="G37" s="17">
        <v>18.335370000000001</v>
      </c>
      <c r="H37" s="17">
        <v>-65.565600000000003</v>
      </c>
      <c r="I37" s="17">
        <v>10</v>
      </c>
      <c r="J37" s="17">
        <v>10</v>
      </c>
      <c r="K37" s="17">
        <v>15</v>
      </c>
      <c r="L37" s="17">
        <v>2023</v>
      </c>
      <c r="M37" s="24" t="s">
        <v>167</v>
      </c>
      <c r="N37" s="17" t="s">
        <v>70</v>
      </c>
      <c r="O37" s="17" t="s">
        <v>63</v>
      </c>
      <c r="P37" s="17" t="s">
        <v>58</v>
      </c>
      <c r="Q37" s="17" t="s">
        <v>59</v>
      </c>
      <c r="R37" s="25">
        <v>0.3527777777777778</v>
      </c>
      <c r="S37" s="25">
        <v>0.37430555555555556</v>
      </c>
      <c r="T37" s="17">
        <v>30.35</v>
      </c>
      <c r="U37" s="17">
        <v>0.53</v>
      </c>
      <c r="V37" s="17">
        <v>35.61</v>
      </c>
      <c r="W37" s="17">
        <v>0.55000000000000004</v>
      </c>
      <c r="X37" s="17">
        <v>6.3</v>
      </c>
      <c r="Y37" s="17">
        <v>0.54</v>
      </c>
      <c r="Z37" s="17">
        <v>7.81</v>
      </c>
      <c r="AA37" s="17">
        <v>0.54</v>
      </c>
      <c r="AB37" s="17">
        <v>30.36</v>
      </c>
      <c r="AC37" s="17">
        <v>8.5</v>
      </c>
      <c r="AD37" s="17">
        <v>34.229999999999997</v>
      </c>
      <c r="AE37" s="17">
        <v>8.1999999999999993</v>
      </c>
      <c r="AF37" s="17">
        <v>6.12</v>
      </c>
      <c r="AG37" s="17">
        <v>8.1</v>
      </c>
      <c r="AH37" s="17">
        <v>8.11</v>
      </c>
      <c r="AI37" s="17">
        <v>7.96</v>
      </c>
      <c r="AJ37" s="17" t="s">
        <v>131</v>
      </c>
      <c r="AK37" s="17" t="s">
        <v>131</v>
      </c>
      <c r="AL37" s="17" t="s">
        <v>131</v>
      </c>
      <c r="AM37" s="17" t="s">
        <v>131</v>
      </c>
      <c r="AN37" s="17">
        <v>0.5</v>
      </c>
      <c r="AO37" s="17">
        <v>8.5</v>
      </c>
      <c r="AP37" s="17">
        <v>422</v>
      </c>
      <c r="AQ37" s="17">
        <v>423</v>
      </c>
      <c r="AR37" s="17">
        <v>424</v>
      </c>
      <c r="AS37" s="17">
        <v>425</v>
      </c>
      <c r="AT37" s="17">
        <v>426</v>
      </c>
      <c r="AU37" s="17">
        <v>427</v>
      </c>
      <c r="AV37" s="17">
        <v>428</v>
      </c>
      <c r="AW37" s="17">
        <v>429</v>
      </c>
      <c r="AX37" s="17">
        <v>430</v>
      </c>
      <c r="AY37" s="17">
        <v>431</v>
      </c>
      <c r="AZ37" s="17">
        <v>421</v>
      </c>
      <c r="BA37" s="17" t="s">
        <v>61</v>
      </c>
    </row>
    <row r="38" spans="1:53" ht="15" customHeight="1" x14ac:dyDescent="0.15">
      <c r="A38" s="17">
        <v>2</v>
      </c>
      <c r="B38" s="17" t="s">
        <v>218</v>
      </c>
      <c r="C38" s="17" t="s">
        <v>175</v>
      </c>
      <c r="D38" s="17" t="s">
        <v>132</v>
      </c>
      <c r="E38" s="17" t="s">
        <v>176</v>
      </c>
      <c r="F38" s="17" t="s">
        <v>177</v>
      </c>
      <c r="G38" s="17">
        <v>17.9346</v>
      </c>
      <c r="H38" s="17">
        <v>-66.302499999999995</v>
      </c>
      <c r="I38" s="17">
        <v>5</v>
      </c>
      <c r="J38" s="17">
        <v>9</v>
      </c>
      <c r="K38" s="17">
        <v>21</v>
      </c>
      <c r="L38" s="17">
        <v>2023</v>
      </c>
      <c r="M38" s="24" t="s">
        <v>178</v>
      </c>
      <c r="N38" s="17" t="s">
        <v>56</v>
      </c>
      <c r="O38" s="17" t="s">
        <v>63</v>
      </c>
      <c r="P38" s="17" t="s">
        <v>81</v>
      </c>
      <c r="Q38" s="17" t="s">
        <v>58</v>
      </c>
      <c r="R38" s="25">
        <v>0.40555555555555556</v>
      </c>
      <c r="S38" s="25">
        <v>0.41944444444444445</v>
      </c>
      <c r="T38" s="17">
        <v>30.78</v>
      </c>
      <c r="U38" s="17">
        <v>0.64</v>
      </c>
      <c r="V38" s="17">
        <v>35.32</v>
      </c>
      <c r="W38" s="17">
        <v>0.64</v>
      </c>
      <c r="X38" s="17">
        <v>5.8</v>
      </c>
      <c r="Y38" s="17">
        <v>0.63</v>
      </c>
      <c r="Z38" s="17">
        <v>8.0299999999999994</v>
      </c>
      <c r="AA38" s="17">
        <v>0.62</v>
      </c>
      <c r="AB38" s="17">
        <v>30.65</v>
      </c>
      <c r="AC38" s="17">
        <v>4.12</v>
      </c>
      <c r="AD38" s="17">
        <v>35.380000000000003</v>
      </c>
      <c r="AE38" s="17">
        <v>4.22</v>
      </c>
      <c r="AF38" s="17">
        <v>5.23</v>
      </c>
      <c r="AG38" s="17">
        <v>4.37</v>
      </c>
      <c r="AH38" s="17">
        <v>7.95</v>
      </c>
      <c r="AI38" s="17">
        <v>4.3099999999999996</v>
      </c>
      <c r="AJ38" s="17" t="s">
        <v>117</v>
      </c>
      <c r="AK38" s="17" t="s">
        <v>117</v>
      </c>
      <c r="AL38" s="17" t="s">
        <v>117</v>
      </c>
      <c r="AM38" s="17" t="s">
        <v>117</v>
      </c>
      <c r="AN38" s="17">
        <v>0.5</v>
      </c>
      <c r="AO38" s="17">
        <v>4</v>
      </c>
      <c r="AP38" s="17">
        <v>188</v>
      </c>
      <c r="AQ38" s="17">
        <v>189</v>
      </c>
      <c r="AR38" s="17">
        <v>119</v>
      </c>
      <c r="AS38" s="17">
        <v>120</v>
      </c>
      <c r="AT38" s="17">
        <v>58</v>
      </c>
      <c r="AU38" s="17">
        <v>60</v>
      </c>
      <c r="AV38" s="17">
        <v>61</v>
      </c>
      <c r="AW38" s="17">
        <v>58</v>
      </c>
      <c r="AX38" s="17">
        <v>75</v>
      </c>
      <c r="AY38" s="17">
        <v>81</v>
      </c>
      <c r="AZ38" s="17">
        <v>51</v>
      </c>
      <c r="BA38" s="17" t="s">
        <v>61</v>
      </c>
    </row>
    <row r="39" spans="1:53" ht="15" customHeight="1" x14ac:dyDescent="0.15">
      <c r="A39" s="17">
        <v>2</v>
      </c>
      <c r="B39" s="17" t="s">
        <v>219</v>
      </c>
      <c r="C39" s="17" t="s">
        <v>198</v>
      </c>
      <c r="D39" s="17" t="s">
        <v>133</v>
      </c>
      <c r="E39" s="17" t="s">
        <v>199</v>
      </c>
      <c r="F39" s="17" t="s">
        <v>157</v>
      </c>
      <c r="G39" s="17">
        <v>17.991160000000001</v>
      </c>
      <c r="H39" s="17">
        <v>-67.233199999999997</v>
      </c>
      <c r="I39" s="17">
        <v>10</v>
      </c>
      <c r="J39" s="17">
        <v>9</v>
      </c>
      <c r="K39" s="17">
        <v>20</v>
      </c>
      <c r="L39" s="17">
        <v>2023</v>
      </c>
      <c r="M39" s="24" t="s">
        <v>200</v>
      </c>
      <c r="N39" s="17" t="s">
        <v>56</v>
      </c>
      <c r="O39" s="17" t="s">
        <v>63</v>
      </c>
      <c r="P39" s="17" t="s">
        <v>58</v>
      </c>
      <c r="Q39" s="17" t="s">
        <v>59</v>
      </c>
      <c r="R39" s="25">
        <v>0.40972222222222221</v>
      </c>
      <c r="S39" s="25">
        <v>0.42986111111111114</v>
      </c>
      <c r="T39" s="17">
        <v>30.72</v>
      </c>
      <c r="U39" s="17">
        <v>0.54</v>
      </c>
      <c r="V39" s="17">
        <v>34.15</v>
      </c>
      <c r="W39" s="17">
        <v>0.52</v>
      </c>
      <c r="X39" s="17">
        <v>6.38</v>
      </c>
      <c r="Y39" s="17">
        <v>0.55000000000000004</v>
      </c>
      <c r="Z39" s="17">
        <v>7.98</v>
      </c>
      <c r="AA39" s="17">
        <v>0.55000000000000004</v>
      </c>
      <c r="AB39" s="17">
        <v>30.84</v>
      </c>
      <c r="AC39" s="17">
        <v>13.69</v>
      </c>
      <c r="AD39" s="17">
        <v>34.17</v>
      </c>
      <c r="AE39" s="17">
        <v>13.7</v>
      </c>
      <c r="AF39" s="17">
        <v>6.4</v>
      </c>
      <c r="AG39" s="17">
        <v>13.67</v>
      </c>
      <c r="AH39" s="17">
        <v>8.07</v>
      </c>
      <c r="AI39" s="17">
        <v>13.65</v>
      </c>
      <c r="AJ39" s="17">
        <v>7.5</v>
      </c>
      <c r="AK39" s="17">
        <v>7.5</v>
      </c>
      <c r="AL39" s="17">
        <v>7.5</v>
      </c>
      <c r="AM39" s="17">
        <v>7.5</v>
      </c>
      <c r="AN39" s="17">
        <v>0.5</v>
      </c>
      <c r="AO39" s="17">
        <v>13.5</v>
      </c>
      <c r="AP39" s="17">
        <v>192</v>
      </c>
      <c r="AQ39" s="17">
        <v>193</v>
      </c>
      <c r="AR39" s="17">
        <v>123</v>
      </c>
      <c r="AS39" s="17">
        <v>124</v>
      </c>
      <c r="AT39" s="17">
        <v>60</v>
      </c>
      <c r="AU39" s="17">
        <v>62</v>
      </c>
      <c r="AV39" s="17">
        <v>63</v>
      </c>
      <c r="AW39" s="17">
        <v>60</v>
      </c>
      <c r="AX39" s="17">
        <v>77</v>
      </c>
      <c r="AY39" s="17">
        <v>83</v>
      </c>
      <c r="AZ39" s="17">
        <v>54</v>
      </c>
      <c r="BA39" s="17" t="s">
        <v>106</v>
      </c>
    </row>
    <row r="40" spans="1:53" ht="15" customHeight="1" x14ac:dyDescent="0.15">
      <c r="A40" s="17">
        <v>2</v>
      </c>
      <c r="B40" s="17" t="s">
        <v>219</v>
      </c>
      <c r="C40" s="17" t="s">
        <v>198</v>
      </c>
      <c r="D40" s="17" t="s">
        <v>134</v>
      </c>
      <c r="E40" s="17" t="s">
        <v>199</v>
      </c>
      <c r="F40" s="17" t="s">
        <v>157</v>
      </c>
      <c r="G40" s="17">
        <v>17.991160000000001</v>
      </c>
      <c r="H40" s="17">
        <v>-67.233199999999997</v>
      </c>
      <c r="I40" s="17">
        <v>10</v>
      </c>
      <c r="J40" s="17">
        <v>9</v>
      </c>
      <c r="K40" s="17">
        <v>20</v>
      </c>
      <c r="L40" s="17">
        <v>2023</v>
      </c>
      <c r="M40" s="24" t="s">
        <v>200</v>
      </c>
      <c r="N40" s="17" t="s">
        <v>56</v>
      </c>
      <c r="O40" s="17" t="s">
        <v>63</v>
      </c>
      <c r="P40" s="17" t="s">
        <v>58</v>
      </c>
      <c r="Q40" s="17" t="s">
        <v>59</v>
      </c>
      <c r="R40" s="25">
        <v>0.43402777777777779</v>
      </c>
      <c r="S40" s="25">
        <v>0.45208333333333334</v>
      </c>
      <c r="T40" s="17">
        <v>30.78</v>
      </c>
      <c r="U40" s="17">
        <v>0.62</v>
      </c>
      <c r="V40" s="17">
        <v>34.119999999999997</v>
      </c>
      <c r="W40" s="17">
        <v>0.61</v>
      </c>
      <c r="X40" s="17">
        <v>6.5</v>
      </c>
      <c r="Y40" s="17">
        <v>0.6</v>
      </c>
      <c r="Z40" s="17">
        <v>8.02</v>
      </c>
      <c r="AA40" s="17">
        <v>0.59</v>
      </c>
      <c r="AB40" s="17">
        <v>30.91</v>
      </c>
      <c r="AC40" s="17">
        <v>5.48</v>
      </c>
      <c r="AD40" s="17">
        <v>34.15</v>
      </c>
      <c r="AE40" s="17">
        <v>5.46</v>
      </c>
      <c r="AF40" s="17">
        <v>6.33</v>
      </c>
      <c r="AG40" s="17">
        <v>5.45</v>
      </c>
      <c r="AH40" s="17">
        <v>8.08</v>
      </c>
      <c r="AI40" s="17">
        <v>5.43</v>
      </c>
      <c r="AJ40" s="17">
        <v>7.25</v>
      </c>
      <c r="AK40" s="17">
        <v>7</v>
      </c>
      <c r="AL40" s="17">
        <v>7</v>
      </c>
      <c r="AM40" s="17">
        <v>7</v>
      </c>
      <c r="AN40" s="17">
        <v>0.5</v>
      </c>
      <c r="AO40" s="17">
        <v>5.5</v>
      </c>
      <c r="AP40" s="17">
        <v>194</v>
      </c>
      <c r="AQ40" s="17">
        <v>195</v>
      </c>
      <c r="AR40" s="17">
        <v>125</v>
      </c>
      <c r="AS40" s="17">
        <v>126</v>
      </c>
      <c r="AT40" s="17">
        <v>61</v>
      </c>
      <c r="AU40" s="17">
        <v>63</v>
      </c>
      <c r="AV40" s="17">
        <v>64</v>
      </c>
      <c r="AW40" s="17">
        <v>61</v>
      </c>
      <c r="AX40" s="17">
        <v>78</v>
      </c>
      <c r="AY40" s="17">
        <v>84</v>
      </c>
      <c r="AZ40" s="17">
        <v>53</v>
      </c>
      <c r="BA40" s="17" t="s">
        <v>106</v>
      </c>
    </row>
    <row r="41" spans="1:53" ht="15" customHeight="1" x14ac:dyDescent="0.15">
      <c r="A41" s="17">
        <v>2</v>
      </c>
      <c r="B41" s="17" t="s">
        <v>220</v>
      </c>
      <c r="C41" s="17" t="s">
        <v>202</v>
      </c>
      <c r="D41" s="17" t="s">
        <v>135</v>
      </c>
      <c r="E41" s="17" t="s">
        <v>199</v>
      </c>
      <c r="F41" s="17" t="s">
        <v>157</v>
      </c>
      <c r="G41" s="17">
        <v>18.189299999999999</v>
      </c>
      <c r="H41" s="17">
        <v>-67.191900000000004</v>
      </c>
      <c r="I41" s="17">
        <v>5</v>
      </c>
      <c r="J41" s="17">
        <v>10</v>
      </c>
      <c r="K41" s="17">
        <v>25</v>
      </c>
      <c r="L41" s="17">
        <v>2023</v>
      </c>
      <c r="M41" s="24" t="s">
        <v>203</v>
      </c>
      <c r="N41" s="17" t="s">
        <v>108</v>
      </c>
      <c r="O41" s="17" t="s">
        <v>63</v>
      </c>
      <c r="P41" s="17" t="s">
        <v>58</v>
      </c>
      <c r="Q41" s="17" t="s">
        <v>59</v>
      </c>
      <c r="R41" s="25">
        <v>0.41180555555555554</v>
      </c>
      <c r="S41" s="25">
        <v>0.42569444444444443</v>
      </c>
      <c r="T41" s="17">
        <v>30.53</v>
      </c>
      <c r="U41" s="17">
        <v>0.54</v>
      </c>
      <c r="V41" s="17">
        <v>35.04</v>
      </c>
      <c r="W41" s="17">
        <v>0.54</v>
      </c>
      <c r="X41" s="17">
        <v>6.34</v>
      </c>
      <c r="Y41" s="17">
        <v>0.54</v>
      </c>
      <c r="Z41" s="17">
        <v>8.09</v>
      </c>
      <c r="AA41" s="17">
        <v>0.54</v>
      </c>
      <c r="AB41" s="17">
        <v>30.49</v>
      </c>
      <c r="AC41" s="17">
        <v>9.86</v>
      </c>
      <c r="AD41" s="17">
        <v>35.479999999999997</v>
      </c>
      <c r="AE41" s="17">
        <v>9.86</v>
      </c>
      <c r="AF41" s="17">
        <v>5.72</v>
      </c>
      <c r="AG41" s="17">
        <v>9.86</v>
      </c>
      <c r="AH41" s="17">
        <v>8.17</v>
      </c>
      <c r="AI41" s="17">
        <v>9.86</v>
      </c>
      <c r="AJ41" s="17">
        <v>5.25</v>
      </c>
      <c r="AK41" s="17">
        <v>5.25</v>
      </c>
      <c r="AL41" s="17">
        <v>5.25</v>
      </c>
      <c r="AM41" s="17">
        <v>5.25</v>
      </c>
      <c r="AN41" s="17">
        <v>0.5</v>
      </c>
      <c r="AO41" s="17">
        <v>9.5</v>
      </c>
      <c r="AP41" s="17">
        <v>367</v>
      </c>
      <c r="AQ41" s="17">
        <v>368</v>
      </c>
      <c r="AR41" s="17">
        <v>369</v>
      </c>
      <c r="AS41" s="17">
        <v>370</v>
      </c>
      <c r="AT41" s="17">
        <v>371</v>
      </c>
      <c r="AU41" s="17">
        <v>372</v>
      </c>
      <c r="AV41" s="17">
        <v>373</v>
      </c>
      <c r="AW41" s="17">
        <v>374</v>
      </c>
      <c r="AX41" s="17">
        <v>375</v>
      </c>
      <c r="AY41" s="17">
        <v>376</v>
      </c>
      <c r="AZ41" s="17">
        <v>553</v>
      </c>
      <c r="BA41" s="17" t="s">
        <v>110</v>
      </c>
    </row>
    <row r="42" spans="1:53" ht="15" customHeight="1" x14ac:dyDescent="0.15">
      <c r="A42" s="17">
        <v>2</v>
      </c>
      <c r="B42" s="17" t="s">
        <v>221</v>
      </c>
      <c r="C42" s="17" t="s">
        <v>169</v>
      </c>
      <c r="D42" s="17" t="s">
        <v>136</v>
      </c>
      <c r="E42" s="17" t="s">
        <v>170</v>
      </c>
      <c r="F42" s="17" t="s">
        <v>166</v>
      </c>
      <c r="G42" s="17">
        <v>18.13869</v>
      </c>
      <c r="H42" s="17">
        <v>-65.197100000000006</v>
      </c>
      <c r="I42" s="17">
        <v>30</v>
      </c>
      <c r="J42" s="17">
        <v>10</v>
      </c>
      <c r="K42" s="17">
        <v>14</v>
      </c>
      <c r="L42" s="17">
        <v>2023</v>
      </c>
      <c r="M42" s="24" t="s">
        <v>171</v>
      </c>
      <c r="N42" s="17" t="s">
        <v>70</v>
      </c>
      <c r="O42" s="17" t="s">
        <v>74</v>
      </c>
      <c r="P42" s="17" t="s">
        <v>58</v>
      </c>
      <c r="Q42" s="17" t="s">
        <v>59</v>
      </c>
      <c r="R42" s="25">
        <v>0.31805555555555554</v>
      </c>
      <c r="S42" s="25">
        <v>0.34375</v>
      </c>
      <c r="T42" s="17">
        <v>29.81</v>
      </c>
      <c r="U42" s="17">
        <v>0.54</v>
      </c>
      <c r="V42" s="17" t="s">
        <v>59</v>
      </c>
      <c r="W42" s="17">
        <v>0.54</v>
      </c>
      <c r="X42" s="17">
        <v>6.55</v>
      </c>
      <c r="Y42" s="17">
        <v>0.55000000000000004</v>
      </c>
      <c r="Z42" s="17">
        <v>7.89</v>
      </c>
      <c r="AA42" s="17">
        <v>0.55000000000000004</v>
      </c>
      <c r="AB42" s="17">
        <v>29.29</v>
      </c>
      <c r="AC42" s="17">
        <v>35.450000000000003</v>
      </c>
      <c r="AD42" s="17" t="s">
        <v>59</v>
      </c>
      <c r="AE42" s="17">
        <v>35.479999999999997</v>
      </c>
      <c r="AF42" s="17">
        <v>6.15</v>
      </c>
      <c r="AG42" s="17">
        <v>35.520000000000003</v>
      </c>
      <c r="AH42" s="17">
        <v>8.07</v>
      </c>
      <c r="AI42" s="17">
        <v>35.51</v>
      </c>
      <c r="AJ42" s="17" t="s">
        <v>137</v>
      </c>
      <c r="AK42" s="17" t="s">
        <v>137</v>
      </c>
      <c r="AL42" s="17" t="s">
        <v>137</v>
      </c>
      <c r="AM42" s="17" t="s">
        <v>137</v>
      </c>
      <c r="AN42" s="17">
        <v>0.5</v>
      </c>
      <c r="AO42" s="17">
        <v>35</v>
      </c>
      <c r="AP42" s="17">
        <v>455</v>
      </c>
      <c r="AQ42" s="17">
        <v>456</v>
      </c>
      <c r="AR42" s="17">
        <v>457</v>
      </c>
      <c r="AS42" s="17">
        <v>458</v>
      </c>
      <c r="AT42" s="17">
        <v>459</v>
      </c>
      <c r="AU42" s="17">
        <v>460</v>
      </c>
      <c r="AV42" s="17">
        <v>461</v>
      </c>
      <c r="AW42" s="17">
        <v>462</v>
      </c>
      <c r="AX42" s="17">
        <v>463</v>
      </c>
      <c r="AY42" s="17">
        <v>464</v>
      </c>
      <c r="AZ42" s="17">
        <v>498</v>
      </c>
      <c r="BA42" s="17" t="s">
        <v>172</v>
      </c>
    </row>
    <row r="43" spans="1:53" ht="15" customHeight="1" x14ac:dyDescent="0.15">
      <c r="A43" s="17">
        <v>2</v>
      </c>
      <c r="B43" s="17" t="s">
        <v>222</v>
      </c>
      <c r="C43" s="17" t="s">
        <v>198</v>
      </c>
      <c r="D43" s="17" t="s">
        <v>138</v>
      </c>
      <c r="E43" s="17" t="s">
        <v>199</v>
      </c>
      <c r="F43" s="17" t="s">
        <v>157</v>
      </c>
      <c r="G43" s="17">
        <v>18.163039999999999</v>
      </c>
      <c r="H43" s="17">
        <v>-67.273700000000005</v>
      </c>
      <c r="I43" s="17">
        <v>10</v>
      </c>
      <c r="J43" s="17">
        <v>10</v>
      </c>
      <c r="K43" s="17">
        <v>5</v>
      </c>
      <c r="L43" s="17">
        <v>2023</v>
      </c>
      <c r="M43" s="24" t="s">
        <v>223</v>
      </c>
      <c r="N43" s="17" t="s">
        <v>56</v>
      </c>
      <c r="O43" s="17" t="s">
        <v>63</v>
      </c>
      <c r="P43" s="17" t="s">
        <v>115</v>
      </c>
      <c r="Q43" s="17" t="s">
        <v>58</v>
      </c>
      <c r="R43" s="25">
        <v>0.42430555555555555</v>
      </c>
      <c r="S43" s="25">
        <v>0.45</v>
      </c>
      <c r="T43" s="17">
        <v>30.5</v>
      </c>
      <c r="U43" s="17">
        <v>0.5</v>
      </c>
      <c r="V43" s="17" t="s">
        <v>59</v>
      </c>
      <c r="W43" s="17">
        <v>0.49</v>
      </c>
      <c r="X43" s="17">
        <v>6.38</v>
      </c>
      <c r="Y43" s="17">
        <v>0.56000000000000005</v>
      </c>
      <c r="Z43" s="17">
        <v>8.0399999999999991</v>
      </c>
      <c r="AA43" s="17">
        <v>0.51</v>
      </c>
      <c r="AB43" s="17">
        <v>30.53</v>
      </c>
      <c r="AC43" s="17">
        <v>9.4</v>
      </c>
      <c r="AD43" s="17" t="s">
        <v>59</v>
      </c>
      <c r="AE43" s="17">
        <v>9.5399999999999991</v>
      </c>
      <c r="AF43" s="17">
        <v>6.31</v>
      </c>
      <c r="AG43" s="17">
        <v>9.51</v>
      </c>
      <c r="AH43" s="17">
        <v>8.1</v>
      </c>
      <c r="AI43" s="17">
        <v>9.5500000000000007</v>
      </c>
      <c r="AJ43" s="17" t="s">
        <v>82</v>
      </c>
      <c r="AK43" s="17" t="s">
        <v>82</v>
      </c>
      <c r="AL43" s="17" t="s">
        <v>82</v>
      </c>
      <c r="AM43" s="17" t="s">
        <v>82</v>
      </c>
      <c r="AN43" s="17">
        <v>0.5</v>
      </c>
      <c r="AO43" s="17">
        <v>9.5</v>
      </c>
      <c r="AP43" s="17">
        <v>213</v>
      </c>
      <c r="AQ43" s="17">
        <v>214</v>
      </c>
      <c r="AR43" s="17">
        <v>215</v>
      </c>
      <c r="AS43" s="17">
        <v>216</v>
      </c>
      <c r="AT43" s="17">
        <v>217</v>
      </c>
      <c r="AU43" s="17">
        <v>218</v>
      </c>
      <c r="AV43" s="17">
        <v>219</v>
      </c>
      <c r="AW43" s="17">
        <v>220</v>
      </c>
      <c r="AX43" s="17">
        <v>221</v>
      </c>
      <c r="AY43" s="17">
        <v>222</v>
      </c>
      <c r="AZ43" s="17">
        <v>300</v>
      </c>
      <c r="BA43" s="17" t="s">
        <v>61</v>
      </c>
    </row>
    <row r="44" spans="1:53" ht="15" customHeight="1" x14ac:dyDescent="0.15">
      <c r="A44" s="17">
        <v>2</v>
      </c>
      <c r="B44" s="17" t="s">
        <v>224</v>
      </c>
      <c r="C44" s="17" t="s">
        <v>198</v>
      </c>
      <c r="D44" s="17" t="s">
        <v>140</v>
      </c>
      <c r="E44" s="17" t="s">
        <v>199</v>
      </c>
      <c r="F44" s="17" t="s">
        <v>157</v>
      </c>
      <c r="G44" s="17">
        <v>18.16517</v>
      </c>
      <c r="H44" s="17">
        <v>-67.275199999999998</v>
      </c>
      <c r="I44" s="17">
        <v>20</v>
      </c>
      <c r="J44" s="17">
        <v>10</v>
      </c>
      <c r="K44" s="17">
        <v>5</v>
      </c>
      <c r="L44" s="17">
        <v>2023</v>
      </c>
      <c r="M44" s="24" t="s">
        <v>223</v>
      </c>
      <c r="N44" s="17" t="s">
        <v>56</v>
      </c>
      <c r="O44" s="17" t="s">
        <v>63</v>
      </c>
      <c r="P44" s="17" t="s">
        <v>115</v>
      </c>
      <c r="Q44" s="17" t="s">
        <v>58</v>
      </c>
      <c r="R44" s="25">
        <v>0.39583333333333331</v>
      </c>
      <c r="S44" s="25">
        <v>0.41805555555555557</v>
      </c>
      <c r="T44" s="17">
        <v>30.48</v>
      </c>
      <c r="U44" s="17">
        <v>0.5</v>
      </c>
      <c r="V44" s="17" t="s">
        <v>59</v>
      </c>
      <c r="W44" s="17">
        <v>0.54</v>
      </c>
      <c r="X44" s="17">
        <v>6.79</v>
      </c>
      <c r="Y44" s="17">
        <v>0.54</v>
      </c>
      <c r="Z44" s="17">
        <v>8.0500000000000007</v>
      </c>
      <c r="AA44" s="17">
        <v>0.53</v>
      </c>
      <c r="AB44" s="17">
        <v>30.54</v>
      </c>
      <c r="AC44" s="17">
        <v>21.79</v>
      </c>
      <c r="AD44" s="17" t="s">
        <v>59</v>
      </c>
      <c r="AE44" s="17">
        <v>21.65</v>
      </c>
      <c r="AF44" s="17">
        <v>6.78</v>
      </c>
      <c r="AG44" s="17">
        <v>21.69</v>
      </c>
      <c r="AH44" s="17">
        <v>8.1</v>
      </c>
      <c r="AI44" s="17">
        <v>21.08</v>
      </c>
      <c r="AJ44" s="17">
        <v>10.75</v>
      </c>
      <c r="AK44" s="17">
        <v>10.75</v>
      </c>
      <c r="AL44" s="17">
        <v>11</v>
      </c>
      <c r="AM44" s="17">
        <v>10.8</v>
      </c>
      <c r="AN44" s="17">
        <v>0.5</v>
      </c>
      <c r="AO44" s="17">
        <v>22</v>
      </c>
      <c r="AP44" s="17">
        <v>202</v>
      </c>
      <c r="AQ44" s="17">
        <v>203</v>
      </c>
      <c r="AR44" s="17">
        <v>204</v>
      </c>
      <c r="AS44" s="17">
        <v>205</v>
      </c>
      <c r="AT44" s="17">
        <v>206</v>
      </c>
      <c r="AU44" s="17">
        <v>207</v>
      </c>
      <c r="AV44" s="17">
        <v>208</v>
      </c>
      <c r="AW44" s="17">
        <v>209</v>
      </c>
      <c r="AX44" s="17">
        <v>210</v>
      </c>
      <c r="AY44" s="17">
        <v>211</v>
      </c>
      <c r="AZ44" s="17">
        <v>289</v>
      </c>
      <c r="BA44" s="17" t="s">
        <v>61</v>
      </c>
    </row>
    <row r="45" spans="1:53" ht="15" customHeight="1" x14ac:dyDescent="0.15">
      <c r="A45" s="17">
        <v>2</v>
      </c>
      <c r="B45" s="17" t="s">
        <v>225</v>
      </c>
      <c r="C45" s="17" t="s">
        <v>198</v>
      </c>
      <c r="D45" s="17" t="s">
        <v>141</v>
      </c>
      <c r="E45" s="17" t="s">
        <v>199</v>
      </c>
      <c r="F45" s="17" t="s">
        <v>157</v>
      </c>
      <c r="G45" s="17">
        <v>18.166370000000001</v>
      </c>
      <c r="H45" s="17">
        <v>-67.276300000000006</v>
      </c>
      <c r="I45" s="17">
        <v>30</v>
      </c>
      <c r="J45" s="17">
        <v>10</v>
      </c>
      <c r="K45" s="17">
        <v>5</v>
      </c>
      <c r="L45" s="17">
        <v>2023</v>
      </c>
      <c r="M45" s="24" t="s">
        <v>223</v>
      </c>
      <c r="N45" s="17" t="s">
        <v>56</v>
      </c>
      <c r="O45" s="17" t="s">
        <v>63</v>
      </c>
      <c r="P45" s="17" t="s">
        <v>115</v>
      </c>
      <c r="Q45" s="17" t="s">
        <v>58</v>
      </c>
      <c r="R45" s="25">
        <v>0.33958333333333335</v>
      </c>
      <c r="S45" s="25">
        <v>0.37777777777777777</v>
      </c>
      <c r="T45" s="17">
        <v>30.49</v>
      </c>
      <c r="U45" s="17">
        <v>0.56000000000000005</v>
      </c>
      <c r="V45" s="17">
        <v>35.01</v>
      </c>
      <c r="W45" s="17">
        <v>0.56999999999999995</v>
      </c>
      <c r="X45" s="17">
        <v>6.19</v>
      </c>
      <c r="Y45" s="17">
        <v>0.57999999999999996</v>
      </c>
      <c r="Z45" s="17">
        <v>8</v>
      </c>
      <c r="AA45" s="17">
        <v>0.57999999999999996</v>
      </c>
      <c r="AB45" s="17">
        <v>29.38</v>
      </c>
      <c r="AC45" s="17">
        <v>27.45</v>
      </c>
      <c r="AD45" s="17">
        <v>35.54</v>
      </c>
      <c r="AE45" s="17">
        <v>27.39</v>
      </c>
      <c r="AF45" s="17">
        <v>6.36</v>
      </c>
      <c r="AG45" s="17">
        <v>27.39</v>
      </c>
      <c r="AH45" s="17">
        <v>8.1199999999999992</v>
      </c>
      <c r="AI45" s="17">
        <v>28.09</v>
      </c>
      <c r="AJ45" s="17">
        <v>14.25</v>
      </c>
      <c r="AK45" s="17">
        <v>14.5</v>
      </c>
      <c r="AL45" s="17">
        <v>14.5</v>
      </c>
      <c r="AM45" s="17">
        <v>14.4</v>
      </c>
      <c r="AN45" s="17">
        <v>0.5</v>
      </c>
      <c r="AO45" s="17">
        <v>27</v>
      </c>
      <c r="AP45" s="17">
        <v>224</v>
      </c>
      <c r="AQ45" s="17">
        <v>225</v>
      </c>
      <c r="AR45" s="17">
        <v>226</v>
      </c>
      <c r="AS45" s="17">
        <v>227</v>
      </c>
      <c r="AT45" s="17">
        <v>228</v>
      </c>
      <c r="AU45" s="17">
        <v>229</v>
      </c>
      <c r="AV45" s="17">
        <v>230</v>
      </c>
      <c r="AW45" s="17">
        <v>231</v>
      </c>
      <c r="AX45" s="17">
        <v>232</v>
      </c>
      <c r="AY45" s="17">
        <v>233</v>
      </c>
      <c r="AZ45" s="17">
        <v>278</v>
      </c>
      <c r="BA45" s="17" t="s">
        <v>61</v>
      </c>
    </row>
    <row r="46" spans="1:53" ht="15" customHeight="1" x14ac:dyDescent="0.15">
      <c r="A46" s="17">
        <v>2</v>
      </c>
      <c r="B46" s="17" t="s">
        <v>226</v>
      </c>
      <c r="C46" s="17" t="s">
        <v>227</v>
      </c>
      <c r="D46" s="17" t="s">
        <v>143</v>
      </c>
      <c r="E46" s="17" t="s">
        <v>199</v>
      </c>
      <c r="F46" s="17" t="s">
        <v>157</v>
      </c>
      <c r="G46" s="17">
        <v>18.350719999999999</v>
      </c>
      <c r="H46" s="17">
        <v>-67.266900000000007</v>
      </c>
      <c r="I46" s="17">
        <v>5</v>
      </c>
      <c r="J46" s="17">
        <v>10</v>
      </c>
      <c r="K46" s="17">
        <v>24</v>
      </c>
      <c r="L46" s="17">
        <v>2023</v>
      </c>
      <c r="M46" s="17" t="s">
        <v>207</v>
      </c>
      <c r="N46" s="17" t="s">
        <v>56</v>
      </c>
      <c r="O46" s="17" t="s">
        <v>63</v>
      </c>
      <c r="P46" s="17" t="s">
        <v>115</v>
      </c>
      <c r="Q46" s="17" t="s">
        <v>58</v>
      </c>
      <c r="R46" s="25">
        <v>0.38750000000000001</v>
      </c>
      <c r="S46" s="25">
        <v>0.40277777777777779</v>
      </c>
      <c r="T46" s="17">
        <v>30.28</v>
      </c>
      <c r="U46" s="17">
        <v>0.62</v>
      </c>
      <c r="V46" s="17">
        <v>35.270000000000003</v>
      </c>
      <c r="W46" s="17">
        <v>0.62</v>
      </c>
      <c r="X46" s="17">
        <v>6</v>
      </c>
      <c r="Y46" s="17">
        <v>0.62</v>
      </c>
      <c r="Z46" s="17">
        <v>8.16</v>
      </c>
      <c r="AA46" s="17">
        <v>0.62</v>
      </c>
      <c r="AB46" s="17">
        <v>30.29</v>
      </c>
      <c r="AC46" s="17">
        <v>4.9000000000000004</v>
      </c>
      <c r="AD46" s="17">
        <v>35.28</v>
      </c>
      <c r="AE46" s="17">
        <v>4.9000000000000004</v>
      </c>
      <c r="AF46" s="17">
        <v>5.99</v>
      </c>
      <c r="AG46" s="17">
        <v>4.9000000000000004</v>
      </c>
      <c r="AH46" s="17">
        <v>8.18</v>
      </c>
      <c r="AI46" s="17">
        <v>4.9000000000000004</v>
      </c>
      <c r="AJ46" s="17" t="s">
        <v>100</v>
      </c>
      <c r="AK46" s="17" t="s">
        <v>100</v>
      </c>
      <c r="AL46" s="17" t="s">
        <v>100</v>
      </c>
      <c r="AM46" s="17" t="s">
        <v>100</v>
      </c>
      <c r="AN46" s="17">
        <v>0.5</v>
      </c>
      <c r="AO46" s="17">
        <v>4.5</v>
      </c>
      <c r="AP46" s="17">
        <v>543</v>
      </c>
      <c r="AQ46" s="17">
        <v>544</v>
      </c>
      <c r="AR46" s="17">
        <v>545</v>
      </c>
      <c r="AS46" s="17">
        <v>546</v>
      </c>
      <c r="AT46" s="17">
        <v>547</v>
      </c>
      <c r="AU46" s="17">
        <v>548</v>
      </c>
      <c r="AV46" s="17">
        <v>549</v>
      </c>
      <c r="AW46" s="17">
        <v>550</v>
      </c>
      <c r="AX46" s="17">
        <v>551</v>
      </c>
      <c r="AY46" s="17">
        <v>552</v>
      </c>
      <c r="AZ46" s="17">
        <v>587</v>
      </c>
      <c r="BA46" s="17" t="s">
        <v>65</v>
      </c>
    </row>
    <row r="47" spans="1:53" ht="15" customHeight="1" x14ac:dyDescent="0.15">
      <c r="A47" s="17">
        <v>2</v>
      </c>
      <c r="B47" s="17" t="s">
        <v>228</v>
      </c>
      <c r="C47" s="17" t="s">
        <v>227</v>
      </c>
      <c r="D47" s="17" t="s">
        <v>144</v>
      </c>
      <c r="E47" s="17" t="s">
        <v>199</v>
      </c>
      <c r="F47" s="17" t="s">
        <v>157</v>
      </c>
      <c r="G47" s="17">
        <v>18.34732</v>
      </c>
      <c r="H47" s="17">
        <v>-67.27</v>
      </c>
      <c r="I47" s="17">
        <v>10</v>
      </c>
      <c r="J47" s="17">
        <v>10</v>
      </c>
      <c r="K47" s="17">
        <v>24</v>
      </c>
      <c r="L47" s="17">
        <v>2023</v>
      </c>
      <c r="M47" s="17" t="s">
        <v>207</v>
      </c>
      <c r="N47" s="17" t="s">
        <v>56</v>
      </c>
      <c r="O47" s="17" t="s">
        <v>63</v>
      </c>
      <c r="P47" s="17" t="s">
        <v>115</v>
      </c>
      <c r="Q47" s="17" t="s">
        <v>58</v>
      </c>
      <c r="R47" s="25">
        <v>0.41111111111111109</v>
      </c>
      <c r="S47" s="25">
        <v>0.43055555555555558</v>
      </c>
      <c r="T47" s="17">
        <v>30.43</v>
      </c>
      <c r="U47" s="17">
        <v>0.66</v>
      </c>
      <c r="V47" s="17">
        <v>35.29</v>
      </c>
      <c r="W47" s="17">
        <v>0.66</v>
      </c>
      <c r="X47" s="17">
        <v>6.2</v>
      </c>
      <c r="Y47" s="17">
        <v>0.66</v>
      </c>
      <c r="Z47" s="17">
        <v>8.1999999999999993</v>
      </c>
      <c r="AA47" s="17">
        <v>0.66</v>
      </c>
      <c r="AB47" s="17">
        <v>30.43</v>
      </c>
      <c r="AC47" s="17">
        <v>10.85</v>
      </c>
      <c r="AD47" s="17">
        <v>35.35</v>
      </c>
      <c r="AE47" s="17">
        <v>10.85</v>
      </c>
      <c r="AF47" s="17">
        <v>6.15</v>
      </c>
      <c r="AG47" s="17">
        <v>10.85</v>
      </c>
      <c r="AH47" s="17">
        <v>8.1999999999999993</v>
      </c>
      <c r="AI47" s="17">
        <v>10.85</v>
      </c>
      <c r="AJ47" s="17" t="s">
        <v>145</v>
      </c>
      <c r="AK47" s="17" t="s">
        <v>145</v>
      </c>
      <c r="AL47" s="17" t="s">
        <v>145</v>
      </c>
      <c r="AM47" s="17" t="s">
        <v>145</v>
      </c>
      <c r="AN47" s="17">
        <v>0.5</v>
      </c>
      <c r="AO47" s="17">
        <v>9.5</v>
      </c>
      <c r="AP47" s="17">
        <v>554</v>
      </c>
      <c r="AQ47" s="17">
        <v>555</v>
      </c>
      <c r="AR47" s="17">
        <v>556</v>
      </c>
      <c r="AS47" s="17">
        <v>557</v>
      </c>
      <c r="AT47" s="17">
        <v>558</v>
      </c>
      <c r="AU47" s="17">
        <v>559</v>
      </c>
      <c r="AV47" s="17">
        <v>560</v>
      </c>
      <c r="AW47" s="17">
        <v>561</v>
      </c>
      <c r="AX47" s="17">
        <v>562</v>
      </c>
      <c r="AY47" s="17">
        <v>563</v>
      </c>
      <c r="AZ47" s="17">
        <v>377</v>
      </c>
      <c r="BA47" s="17" t="s">
        <v>65</v>
      </c>
    </row>
    <row r="48" spans="1:53" ht="15" customHeight="1" x14ac:dyDescent="0.15">
      <c r="A48" s="17">
        <v>2</v>
      </c>
      <c r="B48" s="17" t="s">
        <v>229</v>
      </c>
      <c r="C48" s="17" t="s">
        <v>227</v>
      </c>
      <c r="D48" s="17" t="s">
        <v>146</v>
      </c>
      <c r="E48" s="17" t="s">
        <v>199</v>
      </c>
      <c r="F48" s="17" t="s">
        <v>157</v>
      </c>
      <c r="G48" s="17">
        <v>18.346520000000002</v>
      </c>
      <c r="H48" s="17">
        <v>-67.271199999999993</v>
      </c>
      <c r="I48" s="17">
        <v>20</v>
      </c>
      <c r="J48" s="17">
        <v>10</v>
      </c>
      <c r="K48" s="17">
        <v>24</v>
      </c>
      <c r="L48" s="17">
        <v>2023</v>
      </c>
      <c r="M48" s="17" t="s">
        <v>207</v>
      </c>
      <c r="N48" s="17" t="s">
        <v>56</v>
      </c>
      <c r="O48" s="17" t="s">
        <v>63</v>
      </c>
      <c r="P48" s="17" t="s">
        <v>115</v>
      </c>
      <c r="Q48" s="17" t="s">
        <v>58</v>
      </c>
      <c r="R48" s="25">
        <v>0.43541666666666667</v>
      </c>
      <c r="S48" s="25">
        <v>0.45555555555555555</v>
      </c>
      <c r="T48" s="17">
        <v>30.46</v>
      </c>
      <c r="U48" s="17">
        <v>0.79</v>
      </c>
      <c r="V48" s="17">
        <v>35.24</v>
      </c>
      <c r="W48" s="17">
        <v>0.79</v>
      </c>
      <c r="X48" s="17">
        <v>6.14</v>
      </c>
      <c r="Y48" s="17">
        <v>0.79</v>
      </c>
      <c r="Z48" s="17">
        <v>8.1999999999999993</v>
      </c>
      <c r="AA48" s="17">
        <v>0.79</v>
      </c>
      <c r="AB48" s="17">
        <v>30.14</v>
      </c>
      <c r="AC48" s="17">
        <v>18.05</v>
      </c>
      <c r="AD48" s="17">
        <v>35.619999999999997</v>
      </c>
      <c r="AE48" s="17">
        <v>18.05</v>
      </c>
      <c r="AF48" s="17">
        <v>6.14</v>
      </c>
      <c r="AG48" s="17">
        <v>18.05</v>
      </c>
      <c r="AH48" s="17">
        <v>8.2100000000000009</v>
      </c>
      <c r="AI48" s="17">
        <v>18.05</v>
      </c>
      <c r="AJ48" s="17" t="s">
        <v>147</v>
      </c>
      <c r="AK48" s="17" t="s">
        <v>147</v>
      </c>
      <c r="AL48" s="17" t="s">
        <v>147</v>
      </c>
      <c r="AM48" s="17" t="s">
        <v>147</v>
      </c>
      <c r="AN48" s="17">
        <v>0.5</v>
      </c>
      <c r="AO48" s="17">
        <v>17.5</v>
      </c>
      <c r="AP48" s="17">
        <v>565</v>
      </c>
      <c r="AQ48" s="17">
        <v>566</v>
      </c>
      <c r="AR48" s="17">
        <v>567</v>
      </c>
      <c r="AS48" s="17">
        <v>568</v>
      </c>
      <c r="AT48" s="17">
        <v>569</v>
      </c>
      <c r="AU48" s="17">
        <v>570</v>
      </c>
      <c r="AV48" s="17">
        <v>571</v>
      </c>
      <c r="AW48" s="17">
        <v>572</v>
      </c>
      <c r="AX48" s="17">
        <v>573</v>
      </c>
      <c r="AY48" s="17">
        <v>574</v>
      </c>
      <c r="AZ48" s="17">
        <v>588</v>
      </c>
      <c r="BA48" s="17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A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 x14ac:dyDescent="0.15"/>
  <cols>
    <col min="2" max="2" width="13.5" customWidth="1"/>
    <col min="13" max="13" width="9.83203125" customWidth="1"/>
    <col min="32" max="32" width="18.5" customWidth="1"/>
  </cols>
  <sheetData>
    <row r="1" spans="1:53" ht="15.75" customHeight="1" x14ac:dyDescent="0.1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  <c r="V1" s="28" t="s">
        <v>21</v>
      </c>
      <c r="W1" s="28" t="s">
        <v>22</v>
      </c>
      <c r="X1" s="28" t="s">
        <v>24</v>
      </c>
      <c r="Y1" s="28" t="s">
        <v>25</v>
      </c>
      <c r="Z1" s="28" t="s">
        <v>26</v>
      </c>
      <c r="AA1" s="28" t="s">
        <v>27</v>
      </c>
      <c r="AB1" s="28" t="s">
        <v>28</v>
      </c>
      <c r="AC1" s="28" t="s">
        <v>29</v>
      </c>
      <c r="AD1" s="28" t="s">
        <v>30</v>
      </c>
      <c r="AE1" s="28" t="s">
        <v>31</v>
      </c>
      <c r="AF1" s="28" t="s">
        <v>33</v>
      </c>
      <c r="AG1" s="28" t="s">
        <v>34</v>
      </c>
      <c r="AH1" s="28" t="s">
        <v>35</v>
      </c>
      <c r="AI1" s="28" t="s">
        <v>36</v>
      </c>
      <c r="AJ1" s="28" t="s">
        <v>37</v>
      </c>
      <c r="AK1" s="28" t="s">
        <v>38</v>
      </c>
      <c r="AL1" s="28" t="s">
        <v>39</v>
      </c>
      <c r="AM1" s="28" t="s">
        <v>40</v>
      </c>
      <c r="AN1" s="28" t="s">
        <v>41</v>
      </c>
      <c r="AO1" s="28" t="s">
        <v>42</v>
      </c>
      <c r="AP1" s="28" t="s">
        <v>43</v>
      </c>
      <c r="AQ1" s="28" t="s">
        <v>44</v>
      </c>
      <c r="AR1" s="28" t="s">
        <v>45</v>
      </c>
      <c r="AS1" s="28" t="s">
        <v>46</v>
      </c>
      <c r="AT1" s="28" t="s">
        <v>47</v>
      </c>
      <c r="AU1" s="28" t="s">
        <v>48</v>
      </c>
      <c r="AV1" s="28" t="s">
        <v>49</v>
      </c>
      <c r="AW1" s="28" t="s">
        <v>50</v>
      </c>
      <c r="AX1" s="28" t="s">
        <v>51</v>
      </c>
      <c r="AY1" s="28" t="s">
        <v>52</v>
      </c>
      <c r="AZ1" s="28" t="s">
        <v>53</v>
      </c>
      <c r="BA1" s="28" t="s">
        <v>54</v>
      </c>
    </row>
    <row r="2" spans="1:53" ht="15.75" customHeight="1" x14ac:dyDescent="0.15">
      <c r="A2" s="4">
        <v>2</v>
      </c>
      <c r="B2" s="29" t="str">
        <f>LOOKUP($D2,Site_Meta!$C$2:$C$43,Site_Meta!A$2:A$43)</f>
        <v>Efras Wall 20m</v>
      </c>
      <c r="C2" s="29" t="str">
        <f>LOOKUP($D2,Site_Meta!$C$2:$C$43,Site_Meta!B$2:B$43)</f>
        <v>La Parguera</v>
      </c>
      <c r="D2" s="29" t="s">
        <v>103</v>
      </c>
      <c r="E2" s="29" t="str">
        <f>LOOKUP($D2,Site_Meta!$C$2:$C$43,Site_Meta!D$2:D$43)</f>
        <v>Southwest</v>
      </c>
      <c r="F2" s="29" t="str">
        <f>LOOKUP($D2,Site_Meta!$C$2:$C$43,Site_Meta!E$2:E$43)</f>
        <v>SW</v>
      </c>
      <c r="G2" s="29">
        <f>LOOKUP($D2,Site_Meta!$C$2:$C$43,Site_Meta!F$2:F$43)</f>
        <v>17.897600000000001</v>
      </c>
      <c r="H2" s="29">
        <f>LOOKUP($D2,Site_Meta!$C$2:$C$43,Site_Meta!G$2:G$43)</f>
        <v>-66.959900000000005</v>
      </c>
      <c r="I2" s="29">
        <f>LOOKUP($D2,Site_Meta!$C$2:$C$43,Site_Meta!H$2:H$43)</f>
        <v>20</v>
      </c>
      <c r="J2" s="19">
        <v>9</v>
      </c>
      <c r="K2" s="19">
        <v>19</v>
      </c>
      <c r="L2" s="19">
        <v>2023</v>
      </c>
      <c r="M2" s="30" t="str">
        <f t="shared" ref="M2:M96" si="0">CONCATENATE(J2,"/",K2,"/",L2)</f>
        <v>9/19/2023</v>
      </c>
      <c r="N2" s="31" t="s">
        <v>56</v>
      </c>
      <c r="O2" s="31" t="s">
        <v>63</v>
      </c>
      <c r="P2" s="31" t="s">
        <v>57</v>
      </c>
      <c r="Q2" s="31" t="s">
        <v>58</v>
      </c>
      <c r="R2" s="32">
        <v>0.33333333333333331</v>
      </c>
      <c r="S2" s="32">
        <v>0.36041666666666666</v>
      </c>
      <c r="T2" s="33">
        <v>30.05</v>
      </c>
      <c r="U2" s="33">
        <v>0.6</v>
      </c>
      <c r="V2" s="33">
        <v>34.869999999999997</v>
      </c>
      <c r="W2" s="33">
        <v>0.61</v>
      </c>
      <c r="X2" s="33">
        <v>6.35</v>
      </c>
      <c r="Y2" s="33">
        <v>0.62</v>
      </c>
      <c r="Z2" s="33">
        <v>7.7</v>
      </c>
      <c r="AA2" s="33">
        <v>0.61</v>
      </c>
      <c r="AB2" s="33">
        <v>30.16</v>
      </c>
      <c r="AC2" s="33">
        <v>17.28</v>
      </c>
      <c r="AD2" s="33">
        <v>34.76</v>
      </c>
      <c r="AE2" s="33">
        <v>17.399999999999999</v>
      </c>
      <c r="AF2" s="33">
        <v>5.73</v>
      </c>
      <c r="AG2" s="33">
        <v>17.510000000000002</v>
      </c>
      <c r="AH2" s="33">
        <v>8.06</v>
      </c>
      <c r="AI2" s="33">
        <v>17.5</v>
      </c>
      <c r="AJ2" s="33">
        <v>10.25</v>
      </c>
      <c r="AK2" s="33">
        <v>10</v>
      </c>
      <c r="AL2" s="33">
        <v>10.5</v>
      </c>
      <c r="AM2" s="33">
        <f t="shared" ref="AM2:AM96" si="1">AVERAGE(AJ2:AL2)</f>
        <v>10.25</v>
      </c>
      <c r="AN2" s="19">
        <v>0.5</v>
      </c>
      <c r="AO2" s="19">
        <v>17.5</v>
      </c>
      <c r="AP2" s="19">
        <v>182</v>
      </c>
      <c r="AQ2" s="19">
        <v>183</v>
      </c>
      <c r="AR2" s="19">
        <v>113</v>
      </c>
      <c r="AS2" s="19">
        <v>114</v>
      </c>
      <c r="AT2" s="19">
        <v>55</v>
      </c>
      <c r="AU2" s="19">
        <v>57</v>
      </c>
      <c r="AV2" s="19">
        <v>58</v>
      </c>
      <c r="AW2" s="19">
        <v>55</v>
      </c>
      <c r="AX2" s="19">
        <v>72</v>
      </c>
      <c r="AY2" s="19">
        <v>78</v>
      </c>
      <c r="AZ2" s="19">
        <v>48</v>
      </c>
      <c r="BA2" s="10" t="s">
        <v>61</v>
      </c>
    </row>
    <row r="3" spans="1:53" ht="15.75" customHeight="1" x14ac:dyDescent="0.15">
      <c r="A3" s="4">
        <v>2</v>
      </c>
      <c r="B3" s="29" t="str">
        <f>LOOKUP($D3,Site_Meta!$C$2:$C$43,Site_Meta!A$2:A$43)</f>
        <v>Boya Vieja 20m</v>
      </c>
      <c r="C3" s="29" t="str">
        <f>LOOKUP($D3,Site_Meta!$C$2:$C$43,Site_Meta!B$2:B$43)</f>
        <v>La Parguera</v>
      </c>
      <c r="D3" s="29" t="s">
        <v>68</v>
      </c>
      <c r="E3" s="29" t="str">
        <f>LOOKUP($D3,Site_Meta!$C$2:$C$43,Site_Meta!D$2:D$43)</f>
        <v>Southwest</v>
      </c>
      <c r="F3" s="29" t="str">
        <f>LOOKUP($D3,Site_Meta!$C$2:$C$43,Site_Meta!E$2:E$43)</f>
        <v>SW</v>
      </c>
      <c r="G3" s="29">
        <f>LOOKUP($D3,Site_Meta!$C$2:$C$43,Site_Meta!F$2:F$43)</f>
        <v>17.888269999999999</v>
      </c>
      <c r="H3" s="29">
        <f>LOOKUP($D3,Site_Meta!$C$2:$C$43,Site_Meta!G$2:G$43)</f>
        <v>-66.997799999999998</v>
      </c>
      <c r="I3" s="29">
        <f>LOOKUP($D3,Site_Meta!$C$2:$C$43,Site_Meta!H$2:H$43)</f>
        <v>20</v>
      </c>
      <c r="J3" s="19">
        <v>9</v>
      </c>
      <c r="K3" s="19">
        <v>19</v>
      </c>
      <c r="L3" s="19">
        <v>2023</v>
      </c>
      <c r="M3" s="30" t="str">
        <f t="shared" si="0"/>
        <v>9/19/2023</v>
      </c>
      <c r="N3" s="31" t="s">
        <v>56</v>
      </c>
      <c r="O3" s="31" t="s">
        <v>63</v>
      </c>
      <c r="P3" s="31" t="s">
        <v>57</v>
      </c>
      <c r="Q3" s="31" t="s">
        <v>58</v>
      </c>
      <c r="R3" s="32">
        <v>0.375</v>
      </c>
      <c r="S3" s="32">
        <v>0.39583333333333331</v>
      </c>
      <c r="T3" s="19">
        <v>30.4</v>
      </c>
      <c r="U3" s="19">
        <v>0.63</v>
      </c>
      <c r="V3" s="19">
        <v>34.49</v>
      </c>
      <c r="W3" s="19">
        <v>0.59</v>
      </c>
      <c r="X3" s="19">
        <v>6.22</v>
      </c>
      <c r="Y3" s="19">
        <v>0.61</v>
      </c>
      <c r="Z3" s="19">
        <v>7.93</v>
      </c>
      <c r="AA3" s="19">
        <v>0.65</v>
      </c>
      <c r="AB3" s="19">
        <v>29.71</v>
      </c>
      <c r="AC3" s="19">
        <v>19.3</v>
      </c>
      <c r="AD3" s="19">
        <v>34.799999999999997</v>
      </c>
      <c r="AE3" s="19">
        <v>19.190000000000001</v>
      </c>
      <c r="AF3" s="19">
        <v>6.18</v>
      </c>
      <c r="AG3" s="19">
        <v>19.100000000000001</v>
      </c>
      <c r="AH3" s="19">
        <v>8.08</v>
      </c>
      <c r="AI3" s="19">
        <v>19.079999999999998</v>
      </c>
      <c r="AJ3" s="19">
        <v>12</v>
      </c>
      <c r="AK3" s="19">
        <v>12</v>
      </c>
      <c r="AL3" s="19">
        <v>12</v>
      </c>
      <c r="AM3" s="19">
        <f t="shared" si="1"/>
        <v>12</v>
      </c>
      <c r="AN3" s="19">
        <v>0.5</v>
      </c>
      <c r="AO3" s="19">
        <v>19</v>
      </c>
      <c r="AP3" s="19">
        <v>179</v>
      </c>
      <c r="AQ3" s="19">
        <v>178</v>
      </c>
      <c r="AR3" s="19">
        <v>110</v>
      </c>
      <c r="AS3" s="19">
        <v>109</v>
      </c>
      <c r="AT3" s="19">
        <v>53</v>
      </c>
      <c r="AU3" s="19">
        <v>55</v>
      </c>
      <c r="AV3" s="19">
        <v>56</v>
      </c>
      <c r="AW3" s="19">
        <v>53</v>
      </c>
      <c r="AX3" s="19">
        <v>70</v>
      </c>
      <c r="AY3" s="19">
        <v>76</v>
      </c>
      <c r="AZ3" s="19">
        <v>47</v>
      </c>
      <c r="BA3" s="10" t="s">
        <v>61</v>
      </c>
    </row>
    <row r="4" spans="1:53" ht="15.75" customHeight="1" x14ac:dyDescent="0.15">
      <c r="A4" s="4">
        <v>2</v>
      </c>
      <c r="B4" s="29" t="str">
        <f>LOOKUP($D4,Site_Meta!$C$2:$C$43,Site_Meta!A$2:A$43)</f>
        <v>Media Luna 10m</v>
      </c>
      <c r="C4" s="29" t="str">
        <f>LOOKUP($D4,Site_Meta!$C$2:$C$43,Site_Meta!B$2:B$43)</f>
        <v>La Parguera</v>
      </c>
      <c r="D4" s="29" t="s">
        <v>123</v>
      </c>
      <c r="E4" s="29" t="str">
        <f>LOOKUP($D4,Site_Meta!$C$2:$C$43,Site_Meta!D$2:D$43)</f>
        <v>Southwest</v>
      </c>
      <c r="F4" s="29" t="str">
        <f>LOOKUP($D4,Site_Meta!$C$2:$C$43,Site_Meta!E$2:E$43)</f>
        <v>SW</v>
      </c>
      <c r="G4" s="29">
        <f>LOOKUP($D4,Site_Meta!$C$2:$C$43,Site_Meta!F$2:F$43)</f>
        <v>17.934719999999999</v>
      </c>
      <c r="H4" s="29">
        <f>LOOKUP($D4,Site_Meta!$C$2:$C$43,Site_Meta!G$2:G$43)</f>
        <v>-67.048500000000004</v>
      </c>
      <c r="I4" s="29">
        <f>LOOKUP($D4,Site_Meta!$C$2:$C$43,Site_Meta!H$2:H$43)</f>
        <v>10</v>
      </c>
      <c r="J4" s="19">
        <v>9</v>
      </c>
      <c r="K4" s="19">
        <v>19</v>
      </c>
      <c r="L4" s="19">
        <v>2023</v>
      </c>
      <c r="M4" s="30" t="str">
        <f t="shared" si="0"/>
        <v>9/19/2023</v>
      </c>
      <c r="N4" s="31" t="s">
        <v>56</v>
      </c>
      <c r="O4" s="31" t="s">
        <v>63</v>
      </c>
      <c r="P4" s="31" t="s">
        <v>57</v>
      </c>
      <c r="Q4" s="31" t="s">
        <v>58</v>
      </c>
      <c r="R4" s="32">
        <v>0.40763888888888888</v>
      </c>
      <c r="S4" s="32">
        <v>0.42499999999999999</v>
      </c>
      <c r="T4" s="19">
        <v>30.92</v>
      </c>
      <c r="U4" s="19">
        <v>0.55000000000000004</v>
      </c>
      <c r="V4" s="19">
        <v>34.159999999999997</v>
      </c>
      <c r="W4" s="19">
        <v>0.56000000000000005</v>
      </c>
      <c r="X4" s="19">
        <v>6.11</v>
      </c>
      <c r="Y4" s="19">
        <v>0.56000000000000005</v>
      </c>
      <c r="Z4" s="19">
        <v>7.97</v>
      </c>
      <c r="AA4" s="19">
        <v>0.5</v>
      </c>
      <c r="AB4" s="19">
        <v>30.8</v>
      </c>
      <c r="AC4" s="19">
        <v>5.6</v>
      </c>
      <c r="AD4" s="19">
        <v>34.200000000000003</v>
      </c>
      <c r="AE4" s="19">
        <v>5.65</v>
      </c>
      <c r="AF4" s="19">
        <v>6.12</v>
      </c>
      <c r="AG4" s="19">
        <v>5.64</v>
      </c>
      <c r="AH4" s="19">
        <v>8.06</v>
      </c>
      <c r="AI4" s="19">
        <v>5.65</v>
      </c>
      <c r="AJ4" s="19" t="s">
        <v>124</v>
      </c>
      <c r="AK4" s="19" t="s">
        <v>124</v>
      </c>
      <c r="AL4" s="19" t="s">
        <v>124</v>
      </c>
      <c r="AM4" s="19" t="e">
        <f t="shared" si="1"/>
        <v>#DIV/0!</v>
      </c>
      <c r="AN4" s="19">
        <v>0.5</v>
      </c>
      <c r="AO4" s="19">
        <v>5</v>
      </c>
      <c r="AP4" s="19">
        <v>181</v>
      </c>
      <c r="AQ4" s="19">
        <v>180</v>
      </c>
      <c r="AR4" s="19">
        <v>111</v>
      </c>
      <c r="AS4" s="19">
        <v>112</v>
      </c>
      <c r="AT4" s="19">
        <v>54</v>
      </c>
      <c r="AU4" s="19">
        <v>56</v>
      </c>
      <c r="AV4" s="19">
        <v>57</v>
      </c>
      <c r="AW4" s="19">
        <v>54</v>
      </c>
      <c r="AX4" s="19">
        <v>71</v>
      </c>
      <c r="AY4" s="19">
        <v>77</v>
      </c>
      <c r="AZ4" s="19">
        <v>49</v>
      </c>
      <c r="BA4" s="10" t="s">
        <v>61</v>
      </c>
    </row>
    <row r="5" spans="1:53" ht="15.75" customHeight="1" x14ac:dyDescent="0.15">
      <c r="A5" s="4">
        <v>2</v>
      </c>
      <c r="B5" s="29" t="str">
        <f>LOOKUP($D5,Site_Meta!$C$2:$C$43,Site_Meta!A$2:A$43)</f>
        <v>Media Luna 5m</v>
      </c>
      <c r="C5" s="29" t="str">
        <f>LOOKUP($D5,Site_Meta!$C$2:$C$43,Site_Meta!B$2:B$43)</f>
        <v>La Parguera</v>
      </c>
      <c r="D5" s="29" t="s">
        <v>122</v>
      </c>
      <c r="E5" s="29" t="str">
        <f>LOOKUP($D5,Site_Meta!$C$2:$C$43,Site_Meta!D$2:D$43)</f>
        <v>Southwest</v>
      </c>
      <c r="F5" s="29" t="str">
        <f>LOOKUP($D5,Site_Meta!$C$2:$C$43,Site_Meta!E$2:E$43)</f>
        <v>SW</v>
      </c>
      <c r="G5" s="29">
        <f>LOOKUP($D5,Site_Meta!$C$2:$C$43,Site_Meta!F$2:F$43)</f>
        <v>17.93937</v>
      </c>
      <c r="H5" s="29">
        <f>LOOKUP($D5,Site_Meta!$C$2:$C$43,Site_Meta!G$2:G$43)</f>
        <v>-67.050700000000006</v>
      </c>
      <c r="I5" s="29">
        <f>LOOKUP($D5,Site_Meta!$C$2:$C$43,Site_Meta!H$2:H$43)</f>
        <v>5</v>
      </c>
      <c r="J5" s="19">
        <v>9</v>
      </c>
      <c r="K5" s="19">
        <v>19</v>
      </c>
      <c r="L5" s="19">
        <v>2023</v>
      </c>
      <c r="M5" s="30" t="str">
        <f t="shared" si="0"/>
        <v>9/19/2023</v>
      </c>
      <c r="N5" s="31" t="s">
        <v>56</v>
      </c>
      <c r="O5" s="31" t="s">
        <v>63</v>
      </c>
      <c r="P5" s="31" t="s">
        <v>57</v>
      </c>
      <c r="Q5" s="31" t="s">
        <v>58</v>
      </c>
      <c r="R5" s="32">
        <v>0.42986111111111114</v>
      </c>
      <c r="S5" s="32">
        <v>0.44722222222222224</v>
      </c>
      <c r="T5" s="19">
        <v>31.25</v>
      </c>
      <c r="U5" s="19">
        <v>0.6</v>
      </c>
      <c r="V5" s="19">
        <v>34</v>
      </c>
      <c r="W5" s="19">
        <v>0.56000000000000005</v>
      </c>
      <c r="X5" s="19">
        <v>5.89</v>
      </c>
      <c r="Y5" s="19">
        <v>0.56999999999999995</v>
      </c>
      <c r="Z5" s="19">
        <v>7.99</v>
      </c>
      <c r="AA5" s="19">
        <v>0.6</v>
      </c>
      <c r="AB5" s="19">
        <v>31.01</v>
      </c>
      <c r="AC5" s="19">
        <v>3.2</v>
      </c>
      <c r="AD5" s="19">
        <v>34.26</v>
      </c>
      <c r="AE5" s="19">
        <v>3.08</v>
      </c>
      <c r="AF5" s="19">
        <v>5.89</v>
      </c>
      <c r="AG5" s="19">
        <v>3.09</v>
      </c>
      <c r="AH5" s="19">
        <v>8.0299999999999994</v>
      </c>
      <c r="AI5" s="19">
        <v>3.07</v>
      </c>
      <c r="AJ5" s="19" t="s">
        <v>98</v>
      </c>
      <c r="AK5" s="19" t="s">
        <v>98</v>
      </c>
      <c r="AL5" s="19" t="s">
        <v>98</v>
      </c>
      <c r="AM5" s="19" t="e">
        <f t="shared" si="1"/>
        <v>#DIV/0!</v>
      </c>
      <c r="AN5" s="19">
        <v>0.5</v>
      </c>
      <c r="AO5" s="19">
        <v>3</v>
      </c>
      <c r="AP5" s="19">
        <v>176</v>
      </c>
      <c r="AQ5" s="19">
        <v>177</v>
      </c>
      <c r="AR5" s="19">
        <v>107</v>
      </c>
      <c r="AS5" s="19">
        <v>108</v>
      </c>
      <c r="AT5" s="19">
        <v>52</v>
      </c>
      <c r="AU5" s="19">
        <v>54</v>
      </c>
      <c r="AV5" s="19">
        <v>55</v>
      </c>
      <c r="AW5" s="19">
        <v>52</v>
      </c>
      <c r="AX5" s="19">
        <v>69</v>
      </c>
      <c r="AY5" s="19">
        <v>75</v>
      </c>
      <c r="AZ5" s="19">
        <v>55</v>
      </c>
      <c r="BA5" s="10" t="s">
        <v>61</v>
      </c>
    </row>
    <row r="6" spans="1:53" ht="15.75" customHeight="1" x14ac:dyDescent="0.15">
      <c r="A6" s="4">
        <v>2</v>
      </c>
      <c r="B6" s="29" t="str">
        <f>LOOKUP($D6,Site_Meta!$C$2:$C$43,Site_Meta!A$2:A$43)</f>
        <v>Gallardo 5m</v>
      </c>
      <c r="C6" s="29" t="str">
        <f>LOOKUP($D6,Site_Meta!$C$2:$C$43,Site_Meta!B$2:B$43)</f>
        <v>Cabo Rojo</v>
      </c>
      <c r="D6" s="29" t="s">
        <v>104</v>
      </c>
      <c r="E6" s="29" t="str">
        <f>LOOKUP($D6,Site_Meta!$C$2:$C$43,Site_Meta!D$2:D$43)</f>
        <v>West</v>
      </c>
      <c r="F6" s="29" t="str">
        <f>LOOKUP($D6,Site_Meta!$C$2:$C$43,Site_Meta!E$2:E$43)</f>
        <v>W</v>
      </c>
      <c r="G6" s="29">
        <f>LOOKUP($D6,Site_Meta!$C$2:$C$43,Site_Meta!F$2:F$43)</f>
        <v>18.0017</v>
      </c>
      <c r="H6" s="29">
        <f>LOOKUP($D6,Site_Meta!$C$2:$C$43,Site_Meta!G$2:G$43)</f>
        <v>-67.329899999999995</v>
      </c>
      <c r="I6" s="29">
        <f>LOOKUP($D6,Site_Meta!$C$2:$C$43,Site_Meta!H$2:H$43)</f>
        <v>5</v>
      </c>
      <c r="J6" s="19">
        <v>9</v>
      </c>
      <c r="K6" s="19">
        <v>20</v>
      </c>
      <c r="L6" s="19">
        <v>2023</v>
      </c>
      <c r="M6" s="30" t="str">
        <f t="shared" si="0"/>
        <v>9/20/2023</v>
      </c>
      <c r="N6" s="31" t="s">
        <v>56</v>
      </c>
      <c r="O6" s="31" t="s">
        <v>63</v>
      </c>
      <c r="P6" s="31" t="s">
        <v>58</v>
      </c>
      <c r="Q6" s="31"/>
      <c r="R6" s="32">
        <v>0.37152777777777779</v>
      </c>
      <c r="S6" s="32">
        <v>0.3888888888888889</v>
      </c>
      <c r="T6" s="19">
        <v>30.51</v>
      </c>
      <c r="U6" s="19">
        <v>0.6</v>
      </c>
      <c r="V6" s="19">
        <v>33.89</v>
      </c>
      <c r="W6" s="19">
        <v>0.61</v>
      </c>
      <c r="X6" s="19">
        <v>5.77</v>
      </c>
      <c r="Y6" s="19">
        <v>0.62</v>
      </c>
      <c r="Z6" s="19">
        <v>7.83</v>
      </c>
      <c r="AA6" s="19">
        <v>0.57999999999999996</v>
      </c>
      <c r="AB6" s="19">
        <v>30.58</v>
      </c>
      <c r="AC6" s="19">
        <v>6.6</v>
      </c>
      <c r="AD6" s="19">
        <v>33.94</v>
      </c>
      <c r="AE6" s="19">
        <v>6.55</v>
      </c>
      <c r="AF6" s="19">
        <v>5.75</v>
      </c>
      <c r="AG6" s="19">
        <v>6.58</v>
      </c>
      <c r="AH6" s="19">
        <v>8.02</v>
      </c>
      <c r="AI6" s="19">
        <v>6.63</v>
      </c>
      <c r="AJ6" s="19" t="s">
        <v>105</v>
      </c>
      <c r="AK6" s="19" t="s">
        <v>105</v>
      </c>
      <c r="AL6" s="19" t="s">
        <v>105</v>
      </c>
      <c r="AM6" s="19" t="e">
        <f t="shared" si="1"/>
        <v>#DIV/0!</v>
      </c>
      <c r="AN6" s="19">
        <v>0.5</v>
      </c>
      <c r="AO6" s="19">
        <v>6.5</v>
      </c>
      <c r="AP6" s="19">
        <v>187</v>
      </c>
      <c r="AQ6" s="19">
        <v>186</v>
      </c>
      <c r="AR6" s="19">
        <v>117</v>
      </c>
      <c r="AS6" s="19">
        <v>118</v>
      </c>
      <c r="AT6" s="19">
        <v>57</v>
      </c>
      <c r="AU6" s="19">
        <v>59</v>
      </c>
      <c r="AV6" s="19">
        <v>60</v>
      </c>
      <c r="AW6" s="19">
        <v>57</v>
      </c>
      <c r="AX6" s="19">
        <v>74</v>
      </c>
      <c r="AY6" s="19">
        <v>80</v>
      </c>
      <c r="AZ6" s="19">
        <v>50</v>
      </c>
      <c r="BA6" s="10" t="s">
        <v>61</v>
      </c>
    </row>
    <row r="7" spans="1:53" ht="15.75" customHeight="1" x14ac:dyDescent="0.15">
      <c r="A7" s="4">
        <v>2</v>
      </c>
      <c r="B7" s="29" t="str">
        <f>LOOKUP($D7,Site_Meta!$C$2:$C$43,Site_Meta!A$2:A$43)</f>
        <v>Resuellos 10m</v>
      </c>
      <c r="C7" s="29" t="str">
        <f>LOOKUP($D7,Site_Meta!$C$2:$C$43,Site_Meta!B$2:B$43)</f>
        <v>Cabo Rojo</v>
      </c>
      <c r="D7" s="29" t="s">
        <v>133</v>
      </c>
      <c r="E7" s="29" t="str">
        <f>LOOKUP($D7,Site_Meta!$C$2:$C$43,Site_Meta!D$2:D$43)</f>
        <v>West</v>
      </c>
      <c r="F7" s="29" t="str">
        <f>LOOKUP($D7,Site_Meta!$C$2:$C$43,Site_Meta!E$2:E$43)</f>
        <v>W</v>
      </c>
      <c r="G7" s="29">
        <f>LOOKUP($D7,Site_Meta!$C$2:$C$43,Site_Meta!F$2:F$43)</f>
        <v>17.991160000000001</v>
      </c>
      <c r="H7" s="29">
        <f>LOOKUP($D7,Site_Meta!$C$2:$C$43,Site_Meta!G$2:G$43)</f>
        <v>-67.233199999999997</v>
      </c>
      <c r="I7" s="29">
        <f>LOOKUP($D7,Site_Meta!$C$2:$C$43,Site_Meta!H$2:H$43)</f>
        <v>10</v>
      </c>
      <c r="J7" s="19">
        <v>9</v>
      </c>
      <c r="K7" s="19">
        <v>20</v>
      </c>
      <c r="L7" s="19">
        <v>2023</v>
      </c>
      <c r="M7" s="30" t="str">
        <f t="shared" si="0"/>
        <v>9/20/2023</v>
      </c>
      <c r="N7" s="31" t="s">
        <v>56</v>
      </c>
      <c r="O7" s="31" t="s">
        <v>63</v>
      </c>
      <c r="P7" s="31" t="s">
        <v>58</v>
      </c>
      <c r="Q7" s="31"/>
      <c r="R7" s="32">
        <v>0.40972222222222221</v>
      </c>
      <c r="S7" s="32">
        <v>0.42986111111111114</v>
      </c>
      <c r="T7" s="19">
        <v>30.72</v>
      </c>
      <c r="U7" s="19">
        <v>0.54</v>
      </c>
      <c r="V7" s="19">
        <v>34.15</v>
      </c>
      <c r="W7" s="19">
        <v>0.52</v>
      </c>
      <c r="X7" s="19">
        <v>6.38</v>
      </c>
      <c r="Y7" s="19">
        <v>0.55000000000000004</v>
      </c>
      <c r="Z7" s="19">
        <v>7.98</v>
      </c>
      <c r="AA7" s="19">
        <v>0.55000000000000004</v>
      </c>
      <c r="AB7" s="19">
        <v>30.84</v>
      </c>
      <c r="AC7" s="19">
        <v>13.69</v>
      </c>
      <c r="AD7" s="19">
        <v>34.17</v>
      </c>
      <c r="AE7" s="19">
        <v>13.7</v>
      </c>
      <c r="AF7" s="19">
        <v>6.4</v>
      </c>
      <c r="AG7" s="19">
        <v>13.67</v>
      </c>
      <c r="AH7" s="19">
        <v>8.07</v>
      </c>
      <c r="AI7" s="19">
        <v>13.65</v>
      </c>
      <c r="AJ7" s="19">
        <v>7.5</v>
      </c>
      <c r="AK7" s="19">
        <v>7.5</v>
      </c>
      <c r="AL7" s="19">
        <v>7.5</v>
      </c>
      <c r="AM7" s="19">
        <f t="shared" si="1"/>
        <v>7.5</v>
      </c>
      <c r="AN7" s="19">
        <v>0.5</v>
      </c>
      <c r="AO7" s="19">
        <v>13.5</v>
      </c>
      <c r="AP7" s="19">
        <v>192</v>
      </c>
      <c r="AQ7" s="19">
        <v>193</v>
      </c>
      <c r="AR7" s="19">
        <v>123</v>
      </c>
      <c r="AS7" s="19">
        <v>124</v>
      </c>
      <c r="AT7" s="19">
        <v>60</v>
      </c>
      <c r="AU7" s="19">
        <v>62</v>
      </c>
      <c r="AV7" s="19">
        <v>63</v>
      </c>
      <c r="AW7" s="19">
        <v>60</v>
      </c>
      <c r="AX7" s="19">
        <v>77</v>
      </c>
      <c r="AY7" s="19">
        <v>83</v>
      </c>
      <c r="AZ7" s="19">
        <v>54</v>
      </c>
      <c r="BA7" s="10" t="s">
        <v>61</v>
      </c>
    </row>
    <row r="8" spans="1:53" ht="15.75" customHeight="1" x14ac:dyDescent="0.15">
      <c r="A8" s="4">
        <v>2</v>
      </c>
      <c r="B8" s="29" t="str">
        <f>LOOKUP($D8,Site_Meta!$C$2:$C$43,Site_Meta!A$2:A$43)</f>
        <v>Resuellos 10m</v>
      </c>
      <c r="C8" s="29" t="str">
        <f>LOOKUP($D8,Site_Meta!$C$2:$C$43,Site_Meta!B$2:B$43)</f>
        <v>Cabo Rojo</v>
      </c>
      <c r="D8" s="29" t="s">
        <v>134</v>
      </c>
      <c r="E8" s="29" t="str">
        <f>LOOKUP($D8,Site_Meta!$C$2:$C$43,Site_Meta!D$2:D$43)</f>
        <v>West</v>
      </c>
      <c r="F8" s="29" t="str">
        <f>LOOKUP($D8,Site_Meta!$C$2:$C$43,Site_Meta!E$2:E$43)</f>
        <v>W</v>
      </c>
      <c r="G8" s="29">
        <f>LOOKUP($D8,Site_Meta!$C$2:$C$43,Site_Meta!F$2:F$43)</f>
        <v>17.991160000000001</v>
      </c>
      <c r="H8" s="29">
        <f>LOOKUP($D8,Site_Meta!$C$2:$C$43,Site_Meta!G$2:G$43)</f>
        <v>-67.233199999999997</v>
      </c>
      <c r="I8" s="29">
        <f>LOOKUP($D8,Site_Meta!$C$2:$C$43,Site_Meta!H$2:H$43)</f>
        <v>10</v>
      </c>
      <c r="J8" s="19">
        <v>9</v>
      </c>
      <c r="K8" s="19">
        <v>20</v>
      </c>
      <c r="L8" s="19">
        <v>2023</v>
      </c>
      <c r="M8" s="30" t="str">
        <f t="shared" si="0"/>
        <v>9/20/2023</v>
      </c>
      <c r="N8" s="31" t="s">
        <v>56</v>
      </c>
      <c r="O8" s="31" t="s">
        <v>63</v>
      </c>
      <c r="P8" s="31" t="s">
        <v>58</v>
      </c>
      <c r="Q8" s="31"/>
      <c r="R8" s="32">
        <v>0.43402777777777779</v>
      </c>
      <c r="S8" s="32">
        <v>0.45208333333333334</v>
      </c>
      <c r="T8" s="31">
        <v>30.78</v>
      </c>
      <c r="U8" s="31">
        <v>0.62</v>
      </c>
      <c r="V8" s="31">
        <v>34.119999999999997</v>
      </c>
      <c r="W8" s="31">
        <v>0.61</v>
      </c>
      <c r="X8" s="31">
        <v>6.5</v>
      </c>
      <c r="Y8" s="31">
        <v>0.6</v>
      </c>
      <c r="Z8" s="31">
        <v>8.02</v>
      </c>
      <c r="AA8" s="31">
        <v>0.59</v>
      </c>
      <c r="AB8" s="31">
        <v>30.91</v>
      </c>
      <c r="AC8" s="31">
        <v>5.48</v>
      </c>
      <c r="AD8" s="31">
        <v>34.15</v>
      </c>
      <c r="AE8" s="31">
        <v>5.46</v>
      </c>
      <c r="AF8" s="31">
        <v>6.33</v>
      </c>
      <c r="AG8" s="31">
        <v>5.45</v>
      </c>
      <c r="AH8" s="31">
        <v>8.08</v>
      </c>
      <c r="AI8" s="31">
        <v>5.43</v>
      </c>
      <c r="AJ8" s="19">
        <v>7.25</v>
      </c>
      <c r="AK8" s="19">
        <v>7</v>
      </c>
      <c r="AL8" s="19">
        <v>7</v>
      </c>
      <c r="AM8" s="19">
        <f t="shared" si="1"/>
        <v>7.083333333333333</v>
      </c>
      <c r="AN8" s="19">
        <v>0.5</v>
      </c>
      <c r="AO8" s="19">
        <v>5.5</v>
      </c>
      <c r="AP8" s="19">
        <v>194</v>
      </c>
      <c r="AQ8" s="19">
        <v>195</v>
      </c>
      <c r="AR8" s="19">
        <v>125</v>
      </c>
      <c r="AS8" s="19">
        <v>126</v>
      </c>
      <c r="AT8" s="19">
        <v>61</v>
      </c>
      <c r="AU8" s="19">
        <v>63</v>
      </c>
      <c r="AV8" s="19">
        <v>64</v>
      </c>
      <c r="AW8" s="19">
        <v>61</v>
      </c>
      <c r="AX8" s="19">
        <v>78</v>
      </c>
      <c r="AY8" s="19">
        <v>84</v>
      </c>
      <c r="AZ8" s="19">
        <v>53</v>
      </c>
      <c r="BA8" s="10" t="s">
        <v>61</v>
      </c>
    </row>
    <row r="9" spans="1:53" ht="15.75" customHeight="1" x14ac:dyDescent="0.15">
      <c r="A9" s="4">
        <v>2</v>
      </c>
      <c r="B9" s="29" t="str">
        <f>LOOKUP($D9,Site_Meta!$C$2:$C$43,Site_Meta!A$2:A$43)</f>
        <v>Cayo Caribes 10m</v>
      </c>
      <c r="C9" s="29" t="str">
        <f>LOOKUP($D9,Site_Meta!$C$2:$C$43,Site_Meta!B$2:B$43)</f>
        <v>Salinas</v>
      </c>
      <c r="D9" s="29" t="s">
        <v>80</v>
      </c>
      <c r="E9" s="29" t="str">
        <f>LOOKUP($D9,Site_Meta!$C$2:$C$43,Site_Meta!D$2:D$43)</f>
        <v>Southeast</v>
      </c>
      <c r="F9" s="29" t="str">
        <f>LOOKUP($D9,Site_Meta!$C$2:$C$43,Site_Meta!E$2:E$43)</f>
        <v>S</v>
      </c>
      <c r="G9" s="29">
        <f>LOOKUP($D9,Site_Meta!$C$2:$C$43,Site_Meta!F$2:F$43)</f>
        <v>17.915330000000001</v>
      </c>
      <c r="H9" s="29">
        <f>LOOKUP($D9,Site_Meta!$C$2:$C$43,Site_Meta!G$2:G$43)</f>
        <v>-66.214100000000002</v>
      </c>
      <c r="I9" s="29">
        <f>LOOKUP($D9,Site_Meta!$C$2:$C$43,Site_Meta!H$2:H$43)</f>
        <v>10</v>
      </c>
      <c r="J9" s="19">
        <v>9</v>
      </c>
      <c r="K9" s="19">
        <v>21</v>
      </c>
      <c r="L9" s="19">
        <v>2023</v>
      </c>
      <c r="M9" s="30" t="str">
        <f t="shared" si="0"/>
        <v>9/21/2023</v>
      </c>
      <c r="N9" s="31" t="s">
        <v>56</v>
      </c>
      <c r="O9" s="31" t="s">
        <v>63</v>
      </c>
      <c r="P9" s="31" t="s">
        <v>81</v>
      </c>
      <c r="Q9" s="31" t="s">
        <v>58</v>
      </c>
      <c r="R9" s="32">
        <v>0.36805555555555558</v>
      </c>
      <c r="S9" s="32">
        <v>0.39583333333333331</v>
      </c>
      <c r="T9" s="19">
        <v>30.62</v>
      </c>
      <c r="U9" s="19">
        <v>0.54</v>
      </c>
      <c r="V9" s="19">
        <v>35.85</v>
      </c>
      <c r="W9" s="19">
        <v>0.55000000000000004</v>
      </c>
      <c r="X9" s="19">
        <v>6.1</v>
      </c>
      <c r="Y9" s="19">
        <v>0.56000000000000005</v>
      </c>
      <c r="Z9" s="19">
        <v>7.94</v>
      </c>
      <c r="AA9" s="19">
        <v>0.56000000000000005</v>
      </c>
      <c r="AB9" s="19">
        <v>30.84</v>
      </c>
      <c r="AC9" s="19">
        <v>9.51</v>
      </c>
      <c r="AD9" s="19">
        <v>35.549999999999997</v>
      </c>
      <c r="AE9" s="19">
        <v>9.5</v>
      </c>
      <c r="AF9" s="19">
        <v>6.05</v>
      </c>
      <c r="AG9" s="19">
        <v>9.6199999999999992</v>
      </c>
      <c r="AH9" s="19">
        <v>8.08</v>
      </c>
      <c r="AI9" s="19">
        <v>9.6199999999999992</v>
      </c>
      <c r="AJ9" s="19" t="s">
        <v>82</v>
      </c>
      <c r="AK9" s="19" t="s">
        <v>82</v>
      </c>
      <c r="AL9" s="19" t="s">
        <v>82</v>
      </c>
      <c r="AM9" s="19" t="e">
        <f t="shared" si="1"/>
        <v>#DIV/0!</v>
      </c>
      <c r="AN9" s="19">
        <v>0.5</v>
      </c>
      <c r="AO9" s="19">
        <v>9.5</v>
      </c>
      <c r="AP9" s="19">
        <v>184</v>
      </c>
      <c r="AQ9" s="19">
        <v>185</v>
      </c>
      <c r="AR9" s="19">
        <v>115</v>
      </c>
      <c r="AS9" s="19">
        <v>116</v>
      </c>
      <c r="AT9" s="19">
        <v>56</v>
      </c>
      <c r="AU9" s="19">
        <v>58</v>
      </c>
      <c r="AV9" s="19">
        <v>59</v>
      </c>
      <c r="AW9" s="19">
        <v>56</v>
      </c>
      <c r="AX9" s="19">
        <v>73</v>
      </c>
      <c r="AY9" s="19">
        <v>79</v>
      </c>
      <c r="AZ9" s="19">
        <v>65</v>
      </c>
      <c r="BA9" s="10" t="s">
        <v>61</v>
      </c>
    </row>
    <row r="10" spans="1:53" ht="15.75" customHeight="1" x14ac:dyDescent="0.15">
      <c r="A10" s="4">
        <v>2</v>
      </c>
      <c r="B10" s="29" t="str">
        <f>LOOKUP($D10,Site_Meta!$C$2:$C$43,Site_Meta!A$2:A$43)</f>
        <v>Cayo Ratones 5m</v>
      </c>
      <c r="C10" s="29" t="str">
        <f>LOOKUP($D10,Site_Meta!$C$2:$C$43,Site_Meta!B$2:B$43)</f>
        <v>Salinas</v>
      </c>
      <c r="D10" s="29" t="s">
        <v>132</v>
      </c>
      <c r="E10" s="29" t="str">
        <f>LOOKUP($D10,Site_Meta!$C$2:$C$43,Site_Meta!D$2:D$43)</f>
        <v>Southeast</v>
      </c>
      <c r="F10" s="29" t="str">
        <f>LOOKUP($D10,Site_Meta!$C$2:$C$43,Site_Meta!E$2:E$43)</f>
        <v>S</v>
      </c>
      <c r="G10" s="29">
        <f>LOOKUP($D10,Site_Meta!$C$2:$C$43,Site_Meta!F$2:F$43)</f>
        <v>17.9346</v>
      </c>
      <c r="H10" s="29">
        <f>LOOKUP($D10,Site_Meta!$C$2:$C$43,Site_Meta!G$2:G$43)</f>
        <v>-66.302499999999995</v>
      </c>
      <c r="I10" s="29">
        <f>LOOKUP($D10,Site_Meta!$C$2:$C$43,Site_Meta!H$2:H$43)</f>
        <v>5</v>
      </c>
      <c r="J10" s="19">
        <v>9</v>
      </c>
      <c r="K10" s="19">
        <v>21</v>
      </c>
      <c r="L10" s="19">
        <v>2023</v>
      </c>
      <c r="M10" s="30" t="str">
        <f t="shared" si="0"/>
        <v>9/21/2023</v>
      </c>
      <c r="N10" s="31" t="s">
        <v>56</v>
      </c>
      <c r="O10" s="31" t="s">
        <v>63</v>
      </c>
      <c r="P10" s="31" t="s">
        <v>81</v>
      </c>
      <c r="Q10" s="31" t="s">
        <v>58</v>
      </c>
      <c r="R10" s="32">
        <v>0.40555555555555556</v>
      </c>
      <c r="S10" s="32">
        <v>0.41944444444444445</v>
      </c>
      <c r="T10" s="19">
        <v>30.78</v>
      </c>
      <c r="U10" s="19">
        <v>0.64</v>
      </c>
      <c r="V10" s="19">
        <v>35.32</v>
      </c>
      <c r="W10" s="19">
        <v>0.64</v>
      </c>
      <c r="X10" s="19">
        <v>5.8</v>
      </c>
      <c r="Y10" s="19">
        <v>0.63</v>
      </c>
      <c r="Z10" s="19">
        <v>8.0299999999999994</v>
      </c>
      <c r="AA10" s="19">
        <v>0.62</v>
      </c>
      <c r="AB10" s="19">
        <v>30.65</v>
      </c>
      <c r="AC10" s="19">
        <v>4.12</v>
      </c>
      <c r="AD10" s="19">
        <v>35.380000000000003</v>
      </c>
      <c r="AE10" s="19">
        <v>4.22</v>
      </c>
      <c r="AF10" s="19">
        <v>5.23</v>
      </c>
      <c r="AG10" s="19">
        <v>4.37</v>
      </c>
      <c r="AH10" s="19">
        <v>7.95</v>
      </c>
      <c r="AI10" s="19">
        <v>4.3099999999999996</v>
      </c>
      <c r="AJ10" s="19" t="s">
        <v>117</v>
      </c>
      <c r="AK10" s="19" t="s">
        <v>117</v>
      </c>
      <c r="AL10" s="19" t="s">
        <v>117</v>
      </c>
      <c r="AM10" s="19" t="e">
        <f t="shared" si="1"/>
        <v>#DIV/0!</v>
      </c>
      <c r="AN10" s="19">
        <v>0.5</v>
      </c>
      <c r="AO10" s="19">
        <v>4</v>
      </c>
      <c r="AP10" s="19">
        <v>188</v>
      </c>
      <c r="AQ10" s="19">
        <v>189</v>
      </c>
      <c r="AR10" s="19">
        <v>119</v>
      </c>
      <c r="AS10" s="19">
        <v>120</v>
      </c>
      <c r="AT10" s="19">
        <v>58</v>
      </c>
      <c r="AU10" s="19">
        <v>60</v>
      </c>
      <c r="AV10" s="19">
        <v>61</v>
      </c>
      <c r="AW10" s="19">
        <v>58</v>
      </c>
      <c r="AX10" s="19">
        <v>75</v>
      </c>
      <c r="AY10" s="19">
        <v>81</v>
      </c>
      <c r="AZ10" s="19">
        <v>51</v>
      </c>
      <c r="BA10" s="10" t="s">
        <v>61</v>
      </c>
    </row>
    <row r="11" spans="1:53" ht="15.75" customHeight="1" x14ac:dyDescent="0.15">
      <c r="A11" s="4">
        <v>2</v>
      </c>
      <c r="B11" s="29" t="str">
        <f>LOOKUP($D11,Site_Meta!$C$2:$C$43,Site_Meta!A$2:A$43)</f>
        <v>West Reef 10m</v>
      </c>
      <c r="C11" s="29" t="str">
        <f>LOOKUP($D11,Site_Meta!$C$2:$C$43,Site_Meta!B$2:B$43)</f>
        <v>Ponce</v>
      </c>
      <c r="D11" s="29" t="s">
        <v>83</v>
      </c>
      <c r="E11" s="29" t="str">
        <f>LOOKUP($D11,Site_Meta!$C$2:$C$43,Site_Meta!D$2:D$43)</f>
        <v>South</v>
      </c>
      <c r="F11" s="29" t="str">
        <f>LOOKUP($D11,Site_Meta!$C$2:$C$43,Site_Meta!E$2:E$43)</f>
        <v>S</v>
      </c>
      <c r="G11" s="29">
        <f>LOOKUP($D11,Site_Meta!$C$2:$C$43,Site_Meta!F$2:F$43)</f>
        <v>17.895019999999999</v>
      </c>
      <c r="H11" s="29">
        <f>LOOKUP($D11,Site_Meta!$C$2:$C$43,Site_Meta!G$2:G$43)</f>
        <v>-66.528400000000005</v>
      </c>
      <c r="I11" s="29">
        <f>LOOKUP($D11,Site_Meta!$C$2:$C$43,Site_Meta!H$2:H$43)</f>
        <v>10</v>
      </c>
      <c r="J11" s="19">
        <v>9</v>
      </c>
      <c r="K11" s="19">
        <v>21</v>
      </c>
      <c r="L11" s="19">
        <v>2023</v>
      </c>
      <c r="M11" s="30" t="str">
        <f t="shared" si="0"/>
        <v>9/21/2023</v>
      </c>
      <c r="N11" s="31" t="s">
        <v>56</v>
      </c>
      <c r="O11" s="31" t="s">
        <v>63</v>
      </c>
      <c r="P11" s="31" t="s">
        <v>81</v>
      </c>
      <c r="Q11" s="31" t="s">
        <v>58</v>
      </c>
      <c r="R11" s="32">
        <v>0.44722222222222224</v>
      </c>
      <c r="S11" s="32">
        <v>0.46111111111111114</v>
      </c>
      <c r="T11" s="19">
        <v>30.86</v>
      </c>
      <c r="U11" s="19">
        <v>0.59</v>
      </c>
      <c r="V11" s="19">
        <v>34.729999999999997</v>
      </c>
      <c r="W11" s="19">
        <v>0.59</v>
      </c>
      <c r="X11" s="19">
        <v>6.52</v>
      </c>
      <c r="Y11" s="19">
        <v>0.62</v>
      </c>
      <c r="Z11" s="19">
        <v>8.0299999999999994</v>
      </c>
      <c r="AA11" s="19">
        <v>0.68</v>
      </c>
      <c r="AB11" s="19">
        <v>30.62</v>
      </c>
      <c r="AC11" s="19">
        <v>8.0299999999999994</v>
      </c>
      <c r="AD11" s="19">
        <v>34.72</v>
      </c>
      <c r="AE11" s="19">
        <v>7.9</v>
      </c>
      <c r="AF11" s="19">
        <v>6.64</v>
      </c>
      <c r="AG11" s="19">
        <v>7.77</v>
      </c>
      <c r="AH11" s="4">
        <v>8.09</v>
      </c>
      <c r="AI11" s="4">
        <v>7.57</v>
      </c>
      <c r="AJ11" s="19" t="s">
        <v>84</v>
      </c>
      <c r="AK11" s="19" t="s">
        <v>84</v>
      </c>
      <c r="AL11" s="19" t="s">
        <v>84</v>
      </c>
      <c r="AM11" s="19" t="e">
        <f t="shared" si="1"/>
        <v>#DIV/0!</v>
      </c>
      <c r="AN11" s="19">
        <v>0.5</v>
      </c>
      <c r="AO11" s="19">
        <v>7.5</v>
      </c>
      <c r="AP11" s="19">
        <v>200</v>
      </c>
      <c r="AQ11" s="19">
        <v>201</v>
      </c>
      <c r="AR11" s="19">
        <v>131</v>
      </c>
      <c r="AS11" s="19">
        <v>132</v>
      </c>
      <c r="AT11" s="19">
        <v>64</v>
      </c>
      <c r="AU11" s="19">
        <v>66</v>
      </c>
      <c r="AV11" s="19">
        <v>67</v>
      </c>
      <c r="AW11" s="19">
        <v>64</v>
      </c>
      <c r="AX11" s="19">
        <v>81</v>
      </c>
      <c r="AY11" s="19">
        <v>87</v>
      </c>
      <c r="AZ11" s="19">
        <v>56</v>
      </c>
      <c r="BA11" s="10" t="s">
        <v>61</v>
      </c>
    </row>
    <row r="12" spans="1:53" ht="15.75" customHeight="1" x14ac:dyDescent="0.15">
      <c r="A12" s="4">
        <v>2</v>
      </c>
      <c r="B12" s="29" t="str">
        <f>LOOKUP($D12,Site_Meta!$C$2:$C$43,Site_Meta!A$2:A$43)</f>
        <v>Derrumbadero 20m</v>
      </c>
      <c r="C12" s="29" t="str">
        <f>LOOKUP($D12,Site_Meta!$C$2:$C$43,Site_Meta!B$2:B$43)</f>
        <v>Ponce</v>
      </c>
      <c r="D12" s="29" t="s">
        <v>96</v>
      </c>
      <c r="E12" s="29" t="str">
        <f>LOOKUP($D12,Site_Meta!$C$2:$C$43,Site_Meta!D$2:D$43)</f>
        <v>South</v>
      </c>
      <c r="F12" s="29" t="str">
        <f>LOOKUP($D12,Site_Meta!$C$2:$C$43,Site_Meta!E$2:E$43)</f>
        <v>S</v>
      </c>
      <c r="G12" s="29">
        <f>LOOKUP($D12,Site_Meta!$C$2:$C$43,Site_Meta!F$2:F$43)</f>
        <v>17.904</v>
      </c>
      <c r="H12" s="29">
        <f>LOOKUP($D12,Site_Meta!$C$2:$C$43,Site_Meta!G$2:G$43)</f>
        <v>-66.608599999999996</v>
      </c>
      <c r="I12" s="29">
        <f>LOOKUP($D12,Site_Meta!$C$2:$C$43,Site_Meta!H$2:H$43)</f>
        <v>20</v>
      </c>
      <c r="J12" s="19">
        <v>9</v>
      </c>
      <c r="K12" s="19">
        <v>21</v>
      </c>
      <c r="L12" s="19">
        <v>2023</v>
      </c>
      <c r="M12" s="30" t="str">
        <f t="shared" si="0"/>
        <v>9/21/2023</v>
      </c>
      <c r="N12" s="31" t="s">
        <v>56</v>
      </c>
      <c r="O12" s="31" t="s">
        <v>63</v>
      </c>
      <c r="P12" s="31" t="s">
        <v>81</v>
      </c>
      <c r="Q12" s="31" t="s">
        <v>58</v>
      </c>
      <c r="R12" s="32">
        <v>0.47569444444444442</v>
      </c>
      <c r="S12" s="32">
        <v>0.49722222222222223</v>
      </c>
      <c r="T12" s="19">
        <v>30.9</v>
      </c>
      <c r="U12" s="19">
        <v>0.63</v>
      </c>
      <c r="V12" s="31">
        <v>34.36</v>
      </c>
      <c r="W12" s="31">
        <v>0.67</v>
      </c>
      <c r="X12" s="19">
        <v>6.32</v>
      </c>
      <c r="Y12" s="19">
        <v>0.7</v>
      </c>
      <c r="Z12" s="31">
        <v>8.08</v>
      </c>
      <c r="AA12" s="31">
        <v>0.7</v>
      </c>
      <c r="AB12" s="19">
        <v>30.12</v>
      </c>
      <c r="AC12" s="19">
        <v>16.5</v>
      </c>
      <c r="AD12" s="31">
        <v>35</v>
      </c>
      <c r="AE12" s="31">
        <v>17</v>
      </c>
      <c r="AF12" s="19">
        <v>6.2</v>
      </c>
      <c r="AG12" s="19">
        <v>17.3</v>
      </c>
      <c r="AH12" s="31">
        <v>8.06</v>
      </c>
      <c r="AI12" s="31">
        <v>17.329999999999998</v>
      </c>
      <c r="AJ12" s="19">
        <v>12.25</v>
      </c>
      <c r="AK12" s="19">
        <v>12.5</v>
      </c>
      <c r="AL12" s="19">
        <v>12.75</v>
      </c>
      <c r="AM12" s="19">
        <f t="shared" si="1"/>
        <v>12.5</v>
      </c>
      <c r="AN12" s="19">
        <v>0.5</v>
      </c>
      <c r="AO12" s="19">
        <v>17</v>
      </c>
      <c r="AP12" s="19">
        <v>190</v>
      </c>
      <c r="AQ12" s="19">
        <v>191</v>
      </c>
      <c r="AR12" s="19">
        <v>121</v>
      </c>
      <c r="AS12" s="19">
        <v>122</v>
      </c>
      <c r="AT12" s="19">
        <v>59</v>
      </c>
      <c r="AU12" s="19">
        <v>61</v>
      </c>
      <c r="AV12" s="19">
        <v>62</v>
      </c>
      <c r="AW12" s="19">
        <v>59</v>
      </c>
      <c r="AX12" s="19">
        <v>76</v>
      </c>
      <c r="AY12" s="19">
        <v>82</v>
      </c>
      <c r="AZ12" s="19">
        <v>57</v>
      </c>
      <c r="BA12" s="10" t="s">
        <v>61</v>
      </c>
    </row>
    <row r="13" spans="1:53" ht="15.75" customHeight="1" x14ac:dyDescent="0.15">
      <c r="A13" s="4">
        <v>2</v>
      </c>
      <c r="B13" s="29" t="str">
        <f>LOOKUP($D13,Site_Meta!$C$2:$C$43,Site_Meta!A$2:A$43)</f>
        <v>Maria Langa 20m</v>
      </c>
      <c r="C13" s="29" t="str">
        <f>LOOKUP($D13,Site_Meta!$C$2:$C$43,Site_Meta!B$2:B$43)</f>
        <v>Guayanilla</v>
      </c>
      <c r="D13" s="29" t="s">
        <v>121</v>
      </c>
      <c r="E13" s="29" t="str">
        <f>LOOKUP($D13,Site_Meta!$C$2:$C$43,Site_Meta!D$2:D$43)</f>
        <v>South</v>
      </c>
      <c r="F13" s="29" t="str">
        <f>LOOKUP($D13,Site_Meta!$C$2:$C$43,Site_Meta!E$2:E$43)</f>
        <v>S</v>
      </c>
      <c r="G13" s="29">
        <f>LOOKUP($D13,Site_Meta!$C$2:$C$43,Site_Meta!F$2:F$43)</f>
        <v>17.959530000000001</v>
      </c>
      <c r="H13" s="29">
        <f>LOOKUP($D13,Site_Meta!$C$2:$C$43,Site_Meta!G$2:G$43)</f>
        <v>-66.747</v>
      </c>
      <c r="I13" s="29">
        <f>LOOKUP($D13,Site_Meta!$C$2:$C$43,Site_Meta!H$2:H$43)</f>
        <v>20</v>
      </c>
      <c r="J13" s="19">
        <v>10</v>
      </c>
      <c r="K13" s="19">
        <v>4</v>
      </c>
      <c r="L13" s="19">
        <v>2023</v>
      </c>
      <c r="M13" s="30" t="str">
        <f t="shared" si="0"/>
        <v>10/4/2023</v>
      </c>
      <c r="N13" s="31" t="s">
        <v>56</v>
      </c>
      <c r="O13" s="31" t="s">
        <v>57</v>
      </c>
      <c r="P13" s="31" t="s">
        <v>58</v>
      </c>
      <c r="Q13" s="31"/>
      <c r="R13" s="32">
        <v>0.30555555555555558</v>
      </c>
      <c r="S13" s="32">
        <v>0.33680555555555558</v>
      </c>
      <c r="T13" s="19">
        <v>31</v>
      </c>
      <c r="U13" s="19">
        <v>0.57999999999999996</v>
      </c>
      <c r="V13" s="31">
        <v>36.36</v>
      </c>
      <c r="W13" s="31">
        <v>0.59</v>
      </c>
      <c r="X13" s="19">
        <v>5.05</v>
      </c>
      <c r="Y13" s="19">
        <v>0.57999999999999996</v>
      </c>
      <c r="Z13" s="31">
        <v>7.4</v>
      </c>
      <c r="AA13" s="31">
        <v>0.59</v>
      </c>
      <c r="AB13" s="19">
        <v>30.37</v>
      </c>
      <c r="AC13" s="19">
        <v>18.5</v>
      </c>
      <c r="AD13" s="31">
        <v>36.950000000000003</v>
      </c>
      <c r="AE13" s="31">
        <v>18.5</v>
      </c>
      <c r="AF13" s="19">
        <v>6.04</v>
      </c>
      <c r="AG13" s="19">
        <v>18.05</v>
      </c>
      <c r="AH13" s="31">
        <v>8.08</v>
      </c>
      <c r="AI13" s="31">
        <v>17.87</v>
      </c>
      <c r="AJ13" s="19">
        <v>11.25</v>
      </c>
      <c r="AK13" s="19">
        <v>11.25</v>
      </c>
      <c r="AL13" s="19">
        <v>11.25</v>
      </c>
      <c r="AM13" s="19">
        <f t="shared" si="1"/>
        <v>11.25</v>
      </c>
      <c r="AN13" s="19">
        <v>0.5</v>
      </c>
      <c r="AO13" s="19">
        <v>18</v>
      </c>
      <c r="AP13" s="19">
        <v>235</v>
      </c>
      <c r="AQ13" s="19">
        <v>236</v>
      </c>
      <c r="AR13" s="19">
        <v>237</v>
      </c>
      <c r="AS13" s="19">
        <v>238</v>
      </c>
      <c r="AT13" s="19">
        <v>239</v>
      </c>
      <c r="AU13" s="19">
        <v>240</v>
      </c>
      <c r="AV13" s="19">
        <v>241</v>
      </c>
      <c r="AW13" s="19">
        <v>242</v>
      </c>
      <c r="AX13" s="19">
        <v>243</v>
      </c>
      <c r="AY13" s="19">
        <v>244</v>
      </c>
      <c r="AZ13" s="19">
        <v>212</v>
      </c>
      <c r="BA13" s="10" t="s">
        <v>61</v>
      </c>
    </row>
    <row r="14" spans="1:53" ht="15.75" customHeight="1" x14ac:dyDescent="0.15">
      <c r="A14" s="4">
        <v>2</v>
      </c>
      <c r="B14" s="29" t="str">
        <f>LOOKUP($D14,Site_Meta!$C$2:$C$43,Site_Meta!A$2:A$43)</f>
        <v>Maria Langa 10m</v>
      </c>
      <c r="C14" s="29" t="str">
        <f>LOOKUP($D14,Site_Meta!$C$2:$C$43,Site_Meta!B$2:B$43)</f>
        <v>Guayanilla</v>
      </c>
      <c r="D14" s="29" t="s">
        <v>119</v>
      </c>
      <c r="E14" s="29" t="str">
        <f>LOOKUP($D14,Site_Meta!$C$2:$C$43,Site_Meta!D$2:D$43)</f>
        <v>South</v>
      </c>
      <c r="F14" s="29" t="str">
        <f>LOOKUP($D14,Site_Meta!$C$2:$C$43,Site_Meta!E$2:E$43)</f>
        <v>S</v>
      </c>
      <c r="G14" s="29">
        <f>LOOKUP($D14,Site_Meta!$C$2:$C$43,Site_Meta!F$2:F$43)</f>
        <v>17.960930000000001</v>
      </c>
      <c r="H14" s="29">
        <f>LOOKUP($D14,Site_Meta!$C$2:$C$43,Site_Meta!G$2:G$43)</f>
        <v>-66.752899999999997</v>
      </c>
      <c r="I14" s="29">
        <f>LOOKUP($D14,Site_Meta!$C$2:$C$43,Site_Meta!H$2:H$43)</f>
        <v>10</v>
      </c>
      <c r="J14" s="19">
        <v>10</v>
      </c>
      <c r="K14" s="19">
        <v>4</v>
      </c>
      <c r="L14" s="19">
        <v>2023</v>
      </c>
      <c r="M14" s="30" t="str">
        <f t="shared" si="0"/>
        <v>10/4/2023</v>
      </c>
      <c r="N14" s="31" t="s">
        <v>56</v>
      </c>
      <c r="O14" s="31" t="s">
        <v>57</v>
      </c>
      <c r="P14" s="31" t="s">
        <v>58</v>
      </c>
      <c r="Q14" s="31"/>
      <c r="R14" s="32">
        <v>0.34236111111111112</v>
      </c>
      <c r="S14" s="32">
        <v>0.36041666666666666</v>
      </c>
      <c r="T14" s="19">
        <v>30.8</v>
      </c>
      <c r="U14" s="19">
        <v>0.53</v>
      </c>
      <c r="V14" s="19">
        <v>36.49</v>
      </c>
      <c r="W14" s="19">
        <v>0.57999999999999996</v>
      </c>
      <c r="X14" s="19">
        <v>5.51</v>
      </c>
      <c r="Y14" s="19">
        <v>0.56999999999999995</v>
      </c>
      <c r="Z14" s="19">
        <v>7.92</v>
      </c>
      <c r="AA14" s="19">
        <v>0.56000000000000005</v>
      </c>
      <c r="AB14" s="19">
        <v>30.72</v>
      </c>
      <c r="AC14" s="19">
        <v>8.76</v>
      </c>
      <c r="AD14" s="19">
        <v>36.5</v>
      </c>
      <c r="AE14" s="19">
        <v>8.82</v>
      </c>
      <c r="AF14" s="19">
        <v>5.41</v>
      </c>
      <c r="AG14" s="19">
        <v>8.86</v>
      </c>
      <c r="AH14" s="19">
        <v>8.0399999999999991</v>
      </c>
      <c r="AI14" s="19">
        <v>8.92</v>
      </c>
      <c r="AJ14" s="19" t="s">
        <v>120</v>
      </c>
      <c r="AK14" s="19" t="s">
        <v>120</v>
      </c>
      <c r="AL14" s="19" t="s">
        <v>120</v>
      </c>
      <c r="AM14" s="19" t="e">
        <f t="shared" si="1"/>
        <v>#DIV/0!</v>
      </c>
      <c r="AN14" s="19">
        <v>0.5</v>
      </c>
      <c r="AO14" s="19">
        <v>8</v>
      </c>
      <c r="AP14" s="19">
        <v>246</v>
      </c>
      <c r="AQ14" s="19">
        <v>247</v>
      </c>
      <c r="AR14" s="19">
        <v>248</v>
      </c>
      <c r="AS14" s="19">
        <v>249</v>
      </c>
      <c r="AT14" s="19">
        <v>250</v>
      </c>
      <c r="AU14" s="19">
        <v>251</v>
      </c>
      <c r="AV14" s="19">
        <v>252</v>
      </c>
      <c r="AW14" s="19">
        <v>253</v>
      </c>
      <c r="AX14" s="19">
        <v>254</v>
      </c>
      <c r="AY14" s="19">
        <v>255</v>
      </c>
      <c r="AZ14" s="19">
        <v>223</v>
      </c>
      <c r="BA14" s="10" t="s">
        <v>61</v>
      </c>
    </row>
    <row r="15" spans="1:53" ht="15.75" customHeight="1" x14ac:dyDescent="0.15">
      <c r="A15" s="4">
        <v>2</v>
      </c>
      <c r="B15" s="29" t="str">
        <f>LOOKUP($D15,Site_Meta!$C$2:$C$43,Site_Meta!A$2:A$43)</f>
        <v>Maria Langa 5m</v>
      </c>
      <c r="C15" s="29" t="str">
        <f>LOOKUP($D15,Site_Meta!$C$2:$C$43,Site_Meta!B$2:B$43)</f>
        <v>Guayanilla</v>
      </c>
      <c r="D15" s="29" t="s">
        <v>116</v>
      </c>
      <c r="E15" s="29" t="str">
        <f>LOOKUP($D15,Site_Meta!$C$2:$C$43,Site_Meta!D$2:D$43)</f>
        <v>South</v>
      </c>
      <c r="F15" s="29" t="str">
        <f>LOOKUP($D15,Site_Meta!$C$2:$C$43,Site_Meta!E$2:E$43)</f>
        <v>S</v>
      </c>
      <c r="G15" s="29">
        <f>LOOKUP($D15,Site_Meta!$C$2:$C$43,Site_Meta!F$2:F$43)</f>
        <v>17.964880000000001</v>
      </c>
      <c r="H15" s="29">
        <f>LOOKUP($D15,Site_Meta!$C$2:$C$43,Site_Meta!G$2:G$43)</f>
        <v>-66.756500000000003</v>
      </c>
      <c r="I15" s="29">
        <f>LOOKUP($D15,Site_Meta!$C$2:$C$43,Site_Meta!H$2:H$43)</f>
        <v>5</v>
      </c>
      <c r="J15" s="19">
        <v>10</v>
      </c>
      <c r="K15" s="19">
        <v>4</v>
      </c>
      <c r="L15" s="19">
        <v>2023</v>
      </c>
      <c r="M15" s="30" t="str">
        <f t="shared" si="0"/>
        <v>10/4/2023</v>
      </c>
      <c r="N15" s="31" t="s">
        <v>56</v>
      </c>
      <c r="O15" s="31" t="s">
        <v>57</v>
      </c>
      <c r="P15" s="31" t="s">
        <v>58</v>
      </c>
      <c r="Q15" s="31"/>
      <c r="R15" s="32">
        <v>0.36736111111111114</v>
      </c>
      <c r="S15" s="32">
        <v>0.3840277777777778</v>
      </c>
      <c r="T15" s="19">
        <v>31.17</v>
      </c>
      <c r="U15" s="19">
        <v>0.53</v>
      </c>
      <c r="V15" s="19">
        <v>36.24</v>
      </c>
      <c r="W15" s="19">
        <v>0.55000000000000004</v>
      </c>
      <c r="X15" s="19">
        <v>5.1100000000000003</v>
      </c>
      <c r="Y15" s="19">
        <v>0.54</v>
      </c>
      <c r="Z15" s="19">
        <v>7.9</v>
      </c>
      <c r="AA15" s="19">
        <v>0.54</v>
      </c>
      <c r="AB15" s="19">
        <v>30.96</v>
      </c>
      <c r="AC15" s="19">
        <v>4.0999999999999996</v>
      </c>
      <c r="AD15" s="19">
        <v>36.479999999999997</v>
      </c>
      <c r="AE15" s="19">
        <v>4.07</v>
      </c>
      <c r="AF15" s="19">
        <v>5.05</v>
      </c>
      <c r="AG15" s="19">
        <v>4.0199999999999996</v>
      </c>
      <c r="AH15" s="19">
        <v>8.02</v>
      </c>
      <c r="AI15" s="19">
        <v>4.0199999999999996</v>
      </c>
      <c r="AJ15" s="19" t="s">
        <v>117</v>
      </c>
      <c r="AK15" s="19" t="s">
        <v>117</v>
      </c>
      <c r="AL15" s="19" t="s">
        <v>117</v>
      </c>
      <c r="AM15" s="19" t="e">
        <f t="shared" si="1"/>
        <v>#DIV/0!</v>
      </c>
      <c r="AN15" s="19">
        <v>0.5</v>
      </c>
      <c r="AO15" s="19">
        <v>4</v>
      </c>
      <c r="AP15" s="19">
        <v>257</v>
      </c>
      <c r="AQ15" s="19">
        <v>258</v>
      </c>
      <c r="AR15" s="19">
        <v>259</v>
      </c>
      <c r="AS15" s="19">
        <v>260</v>
      </c>
      <c r="AT15" s="19">
        <v>261</v>
      </c>
      <c r="AU15" s="19">
        <v>262</v>
      </c>
      <c r="AV15" s="19">
        <v>263</v>
      </c>
      <c r="AW15" s="19">
        <v>264</v>
      </c>
      <c r="AX15" s="19">
        <v>265</v>
      </c>
      <c r="AY15" s="19">
        <v>266</v>
      </c>
      <c r="AZ15" s="19">
        <v>234</v>
      </c>
      <c r="BA15" s="10" t="s">
        <v>61</v>
      </c>
    </row>
    <row r="16" spans="1:53" ht="15.75" customHeight="1" x14ac:dyDescent="0.15">
      <c r="A16" s="4">
        <v>2</v>
      </c>
      <c r="B16" s="29" t="str">
        <f>LOOKUP($D16,Site_Meta!$C$2:$C$43,Site_Meta!A$2:A$43)</f>
        <v>Maria Langa 5m</v>
      </c>
      <c r="C16" s="29" t="str">
        <f>LOOKUP($D16,Site_Meta!$C$2:$C$43,Site_Meta!B$2:B$43)</f>
        <v>Guayanilla</v>
      </c>
      <c r="D16" s="29" t="s">
        <v>118</v>
      </c>
      <c r="E16" s="29" t="str">
        <f>LOOKUP($D16,Site_Meta!$C$2:$C$43,Site_Meta!D$2:D$43)</f>
        <v>South</v>
      </c>
      <c r="F16" s="29" t="str">
        <f>LOOKUP($D16,Site_Meta!$C$2:$C$43,Site_Meta!E$2:E$43)</f>
        <v>S</v>
      </c>
      <c r="G16" s="29">
        <f>LOOKUP($D16,Site_Meta!$C$2:$C$43,Site_Meta!F$2:F$43)</f>
        <v>17.964880000000001</v>
      </c>
      <c r="H16" s="29">
        <f>LOOKUP($D16,Site_Meta!$C$2:$C$43,Site_Meta!G$2:G$43)</f>
        <v>-66.756500000000003</v>
      </c>
      <c r="I16" s="29">
        <f>LOOKUP($D16,Site_Meta!$C$2:$C$43,Site_Meta!H$2:H$43)</f>
        <v>5</v>
      </c>
      <c r="J16" s="19">
        <v>10</v>
      </c>
      <c r="K16" s="19">
        <v>4</v>
      </c>
      <c r="L16" s="19">
        <v>2023</v>
      </c>
      <c r="M16" s="30" t="str">
        <f t="shared" si="0"/>
        <v>10/4/2023</v>
      </c>
      <c r="N16" s="31" t="s">
        <v>56</v>
      </c>
      <c r="O16" s="31" t="s">
        <v>57</v>
      </c>
      <c r="P16" s="31" t="s">
        <v>58</v>
      </c>
      <c r="Q16" s="31"/>
      <c r="R16" s="32">
        <v>0.3840277777777778</v>
      </c>
      <c r="S16" s="32">
        <v>0.3972222222222222</v>
      </c>
      <c r="T16" s="19">
        <v>31.04</v>
      </c>
      <c r="U16" s="19">
        <v>0.57999999999999996</v>
      </c>
      <c r="V16" s="19">
        <v>36.299999999999997</v>
      </c>
      <c r="W16" s="19">
        <v>0.6</v>
      </c>
      <c r="X16" s="19">
        <v>4.37</v>
      </c>
      <c r="Y16" s="19">
        <v>0.6</v>
      </c>
      <c r="Z16" s="19">
        <v>7.83</v>
      </c>
      <c r="AA16" s="19">
        <v>0.6</v>
      </c>
      <c r="AB16" s="19">
        <v>31.02</v>
      </c>
      <c r="AC16" s="19">
        <v>2.94</v>
      </c>
      <c r="AD16" s="19">
        <v>36.25</v>
      </c>
      <c r="AE16" s="19">
        <v>3.18</v>
      </c>
      <c r="AF16" s="19">
        <v>5.01</v>
      </c>
      <c r="AG16" s="19">
        <v>3.14</v>
      </c>
      <c r="AH16" s="19">
        <v>7.99</v>
      </c>
      <c r="AI16" s="19">
        <v>3.02</v>
      </c>
      <c r="AJ16" s="19" t="s">
        <v>60</v>
      </c>
      <c r="AK16" s="19" t="s">
        <v>60</v>
      </c>
      <c r="AL16" s="19" t="s">
        <v>60</v>
      </c>
      <c r="AM16" s="19" t="e">
        <f t="shared" si="1"/>
        <v>#DIV/0!</v>
      </c>
      <c r="AN16" s="19">
        <v>0.5</v>
      </c>
      <c r="AO16" s="19">
        <v>3</v>
      </c>
      <c r="AP16" s="19">
        <v>268</v>
      </c>
      <c r="AQ16" s="19">
        <v>269</v>
      </c>
      <c r="AR16" s="19">
        <v>270</v>
      </c>
      <c r="AS16" s="19">
        <v>271</v>
      </c>
      <c r="AT16" s="19">
        <v>272</v>
      </c>
      <c r="AU16" s="19">
        <v>273</v>
      </c>
      <c r="AV16" s="19">
        <v>274</v>
      </c>
      <c r="AW16" s="19">
        <v>275</v>
      </c>
      <c r="AX16" s="19">
        <v>276</v>
      </c>
      <c r="AY16" s="19">
        <v>277</v>
      </c>
      <c r="AZ16" s="19">
        <v>245</v>
      </c>
      <c r="BA16" s="10" t="s">
        <v>61</v>
      </c>
    </row>
    <row r="17" spans="1:53" ht="15.75" customHeight="1" x14ac:dyDescent="0.15">
      <c r="A17" s="4">
        <v>2</v>
      </c>
      <c r="B17" s="29" t="str">
        <f>LOOKUP($D17,Site_Meta!$C$2:$C$43,Site_Meta!A$2:A$43)</f>
        <v>Cayo Aurora 5m</v>
      </c>
      <c r="C17" s="29" t="str">
        <f>LOOKUP($D17,Site_Meta!$C$2:$C$43,Site_Meta!B$2:B$43)</f>
        <v>Guanica</v>
      </c>
      <c r="D17" s="29" t="s">
        <v>55</v>
      </c>
      <c r="E17" s="29" t="str">
        <f>LOOKUP($D17,Site_Meta!$C$2:$C$43,Site_Meta!D$2:D$43)</f>
        <v>Southwest</v>
      </c>
      <c r="F17" s="29" t="str">
        <f>LOOKUP($D17,Site_Meta!$C$2:$C$43,Site_Meta!E$2:E$43)</f>
        <v>SW</v>
      </c>
      <c r="G17" s="29">
        <f>LOOKUP($D17,Site_Meta!$C$2:$C$43,Site_Meta!F$2:F$43)</f>
        <v>17.936900000000001</v>
      </c>
      <c r="H17" s="29">
        <f>LOOKUP($D17,Site_Meta!$C$2:$C$43,Site_Meta!G$2:G$43)</f>
        <v>-66.873800000000003</v>
      </c>
      <c r="I17" s="29">
        <f>LOOKUP($D17,Site_Meta!$C$2:$C$43,Site_Meta!H$2:H$43)</f>
        <v>5</v>
      </c>
      <c r="J17" s="19">
        <v>10</v>
      </c>
      <c r="K17" s="19">
        <v>4</v>
      </c>
      <c r="L17" s="19">
        <v>2023</v>
      </c>
      <c r="M17" s="30" t="str">
        <f t="shared" si="0"/>
        <v>10/4/2023</v>
      </c>
      <c r="N17" s="31" t="s">
        <v>56</v>
      </c>
      <c r="O17" s="31" t="s">
        <v>57</v>
      </c>
      <c r="P17" s="31" t="s">
        <v>58</v>
      </c>
      <c r="Q17" s="31"/>
      <c r="R17" s="32">
        <v>0.41666666666666669</v>
      </c>
      <c r="S17" s="32">
        <v>0.42986111111111114</v>
      </c>
      <c r="T17" s="19">
        <v>30.87</v>
      </c>
      <c r="U17" s="19">
        <v>0.54</v>
      </c>
      <c r="V17" s="19">
        <v>36.659999999999997</v>
      </c>
      <c r="W17" s="19">
        <v>0.52</v>
      </c>
      <c r="X17" s="19">
        <v>4.7300000000000004</v>
      </c>
      <c r="Y17" s="19">
        <v>0.53</v>
      </c>
      <c r="Z17" s="19">
        <v>7.84</v>
      </c>
      <c r="AA17" s="19">
        <v>0.53</v>
      </c>
      <c r="AB17" s="19">
        <v>31.15</v>
      </c>
      <c r="AC17" s="19">
        <v>3.03</v>
      </c>
      <c r="AD17" s="19">
        <v>36.49</v>
      </c>
      <c r="AE17" s="19">
        <v>3.03</v>
      </c>
      <c r="AF17" s="19">
        <v>4.87</v>
      </c>
      <c r="AG17" s="19">
        <v>3.03</v>
      </c>
      <c r="AH17" s="19">
        <v>7.99</v>
      </c>
      <c r="AI17" s="19">
        <v>3.03</v>
      </c>
      <c r="AJ17" s="19" t="s">
        <v>60</v>
      </c>
      <c r="AK17" s="19" t="s">
        <v>60</v>
      </c>
      <c r="AL17" s="19" t="s">
        <v>60</v>
      </c>
      <c r="AM17" s="19" t="e">
        <f t="shared" si="1"/>
        <v>#DIV/0!</v>
      </c>
      <c r="AN17" s="19">
        <v>0.5</v>
      </c>
      <c r="AO17" s="19">
        <v>3</v>
      </c>
      <c r="AP17" s="19">
        <v>290</v>
      </c>
      <c r="AQ17" s="19">
        <v>291</v>
      </c>
      <c r="AR17" s="19">
        <v>292</v>
      </c>
      <c r="AS17" s="19">
        <v>293</v>
      </c>
      <c r="AT17" s="19">
        <v>294</v>
      </c>
      <c r="AU17" s="19">
        <v>295</v>
      </c>
      <c r="AV17" s="19">
        <v>296</v>
      </c>
      <c r="AW17" s="19">
        <v>297</v>
      </c>
      <c r="AX17" s="19">
        <v>298</v>
      </c>
      <c r="AY17" s="19">
        <v>299</v>
      </c>
      <c r="AZ17" s="19">
        <v>256</v>
      </c>
      <c r="BA17" s="10" t="s">
        <v>61</v>
      </c>
    </row>
    <row r="18" spans="1:53" ht="15.75" customHeight="1" x14ac:dyDescent="0.15">
      <c r="A18" s="4">
        <v>2</v>
      </c>
      <c r="B18" s="29" t="str">
        <f>LOOKUP($D18,Site_Meta!$C$2:$C$43,Site_Meta!A$2:A$43)</f>
        <v>Cayo Coral 10m</v>
      </c>
      <c r="C18" s="29" t="str">
        <f>LOOKUP($D18,Site_Meta!$C$2:$C$43,Site_Meta!B$2:B$43)</f>
        <v>Guanica</v>
      </c>
      <c r="D18" s="29" t="s">
        <v>90</v>
      </c>
      <c r="E18" s="29" t="str">
        <f>LOOKUP($D18,Site_Meta!$C$2:$C$43,Site_Meta!D$2:D$43)</f>
        <v>Southwest</v>
      </c>
      <c r="F18" s="29" t="str">
        <f>LOOKUP($D18,Site_Meta!$C$2:$C$43,Site_Meta!E$2:E$43)</f>
        <v>SW</v>
      </c>
      <c r="G18" s="29">
        <f>LOOKUP($D18,Site_Meta!$C$2:$C$43,Site_Meta!F$2:F$43)</f>
        <v>17.936199999999999</v>
      </c>
      <c r="H18" s="29">
        <f>LOOKUP($D18,Site_Meta!$C$2:$C$43,Site_Meta!G$2:G$43)</f>
        <v>-66.888400000000004</v>
      </c>
      <c r="I18" s="29">
        <f>LOOKUP($D18,Site_Meta!$C$2:$C$43,Site_Meta!H$2:H$43)</f>
        <v>10</v>
      </c>
      <c r="J18" s="19">
        <v>10</v>
      </c>
      <c r="K18" s="19">
        <v>4</v>
      </c>
      <c r="L18" s="19">
        <v>2023</v>
      </c>
      <c r="M18" s="30" t="str">
        <f t="shared" si="0"/>
        <v>10/4/2023</v>
      </c>
      <c r="N18" s="31" t="s">
        <v>56</v>
      </c>
      <c r="O18" s="31" t="s">
        <v>57</v>
      </c>
      <c r="P18" s="31" t="s">
        <v>58</v>
      </c>
      <c r="Q18" s="31"/>
      <c r="R18" s="32">
        <v>0.43472222222222223</v>
      </c>
      <c r="S18" s="32">
        <v>0.44930555555555557</v>
      </c>
      <c r="T18" s="19">
        <v>31.21</v>
      </c>
      <c r="U18" s="19">
        <v>0.49</v>
      </c>
      <c r="V18" s="19">
        <v>36.03</v>
      </c>
      <c r="W18" s="19">
        <v>0.49</v>
      </c>
      <c r="X18" s="19">
        <v>5.77</v>
      </c>
      <c r="Y18" s="19">
        <v>0.49</v>
      </c>
      <c r="Z18" s="19">
        <v>7.94</v>
      </c>
      <c r="AA18" s="19">
        <v>0.49</v>
      </c>
      <c r="AB18" s="19">
        <v>30.99</v>
      </c>
      <c r="AC18" s="19">
        <v>8.9</v>
      </c>
      <c r="AD18" s="19">
        <v>36.450000000000003</v>
      </c>
      <c r="AE18" s="19">
        <v>8.9600000000000009</v>
      </c>
      <c r="AF18" s="19">
        <v>3.87</v>
      </c>
      <c r="AG18" s="19">
        <v>8.99</v>
      </c>
      <c r="AH18" s="19">
        <v>7.95</v>
      </c>
      <c r="AI18" s="19">
        <v>9</v>
      </c>
      <c r="AJ18" s="19" t="s">
        <v>91</v>
      </c>
      <c r="AK18" s="19" t="s">
        <v>91</v>
      </c>
      <c r="AL18" s="19" t="s">
        <v>91</v>
      </c>
      <c r="AM18" s="19" t="e">
        <f t="shared" si="1"/>
        <v>#DIV/0!</v>
      </c>
      <c r="AN18" s="19">
        <v>0.5</v>
      </c>
      <c r="AO18" s="19">
        <v>9</v>
      </c>
      <c r="AP18" s="19">
        <v>279</v>
      </c>
      <c r="AQ18" s="19">
        <v>280</v>
      </c>
      <c r="AR18" s="19">
        <v>281</v>
      </c>
      <c r="AS18" s="19">
        <v>282</v>
      </c>
      <c r="AT18" s="19">
        <v>283</v>
      </c>
      <c r="AU18" s="19">
        <v>284</v>
      </c>
      <c r="AV18" s="19">
        <v>285</v>
      </c>
      <c r="AW18" s="19">
        <v>286</v>
      </c>
      <c r="AX18" s="19">
        <v>287</v>
      </c>
      <c r="AY18" s="19">
        <v>288</v>
      </c>
      <c r="AZ18" s="19">
        <v>267</v>
      </c>
      <c r="BA18" s="10" t="s">
        <v>61</v>
      </c>
    </row>
    <row r="19" spans="1:53" ht="15.75" customHeight="1" x14ac:dyDescent="0.15">
      <c r="A19" s="4">
        <v>2</v>
      </c>
      <c r="B19" s="34" t="str">
        <f>LOOKUP($D19,Site_Meta!$C$2:$C$43,Site_Meta!A$2:A$43)</f>
        <v>Tourmaline 30m</v>
      </c>
      <c r="C19" s="34" t="str">
        <f>LOOKUP($D19,Site_Meta!$C$2:$C$43,Site_Meta!B$2:B$43)</f>
        <v>Cabo Rojo</v>
      </c>
      <c r="D19" s="34" t="s">
        <v>141</v>
      </c>
      <c r="E19" s="34" t="str">
        <f>LOOKUP($D19,Site_Meta!$C$2:$C$43,Site_Meta!D$2:D$43)</f>
        <v>West</v>
      </c>
      <c r="F19" s="34" t="str">
        <f>LOOKUP($D19,Site_Meta!$C$2:$C$43,Site_Meta!E$2:E$43)</f>
        <v>W</v>
      </c>
      <c r="G19" s="34">
        <f>LOOKUP($D19,Site_Meta!$C$2:$C$43,Site_Meta!F$2:F$43)</f>
        <v>18.166370000000001</v>
      </c>
      <c r="H19" s="34">
        <f>LOOKUP($D19,Site_Meta!$C$2:$C$43,Site_Meta!G$2:G$43)</f>
        <v>-67.276300000000006</v>
      </c>
      <c r="I19" s="34">
        <f>LOOKUP($D19,Site_Meta!$C$2:$C$43,Site_Meta!H$2:H$43)</f>
        <v>30</v>
      </c>
      <c r="J19" s="35">
        <v>10</v>
      </c>
      <c r="K19" s="35">
        <v>5</v>
      </c>
      <c r="L19" s="35">
        <v>2023</v>
      </c>
      <c r="M19" s="36" t="str">
        <f t="shared" si="0"/>
        <v>10/5/2023</v>
      </c>
      <c r="N19" s="37" t="s">
        <v>56</v>
      </c>
      <c r="O19" s="37" t="s">
        <v>63</v>
      </c>
      <c r="P19" s="37" t="s">
        <v>115</v>
      </c>
      <c r="Q19" s="37" t="s">
        <v>58</v>
      </c>
      <c r="R19" s="38">
        <v>0.33958333333333335</v>
      </c>
      <c r="S19" s="38">
        <v>0.37777777777777777</v>
      </c>
      <c r="T19" s="35">
        <v>30.59</v>
      </c>
      <c r="U19" s="35">
        <v>0.4</v>
      </c>
      <c r="V19" s="39">
        <v>109.9</v>
      </c>
      <c r="W19" s="35">
        <v>0.2</v>
      </c>
      <c r="X19" s="35">
        <v>4.7300000000000004</v>
      </c>
      <c r="Y19" s="35">
        <v>0.52</v>
      </c>
      <c r="Z19" s="35">
        <v>8.7200000000000006</v>
      </c>
      <c r="AA19" s="35">
        <v>0.45</v>
      </c>
      <c r="AB19" s="35">
        <v>29.15</v>
      </c>
      <c r="AC19" s="35">
        <v>27.42</v>
      </c>
      <c r="AD19" s="39">
        <v>119.3</v>
      </c>
      <c r="AE19" s="35">
        <v>26.1</v>
      </c>
      <c r="AF19" s="35">
        <v>4.04</v>
      </c>
      <c r="AG19" s="35">
        <v>24.61</v>
      </c>
      <c r="AH19" s="35">
        <v>8.75</v>
      </c>
      <c r="AI19" s="35">
        <v>24.85</v>
      </c>
      <c r="AJ19" s="35">
        <v>14.25</v>
      </c>
      <c r="AK19" s="35">
        <v>14.5</v>
      </c>
      <c r="AL19" s="35">
        <v>14.5</v>
      </c>
      <c r="AM19" s="35">
        <f t="shared" si="1"/>
        <v>14.416666666666666</v>
      </c>
      <c r="AN19" s="35">
        <v>0.5</v>
      </c>
      <c r="AO19" s="35">
        <v>27</v>
      </c>
      <c r="AP19" s="35">
        <v>224</v>
      </c>
      <c r="AQ19" s="35">
        <v>225</v>
      </c>
      <c r="AR19" s="35">
        <v>226</v>
      </c>
      <c r="AS19" s="35">
        <v>227</v>
      </c>
      <c r="AT19" s="35">
        <v>228</v>
      </c>
      <c r="AU19" s="35">
        <v>229</v>
      </c>
      <c r="AV19" s="35">
        <v>230</v>
      </c>
      <c r="AW19" s="35">
        <v>231</v>
      </c>
      <c r="AX19" s="35">
        <v>232</v>
      </c>
      <c r="AY19" s="35">
        <v>233</v>
      </c>
      <c r="AZ19" s="35">
        <v>278</v>
      </c>
      <c r="BA19" s="39" t="s">
        <v>230</v>
      </c>
    </row>
    <row r="20" spans="1:53" ht="15.75" customHeight="1" x14ac:dyDescent="0.15">
      <c r="A20" s="4">
        <v>2</v>
      </c>
      <c r="B20" s="34" t="str">
        <f>LOOKUP($D20,Site_Meta!$C$2:$C$43,Site_Meta!A$2:A$43)</f>
        <v>Tourmaline 30m</v>
      </c>
      <c r="C20" s="34" t="str">
        <f>LOOKUP($D20,Site_Meta!$C$2:$C$43,Site_Meta!B$2:B$43)</f>
        <v>Cabo Rojo</v>
      </c>
      <c r="D20" s="34" t="s">
        <v>141</v>
      </c>
      <c r="E20" s="34" t="str">
        <f>LOOKUP($D20,Site_Meta!$C$2:$C$43,Site_Meta!D$2:D$43)</f>
        <v>West</v>
      </c>
      <c r="F20" s="34" t="str">
        <f>LOOKUP($D20,Site_Meta!$C$2:$C$43,Site_Meta!E$2:E$43)</f>
        <v>W</v>
      </c>
      <c r="G20" s="34">
        <f>LOOKUP($D20,Site_Meta!$C$2:$C$43,Site_Meta!F$2:F$43)</f>
        <v>18.166370000000001</v>
      </c>
      <c r="H20" s="34">
        <f>LOOKUP($D20,Site_Meta!$C$2:$C$43,Site_Meta!G$2:G$43)</f>
        <v>-67.276300000000006</v>
      </c>
      <c r="I20" s="34">
        <f>LOOKUP($D20,Site_Meta!$C$2:$C$43,Site_Meta!H$2:H$43)</f>
        <v>30</v>
      </c>
      <c r="J20" s="35">
        <v>10</v>
      </c>
      <c r="K20" s="35">
        <v>5</v>
      </c>
      <c r="L20" s="35">
        <v>2023</v>
      </c>
      <c r="M20" s="36" t="str">
        <f t="shared" si="0"/>
        <v>10/5/2023</v>
      </c>
      <c r="N20" s="37" t="s">
        <v>56</v>
      </c>
      <c r="O20" s="37" t="s">
        <v>63</v>
      </c>
      <c r="P20" s="37" t="s">
        <v>115</v>
      </c>
      <c r="Q20" s="37" t="s">
        <v>58</v>
      </c>
      <c r="R20" s="38">
        <v>0.33958333333333335</v>
      </c>
      <c r="S20" s="38">
        <v>0.37777777777777777</v>
      </c>
      <c r="T20" s="35">
        <v>30.49</v>
      </c>
      <c r="U20" s="35">
        <v>0.56000000000000005</v>
      </c>
      <c r="V20" s="39">
        <v>35.01</v>
      </c>
      <c r="W20" s="35">
        <v>0.56999999999999995</v>
      </c>
      <c r="X20" s="35">
        <v>6.19</v>
      </c>
      <c r="Y20" s="35">
        <v>0.57999999999999996</v>
      </c>
      <c r="Z20" s="37">
        <v>8</v>
      </c>
      <c r="AA20" s="37">
        <v>0.57999999999999996</v>
      </c>
      <c r="AB20" s="35">
        <v>29.38</v>
      </c>
      <c r="AC20" s="35">
        <v>27.45</v>
      </c>
      <c r="AD20" s="39">
        <v>35.54</v>
      </c>
      <c r="AE20" s="35">
        <v>27.39</v>
      </c>
      <c r="AF20" s="35">
        <v>6.36</v>
      </c>
      <c r="AG20" s="35">
        <v>27.39</v>
      </c>
      <c r="AH20" s="37">
        <v>8.1199999999999992</v>
      </c>
      <c r="AI20" s="37">
        <v>28.09</v>
      </c>
      <c r="AJ20" s="35" t="s">
        <v>59</v>
      </c>
      <c r="AK20" s="35" t="s">
        <v>59</v>
      </c>
      <c r="AL20" s="35" t="s">
        <v>59</v>
      </c>
      <c r="AM20" s="35" t="e">
        <f t="shared" si="1"/>
        <v>#DIV/0!</v>
      </c>
      <c r="AN20" s="35" t="s">
        <v>59</v>
      </c>
      <c r="AO20" s="35" t="s">
        <v>59</v>
      </c>
      <c r="AP20" s="35" t="s">
        <v>59</v>
      </c>
      <c r="AQ20" s="35" t="s">
        <v>59</v>
      </c>
      <c r="AR20" s="35" t="s">
        <v>59</v>
      </c>
      <c r="AS20" s="35" t="s">
        <v>59</v>
      </c>
      <c r="AT20" s="35" t="s">
        <v>59</v>
      </c>
      <c r="AU20" s="35" t="s">
        <v>59</v>
      </c>
      <c r="AV20" s="35" t="s">
        <v>59</v>
      </c>
      <c r="AW20" s="35" t="s">
        <v>59</v>
      </c>
      <c r="AX20" s="35" t="s">
        <v>59</v>
      </c>
      <c r="AY20" s="35" t="s">
        <v>59</v>
      </c>
      <c r="AZ20" s="35" t="s">
        <v>59</v>
      </c>
      <c r="BA20" s="39" t="s">
        <v>61</v>
      </c>
    </row>
    <row r="21" spans="1:53" ht="15.75" customHeight="1" x14ac:dyDescent="0.15">
      <c r="A21" s="4">
        <v>2</v>
      </c>
      <c r="B21" s="34" t="str">
        <f>LOOKUP($D21,Site_Meta!$C$2:$C$43,Site_Meta!A$2:A$43)</f>
        <v>Tourmaline 20m</v>
      </c>
      <c r="C21" s="34" t="str">
        <f>LOOKUP($D21,Site_Meta!$C$2:$C$43,Site_Meta!B$2:B$43)</f>
        <v>Cabo Rojo</v>
      </c>
      <c r="D21" s="34" t="s">
        <v>140</v>
      </c>
      <c r="E21" s="34" t="str">
        <f>LOOKUP($D21,Site_Meta!$C$2:$C$43,Site_Meta!D$2:D$43)</f>
        <v>West</v>
      </c>
      <c r="F21" s="34" t="str">
        <f>LOOKUP($D21,Site_Meta!$C$2:$C$43,Site_Meta!E$2:E$43)</f>
        <v>W</v>
      </c>
      <c r="G21" s="34">
        <f>LOOKUP($D21,Site_Meta!$C$2:$C$43,Site_Meta!F$2:F$43)</f>
        <v>18.16517</v>
      </c>
      <c r="H21" s="34">
        <f>LOOKUP($D21,Site_Meta!$C$2:$C$43,Site_Meta!G$2:G$43)</f>
        <v>-67.275199999999998</v>
      </c>
      <c r="I21" s="34">
        <f>LOOKUP($D21,Site_Meta!$C$2:$C$43,Site_Meta!H$2:H$43)</f>
        <v>20</v>
      </c>
      <c r="J21" s="35">
        <v>10</v>
      </c>
      <c r="K21" s="35">
        <v>5</v>
      </c>
      <c r="L21" s="35">
        <v>2023</v>
      </c>
      <c r="M21" s="36" t="str">
        <f t="shared" si="0"/>
        <v>10/5/2023</v>
      </c>
      <c r="N21" s="37" t="s">
        <v>56</v>
      </c>
      <c r="O21" s="37" t="s">
        <v>63</v>
      </c>
      <c r="P21" s="37" t="s">
        <v>115</v>
      </c>
      <c r="Q21" s="37" t="s">
        <v>58</v>
      </c>
      <c r="R21" s="38">
        <v>0.39583333333333331</v>
      </c>
      <c r="S21" s="38">
        <v>0.41805555555555557</v>
      </c>
      <c r="T21" s="35">
        <v>30.54</v>
      </c>
      <c r="U21" s="35">
        <v>0.32</v>
      </c>
      <c r="V21" s="39">
        <v>119.6</v>
      </c>
      <c r="W21" s="35">
        <v>0.57999999999999996</v>
      </c>
      <c r="X21" s="35">
        <v>3.3</v>
      </c>
      <c r="Y21" s="35">
        <v>0.27</v>
      </c>
      <c r="Z21" s="37">
        <v>8.7100000000000009</v>
      </c>
      <c r="AA21" s="37">
        <v>0.4</v>
      </c>
      <c r="AB21" s="35">
        <v>29.36</v>
      </c>
      <c r="AC21" s="35">
        <v>22.66</v>
      </c>
      <c r="AD21" s="39">
        <v>125.3</v>
      </c>
      <c r="AE21" s="35">
        <v>22.65</v>
      </c>
      <c r="AF21" s="35">
        <v>3.76</v>
      </c>
      <c r="AG21" s="35">
        <v>22.55</v>
      </c>
      <c r="AH21" s="37">
        <v>8.75</v>
      </c>
      <c r="AI21" s="37">
        <v>22.71</v>
      </c>
      <c r="AJ21" s="35">
        <v>10.75</v>
      </c>
      <c r="AK21" s="35">
        <v>10.75</v>
      </c>
      <c r="AL21" s="35">
        <v>11</v>
      </c>
      <c r="AM21" s="35">
        <f t="shared" si="1"/>
        <v>10.833333333333334</v>
      </c>
      <c r="AN21" s="35">
        <v>0.5</v>
      </c>
      <c r="AO21" s="35">
        <v>22</v>
      </c>
      <c r="AP21" s="35">
        <v>202</v>
      </c>
      <c r="AQ21" s="35">
        <v>203</v>
      </c>
      <c r="AR21" s="35">
        <v>204</v>
      </c>
      <c r="AS21" s="35">
        <v>205</v>
      </c>
      <c r="AT21" s="35">
        <v>206</v>
      </c>
      <c r="AU21" s="35">
        <v>207</v>
      </c>
      <c r="AV21" s="35">
        <v>208</v>
      </c>
      <c r="AW21" s="35">
        <v>209</v>
      </c>
      <c r="AX21" s="35">
        <v>210</v>
      </c>
      <c r="AY21" s="35">
        <v>211</v>
      </c>
      <c r="AZ21" s="35">
        <v>289</v>
      </c>
      <c r="BA21" s="39" t="s">
        <v>230</v>
      </c>
    </row>
    <row r="22" spans="1:53" ht="15.75" customHeight="1" x14ac:dyDescent="0.15">
      <c r="A22" s="4">
        <v>2</v>
      </c>
      <c r="B22" s="34" t="str">
        <f>LOOKUP($D22,Site_Meta!$C$2:$C$43,Site_Meta!A$2:A$43)</f>
        <v>Tourmaline 20m</v>
      </c>
      <c r="C22" s="34" t="str">
        <f>LOOKUP($D22,Site_Meta!$C$2:$C$43,Site_Meta!B$2:B$43)</f>
        <v>Cabo Rojo</v>
      </c>
      <c r="D22" s="34" t="s">
        <v>140</v>
      </c>
      <c r="E22" s="34" t="str">
        <f>LOOKUP($D22,Site_Meta!$C$2:$C$43,Site_Meta!D$2:D$43)</f>
        <v>West</v>
      </c>
      <c r="F22" s="34" t="str">
        <f>LOOKUP($D22,Site_Meta!$C$2:$C$43,Site_Meta!E$2:E$43)</f>
        <v>W</v>
      </c>
      <c r="G22" s="34">
        <f>LOOKUP($D22,Site_Meta!$C$2:$C$43,Site_Meta!F$2:F$43)</f>
        <v>18.16517</v>
      </c>
      <c r="H22" s="34">
        <f>LOOKUP($D22,Site_Meta!$C$2:$C$43,Site_Meta!G$2:G$43)</f>
        <v>-67.275199999999998</v>
      </c>
      <c r="I22" s="34">
        <f>LOOKUP($D22,Site_Meta!$C$2:$C$43,Site_Meta!H$2:H$43)</f>
        <v>20</v>
      </c>
      <c r="J22" s="35">
        <v>10</v>
      </c>
      <c r="K22" s="35">
        <v>5</v>
      </c>
      <c r="L22" s="35">
        <v>2023</v>
      </c>
      <c r="M22" s="36" t="str">
        <f t="shared" si="0"/>
        <v>10/5/2023</v>
      </c>
      <c r="N22" s="37" t="s">
        <v>56</v>
      </c>
      <c r="O22" s="37" t="s">
        <v>63</v>
      </c>
      <c r="P22" s="37" t="s">
        <v>115</v>
      </c>
      <c r="Q22" s="37" t="s">
        <v>58</v>
      </c>
      <c r="R22" s="38">
        <v>0.39583333333333331</v>
      </c>
      <c r="S22" s="38">
        <v>0.41805555555555557</v>
      </c>
      <c r="T22" s="35">
        <v>30.48</v>
      </c>
      <c r="U22" s="35">
        <v>0.5</v>
      </c>
      <c r="V22" s="39">
        <v>12.74</v>
      </c>
      <c r="W22" s="35">
        <v>0.54</v>
      </c>
      <c r="X22" s="35">
        <v>6.79</v>
      </c>
      <c r="Y22" s="35">
        <v>0.54</v>
      </c>
      <c r="Z22" s="37">
        <v>8.0500000000000007</v>
      </c>
      <c r="AA22" s="37">
        <v>0.53</v>
      </c>
      <c r="AB22" s="35">
        <v>30.54</v>
      </c>
      <c r="AC22" s="35">
        <v>21.79</v>
      </c>
      <c r="AD22" s="39">
        <v>13.72</v>
      </c>
      <c r="AE22" s="35">
        <v>21.65</v>
      </c>
      <c r="AF22" s="35">
        <v>6.78</v>
      </c>
      <c r="AG22" s="35">
        <v>21.69</v>
      </c>
      <c r="AH22" s="37">
        <v>8.1</v>
      </c>
      <c r="AI22" s="37">
        <v>21.08</v>
      </c>
      <c r="AJ22" s="35" t="s">
        <v>59</v>
      </c>
      <c r="AK22" s="35" t="s">
        <v>59</v>
      </c>
      <c r="AL22" s="35" t="s">
        <v>59</v>
      </c>
      <c r="AM22" s="35" t="e">
        <f t="shared" si="1"/>
        <v>#DIV/0!</v>
      </c>
      <c r="AN22" s="35" t="s">
        <v>59</v>
      </c>
      <c r="AO22" s="35" t="s">
        <v>59</v>
      </c>
      <c r="AP22" s="35" t="s">
        <v>59</v>
      </c>
      <c r="AQ22" s="35" t="s">
        <v>59</v>
      </c>
      <c r="AR22" s="35" t="s">
        <v>59</v>
      </c>
      <c r="AS22" s="35" t="s">
        <v>59</v>
      </c>
      <c r="AT22" s="35" t="s">
        <v>59</v>
      </c>
      <c r="AU22" s="35" t="s">
        <v>59</v>
      </c>
      <c r="AV22" s="35" t="s">
        <v>59</v>
      </c>
      <c r="AW22" s="35" t="s">
        <v>59</v>
      </c>
      <c r="AX22" s="35" t="s">
        <v>59</v>
      </c>
      <c r="AY22" s="35" t="s">
        <v>59</v>
      </c>
      <c r="AZ22" s="35" t="s">
        <v>59</v>
      </c>
      <c r="BA22" s="39" t="s">
        <v>61</v>
      </c>
    </row>
    <row r="23" spans="1:53" ht="15.75" customHeight="1" x14ac:dyDescent="0.15">
      <c r="A23" s="4">
        <v>2</v>
      </c>
      <c r="B23" s="34" t="str">
        <f>LOOKUP($D23,Site_Meta!$C$2:$C$43,Site_Meta!A$2:A$43)</f>
        <v>Tourmaline 10m</v>
      </c>
      <c r="C23" s="34" t="str">
        <f>LOOKUP($D23,Site_Meta!$C$2:$C$43,Site_Meta!B$2:B$43)</f>
        <v>Cabo Rojo</v>
      </c>
      <c r="D23" s="34" t="s">
        <v>138</v>
      </c>
      <c r="E23" s="34" t="str">
        <f>LOOKUP($D23,Site_Meta!$C$2:$C$43,Site_Meta!D$2:D$43)</f>
        <v>West</v>
      </c>
      <c r="F23" s="34" t="str">
        <f>LOOKUP($D23,Site_Meta!$C$2:$C$43,Site_Meta!E$2:E$43)</f>
        <v>W</v>
      </c>
      <c r="G23" s="34">
        <f>LOOKUP($D23,Site_Meta!$C$2:$C$43,Site_Meta!F$2:F$43)</f>
        <v>18.163039999999999</v>
      </c>
      <c r="H23" s="34">
        <f>LOOKUP($D23,Site_Meta!$C$2:$C$43,Site_Meta!G$2:G$43)</f>
        <v>-67.273700000000005</v>
      </c>
      <c r="I23" s="34">
        <f>LOOKUP($D23,Site_Meta!$C$2:$C$43,Site_Meta!H$2:H$43)</f>
        <v>10</v>
      </c>
      <c r="J23" s="35">
        <v>10</v>
      </c>
      <c r="K23" s="35">
        <v>5</v>
      </c>
      <c r="L23" s="35">
        <v>2023</v>
      </c>
      <c r="M23" s="36" t="str">
        <f t="shared" si="0"/>
        <v>10/5/2023</v>
      </c>
      <c r="N23" s="37" t="s">
        <v>56</v>
      </c>
      <c r="O23" s="37" t="s">
        <v>63</v>
      </c>
      <c r="P23" s="37" t="s">
        <v>115</v>
      </c>
      <c r="Q23" s="37" t="s">
        <v>58</v>
      </c>
      <c r="R23" s="38">
        <v>0.42430555555555555</v>
      </c>
      <c r="S23" s="38">
        <v>0.45</v>
      </c>
      <c r="T23" s="37">
        <v>30.51</v>
      </c>
      <c r="U23" s="37">
        <v>0.55000000000000004</v>
      </c>
      <c r="V23" s="40">
        <v>90.09</v>
      </c>
      <c r="W23" s="37">
        <v>0.54</v>
      </c>
      <c r="X23" s="37">
        <v>4.54</v>
      </c>
      <c r="Y23" s="37">
        <v>0.64</v>
      </c>
      <c r="Z23" s="37">
        <v>8.6300000000000008</v>
      </c>
      <c r="AA23" s="37">
        <v>0.77</v>
      </c>
      <c r="AB23" s="37">
        <v>30.51</v>
      </c>
      <c r="AC23" s="37">
        <v>9.57</v>
      </c>
      <c r="AD23" s="40">
        <v>94.4</v>
      </c>
      <c r="AE23" s="37">
        <v>9.68</v>
      </c>
      <c r="AF23" s="37">
        <v>4.37</v>
      </c>
      <c r="AG23" s="37">
        <v>9.92</v>
      </c>
      <c r="AH23" s="37">
        <v>8.68</v>
      </c>
      <c r="AI23" s="37">
        <v>9.5</v>
      </c>
      <c r="AJ23" s="35" t="s">
        <v>82</v>
      </c>
      <c r="AK23" s="35" t="s">
        <v>82</v>
      </c>
      <c r="AL23" s="35" t="s">
        <v>82</v>
      </c>
      <c r="AM23" s="35" t="e">
        <f t="shared" si="1"/>
        <v>#DIV/0!</v>
      </c>
      <c r="AN23" s="35">
        <v>0.5</v>
      </c>
      <c r="AO23" s="35">
        <v>9.5</v>
      </c>
      <c r="AP23" s="35">
        <v>213</v>
      </c>
      <c r="AQ23" s="35">
        <v>214</v>
      </c>
      <c r="AR23" s="35">
        <v>215</v>
      </c>
      <c r="AS23" s="35">
        <v>216</v>
      </c>
      <c r="AT23" s="35">
        <v>217</v>
      </c>
      <c r="AU23" s="35">
        <v>218</v>
      </c>
      <c r="AV23" s="35">
        <v>219</v>
      </c>
      <c r="AW23" s="35">
        <v>220</v>
      </c>
      <c r="AX23" s="35">
        <v>221</v>
      </c>
      <c r="AY23" s="35">
        <v>222</v>
      </c>
      <c r="AZ23" s="35">
        <v>300</v>
      </c>
      <c r="BA23" s="39" t="s">
        <v>230</v>
      </c>
    </row>
    <row r="24" spans="1:53" ht="15.75" customHeight="1" x14ac:dyDescent="0.15">
      <c r="A24" s="4">
        <v>2</v>
      </c>
      <c r="B24" s="34" t="str">
        <f>LOOKUP($D24,Site_Meta!$C$2:$C$43,Site_Meta!A$2:A$43)</f>
        <v>Tourmaline 10m</v>
      </c>
      <c r="C24" s="34" t="str">
        <f>LOOKUP($D24,Site_Meta!$C$2:$C$43,Site_Meta!B$2:B$43)</f>
        <v>Cabo Rojo</v>
      </c>
      <c r="D24" s="34" t="s">
        <v>138</v>
      </c>
      <c r="E24" s="34" t="str">
        <f>LOOKUP($D24,Site_Meta!$C$2:$C$43,Site_Meta!D$2:D$43)</f>
        <v>West</v>
      </c>
      <c r="F24" s="34" t="str">
        <f>LOOKUP($D24,Site_Meta!$C$2:$C$43,Site_Meta!E$2:E$43)</f>
        <v>W</v>
      </c>
      <c r="G24" s="34">
        <f>LOOKUP($D24,Site_Meta!$C$2:$C$43,Site_Meta!F$2:F$43)</f>
        <v>18.163039999999999</v>
      </c>
      <c r="H24" s="34">
        <f>LOOKUP($D24,Site_Meta!$C$2:$C$43,Site_Meta!G$2:G$43)</f>
        <v>-67.273700000000005</v>
      </c>
      <c r="I24" s="34">
        <f>LOOKUP($D24,Site_Meta!$C$2:$C$43,Site_Meta!H$2:H$43)</f>
        <v>10</v>
      </c>
      <c r="J24" s="35">
        <v>10</v>
      </c>
      <c r="K24" s="35">
        <v>5</v>
      </c>
      <c r="L24" s="35">
        <v>2023</v>
      </c>
      <c r="M24" s="36" t="str">
        <f t="shared" si="0"/>
        <v>10/5/2023</v>
      </c>
      <c r="N24" s="37" t="s">
        <v>56</v>
      </c>
      <c r="O24" s="37" t="s">
        <v>63</v>
      </c>
      <c r="P24" s="37" t="s">
        <v>115</v>
      </c>
      <c r="Q24" s="37" t="s">
        <v>58</v>
      </c>
      <c r="R24" s="38">
        <v>0.42430555555555555</v>
      </c>
      <c r="S24" s="38">
        <v>0.45</v>
      </c>
      <c r="T24" s="37">
        <v>30.5</v>
      </c>
      <c r="U24" s="37">
        <v>0.5</v>
      </c>
      <c r="V24" s="40">
        <v>27.32</v>
      </c>
      <c r="W24" s="37">
        <v>0.49</v>
      </c>
      <c r="X24" s="37">
        <v>6.38</v>
      </c>
      <c r="Y24" s="37">
        <v>0.56000000000000005</v>
      </c>
      <c r="Z24" s="37">
        <v>8.08</v>
      </c>
      <c r="AA24" s="37">
        <v>0.51</v>
      </c>
      <c r="AB24" s="37">
        <v>30.53</v>
      </c>
      <c r="AC24" s="37">
        <v>9.4</v>
      </c>
      <c r="AD24" s="40">
        <v>27.91</v>
      </c>
      <c r="AE24" s="37">
        <v>9.5399999999999991</v>
      </c>
      <c r="AF24" s="37">
        <v>6.31</v>
      </c>
      <c r="AG24" s="37">
        <v>9.51</v>
      </c>
      <c r="AH24" s="37">
        <v>8.1</v>
      </c>
      <c r="AI24" s="37">
        <v>9.5500000000000007</v>
      </c>
      <c r="AJ24" s="35" t="s">
        <v>59</v>
      </c>
      <c r="AK24" s="35" t="s">
        <v>59</v>
      </c>
      <c r="AL24" s="35" t="s">
        <v>59</v>
      </c>
      <c r="AM24" s="35" t="e">
        <f t="shared" si="1"/>
        <v>#DIV/0!</v>
      </c>
      <c r="AN24" s="35" t="s">
        <v>59</v>
      </c>
      <c r="AO24" s="35" t="s">
        <v>59</v>
      </c>
      <c r="AP24" s="35" t="s">
        <v>59</v>
      </c>
      <c r="AQ24" s="35" t="s">
        <v>59</v>
      </c>
      <c r="AR24" s="35" t="s">
        <v>59</v>
      </c>
      <c r="AS24" s="35" t="s">
        <v>59</v>
      </c>
      <c r="AT24" s="35" t="s">
        <v>59</v>
      </c>
      <c r="AU24" s="35" t="s">
        <v>59</v>
      </c>
      <c r="AV24" s="35" t="s">
        <v>59</v>
      </c>
      <c r="AW24" s="35" t="s">
        <v>59</v>
      </c>
      <c r="AX24" s="35" t="s">
        <v>59</v>
      </c>
      <c r="AY24" s="35" t="s">
        <v>59</v>
      </c>
      <c r="AZ24" s="35" t="s">
        <v>59</v>
      </c>
      <c r="BA24" s="39" t="s">
        <v>61</v>
      </c>
    </row>
    <row r="25" spans="1:53" ht="15.75" customHeight="1" x14ac:dyDescent="0.15">
      <c r="A25" s="4">
        <v>2</v>
      </c>
      <c r="B25" s="34" t="str">
        <f>LOOKUP($D25,Site_Meta!$C$2:$C$43,Site_Meta!A$2:A$43)</f>
        <v>Dominos 5m</v>
      </c>
      <c r="C25" s="34" t="str">
        <f>LOOKUP($D25,Site_Meta!$C$2:$C$43,Site_Meta!B$2:B$43)</f>
        <v>San Juan</v>
      </c>
      <c r="D25" s="34" t="s">
        <v>99</v>
      </c>
      <c r="E25" s="34" t="str">
        <f>LOOKUP($D25,Site_Meta!$C$2:$C$43,Site_Meta!D$2:D$43)</f>
        <v>North/Northeast</v>
      </c>
      <c r="F25" s="34" t="str">
        <f>LOOKUP($D25,Site_Meta!$C$2:$C$43,Site_Meta!E$2:E$43)</f>
        <v>N</v>
      </c>
      <c r="G25" s="34">
        <f>LOOKUP($D25,Site_Meta!$C$2:$C$43,Site_Meta!F$2:F$43)</f>
        <v>18.462219999999999</v>
      </c>
      <c r="H25" s="34">
        <f>LOOKUP($D25,Site_Meta!$C$2:$C$43,Site_Meta!G$2:G$43)</f>
        <v>-66.051699999999997</v>
      </c>
      <c r="I25" s="34">
        <f>LOOKUP($D25,Site_Meta!$C$2:$C$43,Site_Meta!H$2:H$43)</f>
        <v>5</v>
      </c>
      <c r="J25" s="41">
        <v>10</v>
      </c>
      <c r="K25" s="41">
        <v>6</v>
      </c>
      <c r="L25" s="41">
        <v>2023</v>
      </c>
      <c r="M25" s="36" t="str">
        <f t="shared" si="0"/>
        <v>10/6/2023</v>
      </c>
      <c r="N25" s="37" t="s">
        <v>86</v>
      </c>
      <c r="O25" s="37" t="s">
        <v>57</v>
      </c>
      <c r="P25" s="37" t="s">
        <v>58</v>
      </c>
      <c r="Q25" s="37"/>
      <c r="R25" s="38">
        <v>0.3972222222222222</v>
      </c>
      <c r="S25" s="38">
        <v>0.41111111111111109</v>
      </c>
      <c r="T25" s="35">
        <v>29.85</v>
      </c>
      <c r="U25" s="35">
        <v>0.63</v>
      </c>
      <c r="V25" s="39">
        <v>14.79</v>
      </c>
      <c r="W25" s="35">
        <v>0.53</v>
      </c>
      <c r="X25" s="35">
        <v>6.67</v>
      </c>
      <c r="Y25" s="35">
        <v>0.44</v>
      </c>
      <c r="Z25" s="35">
        <v>7.96</v>
      </c>
      <c r="AA25" s="35">
        <v>0.45</v>
      </c>
      <c r="AB25" s="35">
        <v>29.81</v>
      </c>
      <c r="AC25" s="35">
        <v>4</v>
      </c>
      <c r="AD25" s="39">
        <v>7.09</v>
      </c>
      <c r="AE25" s="35">
        <v>4.03</v>
      </c>
      <c r="AF25" s="35">
        <v>7.02</v>
      </c>
      <c r="AG25" s="35">
        <v>4.04</v>
      </c>
      <c r="AH25" s="35">
        <v>8.0500000000000007</v>
      </c>
      <c r="AI25" s="35">
        <v>4.0199999999999996</v>
      </c>
      <c r="AJ25" s="35" t="s">
        <v>100</v>
      </c>
      <c r="AK25" s="35" t="s">
        <v>100</v>
      </c>
      <c r="AL25" s="35" t="s">
        <v>100</v>
      </c>
      <c r="AM25" s="35" t="e">
        <f t="shared" si="1"/>
        <v>#DIV/0!</v>
      </c>
      <c r="AN25" s="35">
        <v>0.5</v>
      </c>
      <c r="AO25" s="35">
        <v>4</v>
      </c>
      <c r="AP25" s="35">
        <v>301</v>
      </c>
      <c r="AQ25" s="35">
        <v>302</v>
      </c>
      <c r="AR25" s="35">
        <v>303</v>
      </c>
      <c r="AS25" s="35">
        <v>304</v>
      </c>
      <c r="AT25" s="35">
        <v>305</v>
      </c>
      <c r="AU25" s="35">
        <v>306</v>
      </c>
      <c r="AV25" s="35">
        <v>307</v>
      </c>
      <c r="AW25" s="35">
        <v>308</v>
      </c>
      <c r="AX25" s="35">
        <v>309</v>
      </c>
      <c r="AY25" s="35">
        <v>310</v>
      </c>
      <c r="AZ25" s="35">
        <v>333</v>
      </c>
      <c r="BA25" s="42" t="s">
        <v>88</v>
      </c>
    </row>
    <row r="26" spans="1:53" ht="15.75" customHeight="1" x14ac:dyDescent="0.15">
      <c r="A26" s="4">
        <v>2</v>
      </c>
      <c r="B26" s="34" t="str">
        <f>LOOKUP($D26,Site_Meta!$C$2:$C$43,Site_Meta!A$2:A$43)</f>
        <v>Cibuco 05m</v>
      </c>
      <c r="C26" s="34" t="str">
        <f>LOOKUP($D26,Site_Meta!$C$2:$C$43,Site_Meta!B$2:B$43)</f>
        <v>Vega Baja</v>
      </c>
      <c r="D26" s="34" t="s">
        <v>85</v>
      </c>
      <c r="E26" s="34" t="str">
        <f>LOOKUP($D26,Site_Meta!$C$2:$C$43,Site_Meta!D$2:D$43)</f>
        <v>North/Northeast</v>
      </c>
      <c r="F26" s="34" t="str">
        <f>LOOKUP($D26,Site_Meta!$C$2:$C$43,Site_Meta!E$2:E$43)</f>
        <v>N</v>
      </c>
      <c r="G26" s="34">
        <f>LOOKUP($D26,Site_Meta!$C$2:$C$43,Site_Meta!F$2:F$43)</f>
        <v>18.489550000000001</v>
      </c>
      <c r="H26" s="34">
        <f>LOOKUP($D26,Site_Meta!$C$2:$C$43,Site_Meta!G$2:G$43)</f>
        <v>-66.373599999999996</v>
      </c>
      <c r="I26" s="34">
        <f>LOOKUP($D26,Site_Meta!$C$2:$C$43,Site_Meta!H$2:H$43)</f>
        <v>10</v>
      </c>
      <c r="J26" s="41">
        <v>10</v>
      </c>
      <c r="K26" s="41">
        <v>6</v>
      </c>
      <c r="L26" s="41">
        <v>2023</v>
      </c>
      <c r="M26" s="36" t="str">
        <f t="shared" si="0"/>
        <v>10/6/2023</v>
      </c>
      <c r="N26" s="37" t="s">
        <v>86</v>
      </c>
      <c r="O26" s="37" t="s">
        <v>57</v>
      </c>
      <c r="P26" s="37" t="s">
        <v>58</v>
      </c>
      <c r="Q26" s="37"/>
      <c r="R26" s="38">
        <v>0.27847222222222223</v>
      </c>
      <c r="S26" s="38">
        <v>0.29236111111111113</v>
      </c>
      <c r="T26" s="35">
        <v>29.65</v>
      </c>
      <c r="U26" s="35">
        <v>0.42</v>
      </c>
      <c r="V26" s="39">
        <v>34.71</v>
      </c>
      <c r="W26" s="35">
        <v>0.42</v>
      </c>
      <c r="X26" s="35">
        <v>5.79</v>
      </c>
      <c r="Y26" s="35">
        <v>0.45</v>
      </c>
      <c r="Z26" s="35">
        <v>7.69</v>
      </c>
      <c r="AA26" s="35">
        <v>0.49</v>
      </c>
      <c r="AB26" s="35">
        <v>29.85</v>
      </c>
      <c r="AC26" s="35">
        <v>1.92</v>
      </c>
      <c r="AD26" s="39">
        <v>34.450000000000003</v>
      </c>
      <c r="AE26" s="35">
        <v>1.97</v>
      </c>
      <c r="AF26" s="35">
        <v>5.73</v>
      </c>
      <c r="AG26" s="35">
        <v>2.0099999999999998</v>
      </c>
      <c r="AH26" s="35">
        <v>7.95</v>
      </c>
      <c r="AI26" s="35">
        <v>2.0299999999999998</v>
      </c>
      <c r="AJ26" s="35" t="s">
        <v>87</v>
      </c>
      <c r="AK26" s="35" t="s">
        <v>87</v>
      </c>
      <c r="AL26" s="35" t="s">
        <v>87</v>
      </c>
      <c r="AM26" s="35" t="e">
        <f t="shared" si="1"/>
        <v>#DIV/0!</v>
      </c>
      <c r="AN26" s="35">
        <v>0.5</v>
      </c>
      <c r="AO26" s="35">
        <v>2</v>
      </c>
      <c r="AP26" s="35">
        <v>323</v>
      </c>
      <c r="AQ26" s="35">
        <v>324</v>
      </c>
      <c r="AR26" s="35">
        <v>325</v>
      </c>
      <c r="AS26" s="35">
        <v>326</v>
      </c>
      <c r="AT26" s="35">
        <v>327</v>
      </c>
      <c r="AU26" s="35">
        <v>328</v>
      </c>
      <c r="AV26" s="35">
        <v>329</v>
      </c>
      <c r="AW26" s="35">
        <v>330</v>
      </c>
      <c r="AX26" s="37">
        <v>331</v>
      </c>
      <c r="AY26" s="35">
        <v>332</v>
      </c>
      <c r="AZ26" s="37">
        <v>311</v>
      </c>
      <c r="BA26" s="42" t="s">
        <v>88</v>
      </c>
    </row>
    <row r="27" spans="1:53" ht="15.75" customHeight="1" x14ac:dyDescent="0.15">
      <c r="A27" s="4">
        <v>2</v>
      </c>
      <c r="B27" s="34" t="str">
        <f>LOOKUP($D27,Site_Meta!$C$2:$C$43,Site_Meta!A$2:A$43)</f>
        <v>Cibuco 05m</v>
      </c>
      <c r="C27" s="34" t="str">
        <f>LOOKUP($D27,Site_Meta!$C$2:$C$43,Site_Meta!B$2:B$43)</f>
        <v>Vega Baja</v>
      </c>
      <c r="D27" s="34" t="s">
        <v>89</v>
      </c>
      <c r="E27" s="34" t="str">
        <f>LOOKUP($D27,Site_Meta!$C$2:$C$43,Site_Meta!D$2:D$43)</f>
        <v>North/Northeast</v>
      </c>
      <c r="F27" s="34" t="str">
        <f>LOOKUP($D27,Site_Meta!$C$2:$C$43,Site_Meta!E$2:E$43)</f>
        <v>N</v>
      </c>
      <c r="G27" s="34">
        <f>LOOKUP($D27,Site_Meta!$C$2:$C$43,Site_Meta!F$2:F$43)</f>
        <v>18.489550000000001</v>
      </c>
      <c r="H27" s="34">
        <f>LOOKUP($D27,Site_Meta!$C$2:$C$43,Site_Meta!G$2:G$43)</f>
        <v>-66.373599999999996</v>
      </c>
      <c r="I27" s="34">
        <f>LOOKUP($D27,Site_Meta!$C$2:$C$43,Site_Meta!H$2:H$43)</f>
        <v>10</v>
      </c>
      <c r="J27" s="41">
        <v>10</v>
      </c>
      <c r="K27" s="41">
        <v>6</v>
      </c>
      <c r="L27" s="41">
        <v>2023</v>
      </c>
      <c r="M27" s="36" t="str">
        <f t="shared" si="0"/>
        <v>10/6/2023</v>
      </c>
      <c r="N27" s="37" t="s">
        <v>86</v>
      </c>
      <c r="O27" s="37" t="s">
        <v>57</v>
      </c>
      <c r="P27" s="37" t="s">
        <v>58</v>
      </c>
      <c r="Q27" s="37"/>
      <c r="R27" s="38">
        <v>0.29722222222222222</v>
      </c>
      <c r="S27" s="38">
        <v>0.30555555555555558</v>
      </c>
      <c r="T27" s="35">
        <v>29.85</v>
      </c>
      <c r="U27" s="35">
        <v>0.49</v>
      </c>
      <c r="V27" s="39">
        <v>31.76</v>
      </c>
      <c r="W27" s="35">
        <v>0.52</v>
      </c>
      <c r="X27" s="35">
        <v>5.88</v>
      </c>
      <c r="Y27" s="35">
        <v>0.51</v>
      </c>
      <c r="Z27" s="35">
        <v>7.74</v>
      </c>
      <c r="AA27" s="35">
        <v>0.52</v>
      </c>
      <c r="AB27" s="35">
        <v>29.9</v>
      </c>
      <c r="AC27" s="35">
        <v>2.4500000000000002</v>
      </c>
      <c r="AD27" s="39">
        <v>8.64</v>
      </c>
      <c r="AE27" s="35">
        <v>2.5</v>
      </c>
      <c r="AF27" s="35">
        <v>6.72</v>
      </c>
      <c r="AG27" s="35">
        <v>2.5</v>
      </c>
      <c r="AH27" s="35">
        <v>8.01</v>
      </c>
      <c r="AI27" s="35">
        <v>2.48</v>
      </c>
      <c r="AJ27" s="35" t="s">
        <v>87</v>
      </c>
      <c r="AK27" s="35" t="s">
        <v>87</v>
      </c>
      <c r="AL27" s="35" t="s">
        <v>87</v>
      </c>
      <c r="AM27" s="35" t="e">
        <f t="shared" si="1"/>
        <v>#DIV/0!</v>
      </c>
      <c r="AN27" s="35">
        <v>0.5</v>
      </c>
      <c r="AO27" s="35">
        <v>2.5</v>
      </c>
      <c r="AP27" s="35">
        <v>334</v>
      </c>
      <c r="AQ27" s="35">
        <v>335</v>
      </c>
      <c r="AR27" s="35">
        <v>336</v>
      </c>
      <c r="AS27" s="35">
        <v>337</v>
      </c>
      <c r="AT27" s="35">
        <v>338</v>
      </c>
      <c r="AU27" s="35">
        <v>339</v>
      </c>
      <c r="AV27" s="35">
        <v>340</v>
      </c>
      <c r="AW27" s="35">
        <v>341</v>
      </c>
      <c r="AX27" s="37">
        <v>342</v>
      </c>
      <c r="AY27" s="37">
        <v>343</v>
      </c>
      <c r="AZ27" s="37">
        <v>322</v>
      </c>
      <c r="BA27" s="42" t="s">
        <v>88</v>
      </c>
    </row>
    <row r="28" spans="1:53" ht="15.75" customHeight="1" x14ac:dyDescent="0.15">
      <c r="A28" s="4">
        <v>2</v>
      </c>
      <c r="B28" s="34" t="str">
        <f>LOOKUP($D28,Site_Meta!$C$2:$C$43,Site_Meta!A$2:A$43)</f>
        <v>Dakiti 20m</v>
      </c>
      <c r="C28" s="34" t="str">
        <f>LOOKUP($D28,Site_Meta!$C$2:$C$43,Site_Meta!B$2:B$43)</f>
        <v>Isla Culebra</v>
      </c>
      <c r="D28" s="34" t="s">
        <v>93</v>
      </c>
      <c r="E28" s="34" t="str">
        <f>LOOKUP($D28,Site_Meta!$C$2:$C$43,Site_Meta!D$2:D$43)</f>
        <v>Vieques/Culebra</v>
      </c>
      <c r="F28" s="34" t="str">
        <f>LOOKUP($D28,Site_Meta!$C$2:$C$43,Site_Meta!E$2:E$43)</f>
        <v>E</v>
      </c>
      <c r="G28" s="34">
        <f>LOOKUP($D28,Site_Meta!$C$2:$C$43,Site_Meta!F$2:F$43)</f>
        <v>18.275870000000001</v>
      </c>
      <c r="H28" s="34">
        <f>LOOKUP($D28,Site_Meta!$C$2:$C$43,Site_Meta!G$2:G$43)</f>
        <v>-65.277299999999997</v>
      </c>
      <c r="I28" s="34">
        <f>LOOKUP($D28,Site_Meta!$C$2:$C$43,Site_Meta!H$2:H$43)</f>
        <v>20</v>
      </c>
      <c r="J28" s="35">
        <v>10</v>
      </c>
      <c r="K28" s="35">
        <v>13</v>
      </c>
      <c r="L28" s="35">
        <v>2023</v>
      </c>
      <c r="M28" s="36" t="str">
        <f t="shared" si="0"/>
        <v>10/13/2023</v>
      </c>
      <c r="N28" s="37" t="s">
        <v>70</v>
      </c>
      <c r="O28" s="37" t="s">
        <v>63</v>
      </c>
      <c r="P28" s="37" t="s">
        <v>58</v>
      </c>
      <c r="Q28" s="37"/>
      <c r="R28" s="38">
        <v>0.3</v>
      </c>
      <c r="S28" s="38">
        <v>0.32083333333333336</v>
      </c>
      <c r="T28" s="35">
        <v>29.56</v>
      </c>
      <c r="U28" s="35">
        <v>0.52</v>
      </c>
      <c r="V28" s="35">
        <v>36.04</v>
      </c>
      <c r="W28" s="35">
        <v>0.55000000000000004</v>
      </c>
      <c r="X28" s="35">
        <v>6.26</v>
      </c>
      <c r="Y28" s="35">
        <v>0.55000000000000004</v>
      </c>
      <c r="Z28" s="35">
        <v>7.78</v>
      </c>
      <c r="AA28" s="35">
        <v>0.52</v>
      </c>
      <c r="AB28" s="35">
        <v>29.92</v>
      </c>
      <c r="AC28" s="35">
        <v>20.07</v>
      </c>
      <c r="AD28" s="35">
        <v>36.229999999999997</v>
      </c>
      <c r="AE28" s="35">
        <v>20.07</v>
      </c>
      <c r="AF28" s="35">
        <v>5.52</v>
      </c>
      <c r="AG28" s="35">
        <v>20.059999999999999</v>
      </c>
      <c r="AH28" s="35">
        <v>8.0500000000000007</v>
      </c>
      <c r="AI28" s="35">
        <v>20.059999999999999</v>
      </c>
      <c r="AJ28" s="35" t="s">
        <v>94</v>
      </c>
      <c r="AK28" s="35" t="s">
        <v>94</v>
      </c>
      <c r="AL28" s="35" t="s">
        <v>94</v>
      </c>
      <c r="AM28" s="35" t="e">
        <f t="shared" si="1"/>
        <v>#DIV/0!</v>
      </c>
      <c r="AN28" s="35">
        <v>0.5</v>
      </c>
      <c r="AO28" s="35">
        <v>20</v>
      </c>
      <c r="AP28" s="35">
        <v>389</v>
      </c>
      <c r="AQ28" s="35">
        <v>390</v>
      </c>
      <c r="AR28" s="35">
        <v>391</v>
      </c>
      <c r="AS28" s="35">
        <v>392</v>
      </c>
      <c r="AT28" s="35">
        <v>393</v>
      </c>
      <c r="AU28" s="35">
        <v>394</v>
      </c>
      <c r="AV28" s="35">
        <v>395</v>
      </c>
      <c r="AW28" s="35">
        <v>396</v>
      </c>
      <c r="AX28" s="37">
        <v>397</v>
      </c>
      <c r="AY28" s="35">
        <v>398</v>
      </c>
      <c r="AZ28" s="35">
        <v>454</v>
      </c>
      <c r="BA28" s="43" t="s">
        <v>230</v>
      </c>
    </row>
    <row r="29" spans="1:53" ht="15.75" customHeight="1" x14ac:dyDescent="0.15">
      <c r="A29" s="4">
        <v>2</v>
      </c>
      <c r="B29" s="34" t="str">
        <f>LOOKUP($D29,Site_Meta!$C$2:$C$43,Site_Meta!A$2:A$43)</f>
        <v>Dakiti 20m</v>
      </c>
      <c r="C29" s="34" t="str">
        <f>LOOKUP($D29,Site_Meta!$C$2:$C$43,Site_Meta!B$2:B$43)</f>
        <v>Isla Culebra</v>
      </c>
      <c r="D29" s="34" t="s">
        <v>95</v>
      </c>
      <c r="E29" s="34" t="str">
        <f>LOOKUP($D29,Site_Meta!$C$2:$C$43,Site_Meta!D$2:D$43)</f>
        <v>Vieques/Culebra</v>
      </c>
      <c r="F29" s="34" t="str">
        <f>LOOKUP($D29,Site_Meta!$C$2:$C$43,Site_Meta!E$2:E$43)</f>
        <v>E</v>
      </c>
      <c r="G29" s="34">
        <f>LOOKUP($D29,Site_Meta!$C$2:$C$43,Site_Meta!F$2:F$43)</f>
        <v>18.275870000000001</v>
      </c>
      <c r="H29" s="34">
        <f>LOOKUP($D29,Site_Meta!$C$2:$C$43,Site_Meta!G$2:G$43)</f>
        <v>-65.277299999999997</v>
      </c>
      <c r="I29" s="34">
        <f>LOOKUP($D29,Site_Meta!$C$2:$C$43,Site_Meta!H$2:H$43)</f>
        <v>20</v>
      </c>
      <c r="J29" s="35">
        <v>10</v>
      </c>
      <c r="K29" s="35">
        <v>13</v>
      </c>
      <c r="L29" s="35">
        <v>2023</v>
      </c>
      <c r="M29" s="36" t="str">
        <f t="shared" si="0"/>
        <v>10/13/2023</v>
      </c>
      <c r="N29" s="37" t="s">
        <v>70</v>
      </c>
      <c r="O29" s="37" t="s">
        <v>63</v>
      </c>
      <c r="P29" s="37" t="s">
        <v>58</v>
      </c>
      <c r="Q29" s="37"/>
      <c r="R29" s="38">
        <v>0.3263888888888889</v>
      </c>
      <c r="S29" s="38">
        <v>0.34166666666666667</v>
      </c>
      <c r="T29" s="35">
        <v>29.7</v>
      </c>
      <c r="U29" s="35">
        <v>0.5</v>
      </c>
      <c r="V29" s="35">
        <v>35.99</v>
      </c>
      <c r="W29" s="35">
        <v>0.5</v>
      </c>
      <c r="X29" s="35">
        <v>6.13</v>
      </c>
      <c r="Y29" s="35">
        <v>0.49</v>
      </c>
      <c r="Z29" s="35">
        <v>7.94</v>
      </c>
      <c r="AA29" s="35">
        <v>0.48</v>
      </c>
      <c r="AB29" s="35">
        <v>29.92</v>
      </c>
      <c r="AC29" s="35">
        <v>19.93</v>
      </c>
      <c r="AD29" s="35">
        <v>36.200000000000003</v>
      </c>
      <c r="AE29" s="35">
        <v>19.97</v>
      </c>
      <c r="AF29" s="35">
        <v>5.72</v>
      </c>
      <c r="AG29" s="35">
        <v>19.98</v>
      </c>
      <c r="AH29" s="35">
        <v>8.08</v>
      </c>
      <c r="AI29" s="35">
        <v>19.97</v>
      </c>
      <c r="AJ29" s="35" t="s">
        <v>94</v>
      </c>
      <c r="AK29" s="35" t="s">
        <v>94</v>
      </c>
      <c r="AL29" s="35" t="s">
        <v>94</v>
      </c>
      <c r="AM29" s="35" t="e">
        <f t="shared" si="1"/>
        <v>#DIV/0!</v>
      </c>
      <c r="AN29" s="35">
        <v>0.5</v>
      </c>
      <c r="AO29" s="35">
        <v>20</v>
      </c>
      <c r="AP29" s="35">
        <v>312</v>
      </c>
      <c r="AQ29" s="35">
        <v>313</v>
      </c>
      <c r="AR29" s="35">
        <v>314</v>
      </c>
      <c r="AS29" s="35">
        <v>315</v>
      </c>
      <c r="AT29" s="35">
        <v>316</v>
      </c>
      <c r="AU29" s="35">
        <v>317</v>
      </c>
      <c r="AV29" s="35">
        <v>318</v>
      </c>
      <c r="AW29" s="35">
        <v>319</v>
      </c>
      <c r="AX29" s="37">
        <v>320</v>
      </c>
      <c r="AY29" s="35">
        <v>321</v>
      </c>
      <c r="AZ29" s="35">
        <v>465</v>
      </c>
      <c r="BA29" s="43" t="s">
        <v>230</v>
      </c>
    </row>
    <row r="30" spans="1:53" ht="15.75" customHeight="1" x14ac:dyDescent="0.15">
      <c r="A30" s="4">
        <v>2</v>
      </c>
      <c r="B30" s="34" t="str">
        <f>LOOKUP($D30,Site_Meta!$C$2:$C$43,Site_Meta!A$2:A$43)</f>
        <v>Canal Luis Pena 5m</v>
      </c>
      <c r="C30" s="34" t="str">
        <f>LOOKUP($D30,Site_Meta!$C$2:$C$43,Site_Meta!B$2:B$43)</f>
        <v>Isla Culebra</v>
      </c>
      <c r="D30" s="34" t="s">
        <v>111</v>
      </c>
      <c r="E30" s="34" t="str">
        <f>LOOKUP($D30,Site_Meta!$C$2:$C$43,Site_Meta!D$2:D$43)</f>
        <v>Vieques/Culebra</v>
      </c>
      <c r="F30" s="34" t="str">
        <f>LOOKUP($D30,Site_Meta!$C$2:$C$43,Site_Meta!E$2:E$43)</f>
        <v>E</v>
      </c>
      <c r="G30" s="34">
        <f>LOOKUP($D30,Site_Meta!$C$2:$C$43,Site_Meta!F$2:F$43)</f>
        <v>18.304929999999999</v>
      </c>
      <c r="H30" s="34">
        <f>LOOKUP($D30,Site_Meta!$C$2:$C$43,Site_Meta!G$2:G$43)</f>
        <v>-65.327699999999993</v>
      </c>
      <c r="I30" s="34">
        <f>LOOKUP($D30,Site_Meta!$C$2:$C$43,Site_Meta!H$2:H$43)</f>
        <v>5</v>
      </c>
      <c r="J30" s="35">
        <v>10</v>
      </c>
      <c r="K30" s="35">
        <v>13</v>
      </c>
      <c r="L30" s="35">
        <v>2023</v>
      </c>
      <c r="M30" s="36" t="str">
        <f t="shared" si="0"/>
        <v>10/13/2023</v>
      </c>
      <c r="N30" s="37" t="s">
        <v>70</v>
      </c>
      <c r="O30" s="37" t="s">
        <v>63</v>
      </c>
      <c r="P30" s="37" t="s">
        <v>58</v>
      </c>
      <c r="Q30" s="37"/>
      <c r="R30" s="38">
        <v>0.35625000000000001</v>
      </c>
      <c r="S30" s="38">
        <v>0.37083333333333335</v>
      </c>
      <c r="T30" s="35">
        <v>29.67</v>
      </c>
      <c r="U30" s="35">
        <v>0.51</v>
      </c>
      <c r="V30" s="35">
        <v>35.880000000000003</v>
      </c>
      <c r="W30" s="35">
        <v>0.51</v>
      </c>
      <c r="X30" s="35">
        <v>5.84</v>
      </c>
      <c r="Y30" s="35">
        <v>0.52</v>
      </c>
      <c r="Z30" s="35">
        <v>7.73</v>
      </c>
      <c r="AA30" s="35">
        <v>0.52</v>
      </c>
      <c r="AB30" s="35">
        <v>29.81</v>
      </c>
      <c r="AC30" s="35">
        <v>4.58</v>
      </c>
      <c r="AD30" s="35">
        <v>35.82</v>
      </c>
      <c r="AE30" s="35">
        <v>4.53</v>
      </c>
      <c r="AF30" s="35">
        <v>5.82</v>
      </c>
      <c r="AG30" s="35">
        <v>4.53</v>
      </c>
      <c r="AH30" s="35">
        <v>8.0299999999999994</v>
      </c>
      <c r="AI30" s="35">
        <v>4.53</v>
      </c>
      <c r="AJ30" s="35" t="s">
        <v>112</v>
      </c>
      <c r="AK30" s="35" t="s">
        <v>112</v>
      </c>
      <c r="AL30" s="35" t="s">
        <v>112</v>
      </c>
      <c r="AM30" s="35" t="e">
        <f t="shared" si="1"/>
        <v>#DIV/0!</v>
      </c>
      <c r="AN30" s="35">
        <v>0.5</v>
      </c>
      <c r="AO30" s="35">
        <v>5</v>
      </c>
      <c r="AP30" s="35">
        <v>378</v>
      </c>
      <c r="AQ30" s="35">
        <v>379</v>
      </c>
      <c r="AR30" s="35">
        <v>380</v>
      </c>
      <c r="AS30" s="35">
        <v>381</v>
      </c>
      <c r="AT30" s="35">
        <v>382</v>
      </c>
      <c r="AU30" s="35">
        <v>383</v>
      </c>
      <c r="AV30" s="35">
        <v>384</v>
      </c>
      <c r="AW30" s="35">
        <v>385</v>
      </c>
      <c r="AX30" s="35">
        <v>387</v>
      </c>
      <c r="AY30" s="35">
        <v>386</v>
      </c>
      <c r="AZ30" s="35">
        <v>476</v>
      </c>
      <c r="BA30" s="43" t="s">
        <v>230</v>
      </c>
    </row>
    <row r="31" spans="1:53" ht="15.75" customHeight="1" x14ac:dyDescent="0.15">
      <c r="A31" s="4">
        <v>2</v>
      </c>
      <c r="B31" s="34" t="str">
        <f>LOOKUP($D31,Site_Meta!$C$2:$C$43,Site_Meta!A$2:A$43)</f>
        <v>Carlos Rosario 10m</v>
      </c>
      <c r="C31" s="34" t="str">
        <f>LOOKUP($D31,Site_Meta!$C$2:$C$43,Site_Meta!B$2:B$43)</f>
        <v>Isla Culebra</v>
      </c>
      <c r="D31" s="34" t="s">
        <v>92</v>
      </c>
      <c r="E31" s="34" t="str">
        <f>LOOKUP($D31,Site_Meta!$C$2:$C$43,Site_Meta!D$2:D$43)</f>
        <v>Vieques/Culebra</v>
      </c>
      <c r="F31" s="34" t="str">
        <f>LOOKUP($D31,Site_Meta!$C$2:$C$43,Site_Meta!E$2:E$43)</f>
        <v>E</v>
      </c>
      <c r="G31" s="34">
        <f>LOOKUP($D31,Site_Meta!$C$2:$C$43,Site_Meta!F$2:F$43)</f>
        <v>18.32779</v>
      </c>
      <c r="H31" s="34">
        <f>LOOKUP($D31,Site_Meta!$C$2:$C$43,Site_Meta!G$2:G$43)</f>
        <v>-65.331999999999994</v>
      </c>
      <c r="I31" s="34">
        <f>LOOKUP($D31,Site_Meta!$C$2:$C$43,Site_Meta!H$2:H$43)</f>
        <v>10</v>
      </c>
      <c r="J31" s="35">
        <v>10</v>
      </c>
      <c r="K31" s="35">
        <v>13</v>
      </c>
      <c r="L31" s="35">
        <v>2023</v>
      </c>
      <c r="M31" s="36" t="str">
        <f t="shared" si="0"/>
        <v>10/13/2023</v>
      </c>
      <c r="N31" s="37" t="s">
        <v>70</v>
      </c>
      <c r="O31" s="37" t="s">
        <v>63</v>
      </c>
      <c r="P31" s="37" t="s">
        <v>58</v>
      </c>
      <c r="Q31" s="37"/>
      <c r="R31" s="38">
        <v>0.39166666666666666</v>
      </c>
      <c r="S31" s="38">
        <v>0.40833333333333333</v>
      </c>
      <c r="T31" s="35">
        <v>29.89</v>
      </c>
      <c r="U31" s="35">
        <v>0.44</v>
      </c>
      <c r="V31" s="35">
        <v>36.07</v>
      </c>
      <c r="W31" s="35">
        <v>0.49</v>
      </c>
      <c r="X31" s="35">
        <v>6.11</v>
      </c>
      <c r="Y31" s="35">
        <v>0.5</v>
      </c>
      <c r="Z31" s="35">
        <v>7.92</v>
      </c>
      <c r="AA31" s="35">
        <v>0.5</v>
      </c>
      <c r="AB31" s="35">
        <v>29.9</v>
      </c>
      <c r="AC31" s="35">
        <v>10.01</v>
      </c>
      <c r="AD31" s="35">
        <v>35.89</v>
      </c>
      <c r="AE31" s="35">
        <v>9.9499999999999993</v>
      </c>
      <c r="AF31" s="35">
        <v>6.06</v>
      </c>
      <c r="AG31" s="35">
        <v>9.9700000000000006</v>
      </c>
      <c r="AH31" s="35">
        <v>8.1</v>
      </c>
      <c r="AI31" s="35">
        <v>9.98</v>
      </c>
      <c r="AJ31" s="35" t="s">
        <v>82</v>
      </c>
      <c r="AK31" s="35" t="s">
        <v>82</v>
      </c>
      <c r="AL31" s="35" t="s">
        <v>82</v>
      </c>
      <c r="AM31" s="35" t="e">
        <f t="shared" si="1"/>
        <v>#DIV/0!</v>
      </c>
      <c r="AN31" s="35">
        <v>0.5</v>
      </c>
      <c r="AO31" s="35">
        <v>10</v>
      </c>
      <c r="AP31" s="35">
        <v>356</v>
      </c>
      <c r="AQ31" s="35">
        <v>357</v>
      </c>
      <c r="AR31" s="35">
        <v>358</v>
      </c>
      <c r="AS31" s="35">
        <v>359</v>
      </c>
      <c r="AT31" s="35">
        <v>360</v>
      </c>
      <c r="AU31" s="35">
        <v>361</v>
      </c>
      <c r="AV31" s="35">
        <v>362</v>
      </c>
      <c r="AW31" s="35">
        <v>363</v>
      </c>
      <c r="AX31" s="35">
        <v>364</v>
      </c>
      <c r="AY31" s="35">
        <v>365</v>
      </c>
      <c r="AZ31" s="35">
        <v>487</v>
      </c>
      <c r="BA31" s="43" t="s">
        <v>230</v>
      </c>
    </row>
    <row r="32" spans="1:53" ht="15.75" customHeight="1" x14ac:dyDescent="0.15">
      <c r="A32" s="4">
        <v>2</v>
      </c>
      <c r="B32" s="34" t="str">
        <f>LOOKUP($D32,Site_Meta!$C$2:$C$43,Site_Meta!A$2:A$43)</f>
        <v>El Seco 30m</v>
      </c>
      <c r="C32" s="34" t="str">
        <f>LOOKUP($D32,Site_Meta!$C$2:$C$43,Site_Meta!B$2:B$43)</f>
        <v>Isla Vieques</v>
      </c>
      <c r="D32" s="34" t="s">
        <v>136</v>
      </c>
      <c r="E32" s="34" t="str">
        <f>LOOKUP($D32,Site_Meta!$C$2:$C$43,Site_Meta!D$2:D$43)</f>
        <v>Vieques/Culebra</v>
      </c>
      <c r="F32" s="34" t="str">
        <f>LOOKUP($D32,Site_Meta!$C$2:$C$43,Site_Meta!E$2:E$43)</f>
        <v>E</v>
      </c>
      <c r="G32" s="34">
        <f>LOOKUP($D32,Site_Meta!$C$2:$C$43,Site_Meta!F$2:F$43)</f>
        <v>18.13869</v>
      </c>
      <c r="H32" s="34">
        <f>LOOKUP($D32,Site_Meta!$C$2:$C$43,Site_Meta!G$2:G$43)</f>
        <v>-65.197100000000006</v>
      </c>
      <c r="I32" s="34">
        <f>LOOKUP($D32,Site_Meta!$C$2:$C$43,Site_Meta!H$2:H$43)</f>
        <v>30</v>
      </c>
      <c r="J32" s="35">
        <v>10</v>
      </c>
      <c r="K32" s="35">
        <v>14</v>
      </c>
      <c r="L32" s="35">
        <v>2023</v>
      </c>
      <c r="M32" s="36" t="str">
        <f t="shared" si="0"/>
        <v>10/14/2023</v>
      </c>
      <c r="N32" s="37" t="s">
        <v>70</v>
      </c>
      <c r="O32" s="37" t="s">
        <v>74</v>
      </c>
      <c r="P32" s="37" t="s">
        <v>58</v>
      </c>
      <c r="Q32" s="37"/>
      <c r="R32" s="38">
        <v>0.31805555555555554</v>
      </c>
      <c r="S32" s="38">
        <v>0.34375</v>
      </c>
      <c r="T32" s="35">
        <v>29.81</v>
      </c>
      <c r="U32" s="35">
        <v>0.54</v>
      </c>
      <c r="V32" s="35">
        <v>29.34</v>
      </c>
      <c r="W32" s="35">
        <v>0.54</v>
      </c>
      <c r="X32" s="35">
        <v>6.55</v>
      </c>
      <c r="Y32" s="35">
        <v>0.55000000000000004</v>
      </c>
      <c r="Z32" s="35">
        <v>7.89</v>
      </c>
      <c r="AA32" s="35">
        <v>0.55000000000000004</v>
      </c>
      <c r="AB32" s="35">
        <v>29.29</v>
      </c>
      <c r="AC32" s="35">
        <v>35.450000000000003</v>
      </c>
      <c r="AD32" s="35">
        <v>25.84</v>
      </c>
      <c r="AE32" s="35">
        <v>35.479999999999997</v>
      </c>
      <c r="AF32" s="35">
        <v>6.15</v>
      </c>
      <c r="AG32" s="35">
        <v>35.520000000000003</v>
      </c>
      <c r="AH32" s="35">
        <v>8.07</v>
      </c>
      <c r="AI32" s="35">
        <v>35.51</v>
      </c>
      <c r="AJ32" s="35" t="s">
        <v>137</v>
      </c>
      <c r="AK32" s="35" t="s">
        <v>137</v>
      </c>
      <c r="AL32" s="35" t="s">
        <v>137</v>
      </c>
      <c r="AM32" s="35" t="e">
        <f t="shared" si="1"/>
        <v>#DIV/0!</v>
      </c>
      <c r="AN32" s="35">
        <v>0.5</v>
      </c>
      <c r="AO32" s="35">
        <v>35</v>
      </c>
      <c r="AP32" s="35">
        <v>455</v>
      </c>
      <c r="AQ32" s="35">
        <v>456</v>
      </c>
      <c r="AR32" s="35">
        <v>457</v>
      </c>
      <c r="AS32" s="35">
        <v>458</v>
      </c>
      <c r="AT32" s="35">
        <v>459</v>
      </c>
      <c r="AU32" s="35">
        <v>460</v>
      </c>
      <c r="AV32" s="35">
        <v>461</v>
      </c>
      <c r="AW32" s="35">
        <v>462</v>
      </c>
      <c r="AX32" s="35">
        <v>463</v>
      </c>
      <c r="AY32" s="35">
        <v>464</v>
      </c>
      <c r="AZ32" s="35">
        <v>498</v>
      </c>
      <c r="BA32" s="43" t="s">
        <v>230</v>
      </c>
    </row>
    <row r="33" spans="1:53" ht="15" customHeight="1" x14ac:dyDescent="0.15">
      <c r="A33" s="4">
        <v>2</v>
      </c>
      <c r="B33" s="34" t="str">
        <f>LOOKUP($D33,Site_Meta!$C$2:$C$43,Site_Meta!A$2:A$43)</f>
        <v>Dominos 5m</v>
      </c>
      <c r="C33" s="34" t="str">
        <f>LOOKUP($D33,Site_Meta!$C$2:$C$43,Site_Meta!B$2:B$43)</f>
        <v>San Juan</v>
      </c>
      <c r="D33" s="34" t="s">
        <v>231</v>
      </c>
      <c r="E33" s="34" t="str">
        <f>LOOKUP($D33,Site_Meta!$C$2:$C$43,Site_Meta!D$2:D$43)</f>
        <v>North/Northeast</v>
      </c>
      <c r="F33" s="34" t="str">
        <f>LOOKUP($D33,Site_Meta!$C$2:$C$43,Site_Meta!E$2:E$43)</f>
        <v>N</v>
      </c>
      <c r="G33" s="34">
        <f>LOOKUP($D33,Site_Meta!$C$2:$C$43,Site_Meta!F$2:F$43)</f>
        <v>18.462219999999999</v>
      </c>
      <c r="H33" s="34">
        <f>LOOKUP($D33,Site_Meta!$C$2:$C$43,Site_Meta!G$2:G$43)</f>
        <v>-66.051699999999997</v>
      </c>
      <c r="I33" s="34">
        <f>LOOKUP($D33,Site_Meta!$C$2:$C$43,Site_Meta!H$2:H$43)</f>
        <v>5</v>
      </c>
      <c r="J33" s="35">
        <v>10</v>
      </c>
      <c r="K33" s="35">
        <v>14</v>
      </c>
      <c r="L33" s="35">
        <v>2023</v>
      </c>
      <c r="M33" s="36" t="str">
        <f t="shared" si="0"/>
        <v>10/14/2023</v>
      </c>
      <c r="N33" s="37" t="s">
        <v>70</v>
      </c>
      <c r="O33" s="37" t="s">
        <v>74</v>
      </c>
      <c r="P33" s="37" t="s">
        <v>58</v>
      </c>
      <c r="Q33" s="37"/>
      <c r="R33" s="38">
        <v>0.38541666666666669</v>
      </c>
      <c r="S33" s="38">
        <v>0.40555555555555556</v>
      </c>
      <c r="T33" s="35">
        <v>30.3</v>
      </c>
      <c r="U33" s="35">
        <v>0.55000000000000004</v>
      </c>
      <c r="V33" s="35">
        <v>35.32</v>
      </c>
      <c r="W33" s="35">
        <v>0.55000000000000004</v>
      </c>
      <c r="X33" s="35">
        <v>6.36</v>
      </c>
      <c r="Y33" s="35">
        <v>0.54</v>
      </c>
      <c r="Z33" s="35">
        <v>7.69</v>
      </c>
      <c r="AA33" s="35">
        <v>0.54</v>
      </c>
      <c r="AB33" s="35">
        <v>30.13</v>
      </c>
      <c r="AC33" s="35">
        <v>12.03</v>
      </c>
      <c r="AD33" s="35">
        <v>35.49</v>
      </c>
      <c r="AE33" s="35">
        <v>12.02</v>
      </c>
      <c r="AF33" s="35">
        <v>6.2</v>
      </c>
      <c r="AG33" s="35">
        <v>12.03</v>
      </c>
      <c r="AH33" s="35">
        <v>6.58</v>
      </c>
      <c r="AI33" s="35">
        <v>12</v>
      </c>
      <c r="AJ33" s="35" t="s">
        <v>102</v>
      </c>
      <c r="AK33" s="35" t="s">
        <v>102</v>
      </c>
      <c r="AL33" s="35" t="s">
        <v>102</v>
      </c>
      <c r="AM33" s="35" t="e">
        <f t="shared" si="1"/>
        <v>#DIV/0!</v>
      </c>
      <c r="AN33" s="35">
        <v>0.5</v>
      </c>
      <c r="AO33" s="35">
        <v>12</v>
      </c>
      <c r="AP33" s="35">
        <v>345</v>
      </c>
      <c r="AQ33" s="35">
        <v>346</v>
      </c>
      <c r="AR33" s="35">
        <v>347</v>
      </c>
      <c r="AS33" s="35">
        <v>348</v>
      </c>
      <c r="AT33" s="35">
        <v>349</v>
      </c>
      <c r="AU33" s="35">
        <v>350</v>
      </c>
      <c r="AV33" s="35">
        <v>351</v>
      </c>
      <c r="AW33" s="35">
        <v>352</v>
      </c>
      <c r="AX33" s="35">
        <v>353</v>
      </c>
      <c r="AY33" s="35">
        <v>354</v>
      </c>
      <c r="AZ33" s="35">
        <v>509</v>
      </c>
      <c r="BA33" s="43" t="s">
        <v>230</v>
      </c>
    </row>
    <row r="34" spans="1:53" ht="15.75" customHeight="1" x14ac:dyDescent="0.15">
      <c r="A34" s="4">
        <v>2</v>
      </c>
      <c r="B34" s="34" t="str">
        <f>LOOKUP($D34,Site_Meta!$C$2:$C$43,Site_Meta!A$2:A$43)</f>
        <v>Canjilones 15m</v>
      </c>
      <c r="C34" s="34" t="str">
        <f>LOOKUP($D34,Site_Meta!$C$2:$C$43,Site_Meta!B$2:B$43)</f>
        <v>Isla Vieques</v>
      </c>
      <c r="D34" s="34" t="s">
        <v>73</v>
      </c>
      <c r="E34" s="34" t="str">
        <f>LOOKUP($D34,Site_Meta!$C$2:$C$43,Site_Meta!D$2:D$43)</f>
        <v>Vieques/Culebra</v>
      </c>
      <c r="F34" s="34" t="str">
        <f>LOOKUP($D34,Site_Meta!$C$2:$C$43,Site_Meta!E$2:E$43)</f>
        <v>E</v>
      </c>
      <c r="G34" s="34">
        <f>LOOKUP($D34,Site_Meta!$C$2:$C$43,Site_Meta!F$2:F$43)</f>
        <v>18.089639999999999</v>
      </c>
      <c r="H34" s="34">
        <f>LOOKUP($D34,Site_Meta!$C$2:$C$43,Site_Meta!G$2:G$43)</f>
        <v>-65.590100000000007</v>
      </c>
      <c r="I34" s="34">
        <f>LOOKUP($D34,Site_Meta!$C$2:$C$43,Site_Meta!H$2:H$43)</f>
        <v>15</v>
      </c>
      <c r="J34" s="35">
        <v>10</v>
      </c>
      <c r="K34" s="35">
        <v>14</v>
      </c>
      <c r="L34" s="35">
        <v>2023</v>
      </c>
      <c r="M34" s="36" t="str">
        <f t="shared" si="0"/>
        <v>10/14/2023</v>
      </c>
      <c r="N34" s="37" t="s">
        <v>70</v>
      </c>
      <c r="O34" s="37" t="s">
        <v>74</v>
      </c>
      <c r="P34" s="37" t="s">
        <v>58</v>
      </c>
      <c r="Q34" s="37"/>
      <c r="R34" s="38">
        <v>0.42499999999999999</v>
      </c>
      <c r="S34" s="38">
        <v>0.44236111111111109</v>
      </c>
      <c r="T34" s="35">
        <v>30.13</v>
      </c>
      <c r="U34" s="35">
        <v>0.51</v>
      </c>
      <c r="V34" s="35">
        <v>34.83</v>
      </c>
      <c r="W34" s="35">
        <v>0.51</v>
      </c>
      <c r="X34" s="35">
        <v>6.35</v>
      </c>
      <c r="Y34" s="35">
        <v>0.5</v>
      </c>
      <c r="Z34" s="35">
        <v>7.05</v>
      </c>
      <c r="AA34" s="35">
        <v>0.51</v>
      </c>
      <c r="AB34" s="35">
        <v>30.02</v>
      </c>
      <c r="AC34" s="35">
        <v>14.94</v>
      </c>
      <c r="AD34" s="35">
        <v>35.61</v>
      </c>
      <c r="AE34" s="35">
        <v>15</v>
      </c>
      <c r="AF34" s="35">
        <v>5.48</v>
      </c>
      <c r="AG34" s="35">
        <v>15</v>
      </c>
      <c r="AH34" s="35">
        <v>6.9</v>
      </c>
      <c r="AI34" s="35">
        <v>15.01</v>
      </c>
      <c r="AJ34" s="35" t="s">
        <v>64</v>
      </c>
      <c r="AK34" s="35" t="s">
        <v>64</v>
      </c>
      <c r="AL34" s="35" t="s">
        <v>64</v>
      </c>
      <c r="AM34" s="35" t="e">
        <f t="shared" si="1"/>
        <v>#DIV/0!</v>
      </c>
      <c r="AN34" s="35">
        <v>0.5</v>
      </c>
      <c r="AO34" s="35">
        <v>15</v>
      </c>
      <c r="AP34" s="35">
        <v>444</v>
      </c>
      <c r="AQ34" s="35">
        <v>445</v>
      </c>
      <c r="AR34" s="35">
        <v>446</v>
      </c>
      <c r="AS34" s="35">
        <v>447</v>
      </c>
      <c r="AT34" s="35">
        <v>448</v>
      </c>
      <c r="AU34" s="35">
        <v>449</v>
      </c>
      <c r="AV34" s="35">
        <v>450</v>
      </c>
      <c r="AW34" s="35">
        <v>451</v>
      </c>
      <c r="AX34" s="35">
        <v>452</v>
      </c>
      <c r="AY34" s="35">
        <v>453</v>
      </c>
      <c r="AZ34" s="35">
        <v>520</v>
      </c>
      <c r="BA34" s="43" t="s">
        <v>230</v>
      </c>
    </row>
    <row r="35" spans="1:53" ht="15.75" customHeight="1" x14ac:dyDescent="0.15">
      <c r="A35" s="4">
        <v>2</v>
      </c>
      <c r="B35" s="44" t="str">
        <f>LOOKUP($D35,Site_Meta!$C$2:$C$43,Site_Meta!A$2:A$43)</f>
        <v>Cabezas de San Juan 5m</v>
      </c>
      <c r="C35" s="44" t="str">
        <f>LOOKUP($D35,Site_Meta!$C$2:$C$43,Site_Meta!B$2:B$43)</f>
        <v>Fajardo</v>
      </c>
      <c r="D35" s="44" t="s">
        <v>69</v>
      </c>
      <c r="E35" s="44" t="str">
        <f>LOOKUP($D35,Site_Meta!$C$2:$C$43,Site_Meta!D$2:D$43)</f>
        <v>North/Northeast</v>
      </c>
      <c r="F35" s="44" t="str">
        <f>LOOKUP($D35,Site_Meta!$C$2:$C$43,Site_Meta!E$2:E$43)</f>
        <v>E</v>
      </c>
      <c r="G35" s="44">
        <f>LOOKUP($D35,Site_Meta!$C$2:$C$43,Site_Meta!F$2:F$43)</f>
        <v>18.385439999999999</v>
      </c>
      <c r="H35" s="44">
        <f>LOOKUP($D35,Site_Meta!$C$2:$C$43,Site_Meta!G$2:G$43)</f>
        <v>-65.6297</v>
      </c>
      <c r="I35" s="44">
        <f>LOOKUP($D35,Site_Meta!$C$2:$C$43,Site_Meta!H$2:H$43)</f>
        <v>5</v>
      </c>
      <c r="J35" s="45">
        <v>10</v>
      </c>
      <c r="K35" s="45">
        <v>15</v>
      </c>
      <c r="L35" s="45">
        <v>2023</v>
      </c>
      <c r="M35" s="46" t="str">
        <f t="shared" si="0"/>
        <v>10/15/2023</v>
      </c>
      <c r="N35" s="47" t="s">
        <v>70</v>
      </c>
      <c r="O35" s="47" t="s">
        <v>63</v>
      </c>
      <c r="P35" s="47" t="s">
        <v>58</v>
      </c>
      <c r="Q35" s="47"/>
      <c r="R35" s="38">
        <v>0.28125</v>
      </c>
      <c r="S35" s="38">
        <v>0.28472222222222221</v>
      </c>
      <c r="T35" s="37">
        <v>30.64</v>
      </c>
      <c r="U35" s="37">
        <v>0.68</v>
      </c>
      <c r="V35" s="37">
        <v>36.590000000000003</v>
      </c>
      <c r="W35" s="37">
        <v>0.7</v>
      </c>
      <c r="X35" s="37">
        <v>4.6100000000000003</v>
      </c>
      <c r="Y35" s="37">
        <v>0.7</v>
      </c>
      <c r="Z35" s="37">
        <v>7.65</v>
      </c>
      <c r="AA35" s="37">
        <v>0.7</v>
      </c>
      <c r="AB35" s="37">
        <v>31.78</v>
      </c>
      <c r="AC35" s="37">
        <v>6.5</v>
      </c>
      <c r="AD35" s="37">
        <v>36.06</v>
      </c>
      <c r="AE35" s="37">
        <v>6.7</v>
      </c>
      <c r="AF35" s="37">
        <v>4.51</v>
      </c>
      <c r="AG35" s="37">
        <v>6.9</v>
      </c>
      <c r="AH35" s="37">
        <v>7.72</v>
      </c>
      <c r="AI35" s="37">
        <v>7</v>
      </c>
      <c r="AJ35" s="35" t="s">
        <v>71</v>
      </c>
      <c r="AK35" s="35" t="s">
        <v>71</v>
      </c>
      <c r="AL35" s="35" t="s">
        <v>71</v>
      </c>
      <c r="AM35" s="35" t="e">
        <f t="shared" si="1"/>
        <v>#DIV/0!</v>
      </c>
      <c r="AN35" s="35" t="s">
        <v>59</v>
      </c>
      <c r="AO35" s="35" t="s">
        <v>59</v>
      </c>
      <c r="AP35" s="35" t="s">
        <v>59</v>
      </c>
      <c r="AQ35" s="35" t="s">
        <v>59</v>
      </c>
      <c r="AR35" s="35" t="s">
        <v>59</v>
      </c>
      <c r="AS35" s="35" t="s">
        <v>59</v>
      </c>
      <c r="AT35" s="35" t="s">
        <v>59</v>
      </c>
      <c r="AU35" s="35" t="s">
        <v>59</v>
      </c>
      <c r="AV35" s="35" t="s">
        <v>59</v>
      </c>
      <c r="AW35" s="35" t="s">
        <v>59</v>
      </c>
      <c r="AX35" s="35" t="s">
        <v>59</v>
      </c>
      <c r="AY35" s="35" t="s">
        <v>59</v>
      </c>
      <c r="AZ35" s="35" t="s">
        <v>59</v>
      </c>
      <c r="BA35" s="48" t="s">
        <v>232</v>
      </c>
    </row>
    <row r="36" spans="1:53" ht="15.75" customHeight="1" x14ac:dyDescent="0.15">
      <c r="A36" s="4">
        <v>2</v>
      </c>
      <c r="B36" s="34" t="str">
        <f>LOOKUP($D36,Site_Meta!$C$2:$C$43,Site_Meta!A$2:A$43)</f>
        <v>Cabezas de San Juan 5m</v>
      </c>
      <c r="C36" s="34" t="str">
        <f>LOOKUP($D36,Site_Meta!$C$2:$C$43,Site_Meta!B$2:B$43)</f>
        <v>Fajardo</v>
      </c>
      <c r="D36" s="34" t="s">
        <v>69</v>
      </c>
      <c r="E36" s="34" t="str">
        <f>LOOKUP($D36,Site_Meta!$C$2:$C$43,Site_Meta!D$2:D$43)</f>
        <v>North/Northeast</v>
      </c>
      <c r="F36" s="34" t="str">
        <f>LOOKUP($D36,Site_Meta!$C$2:$C$43,Site_Meta!E$2:E$43)</f>
        <v>E</v>
      </c>
      <c r="G36" s="34">
        <f>LOOKUP($D36,Site_Meta!$C$2:$C$43,Site_Meta!F$2:F$43)</f>
        <v>18.385439999999999</v>
      </c>
      <c r="H36" s="34">
        <f>LOOKUP($D36,Site_Meta!$C$2:$C$43,Site_Meta!G$2:G$43)</f>
        <v>-65.6297</v>
      </c>
      <c r="I36" s="34">
        <f>LOOKUP($D36,Site_Meta!$C$2:$C$43,Site_Meta!H$2:H$43)</f>
        <v>5</v>
      </c>
      <c r="J36" s="35">
        <v>10</v>
      </c>
      <c r="K36" s="35">
        <v>15</v>
      </c>
      <c r="L36" s="35">
        <v>2023</v>
      </c>
      <c r="M36" s="36" t="str">
        <f t="shared" si="0"/>
        <v>10/15/2023</v>
      </c>
      <c r="N36" s="37" t="s">
        <v>70</v>
      </c>
      <c r="O36" s="37" t="s">
        <v>63</v>
      </c>
      <c r="P36" s="37" t="s">
        <v>58</v>
      </c>
      <c r="Q36" s="37"/>
      <c r="R36" s="38">
        <v>0.28541666666666665</v>
      </c>
      <c r="S36" s="38">
        <v>0.30208333333333331</v>
      </c>
      <c r="T36" s="37">
        <v>29.88</v>
      </c>
      <c r="U36" s="37">
        <v>0.47</v>
      </c>
      <c r="V36" s="37">
        <v>36.32</v>
      </c>
      <c r="W36" s="37">
        <v>0.51</v>
      </c>
      <c r="X36" s="37">
        <v>5.76</v>
      </c>
      <c r="Y36" s="37">
        <v>0.52</v>
      </c>
      <c r="Z36" s="37">
        <v>7.09</v>
      </c>
      <c r="AA36" s="37">
        <v>0.52</v>
      </c>
      <c r="AB36" s="37">
        <v>30.05</v>
      </c>
      <c r="AC36" s="37">
        <v>7.43</v>
      </c>
      <c r="AD36" s="37">
        <v>35.96</v>
      </c>
      <c r="AE36" s="37">
        <v>7.44</v>
      </c>
      <c r="AF36" s="37">
        <v>5.74</v>
      </c>
      <c r="AG36" s="37">
        <v>7.44</v>
      </c>
      <c r="AH36" s="37">
        <v>7.14</v>
      </c>
      <c r="AI36" s="37">
        <v>7.4</v>
      </c>
      <c r="AJ36" s="35" t="s">
        <v>71</v>
      </c>
      <c r="AK36" s="35" t="s">
        <v>71</v>
      </c>
      <c r="AL36" s="35" t="s">
        <v>71</v>
      </c>
      <c r="AM36" s="35" t="e">
        <f t="shared" si="1"/>
        <v>#DIV/0!</v>
      </c>
      <c r="AN36" s="35">
        <v>0.5</v>
      </c>
      <c r="AO36" s="35">
        <v>7.5</v>
      </c>
      <c r="AP36" s="35">
        <v>400</v>
      </c>
      <c r="AQ36" s="35">
        <v>401</v>
      </c>
      <c r="AR36" s="35">
        <v>402</v>
      </c>
      <c r="AS36" s="35">
        <v>403</v>
      </c>
      <c r="AT36" s="35">
        <v>404</v>
      </c>
      <c r="AU36" s="35">
        <v>405</v>
      </c>
      <c r="AV36" s="35">
        <v>406</v>
      </c>
      <c r="AW36" s="35">
        <v>407</v>
      </c>
      <c r="AX36" s="35">
        <v>408</v>
      </c>
      <c r="AY36" s="35">
        <v>409</v>
      </c>
      <c r="AZ36" s="35">
        <v>531</v>
      </c>
      <c r="BA36" s="43" t="s">
        <v>61</v>
      </c>
    </row>
    <row r="37" spans="1:53" ht="15.75" customHeight="1" x14ac:dyDescent="0.15">
      <c r="A37" s="4">
        <v>2</v>
      </c>
      <c r="B37" s="44" t="str">
        <f>LOOKUP($D37,Site_Meta!$C$2:$C$43,Site_Meta!A$2:A$43)</f>
        <v>Cayo Diablo 5m</v>
      </c>
      <c r="C37" s="44" t="str">
        <f>LOOKUP($D37,Site_Meta!$C$2:$C$43,Site_Meta!B$2:B$43)</f>
        <v>Fajardo</v>
      </c>
      <c r="D37" s="44" t="s">
        <v>97</v>
      </c>
      <c r="E37" s="44" t="str">
        <f>LOOKUP($D37,Site_Meta!$C$2:$C$43,Site_Meta!D$2:D$43)</f>
        <v>North/Northeast</v>
      </c>
      <c r="F37" s="44" t="str">
        <f>LOOKUP($D37,Site_Meta!$C$2:$C$43,Site_Meta!E$2:E$43)</f>
        <v>E</v>
      </c>
      <c r="G37" s="44">
        <f>LOOKUP($D37,Site_Meta!$C$2:$C$43,Site_Meta!F$2:F$43)</f>
        <v>18.360330000000001</v>
      </c>
      <c r="H37" s="44">
        <f>LOOKUP($D37,Site_Meta!$C$2:$C$43,Site_Meta!G$2:G$43)</f>
        <v>-65.530900000000003</v>
      </c>
      <c r="I37" s="44">
        <f>LOOKUP($D37,Site_Meta!$C$2:$C$43,Site_Meta!H$2:H$43)</f>
        <v>5</v>
      </c>
      <c r="J37" s="45">
        <v>10</v>
      </c>
      <c r="K37" s="45">
        <v>15</v>
      </c>
      <c r="L37" s="45">
        <v>2023</v>
      </c>
      <c r="M37" s="46" t="str">
        <f t="shared" si="0"/>
        <v>10/15/2023</v>
      </c>
      <c r="N37" s="47" t="s">
        <v>70</v>
      </c>
      <c r="O37" s="47" t="s">
        <v>63</v>
      </c>
      <c r="P37" s="47" t="s">
        <v>58</v>
      </c>
      <c r="Q37" s="47"/>
      <c r="R37" s="49">
        <v>0.35069444444444442</v>
      </c>
      <c r="S37" s="49">
        <v>0.3576388888888889</v>
      </c>
      <c r="T37" s="50">
        <v>30.4</v>
      </c>
      <c r="U37" s="50">
        <v>0.51</v>
      </c>
      <c r="V37" s="50">
        <v>36.75</v>
      </c>
      <c r="W37" s="50">
        <v>0.51</v>
      </c>
      <c r="X37" s="50">
        <v>5.16</v>
      </c>
      <c r="Y37" s="50">
        <v>0.51</v>
      </c>
      <c r="Z37" s="50">
        <v>6.19</v>
      </c>
      <c r="AA37" s="50">
        <v>0.51</v>
      </c>
      <c r="AB37" s="50">
        <v>31.97</v>
      </c>
      <c r="AC37" s="50">
        <v>3.55</v>
      </c>
      <c r="AD37" s="50">
        <v>35.76</v>
      </c>
      <c r="AE37" s="50">
        <v>3.55</v>
      </c>
      <c r="AF37" s="50">
        <v>4.5199999999999996</v>
      </c>
      <c r="AG37" s="50">
        <v>3.55</v>
      </c>
      <c r="AH37" s="50">
        <v>7.16</v>
      </c>
      <c r="AI37" s="50">
        <v>3.55</v>
      </c>
      <c r="AJ37" s="45" t="s">
        <v>98</v>
      </c>
      <c r="AK37" s="45" t="s">
        <v>98</v>
      </c>
      <c r="AL37" s="45" t="s">
        <v>98</v>
      </c>
      <c r="AM37" s="45" t="e">
        <f t="shared" si="1"/>
        <v>#DIV/0!</v>
      </c>
      <c r="AN37" s="45" t="s">
        <v>59</v>
      </c>
      <c r="AO37" s="45" t="s">
        <v>59</v>
      </c>
      <c r="AP37" s="45" t="s">
        <v>59</v>
      </c>
      <c r="AQ37" s="45" t="s">
        <v>59</v>
      </c>
      <c r="AR37" s="45" t="s">
        <v>59</v>
      </c>
      <c r="AS37" s="45" t="s">
        <v>59</v>
      </c>
      <c r="AT37" s="45" t="s">
        <v>59</v>
      </c>
      <c r="AU37" s="45" t="s">
        <v>59</v>
      </c>
      <c r="AV37" s="45" t="s">
        <v>59</v>
      </c>
      <c r="AW37" s="45" t="s">
        <v>59</v>
      </c>
      <c r="AX37" s="45" t="s">
        <v>59</v>
      </c>
      <c r="AY37" s="45" t="s">
        <v>59</v>
      </c>
      <c r="AZ37" s="45" t="s">
        <v>59</v>
      </c>
      <c r="BA37" s="48" t="s">
        <v>233</v>
      </c>
    </row>
    <row r="38" spans="1:53" ht="15.75" customHeight="1" x14ac:dyDescent="0.15">
      <c r="A38" s="4">
        <v>2</v>
      </c>
      <c r="B38" s="34" t="str">
        <f>LOOKUP($D38,Site_Meta!$C$2:$C$43,Site_Meta!A$2:A$43)</f>
        <v>Cayo Diablo 5m</v>
      </c>
      <c r="C38" s="34" t="str">
        <f>LOOKUP($D38,Site_Meta!$C$2:$C$43,Site_Meta!B$2:B$43)</f>
        <v>Fajardo</v>
      </c>
      <c r="D38" s="34" t="s">
        <v>97</v>
      </c>
      <c r="E38" s="34" t="str">
        <f>LOOKUP($D38,Site_Meta!$C$2:$C$43,Site_Meta!D$2:D$43)</f>
        <v>North/Northeast</v>
      </c>
      <c r="F38" s="34" t="str">
        <f>LOOKUP($D38,Site_Meta!$C$2:$C$43,Site_Meta!E$2:E$43)</f>
        <v>E</v>
      </c>
      <c r="G38" s="34">
        <f>LOOKUP($D38,Site_Meta!$C$2:$C$43,Site_Meta!F$2:F$43)</f>
        <v>18.360330000000001</v>
      </c>
      <c r="H38" s="34">
        <f>LOOKUP($D38,Site_Meta!$C$2:$C$43,Site_Meta!G$2:G$43)</f>
        <v>-65.530900000000003</v>
      </c>
      <c r="I38" s="34">
        <f>LOOKUP($D38,Site_Meta!$C$2:$C$43,Site_Meta!H$2:H$43)</f>
        <v>5</v>
      </c>
      <c r="J38" s="35">
        <v>10</v>
      </c>
      <c r="K38" s="35">
        <v>15</v>
      </c>
      <c r="L38" s="35">
        <v>2023</v>
      </c>
      <c r="M38" s="36" t="str">
        <f t="shared" si="0"/>
        <v>10/15/2023</v>
      </c>
      <c r="N38" s="37" t="s">
        <v>70</v>
      </c>
      <c r="O38" s="37" t="s">
        <v>63</v>
      </c>
      <c r="P38" s="37" t="s">
        <v>58</v>
      </c>
      <c r="Q38" s="37"/>
      <c r="R38" s="38">
        <v>0.32291666666666669</v>
      </c>
      <c r="S38" s="38">
        <v>0.33611111111111114</v>
      </c>
      <c r="T38" s="35">
        <v>30.24</v>
      </c>
      <c r="U38" s="35">
        <v>0.44</v>
      </c>
      <c r="V38" s="35">
        <v>35.880000000000003</v>
      </c>
      <c r="W38" s="35">
        <v>0.43</v>
      </c>
      <c r="X38" s="35">
        <v>6.01</v>
      </c>
      <c r="Y38" s="35">
        <v>0.43</v>
      </c>
      <c r="Z38" s="35">
        <v>7.83</v>
      </c>
      <c r="AA38" s="35">
        <v>0.43</v>
      </c>
      <c r="AB38" s="35">
        <v>30.28</v>
      </c>
      <c r="AC38" s="35">
        <v>3.5</v>
      </c>
      <c r="AD38" s="35">
        <v>35.86</v>
      </c>
      <c r="AE38" s="35">
        <v>3.4</v>
      </c>
      <c r="AF38" s="35">
        <v>5.79</v>
      </c>
      <c r="AG38" s="35">
        <v>3.3</v>
      </c>
      <c r="AH38" s="35">
        <v>8</v>
      </c>
      <c r="AI38" s="35">
        <v>3.3</v>
      </c>
      <c r="AJ38" s="35" t="s">
        <v>98</v>
      </c>
      <c r="AK38" s="35" t="s">
        <v>98</v>
      </c>
      <c r="AL38" s="35" t="s">
        <v>98</v>
      </c>
      <c r="AM38" s="35" t="e">
        <f t="shared" si="1"/>
        <v>#DIV/0!</v>
      </c>
      <c r="AN38" s="35">
        <v>0.5</v>
      </c>
      <c r="AO38" s="35">
        <v>3.5</v>
      </c>
      <c r="AP38" s="35">
        <v>411</v>
      </c>
      <c r="AQ38" s="35">
        <v>412</v>
      </c>
      <c r="AR38" s="35">
        <v>413</v>
      </c>
      <c r="AS38" s="35">
        <v>414</v>
      </c>
      <c r="AT38" s="35">
        <v>415</v>
      </c>
      <c r="AU38" s="35">
        <v>416</v>
      </c>
      <c r="AV38" s="35">
        <v>417</v>
      </c>
      <c r="AW38" s="35">
        <v>418</v>
      </c>
      <c r="AX38" s="37">
        <v>419</v>
      </c>
      <c r="AY38" s="35">
        <v>420</v>
      </c>
      <c r="AZ38" s="35">
        <v>410</v>
      </c>
      <c r="BA38" s="43" t="s">
        <v>61</v>
      </c>
    </row>
    <row r="39" spans="1:53" ht="15.75" customHeight="1" x14ac:dyDescent="0.15">
      <c r="A39" s="4">
        <v>2</v>
      </c>
      <c r="B39" s="44" t="str">
        <f>LOOKUP($D39,Site_Meta!$C$2:$C$43,Site_Meta!A$2:A$43)</f>
        <v>Palominitos 10m</v>
      </c>
      <c r="C39" s="44" t="str">
        <f>LOOKUP($D39,Site_Meta!$C$2:$C$43,Site_Meta!B$2:B$43)</f>
        <v>Fajardo</v>
      </c>
      <c r="D39" s="44" t="s">
        <v>130</v>
      </c>
      <c r="E39" s="44" t="str">
        <f>LOOKUP($D39,Site_Meta!$C$2:$C$43,Site_Meta!D$2:D$43)</f>
        <v>North/Northeast</v>
      </c>
      <c r="F39" s="44" t="str">
        <f>LOOKUP($D39,Site_Meta!$C$2:$C$43,Site_Meta!E$2:E$43)</f>
        <v>E</v>
      </c>
      <c r="G39" s="44">
        <f>LOOKUP($D39,Site_Meta!$C$2:$C$43,Site_Meta!F$2:F$43)</f>
        <v>18.335370000000001</v>
      </c>
      <c r="H39" s="44">
        <f>LOOKUP($D39,Site_Meta!$C$2:$C$43,Site_Meta!G$2:G$43)</f>
        <v>-65.565600000000003</v>
      </c>
      <c r="I39" s="44">
        <f>LOOKUP($D39,Site_Meta!$C$2:$C$43,Site_Meta!H$2:H$43)</f>
        <v>10</v>
      </c>
      <c r="J39" s="45">
        <v>10</v>
      </c>
      <c r="K39" s="45">
        <v>15</v>
      </c>
      <c r="L39" s="45">
        <v>2023</v>
      </c>
      <c r="M39" s="46" t="str">
        <f t="shared" si="0"/>
        <v>10/15/2023</v>
      </c>
      <c r="N39" s="47" t="s">
        <v>70</v>
      </c>
      <c r="O39" s="47" t="s">
        <v>63</v>
      </c>
      <c r="P39" s="47" t="s">
        <v>58</v>
      </c>
      <c r="Q39" s="47"/>
      <c r="R39" s="49">
        <v>0.38819444444444445</v>
      </c>
      <c r="S39" s="49">
        <v>0.39444444444444443</v>
      </c>
      <c r="T39" s="50">
        <v>30.16</v>
      </c>
      <c r="U39" s="50">
        <v>0.6</v>
      </c>
      <c r="V39" s="50">
        <v>37.020000000000003</v>
      </c>
      <c r="W39" s="50">
        <v>0.6</v>
      </c>
      <c r="X39" s="50">
        <v>5.25</v>
      </c>
      <c r="Y39" s="50">
        <v>0.6</v>
      </c>
      <c r="Z39" s="50">
        <v>6.22</v>
      </c>
      <c r="AA39" s="50">
        <v>0.6</v>
      </c>
      <c r="AB39" s="50">
        <v>32.01</v>
      </c>
      <c r="AC39" s="50">
        <v>5.84</v>
      </c>
      <c r="AD39" s="50">
        <v>35.770000000000003</v>
      </c>
      <c r="AE39" s="50">
        <v>5.84</v>
      </c>
      <c r="AF39" s="50">
        <v>5.89</v>
      </c>
      <c r="AG39" s="50">
        <v>5.84</v>
      </c>
      <c r="AH39" s="50">
        <v>7.18</v>
      </c>
      <c r="AI39" s="50">
        <v>5.84</v>
      </c>
      <c r="AJ39" s="45" t="s">
        <v>131</v>
      </c>
      <c r="AK39" s="45" t="s">
        <v>131</v>
      </c>
      <c r="AL39" s="45" t="s">
        <v>131</v>
      </c>
      <c r="AM39" s="45" t="e">
        <f t="shared" si="1"/>
        <v>#DIV/0!</v>
      </c>
      <c r="AN39" s="45" t="s">
        <v>59</v>
      </c>
      <c r="AO39" s="45" t="s">
        <v>59</v>
      </c>
      <c r="AP39" s="45" t="s">
        <v>59</v>
      </c>
      <c r="AQ39" s="45" t="s">
        <v>59</v>
      </c>
      <c r="AR39" s="45" t="s">
        <v>59</v>
      </c>
      <c r="AS39" s="45" t="s">
        <v>59</v>
      </c>
      <c r="AT39" s="45" t="s">
        <v>59</v>
      </c>
      <c r="AU39" s="45" t="s">
        <v>59</v>
      </c>
      <c r="AV39" s="45" t="s">
        <v>59</v>
      </c>
      <c r="AW39" s="45" t="s">
        <v>59</v>
      </c>
      <c r="AX39" s="45" t="s">
        <v>59</v>
      </c>
      <c r="AY39" s="45" t="s">
        <v>59</v>
      </c>
      <c r="AZ39" s="45" t="s">
        <v>59</v>
      </c>
      <c r="BA39" s="48" t="s">
        <v>233</v>
      </c>
    </row>
    <row r="40" spans="1:53" ht="15.75" customHeight="1" x14ac:dyDescent="0.15">
      <c r="A40" s="4">
        <v>2</v>
      </c>
      <c r="B40" s="34" t="str">
        <f>LOOKUP($D40,Site_Meta!$C$2:$C$43,Site_Meta!A$2:A$43)</f>
        <v>Palominitos 10m</v>
      </c>
      <c r="C40" s="34" t="str">
        <f>LOOKUP($D40,Site_Meta!$C$2:$C$43,Site_Meta!B$2:B$43)</f>
        <v>Fajardo</v>
      </c>
      <c r="D40" s="34" t="s">
        <v>130</v>
      </c>
      <c r="E40" s="34" t="str">
        <f>LOOKUP($D40,Site_Meta!$C$2:$C$43,Site_Meta!D$2:D$43)</f>
        <v>North/Northeast</v>
      </c>
      <c r="F40" s="34" t="str">
        <f>LOOKUP($D40,Site_Meta!$C$2:$C$43,Site_Meta!E$2:E$43)</f>
        <v>E</v>
      </c>
      <c r="G40" s="34">
        <f>LOOKUP($D40,Site_Meta!$C$2:$C$43,Site_Meta!F$2:F$43)</f>
        <v>18.335370000000001</v>
      </c>
      <c r="H40" s="34">
        <f>LOOKUP($D40,Site_Meta!$C$2:$C$43,Site_Meta!G$2:G$43)</f>
        <v>-65.565600000000003</v>
      </c>
      <c r="I40" s="34">
        <f>LOOKUP($D40,Site_Meta!$C$2:$C$43,Site_Meta!H$2:H$43)</f>
        <v>10</v>
      </c>
      <c r="J40" s="35">
        <v>10</v>
      </c>
      <c r="K40" s="35">
        <v>15</v>
      </c>
      <c r="L40" s="35">
        <v>2023</v>
      </c>
      <c r="M40" s="36" t="str">
        <f t="shared" si="0"/>
        <v>10/15/2023</v>
      </c>
      <c r="N40" s="37" t="s">
        <v>70</v>
      </c>
      <c r="O40" s="37" t="s">
        <v>63</v>
      </c>
      <c r="P40" s="37" t="s">
        <v>58</v>
      </c>
      <c r="Q40" s="37"/>
      <c r="R40" s="38">
        <v>0.3527777777777778</v>
      </c>
      <c r="S40" s="38">
        <v>0.37430555555555556</v>
      </c>
      <c r="T40" s="35">
        <v>30.35</v>
      </c>
      <c r="U40" s="35">
        <v>0.53</v>
      </c>
      <c r="V40" s="35">
        <v>35.61</v>
      </c>
      <c r="W40" s="35">
        <v>0.55000000000000004</v>
      </c>
      <c r="X40" s="35">
        <v>6.3</v>
      </c>
      <c r="Y40" s="35">
        <v>0.54</v>
      </c>
      <c r="Z40" s="35">
        <v>7.81</v>
      </c>
      <c r="AA40" s="35">
        <v>0.54</v>
      </c>
      <c r="AB40" s="35">
        <v>30.36</v>
      </c>
      <c r="AC40" s="35">
        <v>8.5</v>
      </c>
      <c r="AD40" s="35">
        <v>34.229999999999997</v>
      </c>
      <c r="AE40" s="35">
        <v>8.1999999999999993</v>
      </c>
      <c r="AF40" s="35">
        <v>6.12</v>
      </c>
      <c r="AG40" s="35">
        <v>8.1</v>
      </c>
      <c r="AH40" s="35">
        <v>8.11</v>
      </c>
      <c r="AI40" s="35">
        <v>7.96</v>
      </c>
      <c r="AJ40" s="35" t="s">
        <v>131</v>
      </c>
      <c r="AK40" s="35" t="s">
        <v>131</v>
      </c>
      <c r="AL40" s="35" t="s">
        <v>131</v>
      </c>
      <c r="AM40" s="35" t="e">
        <f t="shared" si="1"/>
        <v>#DIV/0!</v>
      </c>
      <c r="AN40" s="35">
        <v>0.5</v>
      </c>
      <c r="AO40" s="35">
        <v>8.5</v>
      </c>
      <c r="AP40" s="35">
        <v>422</v>
      </c>
      <c r="AQ40" s="35">
        <v>423</v>
      </c>
      <c r="AR40" s="35">
        <v>424</v>
      </c>
      <c r="AS40" s="35">
        <v>425</v>
      </c>
      <c r="AT40" s="35">
        <v>426</v>
      </c>
      <c r="AU40" s="35">
        <v>427</v>
      </c>
      <c r="AV40" s="35">
        <v>428</v>
      </c>
      <c r="AW40" s="35">
        <v>429</v>
      </c>
      <c r="AX40" s="35">
        <v>430</v>
      </c>
      <c r="AY40" s="35">
        <v>431</v>
      </c>
      <c r="AZ40" s="35">
        <v>421</v>
      </c>
      <c r="BA40" s="43" t="s">
        <v>61</v>
      </c>
    </row>
    <row r="41" spans="1:53" ht="15.75" customHeight="1" x14ac:dyDescent="0.15">
      <c r="A41" s="4">
        <v>2</v>
      </c>
      <c r="B41" s="44" t="str">
        <f>LOOKUP($D41,Site_Meta!$C$2:$C$43,Site_Meta!A$2:A$43)</f>
        <v>Palominos 20m</v>
      </c>
      <c r="C41" s="44" t="str">
        <f>LOOKUP($D41,Site_Meta!$C$2:$C$43,Site_Meta!B$2:B$43)</f>
        <v>Fajardo</v>
      </c>
      <c r="D41" s="44" t="s">
        <v>128</v>
      </c>
      <c r="E41" s="44" t="str">
        <f>LOOKUP($D41,Site_Meta!$C$2:$C$43,Site_Meta!D$2:D$43)</f>
        <v>North/Northeast</v>
      </c>
      <c r="F41" s="44" t="str">
        <f>LOOKUP($D41,Site_Meta!$C$2:$C$43,Site_Meta!E$2:E$43)</f>
        <v>E</v>
      </c>
      <c r="G41" s="44">
        <f>LOOKUP($D41,Site_Meta!$C$2:$C$43,Site_Meta!F$2:F$43)</f>
        <v>18.354659999999999</v>
      </c>
      <c r="H41" s="44">
        <f>LOOKUP($D41,Site_Meta!$C$2:$C$43,Site_Meta!G$2:G$43)</f>
        <v>-65.567099999999996</v>
      </c>
      <c r="I41" s="44">
        <f>LOOKUP($D41,Site_Meta!$C$2:$C$43,Site_Meta!H$2:H$43)</f>
        <v>20</v>
      </c>
      <c r="J41" s="45">
        <v>10</v>
      </c>
      <c r="K41" s="45">
        <v>15</v>
      </c>
      <c r="L41" s="45">
        <v>2023</v>
      </c>
      <c r="M41" s="46" t="str">
        <f t="shared" si="0"/>
        <v>10/15/2023</v>
      </c>
      <c r="N41" s="47" t="s">
        <v>70</v>
      </c>
      <c r="O41" s="47" t="s">
        <v>63</v>
      </c>
      <c r="P41" s="47" t="s">
        <v>58</v>
      </c>
      <c r="Q41" s="47"/>
      <c r="R41" s="49">
        <v>0.41041666666666665</v>
      </c>
      <c r="S41" s="49">
        <v>0.42083333333333334</v>
      </c>
      <c r="T41" s="50">
        <v>30.76</v>
      </c>
      <c r="U41" s="50">
        <v>0.63</v>
      </c>
      <c r="V41" s="50">
        <v>36.68</v>
      </c>
      <c r="W41" s="50">
        <v>0.63</v>
      </c>
      <c r="X41" s="50">
        <v>5.17</v>
      </c>
      <c r="Y41" s="50">
        <v>0.63</v>
      </c>
      <c r="Z41" s="50">
        <v>6.49</v>
      </c>
      <c r="AA41" s="50">
        <v>0.63</v>
      </c>
      <c r="AB41" s="50">
        <v>32.04</v>
      </c>
      <c r="AC41" s="50">
        <v>18.149999999999999</v>
      </c>
      <c r="AD41" s="50">
        <v>35.770000000000003</v>
      </c>
      <c r="AE41" s="50">
        <v>18.149999999999999</v>
      </c>
      <c r="AF41" s="50">
        <v>4.91</v>
      </c>
      <c r="AG41" s="50">
        <v>18.149999999999999</v>
      </c>
      <c r="AH41" s="50">
        <v>6.99</v>
      </c>
      <c r="AI41" s="50">
        <v>18.149999999999999</v>
      </c>
      <c r="AJ41" s="45">
        <v>12.25</v>
      </c>
      <c r="AK41" s="45">
        <v>12.5</v>
      </c>
      <c r="AL41" s="45">
        <v>12.5</v>
      </c>
      <c r="AM41" s="45">
        <f t="shared" si="1"/>
        <v>12.416666666666666</v>
      </c>
      <c r="AN41" s="45" t="s">
        <v>59</v>
      </c>
      <c r="AO41" s="45" t="s">
        <v>59</v>
      </c>
      <c r="AP41" s="45" t="s">
        <v>59</v>
      </c>
      <c r="AQ41" s="45" t="s">
        <v>59</v>
      </c>
      <c r="AR41" s="45" t="s">
        <v>59</v>
      </c>
      <c r="AS41" s="45" t="s">
        <v>59</v>
      </c>
      <c r="AT41" s="45" t="s">
        <v>59</v>
      </c>
      <c r="AU41" s="45" t="s">
        <v>59</v>
      </c>
      <c r="AV41" s="45" t="s">
        <v>59</v>
      </c>
      <c r="AW41" s="45" t="s">
        <v>59</v>
      </c>
      <c r="AX41" s="45" t="s">
        <v>59</v>
      </c>
      <c r="AY41" s="45" t="s">
        <v>59</v>
      </c>
      <c r="AZ41" s="45" t="s">
        <v>59</v>
      </c>
      <c r="BA41" s="48" t="s">
        <v>233</v>
      </c>
    </row>
    <row r="42" spans="1:53" ht="15.75" customHeight="1" x14ac:dyDescent="0.15">
      <c r="A42" s="4">
        <v>2</v>
      </c>
      <c r="B42" s="34" t="str">
        <f>LOOKUP($D42,Site_Meta!$C$2:$C$43,Site_Meta!A$2:A$43)</f>
        <v>Palominos 20m</v>
      </c>
      <c r="C42" s="34" t="str">
        <f>LOOKUP($D42,Site_Meta!$C$2:$C$43,Site_Meta!B$2:B$43)</f>
        <v>Fajardo</v>
      </c>
      <c r="D42" s="34" t="s">
        <v>128</v>
      </c>
      <c r="E42" s="34" t="str">
        <f>LOOKUP($D42,Site_Meta!$C$2:$C$43,Site_Meta!D$2:D$43)</f>
        <v>North/Northeast</v>
      </c>
      <c r="F42" s="34" t="str">
        <f>LOOKUP($D42,Site_Meta!$C$2:$C$43,Site_Meta!E$2:E$43)</f>
        <v>E</v>
      </c>
      <c r="G42" s="34">
        <f>LOOKUP($D42,Site_Meta!$C$2:$C$43,Site_Meta!F$2:F$43)</f>
        <v>18.354659999999999</v>
      </c>
      <c r="H42" s="34">
        <f>LOOKUP($D42,Site_Meta!$C$2:$C$43,Site_Meta!G$2:G$43)</f>
        <v>-65.567099999999996</v>
      </c>
      <c r="I42" s="34">
        <f>LOOKUP($D42,Site_Meta!$C$2:$C$43,Site_Meta!H$2:H$43)</f>
        <v>20</v>
      </c>
      <c r="J42" s="35">
        <v>10</v>
      </c>
      <c r="K42" s="35">
        <v>15</v>
      </c>
      <c r="L42" s="35">
        <v>2023</v>
      </c>
      <c r="M42" s="36" t="str">
        <f t="shared" si="0"/>
        <v>10/15/2023</v>
      </c>
      <c r="N42" s="37" t="s">
        <v>70</v>
      </c>
      <c r="O42" s="37" t="s">
        <v>63</v>
      </c>
      <c r="P42" s="37" t="s">
        <v>58</v>
      </c>
      <c r="Q42" s="37"/>
      <c r="R42" s="38">
        <v>0.40694444444444444</v>
      </c>
      <c r="S42" s="38">
        <v>0.42152777777777778</v>
      </c>
      <c r="T42" s="39" t="s">
        <v>59</v>
      </c>
      <c r="U42" s="39" t="s">
        <v>59</v>
      </c>
      <c r="V42" s="39" t="s">
        <v>59</v>
      </c>
      <c r="W42" s="39" t="s">
        <v>59</v>
      </c>
      <c r="X42" s="39" t="s">
        <v>59</v>
      </c>
      <c r="Y42" s="39" t="s">
        <v>59</v>
      </c>
      <c r="Z42" s="39" t="s">
        <v>59</v>
      </c>
      <c r="AA42" s="39" t="s">
        <v>59</v>
      </c>
      <c r="AB42" s="39" t="s">
        <v>59</v>
      </c>
      <c r="AC42" s="39" t="s">
        <v>59</v>
      </c>
      <c r="AD42" s="39" t="s">
        <v>59</v>
      </c>
      <c r="AE42" s="39" t="s">
        <v>59</v>
      </c>
      <c r="AF42" s="39" t="s">
        <v>59</v>
      </c>
      <c r="AG42" s="39" t="s">
        <v>59</v>
      </c>
      <c r="AH42" s="39" t="s">
        <v>59</v>
      </c>
      <c r="AI42" s="39" t="s">
        <v>59</v>
      </c>
      <c r="AJ42" s="35">
        <v>12.25</v>
      </c>
      <c r="AK42" s="35">
        <v>12.5</v>
      </c>
      <c r="AL42" s="35">
        <v>12.5</v>
      </c>
      <c r="AM42" s="35">
        <f t="shared" si="1"/>
        <v>12.416666666666666</v>
      </c>
      <c r="AN42" s="35">
        <v>0.5</v>
      </c>
      <c r="AO42" s="35">
        <v>17.5</v>
      </c>
      <c r="AP42" s="35">
        <v>433</v>
      </c>
      <c r="AQ42" s="35">
        <v>434</v>
      </c>
      <c r="AR42" s="35">
        <v>435</v>
      </c>
      <c r="AS42" s="35">
        <v>436</v>
      </c>
      <c r="AT42" s="35">
        <v>437</v>
      </c>
      <c r="AU42" s="35">
        <v>438</v>
      </c>
      <c r="AV42" s="35">
        <v>439</v>
      </c>
      <c r="AW42" s="35">
        <v>440</v>
      </c>
      <c r="AX42" s="35">
        <v>441</v>
      </c>
      <c r="AY42" s="35">
        <v>442</v>
      </c>
      <c r="AZ42" s="35">
        <v>432</v>
      </c>
      <c r="BA42" s="43" t="s">
        <v>61</v>
      </c>
    </row>
    <row r="43" spans="1:53" ht="15.75" customHeight="1" x14ac:dyDescent="0.15">
      <c r="A43" s="4">
        <v>2</v>
      </c>
      <c r="B43" s="35" t="str">
        <f>LOOKUP($D43,Site_Meta!$C$2:$C$43,Site_Meta!A$2:A$43)</f>
        <v>Puerto Botes 20m</v>
      </c>
      <c r="C43" s="35" t="str">
        <f>LOOKUP($D43,Site_Meta!$C$2:$C$43,Site_Meta!B$2:B$43)</f>
        <v>Isla Desecheo</v>
      </c>
      <c r="D43" s="35" t="s">
        <v>66</v>
      </c>
      <c r="E43" s="35" t="str">
        <f>LOOKUP($D43,Site_Meta!$C$2:$C$43,Site_Meta!D$2:D$43)</f>
        <v>Mona/Desecheo</v>
      </c>
      <c r="F43" s="35" t="str">
        <f>LOOKUP($D43,Site_Meta!$C$2:$C$43,Site_Meta!E$2:E$43)</f>
        <v>W</v>
      </c>
      <c r="G43" s="35">
        <f>LOOKUP($D43,Site_Meta!$C$2:$C$43,Site_Meta!F$2:F$43)</f>
        <v>18.38158</v>
      </c>
      <c r="H43" s="35">
        <f>LOOKUP($D43,Site_Meta!$C$2:$C$43,Site_Meta!G$2:G$43)</f>
        <v>-67.488600000000005</v>
      </c>
      <c r="I43" s="35">
        <f>LOOKUP($D43,Site_Meta!$C$2:$C$43,Site_Meta!H$2:H$43)</f>
        <v>20</v>
      </c>
      <c r="J43" s="35">
        <v>10</v>
      </c>
      <c r="K43" s="35">
        <v>23</v>
      </c>
      <c r="L43" s="35">
        <v>2023</v>
      </c>
      <c r="M43" s="35" t="str">
        <f t="shared" si="0"/>
        <v>10/23/2023</v>
      </c>
      <c r="N43" s="35" t="s">
        <v>56</v>
      </c>
      <c r="O43" s="35" t="s">
        <v>63</v>
      </c>
      <c r="P43" s="35" t="s">
        <v>57</v>
      </c>
      <c r="Q43" s="35"/>
      <c r="R43" s="35">
        <v>0.3972222222222222</v>
      </c>
      <c r="S43" s="35">
        <v>0.42638888888888887</v>
      </c>
      <c r="T43" s="35">
        <v>30.19</v>
      </c>
      <c r="U43" s="35">
        <v>0.68</v>
      </c>
      <c r="V43" s="35">
        <v>35.82</v>
      </c>
      <c r="W43" s="35">
        <v>0.72</v>
      </c>
      <c r="X43" s="35">
        <v>6.18</v>
      </c>
      <c r="Y43" s="35">
        <v>0.75</v>
      </c>
      <c r="Z43" s="35">
        <v>8.18</v>
      </c>
      <c r="AA43" s="35">
        <v>0.7</v>
      </c>
      <c r="AB43" s="35">
        <v>30.9</v>
      </c>
      <c r="AC43" s="35">
        <v>18.2</v>
      </c>
      <c r="AD43" s="35">
        <v>36.14</v>
      </c>
      <c r="AE43" s="35">
        <v>18.21</v>
      </c>
      <c r="AF43" s="35">
        <v>6.23</v>
      </c>
      <c r="AG43" s="35">
        <v>18.489999999999998</v>
      </c>
      <c r="AH43" s="35">
        <v>8.2100000000000009</v>
      </c>
      <c r="AI43" s="35">
        <v>18.489999999999998</v>
      </c>
      <c r="AJ43" s="35" t="s">
        <v>67</v>
      </c>
      <c r="AK43" s="35" t="s">
        <v>67</v>
      </c>
      <c r="AL43" s="35" t="s">
        <v>67</v>
      </c>
      <c r="AM43" s="35" t="e">
        <f t="shared" si="1"/>
        <v>#DIV/0!</v>
      </c>
      <c r="AN43" s="35">
        <v>0.5</v>
      </c>
      <c r="AO43" s="35">
        <v>18.5</v>
      </c>
      <c r="AP43" s="35">
        <v>466</v>
      </c>
      <c r="AQ43" s="35">
        <v>467</v>
      </c>
      <c r="AR43" s="35">
        <v>468</v>
      </c>
      <c r="AS43" s="35">
        <v>469</v>
      </c>
      <c r="AT43" s="35">
        <v>470</v>
      </c>
      <c r="AU43" s="35">
        <v>471</v>
      </c>
      <c r="AV43" s="35">
        <v>472</v>
      </c>
      <c r="AW43" s="35">
        <v>473</v>
      </c>
      <c r="AX43" s="35">
        <v>474</v>
      </c>
      <c r="AY43" s="35">
        <v>475</v>
      </c>
      <c r="AZ43" s="35">
        <v>374</v>
      </c>
      <c r="BA43" s="35" t="s">
        <v>77</v>
      </c>
    </row>
    <row r="44" spans="1:53" ht="15.75" customHeight="1" x14ac:dyDescent="0.15">
      <c r="A44" s="4">
        <v>2</v>
      </c>
      <c r="B44" s="35" t="str">
        <f>LOOKUP($D44,Site_Meta!$C$2:$C$43,Site_Meta!A$2:A$43)</f>
        <v>Puerto Botes 15m</v>
      </c>
      <c r="C44" s="35" t="str">
        <f>LOOKUP($D44,Site_Meta!$C$2:$C$43,Site_Meta!B$2:B$43)</f>
        <v>Isla Desecheo</v>
      </c>
      <c r="D44" s="35" t="s">
        <v>62</v>
      </c>
      <c r="E44" s="35" t="str">
        <f>LOOKUP($D44,Site_Meta!$C$2:$C$43,Site_Meta!D$2:D$43)</f>
        <v>Mona/Desecheo</v>
      </c>
      <c r="F44" s="35" t="str">
        <f>LOOKUP($D44,Site_Meta!$C$2:$C$43,Site_Meta!E$2:E$43)</f>
        <v>W</v>
      </c>
      <c r="G44" s="35">
        <f>LOOKUP($D44,Site_Meta!$C$2:$C$43,Site_Meta!F$2:F$43)</f>
        <v>18.382000000000001</v>
      </c>
      <c r="H44" s="35">
        <f>LOOKUP($D44,Site_Meta!$C$2:$C$43,Site_Meta!G$2:G$43)</f>
        <v>-67.488299999999995</v>
      </c>
      <c r="I44" s="35">
        <f>LOOKUP($D44,Site_Meta!$C$2:$C$43,Site_Meta!H$2:H$43)</f>
        <v>15</v>
      </c>
      <c r="J44" s="35">
        <v>10</v>
      </c>
      <c r="K44" s="35">
        <v>23</v>
      </c>
      <c r="L44" s="35">
        <v>2023</v>
      </c>
      <c r="M44" s="35" t="str">
        <f t="shared" si="0"/>
        <v>10/23/2023</v>
      </c>
      <c r="N44" s="35" t="s">
        <v>56</v>
      </c>
      <c r="O44" s="35" t="s">
        <v>63</v>
      </c>
      <c r="P44" s="35" t="s">
        <v>57</v>
      </c>
      <c r="Q44" s="35"/>
      <c r="R44" s="35">
        <v>0.42777777777777776</v>
      </c>
      <c r="S44" s="35">
        <v>0.45</v>
      </c>
      <c r="T44" s="35">
        <v>30.21</v>
      </c>
      <c r="U44" s="35">
        <v>0.5</v>
      </c>
      <c r="V44" s="35">
        <v>35.21</v>
      </c>
      <c r="W44" s="35">
        <v>0.56999999999999995</v>
      </c>
      <c r="X44" s="35">
        <v>6.36</v>
      </c>
      <c r="Y44" s="35">
        <v>0.55000000000000004</v>
      </c>
      <c r="Z44" s="35">
        <v>8.17</v>
      </c>
      <c r="AA44" s="35">
        <v>0.56999999999999995</v>
      </c>
      <c r="AB44" s="35">
        <v>30.13</v>
      </c>
      <c r="AC44" s="35">
        <v>15.91</v>
      </c>
      <c r="AD44" s="35">
        <v>36.03</v>
      </c>
      <c r="AE44" s="35">
        <v>15.86</v>
      </c>
      <c r="AF44" s="35">
        <v>6.21</v>
      </c>
      <c r="AG44" s="35">
        <v>15.91</v>
      </c>
      <c r="AH44" s="35">
        <v>8.2100000000000009</v>
      </c>
      <c r="AI44" s="35">
        <v>15.91</v>
      </c>
      <c r="AJ44" s="35" t="s">
        <v>64</v>
      </c>
      <c r="AK44" s="35" t="s">
        <v>64</v>
      </c>
      <c r="AL44" s="35" t="s">
        <v>64</v>
      </c>
      <c r="AM44" s="35" t="e">
        <f t="shared" si="1"/>
        <v>#DIV/0!</v>
      </c>
      <c r="AN44" s="35">
        <v>0.5</v>
      </c>
      <c r="AO44" s="35">
        <v>15</v>
      </c>
      <c r="AP44" s="35">
        <v>532</v>
      </c>
      <c r="AQ44" s="35">
        <v>533</v>
      </c>
      <c r="AR44" s="35">
        <v>534</v>
      </c>
      <c r="AS44" s="35">
        <v>535</v>
      </c>
      <c r="AT44" s="35">
        <v>536</v>
      </c>
      <c r="AU44" s="35">
        <v>537</v>
      </c>
      <c r="AV44" s="35">
        <v>538</v>
      </c>
      <c r="AW44" s="35">
        <v>539</v>
      </c>
      <c r="AX44" s="35">
        <v>540</v>
      </c>
      <c r="AY44" s="35">
        <v>541</v>
      </c>
      <c r="AZ44" s="35">
        <v>433</v>
      </c>
      <c r="BA44" s="35" t="s">
        <v>77</v>
      </c>
    </row>
    <row r="45" spans="1:53" ht="15.75" customHeight="1" x14ac:dyDescent="0.15">
      <c r="A45" s="4">
        <v>2</v>
      </c>
      <c r="B45" s="35" t="str">
        <f>LOOKUP($D45,Site_Meta!$C$2:$C$43,Site_Meta!A$2:A$43)</f>
        <v>Puerto Canoas 30m</v>
      </c>
      <c r="C45" s="35" t="str">
        <f>LOOKUP($D45,Site_Meta!$C$2:$C$43,Site_Meta!B$2:B$43)</f>
        <v>Isla Desecheo</v>
      </c>
      <c r="D45" s="35" t="s">
        <v>75</v>
      </c>
      <c r="E45" s="35" t="str">
        <f>LOOKUP($D45,Site_Meta!$C$2:$C$43,Site_Meta!D$2:D$43)</f>
        <v>Mona/Desecheo</v>
      </c>
      <c r="F45" s="35" t="str">
        <f>LOOKUP($D45,Site_Meta!$C$2:$C$43,Site_Meta!E$2:E$43)</f>
        <v>W</v>
      </c>
      <c r="G45" s="35">
        <f>LOOKUP($D45,Site_Meta!$C$2:$C$43,Site_Meta!F$2:F$43)</f>
        <v>18.377469999999999</v>
      </c>
      <c r="H45" s="35">
        <f>LOOKUP($D45,Site_Meta!$C$2:$C$43,Site_Meta!G$2:G$43)</f>
        <v>-67.483999999999995</v>
      </c>
      <c r="I45" s="35">
        <f>LOOKUP($D45,Site_Meta!$C$2:$C$43,Site_Meta!H$2:H$43)</f>
        <v>30</v>
      </c>
      <c r="J45" s="35">
        <v>10</v>
      </c>
      <c r="K45" s="35">
        <v>23</v>
      </c>
      <c r="L45" s="35">
        <v>2023</v>
      </c>
      <c r="M45" s="35" t="str">
        <f t="shared" si="0"/>
        <v>10/23/2023</v>
      </c>
      <c r="N45" s="35" t="s">
        <v>56</v>
      </c>
      <c r="O45" s="35" t="s">
        <v>63</v>
      </c>
      <c r="P45" s="35" t="s">
        <v>57</v>
      </c>
      <c r="Q45" s="35"/>
      <c r="R45" s="35">
        <v>0.45763888888888887</v>
      </c>
      <c r="S45" s="35">
        <v>0.48333333333333334</v>
      </c>
      <c r="T45" s="35">
        <v>30.25</v>
      </c>
      <c r="U45" s="35">
        <v>0.51</v>
      </c>
      <c r="V45" s="35">
        <v>36.049999999999997</v>
      </c>
      <c r="W45" s="35">
        <v>5</v>
      </c>
      <c r="X45" s="35">
        <v>6.33</v>
      </c>
      <c r="Y45" s="35">
        <v>0.56000000000000005</v>
      </c>
      <c r="Z45" s="35">
        <v>8.1999999999999993</v>
      </c>
      <c r="AA45" s="35">
        <v>0.52</v>
      </c>
      <c r="AB45" s="35">
        <v>30.19</v>
      </c>
      <c r="AC45" s="35">
        <v>26.61</v>
      </c>
      <c r="AD45" s="35">
        <v>36.049999999999997</v>
      </c>
      <c r="AE45" s="35">
        <v>26.65</v>
      </c>
      <c r="AF45" s="35">
        <v>6.22</v>
      </c>
      <c r="AG45" s="35">
        <v>26.52</v>
      </c>
      <c r="AH45" s="35">
        <v>8.2200000000000006</v>
      </c>
      <c r="AI45" s="35">
        <v>26.67</v>
      </c>
      <c r="AJ45" s="35" t="s">
        <v>76</v>
      </c>
      <c r="AK45" s="35" t="s">
        <v>76</v>
      </c>
      <c r="AL45" s="35" t="s">
        <v>76</v>
      </c>
      <c r="AM45" s="35" t="e">
        <f t="shared" si="1"/>
        <v>#DIV/0!</v>
      </c>
      <c r="AN45" s="35">
        <v>0.5</v>
      </c>
      <c r="AO45" s="35">
        <v>26.5</v>
      </c>
      <c r="AP45" s="35">
        <v>521</v>
      </c>
      <c r="AQ45" s="35">
        <v>522</v>
      </c>
      <c r="AR45" s="35">
        <v>523</v>
      </c>
      <c r="AS45" s="35">
        <v>524</v>
      </c>
      <c r="AT45" s="35">
        <v>525</v>
      </c>
      <c r="AU45" s="35">
        <v>526</v>
      </c>
      <c r="AV45" s="35">
        <v>527</v>
      </c>
      <c r="AW45" s="35">
        <v>528</v>
      </c>
      <c r="AX45" s="35">
        <v>529</v>
      </c>
      <c r="AY45" s="35">
        <v>530</v>
      </c>
      <c r="AZ45" s="35">
        <v>542</v>
      </c>
      <c r="BA45" s="35" t="s">
        <v>77</v>
      </c>
    </row>
    <row r="46" spans="1:53" ht="15.75" customHeight="1" x14ac:dyDescent="0.15">
      <c r="A46" s="4">
        <v>2</v>
      </c>
      <c r="B46" s="35" t="str">
        <f>LOOKUP($D46,Site_Meta!$C$2:$C$43,Site_Meta!A$2:A$43)</f>
        <v>Puerto Canoas 30m</v>
      </c>
      <c r="C46" s="35" t="str">
        <f>LOOKUP($D46,Site_Meta!$C$2:$C$43,Site_Meta!B$2:B$43)</f>
        <v>Isla Desecheo</v>
      </c>
      <c r="D46" s="35" t="s">
        <v>78</v>
      </c>
      <c r="E46" s="35" t="str">
        <f>LOOKUP($D46,Site_Meta!$C$2:$C$43,Site_Meta!D$2:D$43)</f>
        <v>Mona/Desecheo</v>
      </c>
      <c r="F46" s="35" t="str">
        <f>LOOKUP($D46,Site_Meta!$C$2:$C$43,Site_Meta!E$2:E$43)</f>
        <v>W</v>
      </c>
      <c r="G46" s="35">
        <f>LOOKUP($D46,Site_Meta!$C$2:$C$43,Site_Meta!F$2:F$43)</f>
        <v>18.377469999999999</v>
      </c>
      <c r="H46" s="35">
        <f>LOOKUP($D46,Site_Meta!$C$2:$C$43,Site_Meta!G$2:G$43)</f>
        <v>-67.483999999999995</v>
      </c>
      <c r="I46" s="35">
        <f>LOOKUP($D46,Site_Meta!$C$2:$C$43,Site_Meta!H$2:H$43)</f>
        <v>30</v>
      </c>
      <c r="J46" s="35">
        <v>10</v>
      </c>
      <c r="K46" s="35">
        <v>23</v>
      </c>
      <c r="L46" s="35">
        <v>2023</v>
      </c>
      <c r="M46" s="35" t="str">
        <f t="shared" si="0"/>
        <v>10/23/2023</v>
      </c>
      <c r="N46" s="35" t="s">
        <v>56</v>
      </c>
      <c r="O46" s="35" t="s">
        <v>63</v>
      </c>
      <c r="P46" s="35" t="s">
        <v>57</v>
      </c>
      <c r="Q46" s="35"/>
      <c r="R46" s="35">
        <v>0.48472222222222222</v>
      </c>
      <c r="S46" s="35">
        <v>0.50624999999999998</v>
      </c>
      <c r="T46" s="35">
        <v>30.27</v>
      </c>
      <c r="U46" s="35">
        <v>0.53</v>
      </c>
      <c r="V46" s="35">
        <v>35.94</v>
      </c>
      <c r="W46" s="35">
        <v>0.54</v>
      </c>
      <c r="X46" s="35">
        <v>6.36</v>
      </c>
      <c r="Y46" s="35">
        <v>0.54</v>
      </c>
      <c r="Z46" s="35">
        <v>8.1999999999999993</v>
      </c>
      <c r="AA46" s="35">
        <v>0.51</v>
      </c>
      <c r="AB46" s="35">
        <v>30.18</v>
      </c>
      <c r="AC46" s="35">
        <v>29.26</v>
      </c>
      <c r="AD46" s="35">
        <v>36.06</v>
      </c>
      <c r="AE46" s="35">
        <v>28.96</v>
      </c>
      <c r="AF46" s="35">
        <v>6.25</v>
      </c>
      <c r="AG46" s="35">
        <v>29.3</v>
      </c>
      <c r="AH46" s="35">
        <v>8.2200000000000006</v>
      </c>
      <c r="AI46" s="35">
        <v>29.11</v>
      </c>
      <c r="AJ46" s="35" t="s">
        <v>79</v>
      </c>
      <c r="AK46" s="35" t="s">
        <v>79</v>
      </c>
      <c r="AL46" s="35" t="s">
        <v>79</v>
      </c>
      <c r="AM46" s="35" t="e">
        <f t="shared" si="1"/>
        <v>#DIV/0!</v>
      </c>
      <c r="AN46" s="35">
        <v>0.5</v>
      </c>
      <c r="AO46" s="35">
        <v>29</v>
      </c>
      <c r="AP46" s="35">
        <v>510</v>
      </c>
      <c r="AQ46" s="35">
        <v>511</v>
      </c>
      <c r="AR46" s="35">
        <v>512</v>
      </c>
      <c r="AS46" s="35">
        <v>513</v>
      </c>
      <c r="AT46" s="35">
        <v>514</v>
      </c>
      <c r="AU46" s="35">
        <v>515</v>
      </c>
      <c r="AV46" s="35">
        <v>516</v>
      </c>
      <c r="AW46" s="35">
        <v>517</v>
      </c>
      <c r="AX46" s="35">
        <v>518</v>
      </c>
      <c r="AY46" s="35">
        <v>519</v>
      </c>
      <c r="AZ46" s="35">
        <v>399</v>
      </c>
      <c r="BA46" s="35" t="s">
        <v>77</v>
      </c>
    </row>
    <row r="47" spans="1:53" ht="15.75" customHeight="1" x14ac:dyDescent="0.15">
      <c r="A47" s="4">
        <v>2</v>
      </c>
      <c r="B47" s="35" t="str">
        <f>LOOKUP($D47,Site_Meta!$C$2:$C$43,Site_Meta!A$2:A$43)</f>
        <v>Manchas Exteriores 10m</v>
      </c>
      <c r="C47" s="35" t="str">
        <f>LOOKUP($D47,Site_Meta!$C$2:$C$43,Site_Meta!B$2:B$43)</f>
        <v>Mayaguez</v>
      </c>
      <c r="D47" s="35" t="s">
        <v>113</v>
      </c>
      <c r="E47" s="35" t="str">
        <f>LOOKUP($D47,Site_Meta!$C$2:$C$43,Site_Meta!D$2:D$43)</f>
        <v>West</v>
      </c>
      <c r="F47" s="35" t="str">
        <f>LOOKUP($D47,Site_Meta!$C$2:$C$43,Site_Meta!E$2:E$43)</f>
        <v>W</v>
      </c>
      <c r="G47" s="35">
        <f>LOOKUP($D47,Site_Meta!$C$2:$C$43,Site_Meta!F$2:F$43)</f>
        <v>18.233529999999998</v>
      </c>
      <c r="H47" s="35">
        <f>LOOKUP($D47,Site_Meta!$C$2:$C$43,Site_Meta!G$2:G$43)</f>
        <v>-67.200599999999994</v>
      </c>
      <c r="I47" s="35">
        <f>LOOKUP($D47,Site_Meta!$C$2:$C$43,Site_Meta!H$2:H$43)</f>
        <v>10</v>
      </c>
      <c r="J47" s="35">
        <v>10</v>
      </c>
      <c r="K47" s="35">
        <v>23</v>
      </c>
      <c r="L47" s="35">
        <v>2023</v>
      </c>
      <c r="M47" s="35" t="str">
        <f t="shared" si="0"/>
        <v>10/23/2023</v>
      </c>
      <c r="N47" s="35" t="s">
        <v>56</v>
      </c>
      <c r="O47" s="35" t="s">
        <v>63</v>
      </c>
      <c r="P47" s="35" t="s">
        <v>57</v>
      </c>
      <c r="Q47" s="35"/>
      <c r="R47" s="35">
        <v>0.57499999999999996</v>
      </c>
      <c r="S47" s="35">
        <v>0.6020833333333333</v>
      </c>
      <c r="T47" s="35">
        <v>30.7</v>
      </c>
      <c r="U47" s="35">
        <v>0.51</v>
      </c>
      <c r="V47" s="35">
        <v>35.32</v>
      </c>
      <c r="W47" s="35">
        <v>0.51</v>
      </c>
      <c r="X47" s="35">
        <v>6.21</v>
      </c>
      <c r="Y47" s="35">
        <v>0.51</v>
      </c>
      <c r="Z47" s="35">
        <v>8.1199999999999992</v>
      </c>
      <c r="AA47" s="35">
        <v>0.54</v>
      </c>
      <c r="AB47" s="35">
        <v>30.67</v>
      </c>
      <c r="AC47" s="35">
        <v>11.4</v>
      </c>
      <c r="AD47" s="35">
        <v>35.46</v>
      </c>
      <c r="AE47" s="35">
        <v>10.96</v>
      </c>
      <c r="AF47" s="35">
        <v>6.22</v>
      </c>
      <c r="AG47" s="35">
        <v>10.5</v>
      </c>
      <c r="AH47" s="35">
        <v>8.19</v>
      </c>
      <c r="AI47" s="35">
        <v>10.3</v>
      </c>
      <c r="AJ47" s="35" t="s">
        <v>82</v>
      </c>
      <c r="AK47" s="35" t="s">
        <v>82</v>
      </c>
      <c r="AL47" s="35" t="s">
        <v>82</v>
      </c>
      <c r="AM47" s="35" t="e">
        <f t="shared" si="1"/>
        <v>#DIV/0!</v>
      </c>
      <c r="AN47" s="35">
        <v>0.5</v>
      </c>
      <c r="AO47" s="35">
        <v>10</v>
      </c>
      <c r="AP47" s="35">
        <v>499</v>
      </c>
      <c r="AQ47" s="35">
        <v>500</v>
      </c>
      <c r="AR47" s="35">
        <v>501</v>
      </c>
      <c r="AS47" s="35">
        <v>502</v>
      </c>
      <c r="AT47" s="35">
        <v>503</v>
      </c>
      <c r="AU47" s="35">
        <v>504</v>
      </c>
      <c r="AV47" s="35">
        <v>505</v>
      </c>
      <c r="AW47" s="35">
        <v>506</v>
      </c>
      <c r="AX47" s="35">
        <v>507</v>
      </c>
      <c r="AY47" s="35">
        <v>508</v>
      </c>
      <c r="AZ47" s="35">
        <v>355</v>
      </c>
      <c r="BA47" s="35" t="s">
        <v>77</v>
      </c>
    </row>
    <row r="48" spans="1:53" ht="15.75" customHeight="1" x14ac:dyDescent="0.15">
      <c r="A48" s="4">
        <v>2</v>
      </c>
      <c r="B48" s="35" t="str">
        <f>LOOKUP($D48,Site_Meta!$C$2:$C$43,Site_Meta!A$2:A$43)</f>
        <v>Tres Palmas 05m</v>
      </c>
      <c r="C48" s="35" t="str">
        <f>LOOKUP($D48,Site_Meta!$C$2:$C$43,Site_Meta!B$2:B$43)</f>
        <v>Rincon</v>
      </c>
      <c r="D48" s="35" t="s">
        <v>143</v>
      </c>
      <c r="E48" s="35" t="str">
        <f>LOOKUP($D48,Site_Meta!$C$2:$C$43,Site_Meta!D$2:D$43)</f>
        <v>West</v>
      </c>
      <c r="F48" s="35" t="str">
        <f>LOOKUP($D48,Site_Meta!$C$2:$C$43,Site_Meta!E$2:E$43)</f>
        <v>W</v>
      </c>
      <c r="G48" s="35">
        <f>LOOKUP($D48,Site_Meta!$C$2:$C$43,Site_Meta!F$2:F$43)</f>
        <v>18.350719999999999</v>
      </c>
      <c r="H48" s="35">
        <f>LOOKUP($D48,Site_Meta!$C$2:$C$43,Site_Meta!G$2:G$43)</f>
        <v>-67.266900000000007</v>
      </c>
      <c r="I48" s="35">
        <f>LOOKUP($D48,Site_Meta!$C$2:$C$43,Site_Meta!H$2:H$43)</f>
        <v>5</v>
      </c>
      <c r="J48" s="35">
        <v>10</v>
      </c>
      <c r="K48" s="35">
        <v>24</v>
      </c>
      <c r="L48" s="35">
        <v>2023</v>
      </c>
      <c r="M48" s="35" t="str">
        <f t="shared" si="0"/>
        <v>10/24/2023</v>
      </c>
      <c r="N48" s="35" t="s">
        <v>56</v>
      </c>
      <c r="O48" s="35" t="s">
        <v>63</v>
      </c>
      <c r="P48" s="35" t="s">
        <v>115</v>
      </c>
      <c r="Q48" s="35" t="s">
        <v>58</v>
      </c>
      <c r="R48" s="35">
        <v>0.38541666666666669</v>
      </c>
      <c r="S48" s="35">
        <v>0.40277777777777779</v>
      </c>
      <c r="T48" s="35">
        <v>30.28</v>
      </c>
      <c r="U48" s="35">
        <v>0.62</v>
      </c>
      <c r="V48" s="35">
        <v>35.24</v>
      </c>
      <c r="W48" s="35">
        <v>0.63</v>
      </c>
      <c r="X48" s="35">
        <v>6</v>
      </c>
      <c r="Y48" s="35">
        <v>0.68</v>
      </c>
      <c r="Z48" s="35">
        <v>8.16</v>
      </c>
      <c r="AA48" s="35">
        <v>0.7</v>
      </c>
      <c r="AB48" s="35">
        <v>30.29</v>
      </c>
      <c r="AC48" s="35">
        <v>4.5</v>
      </c>
      <c r="AD48" s="35">
        <v>35.31</v>
      </c>
      <c r="AE48" s="35">
        <v>4.3</v>
      </c>
      <c r="AF48" s="35">
        <v>6.01</v>
      </c>
      <c r="AG48" s="35">
        <v>4.33</v>
      </c>
      <c r="AH48" s="35">
        <v>8.19</v>
      </c>
      <c r="AI48" s="35">
        <v>4.28</v>
      </c>
      <c r="AJ48" s="35" t="s">
        <v>100</v>
      </c>
      <c r="AK48" s="35" t="s">
        <v>100</v>
      </c>
      <c r="AL48" s="35" t="s">
        <v>100</v>
      </c>
      <c r="AM48" s="35" t="e">
        <f t="shared" si="1"/>
        <v>#DIV/0!</v>
      </c>
      <c r="AN48" s="35">
        <v>0.5</v>
      </c>
      <c r="AO48" s="35">
        <v>4.5</v>
      </c>
      <c r="AP48" s="35">
        <v>543</v>
      </c>
      <c r="AQ48" s="35">
        <v>544</v>
      </c>
      <c r="AR48" s="35">
        <v>545</v>
      </c>
      <c r="AS48" s="35">
        <v>546</v>
      </c>
      <c r="AT48" s="35">
        <v>547</v>
      </c>
      <c r="AU48" s="35">
        <v>548</v>
      </c>
      <c r="AV48" s="35">
        <v>549</v>
      </c>
      <c r="AW48" s="35">
        <v>550</v>
      </c>
      <c r="AX48" s="35">
        <v>551</v>
      </c>
      <c r="AY48" s="35">
        <v>552</v>
      </c>
      <c r="AZ48" s="35">
        <v>587</v>
      </c>
      <c r="BA48" s="35" t="s">
        <v>77</v>
      </c>
    </row>
    <row r="49" spans="1:53" ht="15.75" customHeight="1" x14ac:dyDescent="0.15">
      <c r="A49" s="4">
        <v>2</v>
      </c>
      <c r="B49" s="35" t="str">
        <f>LOOKUP($D49,Site_Meta!$C$2:$C$43,Site_Meta!A$2:A$43)</f>
        <v>Tres Palmas 10m</v>
      </c>
      <c r="C49" s="35" t="str">
        <f>LOOKUP($D49,Site_Meta!$C$2:$C$43,Site_Meta!B$2:B$43)</f>
        <v>Rincon</v>
      </c>
      <c r="D49" s="35" t="s">
        <v>144</v>
      </c>
      <c r="E49" s="35" t="str">
        <f>LOOKUP($D49,Site_Meta!$C$2:$C$43,Site_Meta!D$2:D$43)</f>
        <v>West</v>
      </c>
      <c r="F49" s="35" t="str">
        <f>LOOKUP($D49,Site_Meta!$C$2:$C$43,Site_Meta!E$2:E$43)</f>
        <v>W</v>
      </c>
      <c r="G49" s="35">
        <f>LOOKUP($D49,Site_Meta!$C$2:$C$43,Site_Meta!F$2:F$43)</f>
        <v>18.34732</v>
      </c>
      <c r="H49" s="35">
        <f>LOOKUP($D49,Site_Meta!$C$2:$C$43,Site_Meta!G$2:G$43)</f>
        <v>-67.27</v>
      </c>
      <c r="I49" s="35">
        <f>LOOKUP($D49,Site_Meta!$C$2:$C$43,Site_Meta!H$2:H$43)</f>
        <v>10</v>
      </c>
      <c r="J49" s="35">
        <v>10</v>
      </c>
      <c r="K49" s="35">
        <v>24</v>
      </c>
      <c r="L49" s="35">
        <v>2023</v>
      </c>
      <c r="M49" s="35" t="str">
        <f t="shared" si="0"/>
        <v>10/24/2023</v>
      </c>
      <c r="N49" s="35" t="s">
        <v>56</v>
      </c>
      <c r="O49" s="35" t="s">
        <v>63</v>
      </c>
      <c r="P49" s="35" t="s">
        <v>115</v>
      </c>
      <c r="Q49" s="35" t="s">
        <v>58</v>
      </c>
      <c r="R49" s="35">
        <v>0.40972222222222221</v>
      </c>
      <c r="S49" s="35">
        <v>0.43055555555555558</v>
      </c>
      <c r="T49" s="35">
        <v>30.43</v>
      </c>
      <c r="U49" s="35">
        <v>0.71</v>
      </c>
      <c r="V49" s="35">
        <v>35.22</v>
      </c>
      <c r="W49" s="35">
        <v>0.75</v>
      </c>
      <c r="X49" s="35">
        <v>6.23</v>
      </c>
      <c r="Y49" s="35">
        <v>0.68</v>
      </c>
      <c r="Z49" s="35">
        <v>8.19</v>
      </c>
      <c r="AA49" s="35">
        <v>0.73</v>
      </c>
      <c r="AB49" s="35">
        <v>30.43</v>
      </c>
      <c r="AC49" s="35">
        <v>9.86</v>
      </c>
      <c r="AD49" s="35">
        <v>35.35</v>
      </c>
      <c r="AE49" s="35">
        <v>9.91</v>
      </c>
      <c r="AF49" s="35">
        <v>6.14</v>
      </c>
      <c r="AG49" s="35">
        <v>9.84</v>
      </c>
      <c r="AH49" s="35">
        <v>8.1999999999999993</v>
      </c>
      <c r="AI49" s="35">
        <v>9.59</v>
      </c>
      <c r="AJ49" s="35" t="s">
        <v>145</v>
      </c>
      <c r="AK49" s="35" t="s">
        <v>145</v>
      </c>
      <c r="AL49" s="35" t="s">
        <v>145</v>
      </c>
      <c r="AM49" s="35" t="e">
        <f t="shared" si="1"/>
        <v>#DIV/0!</v>
      </c>
      <c r="AN49" s="35">
        <v>0.5</v>
      </c>
      <c r="AO49" s="35">
        <v>9.5</v>
      </c>
      <c r="AP49" s="35">
        <v>554</v>
      </c>
      <c r="AQ49" s="35">
        <v>555</v>
      </c>
      <c r="AR49" s="35">
        <v>556</v>
      </c>
      <c r="AS49" s="35">
        <v>557</v>
      </c>
      <c r="AT49" s="35">
        <v>558</v>
      </c>
      <c r="AU49" s="35">
        <v>559</v>
      </c>
      <c r="AV49" s="35">
        <v>560</v>
      </c>
      <c r="AW49" s="35">
        <v>561</v>
      </c>
      <c r="AX49" s="35">
        <v>562</v>
      </c>
      <c r="AY49" s="35">
        <v>563</v>
      </c>
      <c r="AZ49" s="35">
        <v>377</v>
      </c>
      <c r="BA49" s="35" t="s">
        <v>77</v>
      </c>
    </row>
    <row r="50" spans="1:53" ht="15.75" customHeight="1" x14ac:dyDescent="0.15">
      <c r="A50" s="4">
        <v>2</v>
      </c>
      <c r="B50" s="35" t="str">
        <f>LOOKUP($D50,Site_Meta!$C$2:$C$43,Site_Meta!A$2:A$43)</f>
        <v>Tres Palmas 20m</v>
      </c>
      <c r="C50" s="35" t="str">
        <f>LOOKUP($D50,Site_Meta!$C$2:$C$43,Site_Meta!B$2:B$43)</f>
        <v>Rincon</v>
      </c>
      <c r="D50" s="35" t="s">
        <v>146</v>
      </c>
      <c r="E50" s="35" t="str">
        <f>LOOKUP($D50,Site_Meta!$C$2:$C$43,Site_Meta!D$2:D$43)</f>
        <v>West</v>
      </c>
      <c r="F50" s="35" t="str">
        <f>LOOKUP($D50,Site_Meta!$C$2:$C$43,Site_Meta!E$2:E$43)</f>
        <v>W</v>
      </c>
      <c r="G50" s="35">
        <f>LOOKUP($D50,Site_Meta!$C$2:$C$43,Site_Meta!F$2:F$43)</f>
        <v>18.346520000000002</v>
      </c>
      <c r="H50" s="35">
        <f>LOOKUP($D50,Site_Meta!$C$2:$C$43,Site_Meta!G$2:G$43)</f>
        <v>-67.271199999999993</v>
      </c>
      <c r="I50" s="35">
        <f>LOOKUP($D50,Site_Meta!$C$2:$C$43,Site_Meta!H$2:H$43)</f>
        <v>20</v>
      </c>
      <c r="J50" s="35">
        <v>10</v>
      </c>
      <c r="K50" s="35">
        <v>24</v>
      </c>
      <c r="L50" s="35">
        <v>2023</v>
      </c>
      <c r="M50" s="35" t="str">
        <f t="shared" si="0"/>
        <v>10/24/2023</v>
      </c>
      <c r="N50" s="35" t="s">
        <v>56</v>
      </c>
      <c r="O50" s="35" t="s">
        <v>63</v>
      </c>
      <c r="P50" s="35" t="s">
        <v>115</v>
      </c>
      <c r="Q50" s="35" t="s">
        <v>58</v>
      </c>
      <c r="R50" s="35">
        <v>0.43541666666666667</v>
      </c>
      <c r="S50" s="35">
        <v>0.45555555555555555</v>
      </c>
      <c r="T50" s="35">
        <v>30.46</v>
      </c>
      <c r="U50" s="35">
        <v>0.79</v>
      </c>
      <c r="V50" s="35">
        <v>35.380000000000003</v>
      </c>
      <c r="W50" s="35">
        <v>0.77</v>
      </c>
      <c r="X50" s="35">
        <v>6.26</v>
      </c>
      <c r="Y50" s="35">
        <v>0.75</v>
      </c>
      <c r="Z50" s="35">
        <v>8.1999999999999993</v>
      </c>
      <c r="AA50" s="35">
        <v>0.79</v>
      </c>
      <c r="AB50" s="35">
        <v>30.18</v>
      </c>
      <c r="AC50" s="35">
        <v>17.5</v>
      </c>
      <c r="AD50" s="35">
        <v>35.619999999999997</v>
      </c>
      <c r="AE50" s="35">
        <v>17.690000000000001</v>
      </c>
      <c r="AF50" s="35">
        <v>6.15</v>
      </c>
      <c r="AG50" s="35">
        <v>17.68</v>
      </c>
      <c r="AH50" s="35">
        <v>8.2100000000000009</v>
      </c>
      <c r="AI50" s="35">
        <v>17.989999999999998</v>
      </c>
      <c r="AJ50" s="35" t="s">
        <v>147</v>
      </c>
      <c r="AK50" s="35" t="s">
        <v>147</v>
      </c>
      <c r="AL50" s="35" t="s">
        <v>147</v>
      </c>
      <c r="AM50" s="35" t="e">
        <f t="shared" si="1"/>
        <v>#DIV/0!</v>
      </c>
      <c r="AN50" s="35">
        <v>0.5</v>
      </c>
      <c r="AO50" s="35">
        <v>17.5</v>
      </c>
      <c r="AP50" s="35">
        <v>565</v>
      </c>
      <c r="AQ50" s="35">
        <v>566</v>
      </c>
      <c r="AR50" s="35">
        <v>567</v>
      </c>
      <c r="AS50" s="35">
        <v>568</v>
      </c>
      <c r="AT50" s="35">
        <v>569</v>
      </c>
      <c r="AU50" s="35">
        <v>570</v>
      </c>
      <c r="AV50" s="35">
        <v>571</v>
      </c>
      <c r="AW50" s="35">
        <v>572</v>
      </c>
      <c r="AX50" s="35">
        <v>573</v>
      </c>
      <c r="AY50" s="35">
        <v>574</v>
      </c>
      <c r="AZ50" s="35">
        <v>588</v>
      </c>
      <c r="BA50" s="35" t="s">
        <v>77</v>
      </c>
    </row>
    <row r="51" spans="1:53" ht="15.75" customHeight="1" x14ac:dyDescent="0.15">
      <c r="A51" s="4">
        <v>2</v>
      </c>
      <c r="B51" s="35" t="str">
        <f>LOOKUP($D51,Site_Meta!$C$2:$C$43,Site_Meta!A$2:A$43)</f>
        <v>Manchas Exteriores 20m</v>
      </c>
      <c r="C51" s="35" t="str">
        <f>LOOKUP($D51,Site_Meta!$C$2:$C$43,Site_Meta!B$2:B$43)</f>
        <v>Mayaguez</v>
      </c>
      <c r="D51" s="35" t="s">
        <v>114</v>
      </c>
      <c r="E51" s="35" t="str">
        <f>LOOKUP($D51,Site_Meta!$C$2:$C$43,Site_Meta!D$2:D$43)</f>
        <v>West</v>
      </c>
      <c r="F51" s="35" t="str">
        <f>LOOKUP($D51,Site_Meta!$C$2:$C$43,Site_Meta!E$2:E$43)</f>
        <v>W</v>
      </c>
      <c r="G51" s="35">
        <f>LOOKUP($D51,Site_Meta!$C$2:$C$43,Site_Meta!F$2:F$43)</f>
        <v>18.233499999999999</v>
      </c>
      <c r="H51" s="35">
        <f>LOOKUP($D51,Site_Meta!$C$2:$C$43,Site_Meta!G$2:G$43)</f>
        <v>-67.200900000000004</v>
      </c>
      <c r="I51" s="35">
        <f>LOOKUP($D51,Site_Meta!$C$2:$C$43,Site_Meta!H$2:H$43)</f>
        <v>20</v>
      </c>
      <c r="J51" s="35">
        <v>10</v>
      </c>
      <c r="K51" s="35">
        <v>24</v>
      </c>
      <c r="L51" s="35">
        <v>2023</v>
      </c>
      <c r="M51" s="35" t="str">
        <f t="shared" si="0"/>
        <v>10/24/2023</v>
      </c>
      <c r="N51" s="35" t="s">
        <v>56</v>
      </c>
      <c r="O51" s="35" t="s">
        <v>63</v>
      </c>
      <c r="P51" s="35" t="s">
        <v>115</v>
      </c>
      <c r="Q51" s="35" t="s">
        <v>58</v>
      </c>
      <c r="R51" s="35">
        <v>0.48194444444444445</v>
      </c>
      <c r="S51" s="35">
        <v>0.50138888888888888</v>
      </c>
      <c r="T51" s="35">
        <v>30.74</v>
      </c>
      <c r="U51" s="35">
        <v>0.84</v>
      </c>
      <c r="V51" s="35">
        <v>35.270000000000003</v>
      </c>
      <c r="W51" s="35">
        <v>0.8</v>
      </c>
      <c r="X51" s="35">
        <v>6.2</v>
      </c>
      <c r="Y51" s="35">
        <v>0.83</v>
      </c>
      <c r="Z51" s="35">
        <v>8.19</v>
      </c>
      <c r="AA51" s="35">
        <v>0.77</v>
      </c>
      <c r="AB51" s="35">
        <v>29.94</v>
      </c>
      <c r="AC51" s="35">
        <v>18.02</v>
      </c>
      <c r="AD51" s="35">
        <v>35.75</v>
      </c>
      <c r="AE51" s="35">
        <v>18.22</v>
      </c>
      <c r="AF51" s="35">
        <v>6.1</v>
      </c>
      <c r="AG51" s="35">
        <v>18.190000000000001</v>
      </c>
      <c r="AH51" s="35">
        <v>8.1999999999999993</v>
      </c>
      <c r="AI51" s="35">
        <v>18.03</v>
      </c>
      <c r="AJ51" s="35">
        <v>11.25</v>
      </c>
      <c r="AK51" s="35">
        <v>11.25</v>
      </c>
      <c r="AL51" s="35">
        <v>10.75</v>
      </c>
      <c r="AM51" s="35">
        <f t="shared" si="1"/>
        <v>11.083333333333334</v>
      </c>
      <c r="AN51" s="35">
        <v>0.5</v>
      </c>
      <c r="AO51" s="35">
        <v>18</v>
      </c>
      <c r="AP51" s="35">
        <v>576</v>
      </c>
      <c r="AQ51" s="35">
        <v>577</v>
      </c>
      <c r="AR51" s="35">
        <v>578</v>
      </c>
      <c r="AS51" s="35">
        <v>579</v>
      </c>
      <c r="AT51" s="35">
        <v>580</v>
      </c>
      <c r="AU51" s="35">
        <v>581</v>
      </c>
      <c r="AV51" s="35">
        <v>582</v>
      </c>
      <c r="AW51" s="35">
        <v>583</v>
      </c>
      <c r="AX51" s="35">
        <v>584</v>
      </c>
      <c r="AY51" s="35">
        <v>585</v>
      </c>
      <c r="AZ51" s="35">
        <v>388</v>
      </c>
      <c r="BA51" s="35" t="s">
        <v>77</v>
      </c>
    </row>
    <row r="52" spans="1:53" ht="15.75" customHeight="1" x14ac:dyDescent="0.15">
      <c r="A52" s="4">
        <v>2</v>
      </c>
      <c r="B52" s="29" t="str">
        <f>LOOKUP($D52,Site_Meta!$C$2:$C$43,Site_Meta!A$2:A$43)</f>
        <v>El Negro 5m</v>
      </c>
      <c r="C52" s="29" t="str">
        <f>LOOKUP($D52,Site_Meta!$C$2:$C$43,Site_Meta!B$2:B$43)</f>
        <v>Cabo Rojo</v>
      </c>
      <c r="D52" s="29" t="s">
        <v>126</v>
      </c>
      <c r="E52" s="29" t="str">
        <f>LOOKUP($D52,Site_Meta!$C$2:$C$43,Site_Meta!D$2:D$43)</f>
        <v>West</v>
      </c>
      <c r="F52" s="29" t="str">
        <f>LOOKUP($D52,Site_Meta!$C$2:$C$43,Site_Meta!E$2:E$43)</f>
        <v>W</v>
      </c>
      <c r="G52" s="29">
        <f>LOOKUP($D52,Site_Meta!$C$2:$C$43,Site_Meta!F$2:F$43)</f>
        <v>18.14658</v>
      </c>
      <c r="H52" s="29">
        <f>LOOKUP($D52,Site_Meta!$C$2:$C$43,Site_Meta!G$2:G$43)</f>
        <v>-67.247600000000006</v>
      </c>
      <c r="I52" s="29">
        <f>LOOKUP($D52,Site_Meta!$C$2:$C$43,Site_Meta!H$2:H$43)</f>
        <v>5</v>
      </c>
      <c r="J52" s="19">
        <v>10</v>
      </c>
      <c r="K52" s="19">
        <v>25</v>
      </c>
      <c r="L52" s="19">
        <v>2023</v>
      </c>
      <c r="M52" s="30" t="str">
        <f t="shared" si="0"/>
        <v>10/25/2023</v>
      </c>
      <c r="N52" s="31" t="s">
        <v>108</v>
      </c>
      <c r="O52" s="31" t="s">
        <v>63</v>
      </c>
      <c r="P52" s="31" t="s">
        <v>58</v>
      </c>
      <c r="Q52" s="31"/>
      <c r="R52" s="32">
        <v>0.32500000000000001</v>
      </c>
      <c r="S52" s="32">
        <v>0.34166666666666667</v>
      </c>
      <c r="T52" s="19">
        <v>30.36</v>
      </c>
      <c r="U52" s="19">
        <v>0.5</v>
      </c>
      <c r="V52" s="19">
        <v>35.409999999999997</v>
      </c>
      <c r="W52" s="19">
        <v>0.5</v>
      </c>
      <c r="X52" s="19">
        <v>5.85</v>
      </c>
      <c r="Y52" s="19">
        <v>0.51</v>
      </c>
      <c r="Z52" s="19">
        <v>8.16</v>
      </c>
      <c r="AA52" s="19">
        <v>0.6</v>
      </c>
      <c r="AB52" s="19">
        <v>30.2</v>
      </c>
      <c r="AC52" s="19">
        <v>7.52</v>
      </c>
      <c r="AD52" s="19">
        <v>35.619999999999997</v>
      </c>
      <c r="AE52" s="19">
        <v>7.23</v>
      </c>
      <c r="AF52" s="19">
        <v>5.9</v>
      </c>
      <c r="AG52" s="19">
        <v>7.09</v>
      </c>
      <c r="AH52" s="19">
        <v>8.18</v>
      </c>
      <c r="AI52" s="19">
        <v>7.7</v>
      </c>
      <c r="AJ52" s="31" t="s">
        <v>71</v>
      </c>
      <c r="AK52" s="31" t="s">
        <v>71</v>
      </c>
      <c r="AL52" s="31" t="s">
        <v>71</v>
      </c>
      <c r="AM52" s="19" t="e">
        <f t="shared" si="1"/>
        <v>#DIV/0!</v>
      </c>
      <c r="AN52" s="31">
        <v>0.5</v>
      </c>
      <c r="AO52" s="31">
        <v>7.5</v>
      </c>
      <c r="AP52" s="31">
        <v>477</v>
      </c>
      <c r="AQ52" s="31">
        <v>478</v>
      </c>
      <c r="AR52" s="31">
        <v>479</v>
      </c>
      <c r="AS52" s="31">
        <v>480</v>
      </c>
      <c r="AT52" s="31">
        <v>481</v>
      </c>
      <c r="AU52" s="31">
        <v>482</v>
      </c>
      <c r="AV52" s="31">
        <v>483</v>
      </c>
      <c r="AW52" s="31">
        <v>484</v>
      </c>
      <c r="AX52" s="31">
        <v>485</v>
      </c>
      <c r="AY52" s="31">
        <v>486</v>
      </c>
      <c r="AZ52" s="31">
        <v>575</v>
      </c>
      <c r="BA52" s="4" t="s">
        <v>234</v>
      </c>
    </row>
    <row r="53" spans="1:53" ht="15.75" customHeight="1" x14ac:dyDescent="0.15">
      <c r="A53" s="4">
        <v>2</v>
      </c>
      <c r="B53" s="29" t="str">
        <f>LOOKUP($D53,Site_Meta!$C$2:$C$43,Site_Meta!A$2:A$43)</f>
        <v>El Negro 10m</v>
      </c>
      <c r="C53" s="29" t="str">
        <f>LOOKUP($D53,Site_Meta!$C$2:$C$43,Site_Meta!B$2:B$43)</f>
        <v>Cabo Rojo</v>
      </c>
      <c r="D53" s="29" t="s">
        <v>127</v>
      </c>
      <c r="E53" s="29" t="str">
        <f>LOOKUP($D53,Site_Meta!$C$2:$C$43,Site_Meta!D$2:D$43)</f>
        <v>West</v>
      </c>
      <c r="F53" s="29" t="str">
        <f>LOOKUP($D53,Site_Meta!$C$2:$C$43,Site_Meta!E$2:E$43)</f>
        <v>W</v>
      </c>
      <c r="G53" s="29">
        <f>LOOKUP($D53,Site_Meta!$C$2:$C$43,Site_Meta!F$2:F$43)</f>
        <v>18.146529999999998</v>
      </c>
      <c r="H53" s="29">
        <f>LOOKUP($D53,Site_Meta!$C$2:$C$43,Site_Meta!G$2:G$43)</f>
        <v>-67.248000000000005</v>
      </c>
      <c r="I53" s="29">
        <f>LOOKUP($D53,Site_Meta!$C$2:$C$43,Site_Meta!H$2:H$43)</f>
        <v>10</v>
      </c>
      <c r="J53" s="19">
        <v>10</v>
      </c>
      <c r="K53" s="19">
        <v>25</v>
      </c>
      <c r="L53" s="19">
        <v>2023</v>
      </c>
      <c r="M53" s="30" t="str">
        <f t="shared" si="0"/>
        <v>10/25/2023</v>
      </c>
      <c r="N53" s="31" t="s">
        <v>108</v>
      </c>
      <c r="O53" s="31" t="s">
        <v>63</v>
      </c>
      <c r="P53" s="31" t="s">
        <v>58</v>
      </c>
      <c r="Q53" s="31"/>
      <c r="R53" s="32">
        <v>0.34722222222222221</v>
      </c>
      <c r="S53" s="32">
        <v>0.36319444444444443</v>
      </c>
      <c r="T53" s="19">
        <v>30.32</v>
      </c>
      <c r="U53" s="19">
        <v>0.54</v>
      </c>
      <c r="V53" s="19">
        <v>35.42</v>
      </c>
      <c r="W53" s="19">
        <v>0.47</v>
      </c>
      <c r="X53" s="19">
        <v>6.2</v>
      </c>
      <c r="Y53" s="19">
        <v>0.45</v>
      </c>
      <c r="Z53" s="19">
        <v>8.16</v>
      </c>
      <c r="AA53" s="19">
        <v>0.47</v>
      </c>
      <c r="AB53" s="19">
        <v>29.91</v>
      </c>
      <c r="AC53" s="19">
        <v>17.829999999999998</v>
      </c>
      <c r="AD53" s="19">
        <v>35.340000000000003</v>
      </c>
      <c r="AE53" s="19">
        <v>18.16</v>
      </c>
      <c r="AF53" s="19">
        <v>6.02</v>
      </c>
      <c r="AG53" s="19">
        <v>18.12</v>
      </c>
      <c r="AH53" s="19">
        <v>8.1999999999999993</v>
      </c>
      <c r="AI53" s="19">
        <v>18.25</v>
      </c>
      <c r="AJ53" s="31">
        <v>10</v>
      </c>
      <c r="AK53" s="31">
        <v>10</v>
      </c>
      <c r="AL53" s="31">
        <v>10</v>
      </c>
      <c r="AM53" s="19">
        <f t="shared" si="1"/>
        <v>10</v>
      </c>
      <c r="AN53" s="31">
        <v>0.5</v>
      </c>
      <c r="AO53" s="31">
        <v>18</v>
      </c>
      <c r="AP53" s="31">
        <v>609</v>
      </c>
      <c r="AQ53" s="31">
        <v>610</v>
      </c>
      <c r="AR53" s="31">
        <v>611</v>
      </c>
      <c r="AS53" s="31">
        <v>612</v>
      </c>
      <c r="AT53" s="31">
        <v>613</v>
      </c>
      <c r="AU53" s="31">
        <v>614</v>
      </c>
      <c r="AV53" s="31">
        <v>615</v>
      </c>
      <c r="AW53" s="31">
        <v>616</v>
      </c>
      <c r="AX53" s="31">
        <v>617</v>
      </c>
      <c r="AY53" s="31">
        <v>618</v>
      </c>
      <c r="AZ53" s="31">
        <v>564</v>
      </c>
      <c r="BA53" s="4" t="s">
        <v>234</v>
      </c>
    </row>
    <row r="54" spans="1:53" ht="15.75" customHeight="1" x14ac:dyDescent="0.15">
      <c r="A54" s="4">
        <v>2</v>
      </c>
      <c r="B54" s="29" t="str">
        <f>LOOKUP($D54,Site_Meta!$C$2:$C$43,Site_Meta!A$2:A$43)</f>
        <v>Guanajibo 20m</v>
      </c>
      <c r="C54" s="29" t="str">
        <f>LOOKUP($D54,Site_Meta!$C$2:$C$43,Site_Meta!B$2:B$43)</f>
        <v>Mayaguez</v>
      </c>
      <c r="D54" s="29" t="s">
        <v>107</v>
      </c>
      <c r="E54" s="29" t="str">
        <f>LOOKUP($D54,Site_Meta!$C$2:$C$43,Site_Meta!D$2:D$43)</f>
        <v>West</v>
      </c>
      <c r="F54" s="29" t="str">
        <f>LOOKUP($D54,Site_Meta!$C$2:$C$43,Site_Meta!E$2:E$43)</f>
        <v>W</v>
      </c>
      <c r="G54" s="29">
        <f>LOOKUP($D54,Site_Meta!$C$2:$C$43,Site_Meta!F$2:F$43)</f>
        <v>18.17202</v>
      </c>
      <c r="H54" s="29">
        <f>LOOKUP($D54,Site_Meta!$C$2:$C$43,Site_Meta!G$2:G$43)</f>
        <v>-67.253</v>
      </c>
      <c r="I54" s="29">
        <f>LOOKUP($D54,Site_Meta!$C$2:$C$43,Site_Meta!H$2:H$43)</f>
        <v>20</v>
      </c>
      <c r="J54" s="19">
        <v>10</v>
      </c>
      <c r="K54" s="19">
        <v>25</v>
      </c>
      <c r="L54" s="19">
        <v>2023</v>
      </c>
      <c r="M54" s="30" t="str">
        <f t="shared" si="0"/>
        <v>10/25/2023</v>
      </c>
      <c r="N54" s="31" t="s">
        <v>108</v>
      </c>
      <c r="O54" s="31" t="s">
        <v>63</v>
      </c>
      <c r="P54" s="31" t="s">
        <v>58</v>
      </c>
      <c r="Q54" s="31"/>
      <c r="R54" s="32">
        <v>0.37569444444444444</v>
      </c>
      <c r="S54" s="32">
        <v>0.39444444444444443</v>
      </c>
      <c r="T54" s="19">
        <v>30.34</v>
      </c>
      <c r="U54" s="19">
        <v>0.61</v>
      </c>
      <c r="V54" s="19">
        <v>35.35</v>
      </c>
      <c r="W54" s="19">
        <v>0.53</v>
      </c>
      <c r="X54" s="19">
        <v>6.14</v>
      </c>
      <c r="Y54" s="19">
        <v>0.51</v>
      </c>
      <c r="Z54" s="19">
        <v>8.19</v>
      </c>
      <c r="AA54" s="19">
        <v>0.51</v>
      </c>
      <c r="AB54" s="19">
        <v>29.98</v>
      </c>
      <c r="AC54" s="19">
        <v>15.84</v>
      </c>
      <c r="AD54" s="19">
        <v>35.78</v>
      </c>
      <c r="AE54" s="19">
        <v>15.89</v>
      </c>
      <c r="AF54" s="19">
        <v>6.08</v>
      </c>
      <c r="AG54" s="19">
        <v>16.059999999999999</v>
      </c>
      <c r="AH54" s="19">
        <v>8.2100000000000009</v>
      </c>
      <c r="AI54" s="19">
        <v>15.74</v>
      </c>
      <c r="AJ54" s="31" t="s">
        <v>109</v>
      </c>
      <c r="AK54" s="31" t="s">
        <v>109</v>
      </c>
      <c r="AL54" s="31" t="s">
        <v>109</v>
      </c>
      <c r="AM54" s="19" t="e">
        <f t="shared" si="1"/>
        <v>#DIV/0!</v>
      </c>
      <c r="AN54" s="31">
        <v>0.5</v>
      </c>
      <c r="AO54" s="31">
        <v>18</v>
      </c>
      <c r="AP54" s="31">
        <v>587</v>
      </c>
      <c r="AQ54" s="31">
        <v>588</v>
      </c>
      <c r="AR54" s="31">
        <v>589</v>
      </c>
      <c r="AS54" s="31">
        <v>590</v>
      </c>
      <c r="AT54" s="31">
        <v>591</v>
      </c>
      <c r="AU54" s="31">
        <v>592</v>
      </c>
      <c r="AV54" s="31">
        <v>593</v>
      </c>
      <c r="AW54" s="31">
        <v>594</v>
      </c>
      <c r="AX54" s="31">
        <v>595</v>
      </c>
      <c r="AY54" s="31">
        <v>596</v>
      </c>
      <c r="AZ54" s="31">
        <v>586</v>
      </c>
      <c r="BA54" s="4" t="s">
        <v>234</v>
      </c>
    </row>
    <row r="55" spans="1:53" ht="15.75" customHeight="1" x14ac:dyDescent="0.15">
      <c r="A55" s="4">
        <v>2</v>
      </c>
      <c r="B55" s="29" t="str">
        <f>LOOKUP($D55,Site_Meta!$C$2:$C$43,Site_Meta!A$2:A$43)</f>
        <v>Cayo Rodriguez 5m</v>
      </c>
      <c r="C55" s="29" t="str">
        <f>LOOKUP($D55,Site_Meta!$C$2:$C$43,Site_Meta!B$2:B$43)</f>
        <v>Mayaguez</v>
      </c>
      <c r="D55" s="29" t="s">
        <v>135</v>
      </c>
      <c r="E55" s="29" t="str">
        <f>LOOKUP($D55,Site_Meta!$C$2:$C$43,Site_Meta!D$2:D$43)</f>
        <v>West</v>
      </c>
      <c r="F55" s="29" t="str">
        <f>LOOKUP($D55,Site_Meta!$C$2:$C$43,Site_Meta!E$2:E$43)</f>
        <v>W</v>
      </c>
      <c r="G55" s="29">
        <f>LOOKUP($D55,Site_Meta!$C$2:$C$43,Site_Meta!F$2:F$43)</f>
        <v>18.189299999999999</v>
      </c>
      <c r="H55" s="29">
        <f>LOOKUP($D55,Site_Meta!$C$2:$C$43,Site_Meta!G$2:G$43)</f>
        <v>-67.191900000000004</v>
      </c>
      <c r="I55" s="29">
        <f>LOOKUP($D55,Site_Meta!$C$2:$C$43,Site_Meta!H$2:H$43)</f>
        <v>5</v>
      </c>
      <c r="J55" s="19">
        <v>10</v>
      </c>
      <c r="K55" s="19">
        <v>25</v>
      </c>
      <c r="L55" s="19">
        <v>2023</v>
      </c>
      <c r="M55" s="30" t="str">
        <f t="shared" si="0"/>
        <v>10/25/2023</v>
      </c>
      <c r="N55" s="31" t="s">
        <v>108</v>
      </c>
      <c r="O55" s="31" t="s">
        <v>63</v>
      </c>
      <c r="P55" s="31" t="s">
        <v>58</v>
      </c>
      <c r="Q55" s="31"/>
      <c r="R55" s="32">
        <v>0.41319444444444442</v>
      </c>
      <c r="S55" s="32">
        <v>0.42569444444444443</v>
      </c>
      <c r="T55" s="19">
        <v>30.53</v>
      </c>
      <c r="U55" s="19">
        <v>0.63</v>
      </c>
      <c r="V55" s="19">
        <v>35.17</v>
      </c>
      <c r="W55" s="19">
        <v>0.64</v>
      </c>
      <c r="X55" s="19">
        <v>5.98</v>
      </c>
      <c r="Y55" s="19">
        <v>0.56000000000000005</v>
      </c>
      <c r="Z55" s="19">
        <v>8.11</v>
      </c>
      <c r="AA55" s="19">
        <v>0.7</v>
      </c>
      <c r="AB55" s="19">
        <v>30.49</v>
      </c>
      <c r="AC55" s="19">
        <v>9.74</v>
      </c>
      <c r="AD55" s="19">
        <v>35.4</v>
      </c>
      <c r="AE55" s="19">
        <v>9.64</v>
      </c>
      <c r="AF55" s="19">
        <v>5.72</v>
      </c>
      <c r="AG55" s="19">
        <v>9.77</v>
      </c>
      <c r="AH55" s="19">
        <v>8.17</v>
      </c>
      <c r="AI55" s="19">
        <v>9.8000000000000007</v>
      </c>
      <c r="AJ55" s="31">
        <v>5.25</v>
      </c>
      <c r="AK55" s="31">
        <v>5.25</v>
      </c>
      <c r="AL55" s="31">
        <v>5.25</v>
      </c>
      <c r="AM55" s="19">
        <f t="shared" si="1"/>
        <v>5.25</v>
      </c>
      <c r="AN55" s="31">
        <v>0.5</v>
      </c>
      <c r="AO55" s="31">
        <v>9.5</v>
      </c>
      <c r="AP55" s="31">
        <v>367</v>
      </c>
      <c r="AQ55" s="31">
        <v>368</v>
      </c>
      <c r="AR55" s="31">
        <v>369</v>
      </c>
      <c r="AS55" s="31">
        <v>370</v>
      </c>
      <c r="AT55" s="31">
        <v>371</v>
      </c>
      <c r="AU55" s="31">
        <v>372</v>
      </c>
      <c r="AV55" s="31">
        <v>373</v>
      </c>
      <c r="AW55" s="31">
        <v>374</v>
      </c>
      <c r="AX55" s="31">
        <v>375</v>
      </c>
      <c r="AY55" s="31">
        <v>376</v>
      </c>
      <c r="AZ55" s="31">
        <v>553</v>
      </c>
      <c r="BA55" s="4" t="s">
        <v>234</v>
      </c>
    </row>
    <row r="56" spans="1:53" ht="15.75" customHeight="1" x14ac:dyDescent="0.15">
      <c r="A56" s="4">
        <v>2</v>
      </c>
      <c r="B56" s="29" t="e">
        <f>LOOKUP($D56,Site_Meta!$C$2:$C$43,Site_Meta!A$2:A$43)</f>
        <v>#N/A</v>
      </c>
      <c r="C56" s="29" t="e">
        <f>LOOKUP($D56,Site_Meta!$C$2:$C$43,Site_Meta!B$2:B$43)</f>
        <v>#N/A</v>
      </c>
      <c r="D56" s="29"/>
      <c r="E56" s="29" t="e">
        <f>LOOKUP($D56,Site_Meta!$C$2:$C$43,Site_Meta!D$2:D$43)</f>
        <v>#N/A</v>
      </c>
      <c r="F56" s="29" t="e">
        <f>LOOKUP($D56,Site_Meta!$C$2:$C$43,Site_Meta!E$2:E$43)</f>
        <v>#N/A</v>
      </c>
      <c r="G56" s="29" t="e">
        <f>LOOKUP($D56,Site_Meta!$C$2:$C$43,Site_Meta!F$2:F$43)</f>
        <v>#N/A</v>
      </c>
      <c r="H56" s="29" t="e">
        <f>LOOKUP($D56,Site_Meta!$C$2:$C$43,Site_Meta!G$2:G$43)</f>
        <v>#N/A</v>
      </c>
      <c r="I56" s="29" t="e">
        <f>LOOKUP($D56,Site_Meta!$C$2:$C$43,Site_Meta!H$2:H$43)</f>
        <v>#N/A</v>
      </c>
      <c r="J56" s="19"/>
      <c r="K56" s="19"/>
      <c r="L56" s="19"/>
      <c r="M56" s="30" t="str">
        <f t="shared" si="0"/>
        <v>//</v>
      </c>
      <c r="N56" s="31"/>
      <c r="O56" s="31"/>
      <c r="P56" s="31"/>
      <c r="Q56" s="31"/>
      <c r="R56" s="32"/>
      <c r="S56" s="32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31"/>
      <c r="AK56" s="31"/>
      <c r="AL56" s="31"/>
      <c r="AM56" s="19" t="e">
        <f t="shared" si="1"/>
        <v>#DIV/0!</v>
      </c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</row>
    <row r="57" spans="1:53" ht="15.75" customHeight="1" x14ac:dyDescent="0.15">
      <c r="A57" s="4">
        <v>2</v>
      </c>
      <c r="B57" s="29" t="e">
        <f>LOOKUP($D57,Site_Meta!$C$2:$C$43,Site_Meta!A$2:A$43)</f>
        <v>#N/A</v>
      </c>
      <c r="C57" s="29" t="e">
        <f>LOOKUP($D57,Site_Meta!$C$2:$C$43,Site_Meta!B$2:B$43)</f>
        <v>#N/A</v>
      </c>
      <c r="D57" s="29"/>
      <c r="E57" s="29" t="e">
        <f>LOOKUP($D57,Site_Meta!$C$2:$C$43,Site_Meta!D$2:D$43)</f>
        <v>#N/A</v>
      </c>
      <c r="F57" s="29" t="e">
        <f>LOOKUP($D57,Site_Meta!$C$2:$C$43,Site_Meta!E$2:E$43)</f>
        <v>#N/A</v>
      </c>
      <c r="G57" s="29" t="e">
        <f>LOOKUP($D57,Site_Meta!$C$2:$C$43,Site_Meta!F$2:F$43)</f>
        <v>#N/A</v>
      </c>
      <c r="H57" s="29" t="e">
        <f>LOOKUP($D57,Site_Meta!$C$2:$C$43,Site_Meta!G$2:G$43)</f>
        <v>#N/A</v>
      </c>
      <c r="I57" s="29" t="e">
        <f>LOOKUP($D57,Site_Meta!$C$2:$C$43,Site_Meta!H$2:H$43)</f>
        <v>#N/A</v>
      </c>
      <c r="J57" s="19"/>
      <c r="K57" s="19"/>
      <c r="L57" s="19"/>
      <c r="M57" s="30" t="str">
        <f t="shared" si="0"/>
        <v>//</v>
      </c>
      <c r="N57" s="31"/>
      <c r="O57" s="31"/>
      <c r="P57" s="31"/>
      <c r="Q57" s="31"/>
      <c r="R57" s="32"/>
      <c r="S57" s="32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31"/>
      <c r="AK57" s="31"/>
      <c r="AL57" s="31"/>
      <c r="AM57" s="19" t="e">
        <f t="shared" si="1"/>
        <v>#DIV/0!</v>
      </c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</row>
    <row r="58" spans="1:53" ht="15.75" customHeight="1" x14ac:dyDescent="0.15">
      <c r="A58" s="4">
        <v>2</v>
      </c>
      <c r="B58" s="29" t="e">
        <f>LOOKUP($D58,Site_Meta!$C$2:$C$43,Site_Meta!A$2:A$43)</f>
        <v>#N/A</v>
      </c>
      <c r="C58" s="29" t="e">
        <f>LOOKUP($D58,Site_Meta!$C$2:$C$43,Site_Meta!B$2:B$43)</f>
        <v>#N/A</v>
      </c>
      <c r="D58" s="29"/>
      <c r="E58" s="29" t="e">
        <f>LOOKUP($D58,Site_Meta!$C$2:$C$43,Site_Meta!D$2:D$43)</f>
        <v>#N/A</v>
      </c>
      <c r="F58" s="29" t="e">
        <f>LOOKUP($D58,Site_Meta!$C$2:$C$43,Site_Meta!E$2:E$43)</f>
        <v>#N/A</v>
      </c>
      <c r="G58" s="29" t="e">
        <f>LOOKUP($D58,Site_Meta!$C$2:$C$43,Site_Meta!F$2:F$43)</f>
        <v>#N/A</v>
      </c>
      <c r="H58" s="29" t="e">
        <f>LOOKUP($D58,Site_Meta!$C$2:$C$43,Site_Meta!G$2:G$43)</f>
        <v>#N/A</v>
      </c>
      <c r="I58" s="29" t="e">
        <f>LOOKUP($D58,Site_Meta!$C$2:$C$43,Site_Meta!H$2:H$43)</f>
        <v>#N/A</v>
      </c>
      <c r="J58" s="19"/>
      <c r="K58" s="19"/>
      <c r="L58" s="19"/>
      <c r="M58" s="30" t="str">
        <f t="shared" si="0"/>
        <v>//</v>
      </c>
      <c r="N58" s="31"/>
      <c r="O58" s="31"/>
      <c r="P58" s="31"/>
      <c r="Q58" s="31"/>
      <c r="R58" s="32"/>
      <c r="S58" s="32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31"/>
      <c r="AK58" s="31"/>
      <c r="AL58" s="31"/>
      <c r="AM58" s="19" t="e">
        <f t="shared" si="1"/>
        <v>#DIV/0!</v>
      </c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</row>
    <row r="59" spans="1:53" ht="15.75" customHeight="1" x14ac:dyDescent="0.15">
      <c r="A59" s="4">
        <v>2</v>
      </c>
      <c r="B59" s="29" t="e">
        <f>LOOKUP($D59,Site_Meta!$C$2:$C$43,Site_Meta!A$2:A$43)</f>
        <v>#N/A</v>
      </c>
      <c r="C59" s="29" t="e">
        <f>LOOKUP($D59,Site_Meta!$C$2:$C$43,Site_Meta!B$2:B$43)</f>
        <v>#N/A</v>
      </c>
      <c r="D59" s="29"/>
      <c r="E59" s="29" t="e">
        <f>LOOKUP($D59,Site_Meta!$C$2:$C$43,Site_Meta!D$2:D$43)</f>
        <v>#N/A</v>
      </c>
      <c r="F59" s="29" t="e">
        <f>LOOKUP($D59,Site_Meta!$C$2:$C$43,Site_Meta!E$2:E$43)</f>
        <v>#N/A</v>
      </c>
      <c r="G59" s="29" t="e">
        <f>LOOKUP($D59,Site_Meta!$C$2:$C$43,Site_Meta!F$2:F$43)</f>
        <v>#N/A</v>
      </c>
      <c r="H59" s="29" t="e">
        <f>LOOKUP($D59,Site_Meta!$C$2:$C$43,Site_Meta!G$2:G$43)</f>
        <v>#N/A</v>
      </c>
      <c r="I59" s="29" t="e">
        <f>LOOKUP($D59,Site_Meta!$C$2:$C$43,Site_Meta!H$2:H$43)</f>
        <v>#N/A</v>
      </c>
      <c r="J59" s="19"/>
      <c r="K59" s="19"/>
      <c r="L59" s="19"/>
      <c r="M59" s="30" t="str">
        <f t="shared" si="0"/>
        <v>//</v>
      </c>
      <c r="N59" s="31"/>
      <c r="O59" s="31"/>
      <c r="P59" s="31"/>
      <c r="Q59" s="31"/>
      <c r="R59" s="32"/>
      <c r="S59" s="32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31"/>
      <c r="AK59" s="31"/>
      <c r="AL59" s="31"/>
      <c r="AM59" s="19" t="e">
        <f t="shared" si="1"/>
        <v>#DIV/0!</v>
      </c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</row>
    <row r="60" spans="1:53" ht="15.75" customHeight="1" x14ac:dyDescent="0.15">
      <c r="A60" s="4">
        <v>2</v>
      </c>
      <c r="B60" s="29" t="e">
        <f>LOOKUP($D60,Site_Meta!$C$2:$C$43,Site_Meta!A$2:A$43)</f>
        <v>#N/A</v>
      </c>
      <c r="C60" s="29" t="e">
        <f>LOOKUP($D60,Site_Meta!$C$2:$C$43,Site_Meta!B$2:B$43)</f>
        <v>#N/A</v>
      </c>
      <c r="D60" s="29"/>
      <c r="E60" s="29" t="e">
        <f>LOOKUP($D60,Site_Meta!$C$2:$C$43,Site_Meta!D$2:D$43)</f>
        <v>#N/A</v>
      </c>
      <c r="F60" s="29" t="e">
        <f>LOOKUP($D60,Site_Meta!$C$2:$C$43,Site_Meta!E$2:E$43)</f>
        <v>#N/A</v>
      </c>
      <c r="G60" s="29" t="e">
        <f>LOOKUP($D60,Site_Meta!$C$2:$C$43,Site_Meta!F$2:F$43)</f>
        <v>#N/A</v>
      </c>
      <c r="H60" s="29" t="e">
        <f>LOOKUP($D60,Site_Meta!$C$2:$C$43,Site_Meta!G$2:G$43)</f>
        <v>#N/A</v>
      </c>
      <c r="I60" s="29" t="e">
        <f>LOOKUP($D60,Site_Meta!$C$2:$C$43,Site_Meta!H$2:H$43)</f>
        <v>#N/A</v>
      </c>
      <c r="J60" s="19"/>
      <c r="K60" s="19"/>
      <c r="L60" s="19"/>
      <c r="M60" s="30" t="str">
        <f t="shared" si="0"/>
        <v>//</v>
      </c>
      <c r="N60" s="31"/>
      <c r="O60" s="31"/>
      <c r="P60" s="31"/>
      <c r="Q60" s="31"/>
      <c r="R60" s="32"/>
      <c r="S60" s="32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31"/>
      <c r="AK60" s="31"/>
      <c r="AL60" s="31"/>
      <c r="AM60" s="19" t="e">
        <f t="shared" si="1"/>
        <v>#DIV/0!</v>
      </c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</row>
    <row r="61" spans="1:53" ht="15.75" customHeight="1" x14ac:dyDescent="0.15">
      <c r="A61" s="4">
        <v>2</v>
      </c>
      <c r="B61" s="29" t="e">
        <f>LOOKUP($D61,Site_Meta!$C$2:$C$43,Site_Meta!A$2:A$43)</f>
        <v>#N/A</v>
      </c>
      <c r="C61" s="29" t="e">
        <f>LOOKUP($D61,Site_Meta!$C$2:$C$43,Site_Meta!B$2:B$43)</f>
        <v>#N/A</v>
      </c>
      <c r="D61" s="29"/>
      <c r="E61" s="29" t="e">
        <f>LOOKUP($D61,Site_Meta!$C$2:$C$43,Site_Meta!D$2:D$43)</f>
        <v>#N/A</v>
      </c>
      <c r="F61" s="29" t="e">
        <f>LOOKUP($D61,Site_Meta!$C$2:$C$43,Site_Meta!E$2:E$43)</f>
        <v>#N/A</v>
      </c>
      <c r="G61" s="29" t="e">
        <f>LOOKUP($D61,Site_Meta!$C$2:$C$43,Site_Meta!F$2:F$43)</f>
        <v>#N/A</v>
      </c>
      <c r="H61" s="29" t="e">
        <f>LOOKUP($D61,Site_Meta!$C$2:$C$43,Site_Meta!G$2:G$43)</f>
        <v>#N/A</v>
      </c>
      <c r="I61" s="29" t="e">
        <f>LOOKUP($D61,Site_Meta!$C$2:$C$43,Site_Meta!H$2:H$43)</f>
        <v>#N/A</v>
      </c>
      <c r="J61" s="19"/>
      <c r="K61" s="19"/>
      <c r="L61" s="19"/>
      <c r="M61" s="30" t="str">
        <f t="shared" si="0"/>
        <v>//</v>
      </c>
      <c r="N61" s="31"/>
      <c r="O61" s="31"/>
      <c r="P61" s="31"/>
      <c r="Q61" s="31"/>
      <c r="R61" s="32"/>
      <c r="S61" s="32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31"/>
      <c r="AK61" s="31"/>
      <c r="AL61" s="31"/>
      <c r="AM61" s="19" t="e">
        <f t="shared" si="1"/>
        <v>#DIV/0!</v>
      </c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</row>
    <row r="62" spans="1:53" ht="15.75" customHeight="1" x14ac:dyDescent="0.15">
      <c r="A62" s="4">
        <v>2</v>
      </c>
      <c r="B62" s="29" t="e">
        <f>LOOKUP($D62,Site_Meta!$C$2:$C$43,Site_Meta!A$2:A$43)</f>
        <v>#N/A</v>
      </c>
      <c r="C62" s="29" t="e">
        <f>LOOKUP($D62,Site_Meta!$C$2:$C$43,Site_Meta!B$2:B$43)</f>
        <v>#N/A</v>
      </c>
      <c r="D62" s="29"/>
      <c r="E62" s="29" t="e">
        <f>LOOKUP($D62,Site_Meta!$C$2:$C$43,Site_Meta!D$2:D$43)</f>
        <v>#N/A</v>
      </c>
      <c r="F62" s="29" t="e">
        <f>LOOKUP($D62,Site_Meta!$C$2:$C$43,Site_Meta!E$2:E$43)</f>
        <v>#N/A</v>
      </c>
      <c r="G62" s="29" t="e">
        <f>LOOKUP($D62,Site_Meta!$C$2:$C$43,Site_Meta!F$2:F$43)</f>
        <v>#N/A</v>
      </c>
      <c r="H62" s="29" t="e">
        <f>LOOKUP($D62,Site_Meta!$C$2:$C$43,Site_Meta!G$2:G$43)</f>
        <v>#N/A</v>
      </c>
      <c r="I62" s="29" t="e">
        <f>LOOKUP($D62,Site_Meta!$C$2:$C$43,Site_Meta!H$2:H$43)</f>
        <v>#N/A</v>
      </c>
      <c r="J62" s="19"/>
      <c r="K62" s="19"/>
      <c r="L62" s="19"/>
      <c r="M62" s="30" t="str">
        <f t="shared" si="0"/>
        <v>//</v>
      </c>
      <c r="N62" s="31"/>
      <c r="O62" s="31"/>
      <c r="P62" s="31"/>
      <c r="Q62" s="31"/>
      <c r="R62" s="32"/>
      <c r="S62" s="32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31"/>
      <c r="AK62" s="31"/>
      <c r="AL62" s="31"/>
      <c r="AM62" s="19" t="e">
        <f t="shared" si="1"/>
        <v>#DIV/0!</v>
      </c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</row>
    <row r="63" spans="1:53" ht="15.75" customHeight="1" x14ac:dyDescent="0.15">
      <c r="A63" s="4">
        <v>2</v>
      </c>
      <c r="B63" s="29" t="e">
        <f>LOOKUP($D63,Site_Meta!$C$2:$C$43,Site_Meta!A$2:A$43)</f>
        <v>#N/A</v>
      </c>
      <c r="C63" s="29" t="e">
        <f>LOOKUP($D63,Site_Meta!$C$2:$C$43,Site_Meta!B$2:B$43)</f>
        <v>#N/A</v>
      </c>
      <c r="D63" s="29"/>
      <c r="E63" s="29" t="e">
        <f>LOOKUP($D63,Site_Meta!$C$2:$C$43,Site_Meta!D$2:D$43)</f>
        <v>#N/A</v>
      </c>
      <c r="F63" s="29" t="e">
        <f>LOOKUP($D63,Site_Meta!$C$2:$C$43,Site_Meta!E$2:E$43)</f>
        <v>#N/A</v>
      </c>
      <c r="G63" s="29" t="e">
        <f>LOOKUP($D63,Site_Meta!$C$2:$C$43,Site_Meta!F$2:F$43)</f>
        <v>#N/A</v>
      </c>
      <c r="H63" s="29" t="e">
        <f>LOOKUP($D63,Site_Meta!$C$2:$C$43,Site_Meta!G$2:G$43)</f>
        <v>#N/A</v>
      </c>
      <c r="I63" s="29" t="e">
        <f>LOOKUP($D63,Site_Meta!$C$2:$C$43,Site_Meta!H$2:H$43)</f>
        <v>#N/A</v>
      </c>
      <c r="J63" s="19"/>
      <c r="K63" s="19"/>
      <c r="L63" s="19"/>
      <c r="M63" s="30" t="str">
        <f t="shared" si="0"/>
        <v>//</v>
      </c>
      <c r="N63" s="31"/>
      <c r="O63" s="31"/>
      <c r="P63" s="31"/>
      <c r="Q63" s="31"/>
      <c r="R63" s="32"/>
      <c r="S63" s="32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31"/>
      <c r="AK63" s="31"/>
      <c r="AL63" s="31"/>
      <c r="AM63" s="19" t="e">
        <f t="shared" si="1"/>
        <v>#DIV/0!</v>
      </c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</row>
    <row r="64" spans="1:53" ht="15.75" customHeight="1" x14ac:dyDescent="0.15">
      <c r="A64" s="4">
        <v>2</v>
      </c>
      <c r="B64" s="29" t="e">
        <f>LOOKUP($D64,Site_Meta!$C$2:$C$43,Site_Meta!A$2:A$43)</f>
        <v>#N/A</v>
      </c>
      <c r="C64" s="29" t="e">
        <f>LOOKUP($D64,Site_Meta!$C$2:$C$43,Site_Meta!B$2:B$43)</f>
        <v>#N/A</v>
      </c>
      <c r="D64" s="29"/>
      <c r="E64" s="29" t="e">
        <f>LOOKUP($D64,Site_Meta!$C$2:$C$43,Site_Meta!D$2:D$43)</f>
        <v>#N/A</v>
      </c>
      <c r="F64" s="29" t="e">
        <f>LOOKUP($D64,Site_Meta!$C$2:$C$43,Site_Meta!E$2:E$43)</f>
        <v>#N/A</v>
      </c>
      <c r="G64" s="29" t="e">
        <f>LOOKUP($D64,Site_Meta!$C$2:$C$43,Site_Meta!F$2:F$43)</f>
        <v>#N/A</v>
      </c>
      <c r="H64" s="29" t="e">
        <f>LOOKUP($D64,Site_Meta!$C$2:$C$43,Site_Meta!G$2:G$43)</f>
        <v>#N/A</v>
      </c>
      <c r="I64" s="29" t="e">
        <f>LOOKUP($D64,Site_Meta!$C$2:$C$43,Site_Meta!H$2:H$43)</f>
        <v>#N/A</v>
      </c>
      <c r="J64" s="19"/>
      <c r="K64" s="19"/>
      <c r="L64" s="19"/>
      <c r="M64" s="30" t="str">
        <f t="shared" si="0"/>
        <v>//</v>
      </c>
      <c r="N64" s="31"/>
      <c r="O64" s="31"/>
      <c r="P64" s="31"/>
      <c r="Q64" s="31"/>
      <c r="R64" s="32"/>
      <c r="S64" s="32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31"/>
      <c r="AK64" s="31"/>
      <c r="AL64" s="31"/>
      <c r="AM64" s="19" t="e">
        <f t="shared" si="1"/>
        <v>#DIV/0!</v>
      </c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</row>
    <row r="65" spans="1:52" ht="15.75" customHeight="1" x14ac:dyDescent="0.15">
      <c r="A65" s="4">
        <v>2</v>
      </c>
      <c r="B65" s="29" t="e">
        <f>LOOKUP($D65,Site_Meta!$C$2:$C$43,Site_Meta!A$2:A$43)</f>
        <v>#N/A</v>
      </c>
      <c r="C65" s="29" t="e">
        <f>LOOKUP($D65,Site_Meta!$C$2:$C$43,Site_Meta!B$2:B$43)</f>
        <v>#N/A</v>
      </c>
      <c r="D65" s="29"/>
      <c r="E65" s="29" t="e">
        <f>LOOKUP($D65,Site_Meta!$C$2:$C$43,Site_Meta!D$2:D$43)</f>
        <v>#N/A</v>
      </c>
      <c r="F65" s="29" t="e">
        <f>LOOKUP($D65,Site_Meta!$C$2:$C$43,Site_Meta!E$2:E$43)</f>
        <v>#N/A</v>
      </c>
      <c r="G65" s="29" t="e">
        <f>LOOKUP($D65,Site_Meta!$C$2:$C$43,Site_Meta!F$2:F$43)</f>
        <v>#N/A</v>
      </c>
      <c r="H65" s="29" t="e">
        <f>LOOKUP($D65,Site_Meta!$C$2:$C$43,Site_Meta!G$2:G$43)</f>
        <v>#N/A</v>
      </c>
      <c r="I65" s="29" t="e">
        <f>LOOKUP($D65,Site_Meta!$C$2:$C$43,Site_Meta!H$2:H$43)</f>
        <v>#N/A</v>
      </c>
      <c r="J65" s="19"/>
      <c r="K65" s="19"/>
      <c r="L65" s="19"/>
      <c r="M65" s="30" t="str">
        <f t="shared" si="0"/>
        <v>//</v>
      </c>
      <c r="N65" s="31"/>
      <c r="O65" s="31"/>
      <c r="P65" s="31"/>
      <c r="Q65" s="31"/>
      <c r="R65" s="32"/>
      <c r="S65" s="32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31"/>
      <c r="AK65" s="31"/>
      <c r="AL65" s="31"/>
      <c r="AM65" s="19" t="e">
        <f t="shared" si="1"/>
        <v>#DIV/0!</v>
      </c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</row>
    <row r="66" spans="1:52" ht="15.75" customHeight="1" x14ac:dyDescent="0.15">
      <c r="A66" s="4">
        <v>2</v>
      </c>
      <c r="B66" s="29" t="e">
        <f>LOOKUP($D66,Site_Meta!$C$2:$C$43,Site_Meta!A$2:A$43)</f>
        <v>#N/A</v>
      </c>
      <c r="C66" s="29" t="e">
        <f>LOOKUP($D66,Site_Meta!$C$2:$C$43,Site_Meta!B$2:B$43)</f>
        <v>#N/A</v>
      </c>
      <c r="D66" s="29"/>
      <c r="E66" s="29" t="e">
        <f>LOOKUP($D66,Site_Meta!$C$2:$C$43,Site_Meta!D$2:D$43)</f>
        <v>#N/A</v>
      </c>
      <c r="F66" s="29" t="e">
        <f>LOOKUP($D66,Site_Meta!$C$2:$C$43,Site_Meta!E$2:E$43)</f>
        <v>#N/A</v>
      </c>
      <c r="G66" s="29" t="e">
        <f>LOOKUP($D66,Site_Meta!$C$2:$C$43,Site_Meta!F$2:F$43)</f>
        <v>#N/A</v>
      </c>
      <c r="H66" s="29" t="e">
        <f>LOOKUP($D66,Site_Meta!$C$2:$C$43,Site_Meta!G$2:G$43)</f>
        <v>#N/A</v>
      </c>
      <c r="I66" s="29" t="e">
        <f>LOOKUP($D66,Site_Meta!$C$2:$C$43,Site_Meta!H$2:H$43)</f>
        <v>#N/A</v>
      </c>
      <c r="J66" s="19"/>
      <c r="K66" s="19"/>
      <c r="L66" s="19"/>
      <c r="M66" s="30" t="str">
        <f t="shared" si="0"/>
        <v>//</v>
      </c>
      <c r="N66" s="31"/>
      <c r="O66" s="31"/>
      <c r="P66" s="31"/>
      <c r="Q66" s="31"/>
      <c r="R66" s="32"/>
      <c r="S66" s="32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31"/>
      <c r="AK66" s="31"/>
      <c r="AL66" s="31"/>
      <c r="AM66" s="19" t="e">
        <f t="shared" si="1"/>
        <v>#DIV/0!</v>
      </c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</row>
    <row r="67" spans="1:52" ht="15.75" customHeight="1" x14ac:dyDescent="0.15">
      <c r="A67" s="4">
        <v>2</v>
      </c>
      <c r="B67" s="29" t="e">
        <f>LOOKUP($D67,Site_Meta!$C$2:$C$43,Site_Meta!A$2:A$43)</f>
        <v>#N/A</v>
      </c>
      <c r="C67" s="29" t="e">
        <f>LOOKUP($D67,Site_Meta!$C$2:$C$43,Site_Meta!B$2:B$43)</f>
        <v>#N/A</v>
      </c>
      <c r="D67" s="29"/>
      <c r="E67" s="29" t="e">
        <f>LOOKUP($D67,Site_Meta!$C$2:$C$43,Site_Meta!D$2:D$43)</f>
        <v>#N/A</v>
      </c>
      <c r="F67" s="29" t="e">
        <f>LOOKUP($D67,Site_Meta!$C$2:$C$43,Site_Meta!E$2:E$43)</f>
        <v>#N/A</v>
      </c>
      <c r="G67" s="29" t="e">
        <f>LOOKUP($D67,Site_Meta!$C$2:$C$43,Site_Meta!F$2:F$43)</f>
        <v>#N/A</v>
      </c>
      <c r="H67" s="29" t="e">
        <f>LOOKUP($D67,Site_Meta!$C$2:$C$43,Site_Meta!G$2:G$43)</f>
        <v>#N/A</v>
      </c>
      <c r="I67" s="29" t="e">
        <f>LOOKUP($D67,Site_Meta!$C$2:$C$43,Site_Meta!H$2:H$43)</f>
        <v>#N/A</v>
      </c>
      <c r="J67" s="19"/>
      <c r="K67" s="19"/>
      <c r="L67" s="19"/>
      <c r="M67" s="30" t="str">
        <f t="shared" si="0"/>
        <v>//</v>
      </c>
      <c r="N67" s="31"/>
      <c r="O67" s="31"/>
      <c r="P67" s="31"/>
      <c r="Q67" s="31"/>
      <c r="R67" s="32"/>
      <c r="S67" s="32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31"/>
      <c r="AK67" s="31"/>
      <c r="AL67" s="31"/>
      <c r="AM67" s="19" t="e">
        <f t="shared" si="1"/>
        <v>#DIV/0!</v>
      </c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</row>
    <row r="68" spans="1:52" ht="15.75" customHeight="1" x14ac:dyDescent="0.15">
      <c r="A68" s="4">
        <v>2</v>
      </c>
      <c r="B68" s="29" t="e">
        <f>LOOKUP($D68,Site_Meta!$C$2:$C$43,Site_Meta!A$2:A$43)</f>
        <v>#N/A</v>
      </c>
      <c r="C68" s="29" t="e">
        <f>LOOKUP($D68,Site_Meta!$C$2:$C$43,Site_Meta!B$2:B$43)</f>
        <v>#N/A</v>
      </c>
      <c r="D68" s="29"/>
      <c r="E68" s="29" t="e">
        <f>LOOKUP($D68,Site_Meta!$C$2:$C$43,Site_Meta!D$2:D$43)</f>
        <v>#N/A</v>
      </c>
      <c r="F68" s="29" t="e">
        <f>LOOKUP($D68,Site_Meta!$C$2:$C$43,Site_Meta!E$2:E$43)</f>
        <v>#N/A</v>
      </c>
      <c r="G68" s="29" t="e">
        <f>LOOKUP($D68,Site_Meta!$C$2:$C$43,Site_Meta!F$2:F$43)</f>
        <v>#N/A</v>
      </c>
      <c r="H68" s="29" t="e">
        <f>LOOKUP($D68,Site_Meta!$C$2:$C$43,Site_Meta!G$2:G$43)</f>
        <v>#N/A</v>
      </c>
      <c r="I68" s="29" t="e">
        <f>LOOKUP($D68,Site_Meta!$C$2:$C$43,Site_Meta!H$2:H$43)</f>
        <v>#N/A</v>
      </c>
      <c r="J68" s="19"/>
      <c r="K68" s="19"/>
      <c r="L68" s="19"/>
      <c r="M68" s="30" t="str">
        <f t="shared" si="0"/>
        <v>//</v>
      </c>
      <c r="N68" s="31"/>
      <c r="O68" s="31"/>
      <c r="P68" s="31"/>
      <c r="Q68" s="31"/>
      <c r="R68" s="32"/>
      <c r="S68" s="32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31"/>
      <c r="AK68" s="31"/>
      <c r="AL68" s="31"/>
      <c r="AM68" s="19" t="e">
        <f t="shared" si="1"/>
        <v>#DIV/0!</v>
      </c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</row>
    <row r="69" spans="1:52" ht="15.75" customHeight="1" x14ac:dyDescent="0.15">
      <c r="A69" s="4">
        <v>2</v>
      </c>
      <c r="B69" s="29" t="e">
        <f>LOOKUP($D69,Site_Meta!$C$2:$C$43,Site_Meta!A$2:A$43)</f>
        <v>#N/A</v>
      </c>
      <c r="C69" s="29" t="e">
        <f>LOOKUP($D69,Site_Meta!$C$2:$C$43,Site_Meta!B$2:B$43)</f>
        <v>#N/A</v>
      </c>
      <c r="D69" s="29"/>
      <c r="E69" s="29" t="e">
        <f>LOOKUP($D69,Site_Meta!$C$2:$C$43,Site_Meta!D$2:D$43)</f>
        <v>#N/A</v>
      </c>
      <c r="F69" s="29" t="e">
        <f>LOOKUP($D69,Site_Meta!$C$2:$C$43,Site_Meta!E$2:E$43)</f>
        <v>#N/A</v>
      </c>
      <c r="G69" s="29" t="e">
        <f>LOOKUP($D69,Site_Meta!$C$2:$C$43,Site_Meta!F$2:F$43)</f>
        <v>#N/A</v>
      </c>
      <c r="H69" s="29" t="e">
        <f>LOOKUP($D69,Site_Meta!$C$2:$C$43,Site_Meta!G$2:G$43)</f>
        <v>#N/A</v>
      </c>
      <c r="I69" s="29" t="e">
        <f>LOOKUP($D69,Site_Meta!$C$2:$C$43,Site_Meta!H$2:H$43)</f>
        <v>#N/A</v>
      </c>
      <c r="J69" s="19"/>
      <c r="K69" s="19"/>
      <c r="L69" s="19"/>
      <c r="M69" s="30" t="str">
        <f t="shared" si="0"/>
        <v>//</v>
      </c>
      <c r="N69" s="31"/>
      <c r="O69" s="31"/>
      <c r="P69" s="31"/>
      <c r="Q69" s="31"/>
      <c r="R69" s="32"/>
      <c r="S69" s="32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31"/>
      <c r="AK69" s="31"/>
      <c r="AL69" s="31"/>
      <c r="AM69" s="19" t="e">
        <f t="shared" si="1"/>
        <v>#DIV/0!</v>
      </c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</row>
    <row r="70" spans="1:52" ht="15.75" customHeight="1" x14ac:dyDescent="0.15">
      <c r="A70" s="4">
        <v>2</v>
      </c>
      <c r="B70" s="29" t="e">
        <f>LOOKUP($D70,Site_Meta!$C$2:$C$43,Site_Meta!A$2:A$43)</f>
        <v>#N/A</v>
      </c>
      <c r="C70" s="29" t="e">
        <f>LOOKUP($D70,Site_Meta!$C$2:$C$43,Site_Meta!B$2:B$43)</f>
        <v>#N/A</v>
      </c>
      <c r="D70" s="29"/>
      <c r="E70" s="29" t="e">
        <f>LOOKUP($D70,Site_Meta!$C$2:$C$43,Site_Meta!D$2:D$43)</f>
        <v>#N/A</v>
      </c>
      <c r="F70" s="29" t="e">
        <f>LOOKUP($D70,Site_Meta!$C$2:$C$43,Site_Meta!E$2:E$43)</f>
        <v>#N/A</v>
      </c>
      <c r="G70" s="29" t="e">
        <f>LOOKUP($D70,Site_Meta!$C$2:$C$43,Site_Meta!F$2:F$43)</f>
        <v>#N/A</v>
      </c>
      <c r="H70" s="29" t="e">
        <f>LOOKUP($D70,Site_Meta!$C$2:$C$43,Site_Meta!G$2:G$43)</f>
        <v>#N/A</v>
      </c>
      <c r="I70" s="29" t="e">
        <f>LOOKUP($D70,Site_Meta!$C$2:$C$43,Site_Meta!H$2:H$43)</f>
        <v>#N/A</v>
      </c>
      <c r="J70" s="19"/>
      <c r="K70" s="19"/>
      <c r="L70" s="19"/>
      <c r="M70" s="30" t="str">
        <f t="shared" si="0"/>
        <v>//</v>
      </c>
      <c r="N70" s="31"/>
      <c r="O70" s="31"/>
      <c r="P70" s="31"/>
      <c r="Q70" s="31"/>
      <c r="R70" s="32"/>
      <c r="S70" s="32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31"/>
      <c r="AK70" s="31"/>
      <c r="AL70" s="31"/>
      <c r="AM70" s="19" t="e">
        <f t="shared" si="1"/>
        <v>#DIV/0!</v>
      </c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</row>
    <row r="71" spans="1:52" ht="15.75" customHeight="1" x14ac:dyDescent="0.15">
      <c r="A71" s="4">
        <v>2</v>
      </c>
      <c r="B71" s="29" t="e">
        <f>LOOKUP($D71,Site_Meta!$C$2:$C$43,Site_Meta!A$2:A$43)</f>
        <v>#N/A</v>
      </c>
      <c r="C71" s="29" t="e">
        <f>LOOKUP($D71,Site_Meta!$C$2:$C$43,Site_Meta!B$2:B$43)</f>
        <v>#N/A</v>
      </c>
      <c r="D71" s="29"/>
      <c r="E71" s="29" t="e">
        <f>LOOKUP($D71,Site_Meta!$C$2:$C$43,Site_Meta!D$2:D$43)</f>
        <v>#N/A</v>
      </c>
      <c r="F71" s="29" t="e">
        <f>LOOKUP($D71,Site_Meta!$C$2:$C$43,Site_Meta!E$2:E$43)</f>
        <v>#N/A</v>
      </c>
      <c r="G71" s="29" t="e">
        <f>LOOKUP($D71,Site_Meta!$C$2:$C$43,Site_Meta!F$2:F$43)</f>
        <v>#N/A</v>
      </c>
      <c r="H71" s="29" t="e">
        <f>LOOKUP($D71,Site_Meta!$C$2:$C$43,Site_Meta!G$2:G$43)</f>
        <v>#N/A</v>
      </c>
      <c r="I71" s="29" t="e">
        <f>LOOKUP($D71,Site_Meta!$C$2:$C$43,Site_Meta!H$2:H$43)</f>
        <v>#N/A</v>
      </c>
      <c r="J71" s="19"/>
      <c r="K71" s="19"/>
      <c r="L71" s="19"/>
      <c r="M71" s="30" t="str">
        <f t="shared" si="0"/>
        <v>//</v>
      </c>
      <c r="N71" s="31"/>
      <c r="O71" s="31"/>
      <c r="P71" s="31"/>
      <c r="Q71" s="31"/>
      <c r="R71" s="32"/>
      <c r="S71" s="32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31"/>
      <c r="AK71" s="31"/>
      <c r="AL71" s="31"/>
      <c r="AM71" s="19" t="e">
        <f t="shared" si="1"/>
        <v>#DIV/0!</v>
      </c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</row>
    <row r="72" spans="1:52" ht="15.75" customHeight="1" x14ac:dyDescent="0.15">
      <c r="A72" s="4">
        <v>2</v>
      </c>
      <c r="B72" s="29" t="e">
        <f>LOOKUP($D72,Site_Meta!$C$2:$C$43,Site_Meta!A$2:A$43)</f>
        <v>#N/A</v>
      </c>
      <c r="C72" s="29" t="e">
        <f>LOOKUP($D72,Site_Meta!$C$2:$C$43,Site_Meta!B$2:B$43)</f>
        <v>#N/A</v>
      </c>
      <c r="D72" s="29"/>
      <c r="E72" s="29" t="e">
        <f>LOOKUP($D72,Site_Meta!$C$2:$C$43,Site_Meta!D$2:D$43)</f>
        <v>#N/A</v>
      </c>
      <c r="F72" s="29" t="e">
        <f>LOOKUP($D72,Site_Meta!$C$2:$C$43,Site_Meta!E$2:E$43)</f>
        <v>#N/A</v>
      </c>
      <c r="G72" s="29" t="e">
        <f>LOOKUP($D72,Site_Meta!$C$2:$C$43,Site_Meta!F$2:F$43)</f>
        <v>#N/A</v>
      </c>
      <c r="H72" s="29" t="e">
        <f>LOOKUP($D72,Site_Meta!$C$2:$C$43,Site_Meta!G$2:G$43)</f>
        <v>#N/A</v>
      </c>
      <c r="I72" s="29" t="e">
        <f>LOOKUP($D72,Site_Meta!$C$2:$C$43,Site_Meta!H$2:H$43)</f>
        <v>#N/A</v>
      </c>
      <c r="J72" s="19"/>
      <c r="K72" s="19"/>
      <c r="L72" s="19"/>
      <c r="M72" s="30" t="str">
        <f t="shared" si="0"/>
        <v>//</v>
      </c>
      <c r="N72" s="31"/>
      <c r="O72" s="31"/>
      <c r="P72" s="31"/>
      <c r="Q72" s="31"/>
      <c r="R72" s="32"/>
      <c r="S72" s="32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31"/>
      <c r="AK72" s="31"/>
      <c r="AL72" s="31"/>
      <c r="AM72" s="19" t="e">
        <f t="shared" si="1"/>
        <v>#DIV/0!</v>
      </c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</row>
    <row r="73" spans="1:52" ht="15.75" customHeight="1" x14ac:dyDescent="0.15">
      <c r="A73" s="4">
        <v>2</v>
      </c>
      <c r="B73" s="29" t="e">
        <f>LOOKUP($D73,Site_Meta!$C$2:$C$43,Site_Meta!A$2:A$43)</f>
        <v>#N/A</v>
      </c>
      <c r="C73" s="29" t="e">
        <f>LOOKUP($D73,Site_Meta!$C$2:$C$43,Site_Meta!B$2:B$43)</f>
        <v>#N/A</v>
      </c>
      <c r="D73" s="29"/>
      <c r="E73" s="29" t="e">
        <f>LOOKUP($D73,Site_Meta!$C$2:$C$43,Site_Meta!D$2:D$43)</f>
        <v>#N/A</v>
      </c>
      <c r="F73" s="29" t="e">
        <f>LOOKUP($D73,Site_Meta!$C$2:$C$43,Site_Meta!E$2:E$43)</f>
        <v>#N/A</v>
      </c>
      <c r="G73" s="29" t="e">
        <f>LOOKUP($D73,Site_Meta!$C$2:$C$43,Site_Meta!F$2:F$43)</f>
        <v>#N/A</v>
      </c>
      <c r="H73" s="29" t="e">
        <f>LOOKUP($D73,Site_Meta!$C$2:$C$43,Site_Meta!G$2:G$43)</f>
        <v>#N/A</v>
      </c>
      <c r="I73" s="29" t="e">
        <f>LOOKUP($D73,Site_Meta!$C$2:$C$43,Site_Meta!H$2:H$43)</f>
        <v>#N/A</v>
      </c>
      <c r="J73" s="19"/>
      <c r="K73" s="19"/>
      <c r="L73" s="19"/>
      <c r="M73" s="30" t="str">
        <f t="shared" si="0"/>
        <v>//</v>
      </c>
      <c r="N73" s="31"/>
      <c r="O73" s="31"/>
      <c r="P73" s="31"/>
      <c r="Q73" s="31"/>
      <c r="R73" s="32"/>
      <c r="S73" s="32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31"/>
      <c r="AK73" s="31"/>
      <c r="AL73" s="31"/>
      <c r="AM73" s="19" t="e">
        <f t="shared" si="1"/>
        <v>#DIV/0!</v>
      </c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</row>
    <row r="74" spans="1:52" ht="15.75" customHeight="1" x14ac:dyDescent="0.15">
      <c r="A74" s="4">
        <v>2</v>
      </c>
      <c r="B74" s="29" t="e">
        <f>LOOKUP($D74,Site_Meta!$C$2:$C$43,Site_Meta!A$2:A$43)</f>
        <v>#N/A</v>
      </c>
      <c r="C74" s="29" t="e">
        <f>LOOKUP($D74,Site_Meta!$C$2:$C$43,Site_Meta!B$2:B$43)</f>
        <v>#N/A</v>
      </c>
      <c r="D74" s="29"/>
      <c r="E74" s="29" t="e">
        <f>LOOKUP($D74,Site_Meta!$C$2:$C$43,Site_Meta!D$2:D$43)</f>
        <v>#N/A</v>
      </c>
      <c r="F74" s="29" t="e">
        <f>LOOKUP($D74,Site_Meta!$C$2:$C$43,Site_Meta!E$2:E$43)</f>
        <v>#N/A</v>
      </c>
      <c r="G74" s="29" t="e">
        <f>LOOKUP($D74,Site_Meta!$C$2:$C$43,Site_Meta!F$2:F$43)</f>
        <v>#N/A</v>
      </c>
      <c r="H74" s="29" t="e">
        <f>LOOKUP($D74,Site_Meta!$C$2:$C$43,Site_Meta!G$2:G$43)</f>
        <v>#N/A</v>
      </c>
      <c r="I74" s="29" t="e">
        <f>LOOKUP($D74,Site_Meta!$C$2:$C$43,Site_Meta!H$2:H$43)</f>
        <v>#N/A</v>
      </c>
      <c r="J74" s="19"/>
      <c r="K74" s="19"/>
      <c r="L74" s="19"/>
      <c r="M74" s="30" t="str">
        <f t="shared" si="0"/>
        <v>//</v>
      </c>
      <c r="N74" s="31"/>
      <c r="O74" s="31"/>
      <c r="P74" s="31"/>
      <c r="Q74" s="31"/>
      <c r="R74" s="32"/>
      <c r="S74" s="32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31"/>
      <c r="AK74" s="31"/>
      <c r="AL74" s="31"/>
      <c r="AM74" s="19" t="e">
        <f t="shared" si="1"/>
        <v>#DIV/0!</v>
      </c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</row>
    <row r="75" spans="1:52" ht="15.75" customHeight="1" x14ac:dyDescent="0.15">
      <c r="A75" s="4">
        <v>2</v>
      </c>
      <c r="B75" s="29" t="e">
        <f>LOOKUP($D75,Site_Meta!$C$2:$C$43,Site_Meta!A$2:A$43)</f>
        <v>#N/A</v>
      </c>
      <c r="C75" s="29" t="e">
        <f>LOOKUP($D75,Site_Meta!$C$2:$C$43,Site_Meta!B$2:B$43)</f>
        <v>#N/A</v>
      </c>
      <c r="D75" s="29"/>
      <c r="E75" s="29" t="e">
        <f>LOOKUP($D75,Site_Meta!$C$2:$C$43,Site_Meta!D$2:D$43)</f>
        <v>#N/A</v>
      </c>
      <c r="F75" s="29" t="e">
        <f>LOOKUP($D75,Site_Meta!$C$2:$C$43,Site_Meta!E$2:E$43)</f>
        <v>#N/A</v>
      </c>
      <c r="G75" s="29" t="e">
        <f>LOOKUP($D75,Site_Meta!$C$2:$C$43,Site_Meta!F$2:F$43)</f>
        <v>#N/A</v>
      </c>
      <c r="H75" s="29" t="e">
        <f>LOOKUP($D75,Site_Meta!$C$2:$C$43,Site_Meta!G$2:G$43)</f>
        <v>#N/A</v>
      </c>
      <c r="I75" s="29" t="e">
        <f>LOOKUP($D75,Site_Meta!$C$2:$C$43,Site_Meta!H$2:H$43)</f>
        <v>#N/A</v>
      </c>
      <c r="J75" s="19"/>
      <c r="K75" s="19"/>
      <c r="L75" s="19"/>
      <c r="M75" s="30" t="str">
        <f t="shared" si="0"/>
        <v>//</v>
      </c>
      <c r="N75" s="31"/>
      <c r="O75" s="31"/>
      <c r="P75" s="31"/>
      <c r="Q75" s="31"/>
      <c r="R75" s="32"/>
      <c r="S75" s="32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31"/>
      <c r="AK75" s="31"/>
      <c r="AL75" s="31"/>
      <c r="AM75" s="19" t="e">
        <f t="shared" si="1"/>
        <v>#DIV/0!</v>
      </c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</row>
    <row r="76" spans="1:52" ht="15.75" customHeight="1" x14ac:dyDescent="0.15">
      <c r="A76" s="4">
        <v>2</v>
      </c>
      <c r="B76" s="29" t="e">
        <f>LOOKUP($D76,Site_Meta!$C$2:$C$43,Site_Meta!A$2:A$43)</f>
        <v>#N/A</v>
      </c>
      <c r="C76" s="29" t="e">
        <f>LOOKUP($D76,Site_Meta!$C$2:$C$43,Site_Meta!B$2:B$43)</f>
        <v>#N/A</v>
      </c>
      <c r="D76" s="29"/>
      <c r="E76" s="29" t="e">
        <f>LOOKUP($D76,Site_Meta!$C$2:$C$43,Site_Meta!D$2:D$43)</f>
        <v>#N/A</v>
      </c>
      <c r="F76" s="29" t="e">
        <f>LOOKUP($D76,Site_Meta!$C$2:$C$43,Site_Meta!E$2:E$43)</f>
        <v>#N/A</v>
      </c>
      <c r="G76" s="29" t="e">
        <f>LOOKUP($D76,Site_Meta!$C$2:$C$43,Site_Meta!F$2:F$43)</f>
        <v>#N/A</v>
      </c>
      <c r="H76" s="29" t="e">
        <f>LOOKUP($D76,Site_Meta!$C$2:$C$43,Site_Meta!G$2:G$43)</f>
        <v>#N/A</v>
      </c>
      <c r="I76" s="29" t="e">
        <f>LOOKUP($D76,Site_Meta!$C$2:$C$43,Site_Meta!H$2:H$43)</f>
        <v>#N/A</v>
      </c>
      <c r="J76" s="19"/>
      <c r="K76" s="19"/>
      <c r="L76" s="19"/>
      <c r="M76" s="30" t="str">
        <f t="shared" si="0"/>
        <v>//</v>
      </c>
      <c r="N76" s="31"/>
      <c r="O76" s="31"/>
      <c r="P76" s="31"/>
      <c r="Q76" s="31"/>
      <c r="R76" s="32"/>
      <c r="S76" s="32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31"/>
      <c r="AK76" s="31"/>
      <c r="AL76" s="31"/>
      <c r="AM76" s="19" t="e">
        <f t="shared" si="1"/>
        <v>#DIV/0!</v>
      </c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</row>
    <row r="77" spans="1:52" ht="15.75" customHeight="1" x14ac:dyDescent="0.15">
      <c r="A77" s="4">
        <v>2</v>
      </c>
      <c r="B77" s="29" t="e">
        <f>LOOKUP($D77,Site_Meta!$C$2:$C$43,Site_Meta!A$2:A$43)</f>
        <v>#N/A</v>
      </c>
      <c r="C77" s="29" t="e">
        <f>LOOKUP($D77,Site_Meta!$C$2:$C$43,Site_Meta!B$2:B$43)</f>
        <v>#N/A</v>
      </c>
      <c r="D77" s="29"/>
      <c r="E77" s="29" t="e">
        <f>LOOKUP($D77,Site_Meta!$C$2:$C$43,Site_Meta!D$2:D$43)</f>
        <v>#N/A</v>
      </c>
      <c r="F77" s="29" t="e">
        <f>LOOKUP($D77,Site_Meta!$C$2:$C$43,Site_Meta!E$2:E$43)</f>
        <v>#N/A</v>
      </c>
      <c r="G77" s="29" t="e">
        <f>LOOKUP($D77,Site_Meta!$C$2:$C$43,Site_Meta!F$2:F$43)</f>
        <v>#N/A</v>
      </c>
      <c r="H77" s="29" t="e">
        <f>LOOKUP($D77,Site_Meta!$C$2:$C$43,Site_Meta!G$2:G$43)</f>
        <v>#N/A</v>
      </c>
      <c r="I77" s="29" t="e">
        <f>LOOKUP($D77,Site_Meta!$C$2:$C$43,Site_Meta!H$2:H$43)</f>
        <v>#N/A</v>
      </c>
      <c r="J77" s="19"/>
      <c r="K77" s="19"/>
      <c r="L77" s="19"/>
      <c r="M77" s="30" t="str">
        <f t="shared" si="0"/>
        <v>//</v>
      </c>
      <c r="N77" s="31"/>
      <c r="O77" s="31"/>
      <c r="P77" s="31"/>
      <c r="Q77" s="31"/>
      <c r="R77" s="32"/>
      <c r="S77" s="32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31"/>
      <c r="AK77" s="31"/>
      <c r="AL77" s="31"/>
      <c r="AM77" s="19" t="e">
        <f t="shared" si="1"/>
        <v>#DIV/0!</v>
      </c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</row>
    <row r="78" spans="1:52" ht="15.75" customHeight="1" x14ac:dyDescent="0.15">
      <c r="A78" s="4">
        <v>2</v>
      </c>
      <c r="B78" s="29" t="e">
        <f>LOOKUP($D78,Site_Meta!$C$2:$C$43,Site_Meta!A$2:A$43)</f>
        <v>#N/A</v>
      </c>
      <c r="C78" s="29" t="e">
        <f>LOOKUP($D78,Site_Meta!$C$2:$C$43,Site_Meta!B$2:B$43)</f>
        <v>#N/A</v>
      </c>
      <c r="D78" s="29"/>
      <c r="E78" s="29" t="e">
        <f>LOOKUP($D78,Site_Meta!$C$2:$C$43,Site_Meta!D$2:D$43)</f>
        <v>#N/A</v>
      </c>
      <c r="F78" s="29" t="e">
        <f>LOOKUP($D78,Site_Meta!$C$2:$C$43,Site_Meta!E$2:E$43)</f>
        <v>#N/A</v>
      </c>
      <c r="G78" s="29" t="e">
        <f>LOOKUP($D78,Site_Meta!$C$2:$C$43,Site_Meta!F$2:F$43)</f>
        <v>#N/A</v>
      </c>
      <c r="H78" s="29" t="e">
        <f>LOOKUP($D78,Site_Meta!$C$2:$C$43,Site_Meta!G$2:G$43)</f>
        <v>#N/A</v>
      </c>
      <c r="I78" s="29" t="e">
        <f>LOOKUP($D78,Site_Meta!$C$2:$C$43,Site_Meta!H$2:H$43)</f>
        <v>#N/A</v>
      </c>
      <c r="J78" s="19"/>
      <c r="K78" s="19"/>
      <c r="L78" s="19"/>
      <c r="M78" s="30" t="str">
        <f t="shared" si="0"/>
        <v>//</v>
      </c>
      <c r="N78" s="31"/>
      <c r="O78" s="31"/>
      <c r="P78" s="31"/>
      <c r="Q78" s="31"/>
      <c r="R78" s="32"/>
      <c r="S78" s="32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31"/>
      <c r="AK78" s="31"/>
      <c r="AL78" s="31"/>
      <c r="AM78" s="19" t="e">
        <f t="shared" si="1"/>
        <v>#DIV/0!</v>
      </c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</row>
    <row r="79" spans="1:52" ht="15.75" customHeight="1" x14ac:dyDescent="0.15">
      <c r="A79" s="4">
        <v>2</v>
      </c>
      <c r="B79" s="29" t="e">
        <f>LOOKUP($D79,Site_Meta!$C$2:$C$43,Site_Meta!A$2:A$43)</f>
        <v>#N/A</v>
      </c>
      <c r="C79" s="29" t="e">
        <f>LOOKUP($D79,Site_Meta!$C$2:$C$43,Site_Meta!B$2:B$43)</f>
        <v>#N/A</v>
      </c>
      <c r="D79" s="29"/>
      <c r="E79" s="29" t="e">
        <f>LOOKUP($D79,Site_Meta!$C$2:$C$43,Site_Meta!D$2:D$43)</f>
        <v>#N/A</v>
      </c>
      <c r="F79" s="29" t="e">
        <f>LOOKUP($D79,Site_Meta!$C$2:$C$43,Site_Meta!E$2:E$43)</f>
        <v>#N/A</v>
      </c>
      <c r="G79" s="29" t="e">
        <f>LOOKUP($D79,Site_Meta!$C$2:$C$43,Site_Meta!F$2:F$43)</f>
        <v>#N/A</v>
      </c>
      <c r="H79" s="29" t="e">
        <f>LOOKUP($D79,Site_Meta!$C$2:$C$43,Site_Meta!G$2:G$43)</f>
        <v>#N/A</v>
      </c>
      <c r="I79" s="29" t="e">
        <f>LOOKUP($D79,Site_Meta!$C$2:$C$43,Site_Meta!H$2:H$43)</f>
        <v>#N/A</v>
      </c>
      <c r="J79" s="19"/>
      <c r="K79" s="19"/>
      <c r="L79" s="19"/>
      <c r="M79" s="30" t="str">
        <f t="shared" si="0"/>
        <v>//</v>
      </c>
      <c r="N79" s="31"/>
      <c r="O79" s="31"/>
      <c r="P79" s="31"/>
      <c r="Q79" s="31"/>
      <c r="R79" s="32"/>
      <c r="S79" s="32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31"/>
      <c r="AK79" s="31"/>
      <c r="AL79" s="31"/>
      <c r="AM79" s="19" t="e">
        <f t="shared" si="1"/>
        <v>#DIV/0!</v>
      </c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</row>
    <row r="80" spans="1:52" ht="15.75" customHeight="1" x14ac:dyDescent="0.15">
      <c r="A80" s="4">
        <v>2</v>
      </c>
      <c r="B80" s="29" t="e">
        <f>LOOKUP($D80,Site_Meta!$C$2:$C$43,Site_Meta!A$2:A$43)</f>
        <v>#N/A</v>
      </c>
      <c r="C80" s="29" t="e">
        <f>LOOKUP($D80,Site_Meta!$C$2:$C$43,Site_Meta!B$2:B$43)</f>
        <v>#N/A</v>
      </c>
      <c r="D80" s="29"/>
      <c r="E80" s="29" t="e">
        <f>LOOKUP($D80,Site_Meta!$C$2:$C$43,Site_Meta!D$2:D$43)</f>
        <v>#N/A</v>
      </c>
      <c r="F80" s="29" t="e">
        <f>LOOKUP($D80,Site_Meta!$C$2:$C$43,Site_Meta!E$2:E$43)</f>
        <v>#N/A</v>
      </c>
      <c r="G80" s="29" t="e">
        <f>LOOKUP($D80,Site_Meta!$C$2:$C$43,Site_Meta!F$2:F$43)</f>
        <v>#N/A</v>
      </c>
      <c r="H80" s="29" t="e">
        <f>LOOKUP($D80,Site_Meta!$C$2:$C$43,Site_Meta!G$2:G$43)</f>
        <v>#N/A</v>
      </c>
      <c r="I80" s="29" t="e">
        <f>LOOKUP($D80,Site_Meta!$C$2:$C$43,Site_Meta!H$2:H$43)</f>
        <v>#N/A</v>
      </c>
      <c r="J80" s="19"/>
      <c r="K80" s="19"/>
      <c r="L80" s="19"/>
      <c r="M80" s="30" t="str">
        <f t="shared" si="0"/>
        <v>//</v>
      </c>
      <c r="N80" s="31"/>
      <c r="O80" s="31"/>
      <c r="P80" s="31"/>
      <c r="Q80" s="31"/>
      <c r="R80" s="32"/>
      <c r="S80" s="32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31"/>
      <c r="AK80" s="31"/>
      <c r="AL80" s="31"/>
      <c r="AM80" s="19" t="e">
        <f t="shared" si="1"/>
        <v>#DIV/0!</v>
      </c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</row>
    <row r="81" spans="1:52" ht="15.75" customHeight="1" x14ac:dyDescent="0.15">
      <c r="A81" s="4">
        <v>2</v>
      </c>
      <c r="B81" s="29" t="e">
        <f>LOOKUP($D81,Site_Meta!$C$2:$C$43,Site_Meta!A$2:A$43)</f>
        <v>#N/A</v>
      </c>
      <c r="C81" s="29" t="e">
        <f>LOOKUP($D81,Site_Meta!$C$2:$C$43,Site_Meta!B$2:B$43)</f>
        <v>#N/A</v>
      </c>
      <c r="D81" s="29"/>
      <c r="E81" s="29" t="e">
        <f>LOOKUP($D81,Site_Meta!$C$2:$C$43,Site_Meta!D$2:D$43)</f>
        <v>#N/A</v>
      </c>
      <c r="F81" s="29" t="e">
        <f>LOOKUP($D81,Site_Meta!$C$2:$C$43,Site_Meta!E$2:E$43)</f>
        <v>#N/A</v>
      </c>
      <c r="G81" s="29" t="e">
        <f>LOOKUP($D81,Site_Meta!$C$2:$C$43,Site_Meta!F$2:F$43)</f>
        <v>#N/A</v>
      </c>
      <c r="H81" s="29" t="e">
        <f>LOOKUP($D81,Site_Meta!$C$2:$C$43,Site_Meta!G$2:G$43)</f>
        <v>#N/A</v>
      </c>
      <c r="I81" s="29" t="e">
        <f>LOOKUP($D81,Site_Meta!$C$2:$C$43,Site_Meta!H$2:H$43)</f>
        <v>#N/A</v>
      </c>
      <c r="J81" s="19"/>
      <c r="K81" s="19"/>
      <c r="L81" s="19"/>
      <c r="M81" s="30" t="str">
        <f t="shared" si="0"/>
        <v>//</v>
      </c>
      <c r="N81" s="31"/>
      <c r="O81" s="31"/>
      <c r="P81" s="31"/>
      <c r="Q81" s="31"/>
      <c r="R81" s="32"/>
      <c r="S81" s="32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31"/>
      <c r="AK81" s="31"/>
      <c r="AL81" s="31"/>
      <c r="AM81" s="19" t="e">
        <f t="shared" si="1"/>
        <v>#DIV/0!</v>
      </c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</row>
    <row r="82" spans="1:52" ht="15.75" customHeight="1" x14ac:dyDescent="0.15">
      <c r="A82" s="4">
        <v>2</v>
      </c>
      <c r="B82" s="29" t="e">
        <f>LOOKUP($D82,Site_Meta!$C$2:$C$43,Site_Meta!A$2:A$43)</f>
        <v>#N/A</v>
      </c>
      <c r="C82" s="29" t="e">
        <f>LOOKUP($D82,Site_Meta!$C$2:$C$43,Site_Meta!B$2:B$43)</f>
        <v>#N/A</v>
      </c>
      <c r="D82" s="29"/>
      <c r="E82" s="29" t="e">
        <f>LOOKUP($D82,Site_Meta!$C$2:$C$43,Site_Meta!D$2:D$43)</f>
        <v>#N/A</v>
      </c>
      <c r="F82" s="29" t="e">
        <f>LOOKUP($D82,Site_Meta!$C$2:$C$43,Site_Meta!E$2:E$43)</f>
        <v>#N/A</v>
      </c>
      <c r="G82" s="29" t="e">
        <f>LOOKUP($D82,Site_Meta!$C$2:$C$43,Site_Meta!F$2:F$43)</f>
        <v>#N/A</v>
      </c>
      <c r="H82" s="29" t="e">
        <f>LOOKUP($D82,Site_Meta!$C$2:$C$43,Site_Meta!G$2:G$43)</f>
        <v>#N/A</v>
      </c>
      <c r="I82" s="29" t="e">
        <f>LOOKUP($D82,Site_Meta!$C$2:$C$43,Site_Meta!H$2:H$43)</f>
        <v>#N/A</v>
      </c>
      <c r="J82" s="19"/>
      <c r="K82" s="19"/>
      <c r="L82" s="19"/>
      <c r="M82" s="30" t="str">
        <f t="shared" si="0"/>
        <v>//</v>
      </c>
      <c r="N82" s="31"/>
      <c r="O82" s="31"/>
      <c r="P82" s="31"/>
      <c r="Q82" s="31"/>
      <c r="R82" s="32"/>
      <c r="S82" s="32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31"/>
      <c r="AK82" s="31"/>
      <c r="AL82" s="31"/>
      <c r="AM82" s="19" t="e">
        <f t="shared" si="1"/>
        <v>#DIV/0!</v>
      </c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</row>
    <row r="83" spans="1:52" ht="15.75" customHeight="1" x14ac:dyDescent="0.15">
      <c r="A83" s="4">
        <v>2</v>
      </c>
      <c r="B83" s="29" t="e">
        <f>LOOKUP($D83,Site_Meta!$C$2:$C$43,Site_Meta!A$2:A$43)</f>
        <v>#N/A</v>
      </c>
      <c r="C83" s="29" t="e">
        <f>LOOKUP($D83,Site_Meta!$C$2:$C$43,Site_Meta!B$2:B$43)</f>
        <v>#N/A</v>
      </c>
      <c r="D83" s="29"/>
      <c r="E83" s="29" t="e">
        <f>LOOKUP($D83,Site_Meta!$C$2:$C$43,Site_Meta!D$2:D$43)</f>
        <v>#N/A</v>
      </c>
      <c r="F83" s="29" t="e">
        <f>LOOKUP($D83,Site_Meta!$C$2:$C$43,Site_Meta!E$2:E$43)</f>
        <v>#N/A</v>
      </c>
      <c r="G83" s="29" t="e">
        <f>LOOKUP($D83,Site_Meta!$C$2:$C$43,Site_Meta!F$2:F$43)</f>
        <v>#N/A</v>
      </c>
      <c r="H83" s="29" t="e">
        <f>LOOKUP($D83,Site_Meta!$C$2:$C$43,Site_Meta!G$2:G$43)</f>
        <v>#N/A</v>
      </c>
      <c r="I83" s="29" t="e">
        <f>LOOKUP($D83,Site_Meta!$C$2:$C$43,Site_Meta!H$2:H$43)</f>
        <v>#N/A</v>
      </c>
      <c r="J83" s="19"/>
      <c r="K83" s="19"/>
      <c r="L83" s="19"/>
      <c r="M83" s="30" t="str">
        <f t="shared" si="0"/>
        <v>//</v>
      </c>
      <c r="N83" s="31"/>
      <c r="O83" s="31"/>
      <c r="P83" s="31"/>
      <c r="Q83" s="31"/>
      <c r="R83" s="32"/>
      <c r="S83" s="32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31"/>
      <c r="AK83" s="31"/>
      <c r="AL83" s="31"/>
      <c r="AM83" s="19" t="e">
        <f t="shared" si="1"/>
        <v>#DIV/0!</v>
      </c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</row>
    <row r="84" spans="1:52" ht="15.75" customHeight="1" x14ac:dyDescent="0.15">
      <c r="A84" s="4">
        <v>2</v>
      </c>
      <c r="B84" s="29" t="e">
        <f>LOOKUP($D84,Site_Meta!$C$2:$C$43,Site_Meta!A$2:A$43)</f>
        <v>#N/A</v>
      </c>
      <c r="C84" s="29" t="e">
        <f>LOOKUP($D84,Site_Meta!$C$2:$C$43,Site_Meta!B$2:B$43)</f>
        <v>#N/A</v>
      </c>
      <c r="D84" s="29"/>
      <c r="E84" s="29" t="e">
        <f>LOOKUP($D84,Site_Meta!$C$2:$C$43,Site_Meta!D$2:D$43)</f>
        <v>#N/A</v>
      </c>
      <c r="F84" s="29" t="e">
        <f>LOOKUP($D84,Site_Meta!$C$2:$C$43,Site_Meta!E$2:E$43)</f>
        <v>#N/A</v>
      </c>
      <c r="G84" s="29" t="e">
        <f>LOOKUP($D84,Site_Meta!$C$2:$C$43,Site_Meta!F$2:F$43)</f>
        <v>#N/A</v>
      </c>
      <c r="H84" s="29" t="e">
        <f>LOOKUP($D84,Site_Meta!$C$2:$C$43,Site_Meta!G$2:G$43)</f>
        <v>#N/A</v>
      </c>
      <c r="I84" s="29" t="e">
        <f>LOOKUP($D84,Site_Meta!$C$2:$C$43,Site_Meta!H$2:H$43)</f>
        <v>#N/A</v>
      </c>
      <c r="J84" s="19"/>
      <c r="K84" s="19"/>
      <c r="L84" s="19"/>
      <c r="M84" s="30" t="str">
        <f t="shared" si="0"/>
        <v>//</v>
      </c>
      <c r="N84" s="31"/>
      <c r="O84" s="31"/>
      <c r="P84" s="31"/>
      <c r="Q84" s="31"/>
      <c r="R84" s="32"/>
      <c r="S84" s="32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31"/>
      <c r="AK84" s="31"/>
      <c r="AL84" s="31"/>
      <c r="AM84" s="19" t="e">
        <f t="shared" si="1"/>
        <v>#DIV/0!</v>
      </c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</row>
    <row r="85" spans="1:52" ht="15.75" customHeight="1" x14ac:dyDescent="0.15">
      <c r="A85" s="4">
        <v>2</v>
      </c>
      <c r="B85" s="29" t="e">
        <f>LOOKUP($D85,Site_Meta!$C$2:$C$43,Site_Meta!A$2:A$43)</f>
        <v>#N/A</v>
      </c>
      <c r="C85" s="29" t="e">
        <f>LOOKUP($D85,Site_Meta!$C$2:$C$43,Site_Meta!B$2:B$43)</f>
        <v>#N/A</v>
      </c>
      <c r="D85" s="29"/>
      <c r="E85" s="29" t="e">
        <f>LOOKUP($D85,Site_Meta!$C$2:$C$43,Site_Meta!D$2:D$43)</f>
        <v>#N/A</v>
      </c>
      <c r="F85" s="29" t="e">
        <f>LOOKUP($D85,Site_Meta!$C$2:$C$43,Site_Meta!E$2:E$43)</f>
        <v>#N/A</v>
      </c>
      <c r="G85" s="29" t="e">
        <f>LOOKUP($D85,Site_Meta!$C$2:$C$43,Site_Meta!F$2:F$43)</f>
        <v>#N/A</v>
      </c>
      <c r="H85" s="29" t="e">
        <f>LOOKUP($D85,Site_Meta!$C$2:$C$43,Site_Meta!G$2:G$43)</f>
        <v>#N/A</v>
      </c>
      <c r="I85" s="29" t="e">
        <f>LOOKUP($D85,Site_Meta!$C$2:$C$43,Site_Meta!H$2:H$43)</f>
        <v>#N/A</v>
      </c>
      <c r="J85" s="19"/>
      <c r="K85" s="19"/>
      <c r="L85" s="19"/>
      <c r="M85" s="30" t="str">
        <f t="shared" si="0"/>
        <v>//</v>
      </c>
      <c r="N85" s="31"/>
      <c r="O85" s="31"/>
      <c r="P85" s="31"/>
      <c r="Q85" s="31"/>
      <c r="R85" s="32"/>
      <c r="S85" s="32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31"/>
      <c r="AK85" s="31"/>
      <c r="AL85" s="31"/>
      <c r="AM85" s="19" t="e">
        <f t="shared" si="1"/>
        <v>#DIV/0!</v>
      </c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</row>
    <row r="86" spans="1:52" ht="15.75" customHeight="1" x14ac:dyDescent="0.15">
      <c r="A86" s="4">
        <v>2</v>
      </c>
      <c r="B86" s="29" t="e">
        <f>LOOKUP($D86,Site_Meta!$C$2:$C$43,Site_Meta!A$2:A$43)</f>
        <v>#N/A</v>
      </c>
      <c r="C86" s="29" t="e">
        <f>LOOKUP($D86,Site_Meta!$C$2:$C$43,Site_Meta!B$2:B$43)</f>
        <v>#N/A</v>
      </c>
      <c r="D86" s="29"/>
      <c r="E86" s="29" t="e">
        <f>LOOKUP($D86,Site_Meta!$C$2:$C$43,Site_Meta!D$2:D$43)</f>
        <v>#N/A</v>
      </c>
      <c r="F86" s="29" t="e">
        <f>LOOKUP($D86,Site_Meta!$C$2:$C$43,Site_Meta!E$2:E$43)</f>
        <v>#N/A</v>
      </c>
      <c r="G86" s="29" t="e">
        <f>LOOKUP($D86,Site_Meta!$C$2:$C$43,Site_Meta!F$2:F$43)</f>
        <v>#N/A</v>
      </c>
      <c r="H86" s="29" t="e">
        <f>LOOKUP($D86,Site_Meta!$C$2:$C$43,Site_Meta!G$2:G$43)</f>
        <v>#N/A</v>
      </c>
      <c r="I86" s="29" t="e">
        <f>LOOKUP($D86,Site_Meta!$C$2:$C$43,Site_Meta!H$2:H$43)</f>
        <v>#N/A</v>
      </c>
      <c r="J86" s="19"/>
      <c r="K86" s="19"/>
      <c r="L86" s="19"/>
      <c r="M86" s="30" t="str">
        <f t="shared" si="0"/>
        <v>//</v>
      </c>
      <c r="N86" s="31"/>
      <c r="O86" s="31"/>
      <c r="P86" s="31"/>
      <c r="Q86" s="31"/>
      <c r="R86" s="32"/>
      <c r="S86" s="32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31"/>
      <c r="AK86" s="31"/>
      <c r="AL86" s="31"/>
      <c r="AM86" s="19" t="e">
        <f t="shared" si="1"/>
        <v>#DIV/0!</v>
      </c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</row>
    <row r="87" spans="1:52" ht="15.75" customHeight="1" x14ac:dyDescent="0.15">
      <c r="A87" s="4">
        <v>2</v>
      </c>
      <c r="B87" s="29" t="e">
        <f>LOOKUP($D87,Site_Meta!$C$2:$C$43,Site_Meta!A$2:A$43)</f>
        <v>#N/A</v>
      </c>
      <c r="C87" s="29" t="e">
        <f>LOOKUP($D87,Site_Meta!$C$2:$C$43,Site_Meta!B$2:B$43)</f>
        <v>#N/A</v>
      </c>
      <c r="D87" s="29"/>
      <c r="E87" s="29" t="e">
        <f>LOOKUP($D87,Site_Meta!$C$2:$C$43,Site_Meta!D$2:D$43)</f>
        <v>#N/A</v>
      </c>
      <c r="F87" s="29" t="e">
        <f>LOOKUP($D87,Site_Meta!$C$2:$C$43,Site_Meta!E$2:E$43)</f>
        <v>#N/A</v>
      </c>
      <c r="G87" s="29" t="e">
        <f>LOOKUP($D87,Site_Meta!$C$2:$C$43,Site_Meta!F$2:F$43)</f>
        <v>#N/A</v>
      </c>
      <c r="H87" s="29" t="e">
        <f>LOOKUP($D87,Site_Meta!$C$2:$C$43,Site_Meta!G$2:G$43)</f>
        <v>#N/A</v>
      </c>
      <c r="I87" s="29" t="e">
        <f>LOOKUP($D87,Site_Meta!$C$2:$C$43,Site_Meta!H$2:H$43)</f>
        <v>#N/A</v>
      </c>
      <c r="J87" s="19"/>
      <c r="K87" s="19"/>
      <c r="L87" s="19"/>
      <c r="M87" s="30" t="str">
        <f t="shared" si="0"/>
        <v>//</v>
      </c>
      <c r="N87" s="31"/>
      <c r="O87" s="31"/>
      <c r="P87" s="31"/>
      <c r="Q87" s="31"/>
      <c r="R87" s="32"/>
      <c r="S87" s="32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31"/>
      <c r="AK87" s="31"/>
      <c r="AL87" s="31"/>
      <c r="AM87" s="19" t="e">
        <f t="shared" si="1"/>
        <v>#DIV/0!</v>
      </c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</row>
    <row r="88" spans="1:52" ht="15.75" customHeight="1" x14ac:dyDescent="0.15">
      <c r="A88" s="4">
        <v>2</v>
      </c>
      <c r="B88" s="29" t="e">
        <f>LOOKUP($D88,Site_Meta!$C$2:$C$43,Site_Meta!A$2:A$43)</f>
        <v>#N/A</v>
      </c>
      <c r="C88" s="29" t="e">
        <f>LOOKUP($D88,Site_Meta!$C$2:$C$43,Site_Meta!B$2:B$43)</f>
        <v>#N/A</v>
      </c>
      <c r="D88" s="29"/>
      <c r="E88" s="29" t="e">
        <f>LOOKUP($D88,Site_Meta!$C$2:$C$43,Site_Meta!D$2:D$43)</f>
        <v>#N/A</v>
      </c>
      <c r="F88" s="29" t="e">
        <f>LOOKUP($D88,Site_Meta!$C$2:$C$43,Site_Meta!E$2:E$43)</f>
        <v>#N/A</v>
      </c>
      <c r="G88" s="29" t="e">
        <f>LOOKUP($D88,Site_Meta!$C$2:$C$43,Site_Meta!F$2:F$43)</f>
        <v>#N/A</v>
      </c>
      <c r="H88" s="29" t="e">
        <f>LOOKUP($D88,Site_Meta!$C$2:$C$43,Site_Meta!G$2:G$43)</f>
        <v>#N/A</v>
      </c>
      <c r="I88" s="29" t="e">
        <f>LOOKUP($D88,Site_Meta!$C$2:$C$43,Site_Meta!H$2:H$43)</f>
        <v>#N/A</v>
      </c>
      <c r="J88" s="19"/>
      <c r="K88" s="19"/>
      <c r="L88" s="19"/>
      <c r="M88" s="30" t="str">
        <f t="shared" si="0"/>
        <v>//</v>
      </c>
      <c r="N88" s="31"/>
      <c r="O88" s="31"/>
      <c r="P88" s="31"/>
      <c r="Q88" s="31"/>
      <c r="R88" s="32"/>
      <c r="S88" s="32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31"/>
      <c r="AK88" s="31"/>
      <c r="AL88" s="31"/>
      <c r="AM88" s="19" t="e">
        <f t="shared" si="1"/>
        <v>#DIV/0!</v>
      </c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</row>
    <row r="89" spans="1:52" ht="15.75" customHeight="1" x14ac:dyDescent="0.15">
      <c r="A89" s="4">
        <v>2</v>
      </c>
      <c r="B89" s="29" t="e">
        <f>LOOKUP($D89,Site_Meta!$C$2:$C$43,Site_Meta!A$2:A$43)</f>
        <v>#N/A</v>
      </c>
      <c r="C89" s="29" t="e">
        <f>LOOKUP($D89,Site_Meta!$C$2:$C$43,Site_Meta!B$2:B$43)</f>
        <v>#N/A</v>
      </c>
      <c r="D89" s="29"/>
      <c r="E89" s="29" t="e">
        <f>LOOKUP($D89,Site_Meta!$C$2:$C$43,Site_Meta!D$2:D$43)</f>
        <v>#N/A</v>
      </c>
      <c r="F89" s="29" t="e">
        <f>LOOKUP($D89,Site_Meta!$C$2:$C$43,Site_Meta!E$2:E$43)</f>
        <v>#N/A</v>
      </c>
      <c r="G89" s="29" t="e">
        <f>LOOKUP($D89,Site_Meta!$C$2:$C$43,Site_Meta!F$2:F$43)</f>
        <v>#N/A</v>
      </c>
      <c r="H89" s="29" t="e">
        <f>LOOKUP($D89,Site_Meta!$C$2:$C$43,Site_Meta!G$2:G$43)</f>
        <v>#N/A</v>
      </c>
      <c r="I89" s="29" t="e">
        <f>LOOKUP($D89,Site_Meta!$C$2:$C$43,Site_Meta!H$2:H$43)</f>
        <v>#N/A</v>
      </c>
      <c r="J89" s="19"/>
      <c r="K89" s="19"/>
      <c r="L89" s="19"/>
      <c r="M89" s="30" t="str">
        <f t="shared" si="0"/>
        <v>//</v>
      </c>
      <c r="N89" s="31"/>
      <c r="O89" s="31"/>
      <c r="P89" s="31"/>
      <c r="Q89" s="31"/>
      <c r="R89" s="32"/>
      <c r="S89" s="32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31"/>
      <c r="AK89" s="31"/>
      <c r="AL89" s="31"/>
      <c r="AM89" s="19" t="e">
        <f t="shared" si="1"/>
        <v>#DIV/0!</v>
      </c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</row>
    <row r="90" spans="1:52" ht="15.75" customHeight="1" x14ac:dyDescent="0.15">
      <c r="A90" s="4">
        <v>2</v>
      </c>
      <c r="B90" s="29" t="e">
        <f>LOOKUP($D90,Site_Meta!$C$2:$C$43,Site_Meta!A$2:A$43)</f>
        <v>#N/A</v>
      </c>
      <c r="C90" s="29" t="e">
        <f>LOOKUP($D90,Site_Meta!$C$2:$C$43,Site_Meta!B$2:B$43)</f>
        <v>#N/A</v>
      </c>
      <c r="D90" s="29"/>
      <c r="E90" s="29" t="e">
        <f>LOOKUP($D90,Site_Meta!$C$2:$C$43,Site_Meta!D$2:D$43)</f>
        <v>#N/A</v>
      </c>
      <c r="F90" s="29" t="e">
        <f>LOOKUP($D90,Site_Meta!$C$2:$C$43,Site_Meta!E$2:E$43)</f>
        <v>#N/A</v>
      </c>
      <c r="G90" s="29" t="e">
        <f>LOOKUP($D90,Site_Meta!$C$2:$C$43,Site_Meta!F$2:F$43)</f>
        <v>#N/A</v>
      </c>
      <c r="H90" s="29" t="e">
        <f>LOOKUP($D90,Site_Meta!$C$2:$C$43,Site_Meta!G$2:G$43)</f>
        <v>#N/A</v>
      </c>
      <c r="I90" s="29" t="e">
        <f>LOOKUP($D90,Site_Meta!$C$2:$C$43,Site_Meta!H$2:H$43)</f>
        <v>#N/A</v>
      </c>
      <c r="J90" s="19"/>
      <c r="K90" s="19"/>
      <c r="L90" s="19"/>
      <c r="M90" s="30" t="str">
        <f t="shared" si="0"/>
        <v>//</v>
      </c>
      <c r="N90" s="31"/>
      <c r="O90" s="31"/>
      <c r="P90" s="31"/>
      <c r="Q90" s="31"/>
      <c r="R90" s="32"/>
      <c r="S90" s="32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31"/>
      <c r="AK90" s="31"/>
      <c r="AL90" s="31"/>
      <c r="AM90" s="19" t="e">
        <f t="shared" si="1"/>
        <v>#DIV/0!</v>
      </c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</row>
    <row r="91" spans="1:52" ht="15.75" customHeight="1" x14ac:dyDescent="0.15">
      <c r="A91" s="4">
        <v>2</v>
      </c>
      <c r="B91" s="29" t="e">
        <f>LOOKUP($D91,Site_Meta!$C$2:$C$43,Site_Meta!A$2:A$43)</f>
        <v>#N/A</v>
      </c>
      <c r="C91" s="29" t="e">
        <f>LOOKUP($D91,Site_Meta!$C$2:$C$43,Site_Meta!B$2:B$43)</f>
        <v>#N/A</v>
      </c>
      <c r="D91" s="29"/>
      <c r="E91" s="29" t="e">
        <f>LOOKUP($D91,Site_Meta!$C$2:$C$43,Site_Meta!D$2:D$43)</f>
        <v>#N/A</v>
      </c>
      <c r="F91" s="29" t="e">
        <f>LOOKUP($D91,Site_Meta!$C$2:$C$43,Site_Meta!E$2:E$43)</f>
        <v>#N/A</v>
      </c>
      <c r="G91" s="29" t="e">
        <f>LOOKUP($D91,Site_Meta!$C$2:$C$43,Site_Meta!F$2:F$43)</f>
        <v>#N/A</v>
      </c>
      <c r="H91" s="29" t="e">
        <f>LOOKUP($D91,Site_Meta!$C$2:$C$43,Site_Meta!G$2:G$43)</f>
        <v>#N/A</v>
      </c>
      <c r="I91" s="29" t="e">
        <f>LOOKUP($D91,Site_Meta!$C$2:$C$43,Site_Meta!H$2:H$43)</f>
        <v>#N/A</v>
      </c>
      <c r="J91" s="19"/>
      <c r="K91" s="19"/>
      <c r="L91" s="19"/>
      <c r="M91" s="30" t="str">
        <f t="shared" si="0"/>
        <v>//</v>
      </c>
      <c r="N91" s="31"/>
      <c r="O91" s="31"/>
      <c r="P91" s="31"/>
      <c r="Q91" s="31"/>
      <c r="R91" s="32"/>
      <c r="S91" s="32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31"/>
      <c r="AK91" s="31"/>
      <c r="AL91" s="31"/>
      <c r="AM91" s="19" t="e">
        <f t="shared" si="1"/>
        <v>#DIV/0!</v>
      </c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</row>
    <row r="92" spans="1:52" ht="15.75" customHeight="1" x14ac:dyDescent="0.15">
      <c r="A92" s="4">
        <v>2</v>
      </c>
      <c r="B92" s="29" t="e">
        <f>LOOKUP($D92,Site_Meta!$C$2:$C$43,Site_Meta!A$2:A$43)</f>
        <v>#N/A</v>
      </c>
      <c r="C92" s="29" t="e">
        <f>LOOKUP($D92,Site_Meta!$C$2:$C$43,Site_Meta!B$2:B$43)</f>
        <v>#N/A</v>
      </c>
      <c r="D92" s="29"/>
      <c r="E92" s="29" t="e">
        <f>LOOKUP($D92,Site_Meta!$C$2:$C$43,Site_Meta!D$2:D$43)</f>
        <v>#N/A</v>
      </c>
      <c r="F92" s="29" t="e">
        <f>LOOKUP($D92,Site_Meta!$C$2:$C$43,Site_Meta!E$2:E$43)</f>
        <v>#N/A</v>
      </c>
      <c r="G92" s="29" t="e">
        <f>LOOKUP($D92,Site_Meta!$C$2:$C$43,Site_Meta!F$2:F$43)</f>
        <v>#N/A</v>
      </c>
      <c r="H92" s="29" t="e">
        <f>LOOKUP($D92,Site_Meta!$C$2:$C$43,Site_Meta!G$2:G$43)</f>
        <v>#N/A</v>
      </c>
      <c r="I92" s="29" t="e">
        <f>LOOKUP($D92,Site_Meta!$C$2:$C$43,Site_Meta!H$2:H$43)</f>
        <v>#N/A</v>
      </c>
      <c r="J92" s="19"/>
      <c r="K92" s="19"/>
      <c r="L92" s="19"/>
      <c r="M92" s="30" t="str">
        <f t="shared" si="0"/>
        <v>//</v>
      </c>
      <c r="N92" s="31"/>
      <c r="O92" s="31"/>
      <c r="P92" s="31"/>
      <c r="Q92" s="31"/>
      <c r="R92" s="32"/>
      <c r="S92" s="32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31"/>
      <c r="AK92" s="31"/>
      <c r="AL92" s="31"/>
      <c r="AM92" s="19" t="e">
        <f t="shared" si="1"/>
        <v>#DIV/0!</v>
      </c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</row>
    <row r="93" spans="1:52" ht="15.75" customHeight="1" x14ac:dyDescent="0.15">
      <c r="A93" s="4">
        <v>2</v>
      </c>
      <c r="B93" s="29" t="e">
        <f>LOOKUP($D93,Site_Meta!$C$2:$C$43,Site_Meta!A$2:A$43)</f>
        <v>#N/A</v>
      </c>
      <c r="C93" s="29" t="e">
        <f>LOOKUP($D93,Site_Meta!$C$2:$C$43,Site_Meta!B$2:B$43)</f>
        <v>#N/A</v>
      </c>
      <c r="D93" s="29"/>
      <c r="E93" s="29" t="e">
        <f>LOOKUP($D93,Site_Meta!$C$2:$C$43,Site_Meta!D$2:D$43)</f>
        <v>#N/A</v>
      </c>
      <c r="F93" s="29" t="e">
        <f>LOOKUP($D93,Site_Meta!$C$2:$C$43,Site_Meta!E$2:E$43)</f>
        <v>#N/A</v>
      </c>
      <c r="G93" s="29" t="e">
        <f>LOOKUP($D93,Site_Meta!$C$2:$C$43,Site_Meta!F$2:F$43)</f>
        <v>#N/A</v>
      </c>
      <c r="H93" s="29" t="e">
        <f>LOOKUP($D93,Site_Meta!$C$2:$C$43,Site_Meta!G$2:G$43)</f>
        <v>#N/A</v>
      </c>
      <c r="I93" s="29" t="e">
        <f>LOOKUP($D93,Site_Meta!$C$2:$C$43,Site_Meta!H$2:H$43)</f>
        <v>#N/A</v>
      </c>
      <c r="J93" s="19"/>
      <c r="K93" s="19"/>
      <c r="L93" s="19"/>
      <c r="M93" s="30" t="str">
        <f t="shared" si="0"/>
        <v>//</v>
      </c>
      <c r="N93" s="31"/>
      <c r="O93" s="31"/>
      <c r="P93" s="31"/>
      <c r="Q93" s="31"/>
      <c r="R93" s="32"/>
      <c r="S93" s="32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31"/>
      <c r="AK93" s="31"/>
      <c r="AL93" s="31"/>
      <c r="AM93" s="19" t="e">
        <f t="shared" si="1"/>
        <v>#DIV/0!</v>
      </c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</row>
    <row r="94" spans="1:52" ht="15.75" customHeight="1" x14ac:dyDescent="0.15">
      <c r="A94" s="4">
        <v>2</v>
      </c>
      <c r="B94" s="29" t="e">
        <f>LOOKUP($D94,Site_Meta!$C$2:$C$43,Site_Meta!A$2:A$43)</f>
        <v>#N/A</v>
      </c>
      <c r="C94" s="29" t="e">
        <f>LOOKUP($D94,Site_Meta!$C$2:$C$43,Site_Meta!B$2:B$43)</f>
        <v>#N/A</v>
      </c>
      <c r="D94" s="29"/>
      <c r="E94" s="29" t="e">
        <f>LOOKUP($D94,Site_Meta!$C$2:$C$43,Site_Meta!D$2:D$43)</f>
        <v>#N/A</v>
      </c>
      <c r="F94" s="29" t="e">
        <f>LOOKUP($D94,Site_Meta!$C$2:$C$43,Site_Meta!E$2:E$43)</f>
        <v>#N/A</v>
      </c>
      <c r="G94" s="29" t="e">
        <f>LOOKUP($D94,Site_Meta!$C$2:$C$43,Site_Meta!F$2:F$43)</f>
        <v>#N/A</v>
      </c>
      <c r="H94" s="29" t="e">
        <f>LOOKUP($D94,Site_Meta!$C$2:$C$43,Site_Meta!G$2:G$43)</f>
        <v>#N/A</v>
      </c>
      <c r="I94" s="29" t="e">
        <f>LOOKUP($D94,Site_Meta!$C$2:$C$43,Site_Meta!H$2:H$43)</f>
        <v>#N/A</v>
      </c>
      <c r="J94" s="19"/>
      <c r="K94" s="19"/>
      <c r="L94" s="19"/>
      <c r="M94" s="30" t="str">
        <f t="shared" si="0"/>
        <v>//</v>
      </c>
      <c r="N94" s="31"/>
      <c r="O94" s="31"/>
      <c r="P94" s="31"/>
      <c r="Q94" s="31"/>
      <c r="R94" s="32"/>
      <c r="S94" s="32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31"/>
      <c r="AK94" s="31"/>
      <c r="AL94" s="31"/>
      <c r="AM94" s="19" t="e">
        <f t="shared" si="1"/>
        <v>#DIV/0!</v>
      </c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</row>
    <row r="95" spans="1:52" ht="15.75" customHeight="1" x14ac:dyDescent="0.15">
      <c r="A95" s="4">
        <v>2</v>
      </c>
      <c r="B95" s="29" t="e">
        <f>LOOKUP($D95,Site_Meta!$C$2:$C$43,Site_Meta!A$2:A$43)</f>
        <v>#N/A</v>
      </c>
      <c r="C95" s="29" t="e">
        <f>LOOKUP($D95,Site_Meta!$C$2:$C$43,Site_Meta!B$2:B$43)</f>
        <v>#N/A</v>
      </c>
      <c r="D95" s="29"/>
      <c r="E95" s="29" t="e">
        <f>LOOKUP($D95,Site_Meta!$C$2:$C$43,Site_Meta!D$2:D$43)</f>
        <v>#N/A</v>
      </c>
      <c r="F95" s="29" t="e">
        <f>LOOKUP($D95,Site_Meta!$C$2:$C$43,Site_Meta!E$2:E$43)</f>
        <v>#N/A</v>
      </c>
      <c r="G95" s="29" t="e">
        <f>LOOKUP($D95,Site_Meta!$C$2:$C$43,Site_Meta!F$2:F$43)</f>
        <v>#N/A</v>
      </c>
      <c r="H95" s="29" t="e">
        <f>LOOKUP($D95,Site_Meta!$C$2:$C$43,Site_Meta!G$2:G$43)</f>
        <v>#N/A</v>
      </c>
      <c r="I95" s="29" t="e">
        <f>LOOKUP($D95,Site_Meta!$C$2:$C$43,Site_Meta!H$2:H$43)</f>
        <v>#N/A</v>
      </c>
      <c r="J95" s="19"/>
      <c r="K95" s="19"/>
      <c r="L95" s="19"/>
      <c r="M95" s="30" t="str">
        <f t="shared" si="0"/>
        <v>//</v>
      </c>
      <c r="N95" s="31"/>
      <c r="O95" s="31"/>
      <c r="P95" s="31"/>
      <c r="Q95" s="31"/>
      <c r="R95" s="32"/>
      <c r="S95" s="32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31"/>
      <c r="AK95" s="31"/>
      <c r="AL95" s="31"/>
      <c r="AM95" s="19" t="e">
        <f t="shared" si="1"/>
        <v>#DIV/0!</v>
      </c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</row>
    <row r="96" spans="1:52" ht="15.75" customHeight="1" x14ac:dyDescent="0.15">
      <c r="A96" s="4">
        <v>2</v>
      </c>
      <c r="B96" s="29" t="e">
        <f>LOOKUP($D96,Site_Meta!$C$2:$C$43,Site_Meta!A$2:A$43)</f>
        <v>#N/A</v>
      </c>
      <c r="C96" s="29" t="e">
        <f>LOOKUP($D96,Site_Meta!$C$2:$C$43,Site_Meta!B$2:B$43)</f>
        <v>#N/A</v>
      </c>
      <c r="D96" s="29"/>
      <c r="E96" s="29" t="e">
        <f>LOOKUP($D96,Site_Meta!$C$2:$C$43,Site_Meta!D$2:D$43)</f>
        <v>#N/A</v>
      </c>
      <c r="F96" s="29" t="e">
        <f>LOOKUP($D96,Site_Meta!$C$2:$C$43,Site_Meta!E$2:E$43)</f>
        <v>#N/A</v>
      </c>
      <c r="G96" s="29" t="e">
        <f>LOOKUP($D96,Site_Meta!$C$2:$C$43,Site_Meta!F$2:F$43)</f>
        <v>#N/A</v>
      </c>
      <c r="H96" s="29" t="e">
        <f>LOOKUP($D96,Site_Meta!$C$2:$C$43,Site_Meta!G$2:G$43)</f>
        <v>#N/A</v>
      </c>
      <c r="I96" s="29" t="e">
        <f>LOOKUP($D96,Site_Meta!$C$2:$C$43,Site_Meta!H$2:H$43)</f>
        <v>#N/A</v>
      </c>
      <c r="J96" s="19"/>
      <c r="K96" s="19"/>
      <c r="L96" s="19"/>
      <c r="M96" s="30" t="str">
        <f t="shared" si="0"/>
        <v>//</v>
      </c>
      <c r="N96" s="31"/>
      <c r="O96" s="31"/>
      <c r="P96" s="31"/>
      <c r="Q96" s="31"/>
      <c r="R96" s="32"/>
      <c r="S96" s="32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31"/>
      <c r="AK96" s="31"/>
      <c r="AL96" s="31"/>
      <c r="AM96" s="19" t="e">
        <f t="shared" si="1"/>
        <v>#DIV/0!</v>
      </c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</row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A1000"/>
  <sheetViews>
    <sheetView workbookViewId="0"/>
  </sheetViews>
  <sheetFormatPr baseColWidth="10" defaultColWidth="12.6640625" defaultRowHeight="15" customHeight="1" x14ac:dyDescent="0.15"/>
  <cols>
    <col min="1" max="1" width="13.83203125" customWidth="1"/>
    <col min="4" max="4" width="8.83203125" customWidth="1"/>
    <col min="5" max="6" width="8.33203125" customWidth="1"/>
    <col min="15" max="15" width="12.1640625" customWidth="1"/>
    <col min="28" max="28" width="18.5" customWidth="1"/>
    <col min="38" max="41" width="13.6640625" customWidth="1"/>
  </cols>
  <sheetData>
    <row r="1" spans="1:53" ht="28.5" customHeight="1" x14ac:dyDescent="0.15">
      <c r="A1" s="51" t="s">
        <v>0</v>
      </c>
      <c r="B1" s="51" t="s">
        <v>1</v>
      </c>
      <c r="C1" s="51" t="s">
        <v>2</v>
      </c>
      <c r="D1" s="51" t="s">
        <v>3</v>
      </c>
      <c r="E1" s="52" t="s">
        <v>41</v>
      </c>
      <c r="F1" s="52" t="s">
        <v>42</v>
      </c>
      <c r="G1" s="52" t="s">
        <v>4</v>
      </c>
      <c r="H1" s="52" t="s">
        <v>5</v>
      </c>
      <c r="I1" s="52" t="s">
        <v>6</v>
      </c>
      <c r="J1" s="52" t="s">
        <v>7</v>
      </c>
      <c r="K1" s="52" t="s">
        <v>8</v>
      </c>
      <c r="L1" s="52" t="s">
        <v>9</v>
      </c>
      <c r="M1" s="52" t="s">
        <v>10</v>
      </c>
      <c r="N1" s="52" t="s">
        <v>11</v>
      </c>
      <c r="O1" s="52" t="s">
        <v>12</v>
      </c>
      <c r="P1" s="52" t="s">
        <v>13</v>
      </c>
      <c r="Q1" s="52" t="s">
        <v>14</v>
      </c>
      <c r="R1" s="52" t="s">
        <v>15</v>
      </c>
      <c r="S1" s="52" t="s">
        <v>16</v>
      </c>
      <c r="T1" s="52" t="s">
        <v>17</v>
      </c>
      <c r="U1" s="52" t="s">
        <v>18</v>
      </c>
      <c r="V1" s="52" t="s">
        <v>19</v>
      </c>
      <c r="W1" s="52" t="s">
        <v>21</v>
      </c>
      <c r="X1" s="52" t="s">
        <v>24</v>
      </c>
      <c r="Y1" s="52" t="s">
        <v>26</v>
      </c>
      <c r="Z1" s="52" t="s">
        <v>28</v>
      </c>
      <c r="AA1" s="52" t="s">
        <v>30</v>
      </c>
      <c r="AB1" s="52" t="s">
        <v>33</v>
      </c>
      <c r="AC1" s="52" t="s">
        <v>35</v>
      </c>
      <c r="AD1" s="52" t="s">
        <v>235</v>
      </c>
      <c r="AE1" s="52" t="s">
        <v>236</v>
      </c>
      <c r="AF1" s="52" t="s">
        <v>237</v>
      </c>
      <c r="AG1" s="52" t="s">
        <v>238</v>
      </c>
      <c r="AH1" s="52" t="s">
        <v>239</v>
      </c>
      <c r="AI1" s="52" t="s">
        <v>240</v>
      </c>
      <c r="AJ1" s="28" t="s">
        <v>241</v>
      </c>
      <c r="AK1" s="52" t="s">
        <v>48</v>
      </c>
      <c r="AL1" s="52" t="s">
        <v>242</v>
      </c>
      <c r="AM1" s="52" t="s">
        <v>243</v>
      </c>
      <c r="AN1" s="52" t="s">
        <v>244</v>
      </c>
      <c r="AO1" s="52" t="s">
        <v>245</v>
      </c>
      <c r="AP1" s="52" t="s">
        <v>246</v>
      </c>
      <c r="AQ1" s="52" t="s">
        <v>247</v>
      </c>
      <c r="AR1" s="52" t="s">
        <v>248</v>
      </c>
      <c r="AS1" s="52" t="s">
        <v>249</v>
      </c>
      <c r="AT1" s="52" t="s">
        <v>250</v>
      </c>
      <c r="AU1" s="52" t="s">
        <v>251</v>
      </c>
      <c r="AV1" s="52" t="s">
        <v>252</v>
      </c>
      <c r="AW1" s="51"/>
      <c r="AX1" s="53" t="s">
        <v>252</v>
      </c>
      <c r="AY1" s="51" t="s">
        <v>249</v>
      </c>
      <c r="AZ1" s="51" t="s">
        <v>253</v>
      </c>
      <c r="BA1" s="51" t="s">
        <v>254</v>
      </c>
    </row>
    <row r="2" spans="1:53" ht="15.75" customHeight="1" x14ac:dyDescent="0.15">
      <c r="A2" s="54"/>
      <c r="B2" s="54"/>
      <c r="C2" s="54"/>
      <c r="D2" s="54"/>
      <c r="E2" s="55"/>
      <c r="F2" s="55"/>
      <c r="G2" s="55"/>
      <c r="H2" s="55"/>
      <c r="I2" s="55"/>
      <c r="J2" s="55"/>
      <c r="K2" s="55"/>
      <c r="L2" s="55"/>
      <c r="M2" s="55"/>
      <c r="N2" s="55"/>
      <c r="O2" s="56"/>
      <c r="P2" s="55"/>
      <c r="Q2" s="55"/>
      <c r="R2" s="55"/>
      <c r="S2" s="55"/>
      <c r="T2" s="57"/>
      <c r="U2" s="57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9"/>
      <c r="AK2" s="58"/>
      <c r="AL2" s="60"/>
      <c r="AM2" s="60"/>
      <c r="AN2" s="60"/>
      <c r="AO2" s="60"/>
      <c r="AP2" s="61"/>
      <c r="AQ2" s="62"/>
      <c r="AR2" s="58"/>
      <c r="AS2" s="55"/>
      <c r="AT2" s="55"/>
      <c r="AU2" s="55"/>
      <c r="AV2" s="63"/>
      <c r="AX2" s="64">
        <v>0.91304347826086951</v>
      </c>
      <c r="AY2" s="54">
        <v>18</v>
      </c>
      <c r="AZ2" s="54">
        <v>38</v>
      </c>
      <c r="BA2" s="54">
        <v>4</v>
      </c>
    </row>
    <row r="3" spans="1:53" ht="15.75" customHeight="1" x14ac:dyDescent="0.15">
      <c r="A3" s="54"/>
      <c r="B3" s="54"/>
      <c r="C3" s="54"/>
      <c r="D3" s="54"/>
      <c r="E3" s="55"/>
      <c r="F3" s="55"/>
      <c r="G3" s="55"/>
      <c r="H3" s="55"/>
      <c r="I3" s="55"/>
      <c r="J3" s="55"/>
      <c r="K3" s="55"/>
      <c r="L3" s="55"/>
      <c r="M3" s="55"/>
      <c r="N3" s="55"/>
      <c r="O3" s="56"/>
      <c r="P3" s="55"/>
      <c r="Q3" s="55"/>
      <c r="R3" s="55"/>
      <c r="S3" s="55"/>
      <c r="T3" s="57"/>
      <c r="U3" s="57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10"/>
      <c r="AK3" s="58"/>
      <c r="AL3" s="60"/>
      <c r="AM3" s="60"/>
      <c r="AN3" s="60"/>
      <c r="AO3" s="60"/>
      <c r="AP3" s="61"/>
      <c r="AQ3" s="62"/>
      <c r="AR3" s="58"/>
      <c r="AS3" s="55"/>
      <c r="AT3" s="55"/>
      <c r="AU3" s="55"/>
      <c r="AV3" s="63"/>
      <c r="AX3" s="64">
        <v>1</v>
      </c>
      <c r="AY3" s="54">
        <v>15</v>
      </c>
      <c r="AZ3" s="54">
        <v>90.476190476190482</v>
      </c>
      <c r="BA3" s="54">
        <v>9.5238095238095237</v>
      </c>
    </row>
    <row r="4" spans="1:53" ht="15.75" customHeight="1" x14ac:dyDescent="0.15">
      <c r="A4" s="54"/>
      <c r="B4" s="54"/>
      <c r="C4" s="54"/>
      <c r="D4" s="54"/>
      <c r="E4" s="55"/>
      <c r="F4" s="55"/>
      <c r="G4" s="55"/>
      <c r="H4" s="55"/>
      <c r="I4" s="55"/>
      <c r="J4" s="55"/>
      <c r="K4" s="55"/>
      <c r="L4" s="55"/>
      <c r="M4" s="55"/>
      <c r="N4" s="55"/>
      <c r="O4" s="56"/>
      <c r="P4" s="55"/>
      <c r="Q4" s="55"/>
      <c r="R4" s="55"/>
      <c r="S4" s="55"/>
      <c r="T4" s="57"/>
      <c r="U4" s="57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65"/>
      <c r="AI4" s="58"/>
      <c r="AJ4" s="59"/>
      <c r="AK4" s="58"/>
      <c r="AL4" s="60"/>
      <c r="AM4" s="60"/>
      <c r="AN4" s="60"/>
      <c r="AO4" s="60"/>
      <c r="AP4" s="61"/>
      <c r="AQ4" s="62"/>
      <c r="AR4" s="58"/>
      <c r="AS4" s="55"/>
      <c r="AT4" s="55"/>
      <c r="AU4" s="55"/>
      <c r="AV4" s="63"/>
      <c r="AX4" s="64">
        <v>0.95652173913043481</v>
      </c>
      <c r="AY4" s="54">
        <v>2</v>
      </c>
    </row>
    <row r="5" spans="1:53" ht="15.75" customHeight="1" x14ac:dyDescent="0.15">
      <c r="A5" s="54"/>
      <c r="B5" s="54"/>
      <c r="C5" s="54"/>
      <c r="D5" s="54"/>
      <c r="E5" s="55"/>
      <c r="F5" s="55"/>
      <c r="G5" s="55"/>
      <c r="H5" s="55"/>
      <c r="I5" s="55"/>
      <c r="J5" s="55"/>
      <c r="K5" s="55"/>
      <c r="L5" s="55"/>
      <c r="M5" s="55"/>
      <c r="N5" s="55"/>
      <c r="O5" s="56"/>
      <c r="P5" s="55"/>
      <c r="Q5" s="55"/>
      <c r="R5" s="55"/>
      <c r="S5" s="66"/>
      <c r="T5" s="57"/>
      <c r="U5" s="57"/>
      <c r="V5" s="58"/>
      <c r="W5" s="58"/>
      <c r="X5" s="58"/>
      <c r="Y5" s="58"/>
      <c r="Z5" s="58"/>
      <c r="AA5" s="58"/>
      <c r="AB5" s="58"/>
      <c r="AC5" s="58"/>
      <c r="AD5" s="65"/>
      <c r="AE5" s="58"/>
      <c r="AF5" s="58"/>
      <c r="AG5" s="58"/>
      <c r="AH5" s="65"/>
      <c r="AI5" s="58"/>
      <c r="AJ5" s="10"/>
      <c r="AK5" s="58"/>
      <c r="AL5" s="60"/>
      <c r="AM5" s="60"/>
      <c r="AN5" s="60"/>
      <c r="AO5" s="60"/>
      <c r="AP5" s="61"/>
      <c r="AQ5" s="62"/>
      <c r="AR5" s="65"/>
      <c r="AS5" s="55"/>
      <c r="AT5" s="55"/>
      <c r="AU5" s="55"/>
      <c r="AV5" s="63"/>
      <c r="AX5" s="64">
        <v>0.86956521739130432</v>
      </c>
      <c r="AY5" s="54">
        <v>1</v>
      </c>
    </row>
    <row r="6" spans="1:53" ht="15.75" customHeight="1" x14ac:dyDescent="0.15">
      <c r="A6" s="54"/>
      <c r="B6" s="54"/>
      <c r="C6" s="54"/>
      <c r="D6" s="54"/>
      <c r="E6" s="55"/>
      <c r="F6" s="55"/>
      <c r="G6" s="55"/>
      <c r="H6" s="55"/>
      <c r="I6" s="55"/>
      <c r="J6" s="55"/>
      <c r="K6" s="55"/>
      <c r="L6" s="55"/>
      <c r="M6" s="55"/>
      <c r="N6" s="55"/>
      <c r="O6" s="56"/>
      <c r="P6" s="55"/>
      <c r="Q6" s="55"/>
      <c r="R6" s="55"/>
      <c r="S6" s="55"/>
      <c r="T6" s="57"/>
      <c r="U6" s="57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10"/>
      <c r="AK6" s="58"/>
      <c r="AL6" s="60"/>
      <c r="AM6" s="60"/>
      <c r="AN6" s="60"/>
      <c r="AO6" s="60"/>
      <c r="AP6" s="61"/>
      <c r="AQ6" s="62"/>
      <c r="AR6" s="58"/>
      <c r="AS6" s="55"/>
      <c r="AT6" s="55"/>
      <c r="AU6" s="55"/>
      <c r="AV6" s="63"/>
      <c r="AX6" s="64">
        <v>0.82608695652173914</v>
      </c>
      <c r="AY6" s="54">
        <v>3</v>
      </c>
    </row>
    <row r="7" spans="1:53" ht="15.75" customHeight="1" x14ac:dyDescent="0.15">
      <c r="A7" s="54"/>
      <c r="B7" s="54"/>
      <c r="C7" s="54"/>
      <c r="D7" s="54"/>
      <c r="E7" s="55"/>
      <c r="F7" s="55"/>
      <c r="G7" s="55"/>
      <c r="H7" s="55"/>
      <c r="I7" s="55"/>
      <c r="J7" s="55"/>
      <c r="K7" s="55"/>
      <c r="L7" s="55"/>
      <c r="M7" s="55"/>
      <c r="N7" s="55"/>
      <c r="O7" s="56"/>
      <c r="P7" s="55"/>
      <c r="Q7" s="55"/>
      <c r="R7" s="55"/>
      <c r="S7" s="55"/>
      <c r="T7" s="57"/>
      <c r="U7" s="57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10"/>
      <c r="AK7" s="58"/>
      <c r="AL7" s="60"/>
      <c r="AM7" s="60"/>
      <c r="AN7" s="60"/>
      <c r="AO7" s="60"/>
      <c r="AP7" s="62"/>
      <c r="AQ7" s="62"/>
      <c r="AR7" s="58"/>
      <c r="AS7" s="55"/>
      <c r="AT7" s="55"/>
      <c r="AU7" s="55"/>
      <c r="AV7" s="63"/>
      <c r="AX7" s="64">
        <v>0.65217391304347827</v>
      </c>
      <c r="AY7" s="54">
        <v>2</v>
      </c>
    </row>
    <row r="8" spans="1:53" ht="15.75" customHeight="1" x14ac:dyDescent="0.15">
      <c r="A8" s="54"/>
      <c r="B8" s="54"/>
      <c r="C8" s="54"/>
      <c r="D8" s="54"/>
      <c r="E8" s="55"/>
      <c r="F8" s="55"/>
      <c r="G8" s="55"/>
      <c r="H8" s="55"/>
      <c r="I8" s="55"/>
      <c r="J8" s="55"/>
      <c r="K8" s="55"/>
      <c r="L8" s="55"/>
      <c r="M8" s="55"/>
      <c r="N8" s="55"/>
      <c r="O8" s="56"/>
      <c r="P8" s="55"/>
      <c r="Q8" s="55"/>
      <c r="R8" s="55"/>
      <c r="S8" s="55"/>
      <c r="T8" s="57"/>
      <c r="U8" s="57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65"/>
      <c r="AJ8" s="10"/>
      <c r="AK8" s="58"/>
      <c r="AL8" s="60"/>
      <c r="AM8" s="60"/>
      <c r="AN8" s="60"/>
      <c r="AO8" s="60"/>
      <c r="AP8" s="62"/>
      <c r="AQ8" s="61"/>
      <c r="AR8" s="58"/>
      <c r="AS8" s="55"/>
      <c r="AT8" s="55"/>
      <c r="AU8" s="55"/>
      <c r="AV8" s="63"/>
      <c r="AX8" s="64">
        <v>0.60869565217391308</v>
      </c>
      <c r="AY8" s="54">
        <v>1</v>
      </c>
    </row>
    <row r="9" spans="1:53" ht="15.75" customHeight="1" x14ac:dyDescent="0.15">
      <c r="A9" s="54"/>
      <c r="B9" s="54"/>
      <c r="C9" s="54"/>
      <c r="D9" s="54"/>
      <c r="E9" s="55"/>
      <c r="F9" s="55"/>
      <c r="G9" s="55"/>
      <c r="H9" s="55"/>
      <c r="I9" s="55"/>
      <c r="J9" s="55"/>
      <c r="K9" s="55"/>
      <c r="L9" s="55"/>
      <c r="M9" s="55"/>
      <c r="N9" s="55"/>
      <c r="O9" s="56"/>
      <c r="P9" s="55"/>
      <c r="Q9" s="55"/>
      <c r="R9" s="55"/>
      <c r="S9" s="55"/>
      <c r="T9" s="57"/>
      <c r="U9" s="57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10"/>
      <c r="AK9" s="58"/>
      <c r="AL9" s="60"/>
      <c r="AM9" s="60"/>
      <c r="AN9" s="60"/>
      <c r="AO9" s="60"/>
      <c r="AP9" s="61"/>
      <c r="AQ9" s="62"/>
      <c r="AR9" s="58"/>
      <c r="AS9" s="55"/>
      <c r="AT9" s="55"/>
      <c r="AU9" s="55"/>
      <c r="AV9" s="63"/>
      <c r="AX9" s="64">
        <v>0.34782608695652173</v>
      </c>
      <c r="AY9" s="54">
        <v>3</v>
      </c>
    </row>
    <row r="10" spans="1:53" ht="15.75" customHeight="1" x14ac:dyDescent="0.15">
      <c r="A10" s="54"/>
      <c r="B10" s="54"/>
      <c r="C10" s="54"/>
      <c r="D10" s="54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6"/>
      <c r="P10" s="55"/>
      <c r="Q10" s="55"/>
      <c r="R10" s="55"/>
      <c r="S10" s="55"/>
      <c r="T10" s="57"/>
      <c r="U10" s="57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10"/>
      <c r="AK10" s="58"/>
      <c r="AL10" s="60"/>
      <c r="AM10" s="60"/>
      <c r="AN10" s="60"/>
      <c r="AO10" s="60"/>
      <c r="AP10" s="61"/>
      <c r="AQ10" s="62"/>
      <c r="AR10" s="58"/>
      <c r="AS10" s="55"/>
      <c r="AT10" s="55"/>
      <c r="AU10" s="55"/>
      <c r="AV10" s="63"/>
    </row>
    <row r="11" spans="1:53" ht="15.75" customHeight="1" x14ac:dyDescent="0.15">
      <c r="A11" s="54"/>
      <c r="B11" s="54"/>
      <c r="C11" s="54"/>
      <c r="D11" s="54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6"/>
      <c r="P11" s="55"/>
      <c r="Q11" s="55"/>
      <c r="R11" s="55"/>
      <c r="S11" s="55"/>
      <c r="T11" s="57"/>
      <c r="U11" s="57"/>
      <c r="V11" s="58"/>
      <c r="W11" s="65"/>
      <c r="X11" s="58"/>
      <c r="Y11" s="65"/>
      <c r="Z11" s="58"/>
      <c r="AA11" s="65"/>
      <c r="AB11" s="58"/>
      <c r="AC11" s="65"/>
      <c r="AD11" s="58"/>
      <c r="AE11" s="58"/>
      <c r="AF11" s="58"/>
      <c r="AG11" s="58"/>
      <c r="AH11" s="58"/>
      <c r="AI11" s="58"/>
      <c r="AJ11" s="59"/>
      <c r="AK11" s="58"/>
      <c r="AL11" s="60"/>
      <c r="AM11" s="60"/>
      <c r="AN11" s="60"/>
      <c r="AO11" s="60"/>
      <c r="AP11" s="61"/>
      <c r="AQ11" s="62"/>
      <c r="AR11" s="58"/>
      <c r="AS11" s="55"/>
      <c r="AT11" s="55"/>
      <c r="AU11" s="55"/>
      <c r="AV11" s="63"/>
    </row>
    <row r="12" spans="1:53" ht="15.75" customHeight="1" x14ac:dyDescent="0.15">
      <c r="A12" s="54"/>
      <c r="B12" s="54"/>
      <c r="C12" s="54"/>
      <c r="D12" s="54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6"/>
      <c r="P12" s="55"/>
      <c r="Q12" s="55"/>
      <c r="R12" s="55"/>
      <c r="S12" s="55"/>
      <c r="T12" s="57"/>
      <c r="U12" s="57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10"/>
      <c r="AK12" s="58"/>
      <c r="AL12" s="60"/>
      <c r="AM12" s="60"/>
      <c r="AN12" s="60"/>
      <c r="AO12" s="60"/>
      <c r="AP12" s="61"/>
      <c r="AQ12" s="61"/>
      <c r="AR12" s="58"/>
      <c r="AS12" s="55"/>
      <c r="AT12" s="55"/>
      <c r="AU12" s="55"/>
      <c r="AV12" s="63"/>
    </row>
    <row r="13" spans="1:53" ht="15.75" customHeight="1" x14ac:dyDescent="0.15">
      <c r="A13" s="54"/>
      <c r="B13" s="54"/>
      <c r="C13" s="54"/>
      <c r="D13" s="54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6"/>
      <c r="P13" s="55"/>
      <c r="Q13" s="55"/>
      <c r="R13" s="55"/>
      <c r="S13" s="55"/>
      <c r="T13" s="57"/>
      <c r="U13" s="57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9"/>
      <c r="AK13" s="58"/>
      <c r="AL13" s="60"/>
      <c r="AM13" s="60"/>
      <c r="AN13" s="60"/>
      <c r="AO13" s="60"/>
      <c r="AP13" s="61"/>
      <c r="AQ13" s="62"/>
      <c r="AR13" s="58"/>
      <c r="AS13" s="55"/>
      <c r="AT13" s="55"/>
      <c r="AU13" s="55"/>
      <c r="AV13" s="63"/>
    </row>
    <row r="14" spans="1:53" ht="15.75" customHeight="1" x14ac:dyDescent="0.15">
      <c r="A14" s="54"/>
      <c r="B14" s="54"/>
      <c r="C14" s="54"/>
      <c r="D14" s="54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6"/>
      <c r="P14" s="55"/>
      <c r="Q14" s="55"/>
      <c r="R14" s="55"/>
      <c r="S14" s="55"/>
      <c r="T14" s="57"/>
      <c r="U14" s="57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9"/>
      <c r="AK14" s="58"/>
      <c r="AL14" s="60"/>
      <c r="AM14" s="60"/>
      <c r="AN14" s="60"/>
      <c r="AO14" s="60"/>
      <c r="AP14" s="61"/>
      <c r="AQ14" s="62"/>
      <c r="AR14" s="58"/>
      <c r="AS14" s="55"/>
      <c r="AT14" s="55"/>
      <c r="AU14" s="55"/>
      <c r="AV14" s="63"/>
    </row>
    <row r="15" spans="1:53" ht="15.75" customHeight="1" x14ac:dyDescent="0.15">
      <c r="A15" s="54"/>
      <c r="B15" s="54"/>
      <c r="C15" s="54"/>
      <c r="D15" s="54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6"/>
      <c r="P15" s="55"/>
      <c r="Q15" s="55"/>
      <c r="R15" s="55"/>
      <c r="S15" s="55"/>
      <c r="T15" s="57"/>
      <c r="U15" s="57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10"/>
      <c r="AK15" s="58"/>
      <c r="AL15" s="60"/>
      <c r="AM15" s="60"/>
      <c r="AN15" s="60"/>
      <c r="AO15" s="60"/>
      <c r="AP15" s="61"/>
      <c r="AQ15" s="62"/>
      <c r="AR15" s="58"/>
      <c r="AS15" s="55"/>
      <c r="AT15" s="55"/>
      <c r="AU15" s="55"/>
      <c r="AV15" s="63"/>
    </row>
    <row r="16" spans="1:53" ht="15.75" customHeight="1" x14ac:dyDescent="0.15">
      <c r="A16" s="54"/>
      <c r="B16" s="54"/>
      <c r="C16" s="54"/>
      <c r="D16" s="54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6"/>
      <c r="P16" s="55"/>
      <c r="Q16" s="55"/>
      <c r="R16" s="55"/>
      <c r="S16" s="55"/>
      <c r="T16" s="57"/>
      <c r="U16" s="57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9"/>
      <c r="AK16" s="58"/>
      <c r="AL16" s="60"/>
      <c r="AM16" s="60"/>
      <c r="AN16" s="60"/>
      <c r="AO16" s="60"/>
      <c r="AP16" s="62"/>
      <c r="AQ16" s="62"/>
      <c r="AR16" s="58"/>
      <c r="AS16" s="55"/>
      <c r="AT16" s="55"/>
      <c r="AU16" s="55"/>
      <c r="AV16" s="63"/>
    </row>
    <row r="17" spans="1:48" ht="15.75" customHeight="1" x14ac:dyDescent="0.15">
      <c r="A17" s="54"/>
      <c r="B17" s="54"/>
      <c r="C17" s="54"/>
      <c r="D17" s="54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6"/>
      <c r="P17" s="55"/>
      <c r="Q17" s="55"/>
      <c r="R17" s="55"/>
      <c r="S17" s="55"/>
      <c r="T17" s="57"/>
      <c r="U17" s="57"/>
      <c r="V17" s="58"/>
      <c r="W17" s="58"/>
      <c r="X17" s="58"/>
      <c r="Y17" s="65"/>
      <c r="Z17" s="58"/>
      <c r="AA17" s="58"/>
      <c r="AB17" s="58"/>
      <c r="AC17" s="65"/>
      <c r="AD17" s="58"/>
      <c r="AE17" s="58"/>
      <c r="AF17" s="58"/>
      <c r="AG17" s="58"/>
      <c r="AH17" s="58"/>
      <c r="AI17" s="58"/>
      <c r="AJ17" s="59"/>
      <c r="AK17" s="58"/>
      <c r="AL17" s="60"/>
      <c r="AM17" s="60"/>
      <c r="AN17" s="60"/>
      <c r="AO17" s="60"/>
      <c r="AP17" s="61"/>
      <c r="AQ17" s="62"/>
      <c r="AR17" s="65"/>
      <c r="AS17" s="55"/>
      <c r="AT17" s="55"/>
      <c r="AU17" s="55"/>
      <c r="AV17" s="63"/>
    </row>
    <row r="18" spans="1:48" ht="15.75" customHeight="1" x14ac:dyDescent="0.15">
      <c r="A18" s="54"/>
      <c r="B18" s="54"/>
      <c r="C18" s="54"/>
      <c r="D18" s="54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6"/>
      <c r="P18" s="55"/>
      <c r="Q18" s="55"/>
      <c r="R18" s="55"/>
      <c r="S18" s="55"/>
      <c r="T18" s="57"/>
      <c r="U18" s="57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65"/>
      <c r="AI18" s="58"/>
      <c r="AJ18" s="59"/>
      <c r="AK18" s="58"/>
      <c r="AL18" s="60"/>
      <c r="AM18" s="60"/>
      <c r="AN18" s="60"/>
      <c r="AO18" s="60"/>
      <c r="AP18" s="61"/>
      <c r="AQ18" s="62"/>
      <c r="AR18" s="58"/>
      <c r="AS18" s="55"/>
      <c r="AT18" s="55"/>
      <c r="AU18" s="55"/>
      <c r="AV18" s="63"/>
    </row>
    <row r="19" spans="1:48" ht="15.75" customHeight="1" x14ac:dyDescent="0.15">
      <c r="A19" s="54"/>
      <c r="B19" s="54"/>
      <c r="C19" s="54"/>
      <c r="D19" s="54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6"/>
      <c r="P19" s="55"/>
      <c r="Q19" s="55"/>
      <c r="R19" s="55"/>
      <c r="S19" s="55"/>
      <c r="T19" s="57"/>
      <c r="U19" s="57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65"/>
      <c r="AI19" s="65"/>
      <c r="AJ19" s="10"/>
      <c r="AK19" s="58"/>
      <c r="AL19" s="60"/>
      <c r="AM19" s="60"/>
      <c r="AN19" s="60"/>
      <c r="AO19" s="60"/>
      <c r="AP19" s="61"/>
      <c r="AQ19" s="62"/>
      <c r="AR19" s="58"/>
      <c r="AS19" s="55"/>
      <c r="AT19" s="55"/>
      <c r="AU19" s="55"/>
      <c r="AV19" s="63"/>
    </row>
    <row r="20" spans="1:48" ht="15.75" customHeight="1" x14ac:dyDescent="0.15">
      <c r="A20" s="54"/>
      <c r="B20" s="54"/>
      <c r="C20" s="54"/>
      <c r="D20" s="54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6"/>
      <c r="P20" s="55"/>
      <c r="Q20" s="55"/>
      <c r="R20" s="55"/>
      <c r="S20" s="55"/>
      <c r="T20" s="57"/>
      <c r="U20" s="57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65"/>
      <c r="AI20" s="65"/>
      <c r="AJ20" s="10"/>
      <c r="AK20" s="58"/>
      <c r="AL20" s="60"/>
      <c r="AM20" s="60"/>
      <c r="AN20" s="60"/>
      <c r="AO20" s="60"/>
      <c r="AP20" s="62"/>
      <c r="AQ20" s="61"/>
      <c r="AR20" s="58"/>
      <c r="AS20" s="55"/>
      <c r="AT20" s="55"/>
      <c r="AU20" s="55"/>
      <c r="AV20" s="63"/>
    </row>
    <row r="21" spans="1:48" ht="15.75" customHeight="1" x14ac:dyDescent="0.15">
      <c r="A21" s="54"/>
      <c r="B21" s="54"/>
      <c r="C21" s="54"/>
      <c r="D21" s="54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6"/>
      <c r="P21" s="55"/>
      <c r="Q21" s="55"/>
      <c r="R21" s="55"/>
      <c r="S21" s="66"/>
      <c r="T21" s="57"/>
      <c r="U21" s="57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10"/>
      <c r="AK21" s="58"/>
      <c r="AL21" s="60"/>
      <c r="AM21" s="60"/>
      <c r="AN21" s="60"/>
      <c r="AO21" s="60"/>
      <c r="AP21" s="61"/>
      <c r="AQ21" s="62"/>
      <c r="AR21" s="58"/>
      <c r="AS21" s="55"/>
      <c r="AT21" s="55"/>
      <c r="AU21" s="55"/>
      <c r="AV21" s="63"/>
    </row>
    <row r="22" spans="1:48" ht="15.75" customHeight="1" x14ac:dyDescent="0.15">
      <c r="A22" s="54"/>
      <c r="B22" s="1"/>
      <c r="C22" s="54"/>
      <c r="D22" s="54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6"/>
      <c r="P22" s="55"/>
      <c r="Q22" s="55"/>
      <c r="R22" s="55"/>
      <c r="S22" s="55"/>
      <c r="T22" s="57"/>
      <c r="U22" s="57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10"/>
      <c r="AK22" s="58"/>
      <c r="AL22" s="60"/>
      <c r="AM22" s="60"/>
      <c r="AN22" s="60"/>
      <c r="AO22" s="60"/>
      <c r="AP22" s="61"/>
      <c r="AQ22" s="62"/>
      <c r="AR22" s="58"/>
      <c r="AS22" s="55"/>
      <c r="AT22" s="55"/>
      <c r="AU22" s="55"/>
      <c r="AV22" s="63"/>
    </row>
    <row r="23" spans="1:48" ht="15.75" customHeight="1" x14ac:dyDescent="0.15">
      <c r="A23" s="54"/>
      <c r="B23" s="54"/>
      <c r="C23" s="54"/>
      <c r="D23" s="54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6"/>
      <c r="P23" s="55"/>
      <c r="Q23" s="55"/>
      <c r="R23" s="55"/>
      <c r="S23" s="66"/>
      <c r="T23" s="57"/>
      <c r="U23" s="57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10"/>
      <c r="AK23" s="58"/>
      <c r="AL23" s="60"/>
      <c r="AM23" s="60"/>
      <c r="AN23" s="60"/>
      <c r="AO23" s="60"/>
      <c r="AP23" s="61"/>
      <c r="AQ23" s="62"/>
      <c r="AR23" s="58"/>
      <c r="AS23" s="55"/>
      <c r="AT23" s="55"/>
      <c r="AU23" s="55"/>
      <c r="AV23" s="63"/>
    </row>
    <row r="24" spans="1:48" ht="15.75" customHeight="1" x14ac:dyDescent="0.15">
      <c r="A24" s="54"/>
      <c r="B24" s="54"/>
      <c r="C24" s="54"/>
      <c r="D24" s="54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6"/>
      <c r="P24" s="55"/>
      <c r="Q24" s="55"/>
      <c r="R24" s="55"/>
      <c r="S24" s="66"/>
      <c r="T24" s="57"/>
      <c r="U24" s="57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10"/>
      <c r="AK24" s="58"/>
      <c r="AL24" s="60"/>
      <c r="AM24" s="60"/>
      <c r="AN24" s="60"/>
      <c r="AO24" s="60"/>
      <c r="AP24" s="61"/>
      <c r="AQ24" s="62"/>
      <c r="AR24" s="58"/>
      <c r="AS24" s="55"/>
      <c r="AT24" s="55"/>
      <c r="AU24" s="55"/>
      <c r="AV24" s="63"/>
    </row>
    <row r="25" spans="1:48" ht="15.75" customHeight="1" x14ac:dyDescent="0.15">
      <c r="A25" s="54"/>
      <c r="B25" s="54"/>
      <c r="C25" s="54"/>
      <c r="D25" s="54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6"/>
      <c r="P25" s="55"/>
      <c r="Q25" s="55"/>
      <c r="R25" s="55"/>
      <c r="S25" s="55"/>
      <c r="T25" s="57"/>
      <c r="U25" s="57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9"/>
      <c r="AK25" s="58"/>
      <c r="AL25" s="60"/>
      <c r="AM25" s="60"/>
      <c r="AN25" s="60"/>
      <c r="AO25" s="60"/>
      <c r="AP25" s="61"/>
      <c r="AQ25" s="61"/>
      <c r="AR25" s="58"/>
      <c r="AS25" s="55"/>
      <c r="AT25" s="55"/>
      <c r="AU25" s="55"/>
      <c r="AV25" s="63"/>
    </row>
    <row r="26" spans="1:48" ht="15.75" customHeight="1" x14ac:dyDescent="0.15">
      <c r="A26" s="54"/>
      <c r="B26" s="54"/>
      <c r="C26" s="54"/>
      <c r="D26" s="54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6"/>
      <c r="P26" s="55"/>
      <c r="Q26" s="55"/>
      <c r="R26" s="55"/>
      <c r="S26" s="55"/>
      <c r="T26" s="57"/>
      <c r="U26" s="57"/>
      <c r="V26" s="58"/>
      <c r="W26" s="58"/>
      <c r="X26" s="58"/>
      <c r="Y26" s="58"/>
      <c r="Z26" s="58"/>
      <c r="AA26" s="58"/>
      <c r="AB26" s="58"/>
      <c r="AC26" s="58"/>
      <c r="AD26" s="65"/>
      <c r="AE26" s="58"/>
      <c r="AF26" s="58"/>
      <c r="AG26" s="58"/>
      <c r="AH26" s="58"/>
      <c r="AI26" s="58"/>
      <c r="AJ26" s="10"/>
      <c r="AK26" s="58"/>
      <c r="AL26" s="60"/>
      <c r="AM26" s="60"/>
      <c r="AN26" s="60"/>
      <c r="AO26" s="60"/>
      <c r="AP26" s="61"/>
      <c r="AQ26" s="62"/>
      <c r="AR26" s="58"/>
      <c r="AS26" s="55"/>
      <c r="AT26" s="55"/>
      <c r="AU26" s="55"/>
      <c r="AV26" s="63"/>
    </row>
    <row r="27" spans="1:48" ht="15.75" customHeight="1" x14ac:dyDescent="0.15">
      <c r="A27" s="54"/>
      <c r="B27" s="54"/>
      <c r="C27" s="54"/>
      <c r="D27" s="54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6"/>
      <c r="P27" s="55"/>
      <c r="Q27" s="55"/>
      <c r="R27" s="55"/>
      <c r="S27" s="55"/>
      <c r="T27" s="57"/>
      <c r="U27" s="57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10"/>
      <c r="AK27" s="58"/>
      <c r="AL27" s="60"/>
      <c r="AM27" s="60"/>
      <c r="AN27" s="60"/>
      <c r="AO27" s="60"/>
      <c r="AP27" s="62"/>
      <c r="AQ27" s="62"/>
      <c r="AR27" s="58"/>
      <c r="AS27" s="55"/>
      <c r="AT27" s="55"/>
      <c r="AU27" s="55"/>
      <c r="AV27" s="63"/>
    </row>
    <row r="28" spans="1:48" ht="15.75" customHeight="1" x14ac:dyDescent="0.15">
      <c r="A28" s="54"/>
      <c r="B28" s="54"/>
      <c r="C28" s="54"/>
      <c r="D28" s="54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6"/>
      <c r="P28" s="55"/>
      <c r="Q28" s="55"/>
      <c r="R28" s="55"/>
      <c r="S28" s="55"/>
      <c r="T28" s="57"/>
      <c r="U28" s="57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65"/>
      <c r="AI28" s="65"/>
      <c r="AJ28" s="10"/>
      <c r="AK28" s="58"/>
      <c r="AL28" s="60"/>
      <c r="AM28" s="60"/>
      <c r="AN28" s="60"/>
      <c r="AO28" s="60"/>
      <c r="AP28" s="61"/>
      <c r="AQ28" s="62"/>
      <c r="AR28" s="58"/>
      <c r="AS28" s="55"/>
      <c r="AT28" s="55"/>
      <c r="AU28" s="55"/>
      <c r="AV28" s="63"/>
    </row>
    <row r="29" spans="1:48" ht="15.75" customHeight="1" x14ac:dyDescent="0.15">
      <c r="A29" s="54"/>
      <c r="B29" s="54"/>
      <c r="C29" s="54"/>
      <c r="D29" s="54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6"/>
      <c r="P29" s="55"/>
      <c r="Q29" s="55"/>
      <c r="R29" s="55"/>
      <c r="S29" s="55"/>
      <c r="T29" s="57"/>
      <c r="U29" s="57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65"/>
      <c r="AI29" s="65"/>
      <c r="AJ29" s="10"/>
      <c r="AK29" s="58"/>
      <c r="AL29" s="60"/>
      <c r="AM29" s="60"/>
      <c r="AN29" s="60"/>
      <c r="AO29" s="60"/>
      <c r="AP29" s="61"/>
      <c r="AQ29" s="62"/>
      <c r="AR29" s="58"/>
      <c r="AS29" s="55"/>
      <c r="AT29" s="55"/>
      <c r="AU29" s="55"/>
      <c r="AV29" s="63"/>
    </row>
    <row r="30" spans="1:48" ht="15.75" customHeight="1" x14ac:dyDescent="0.15">
      <c r="A30" s="54"/>
      <c r="B30" s="54"/>
      <c r="C30" s="54"/>
      <c r="D30" s="54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6"/>
      <c r="P30" s="55"/>
      <c r="Q30" s="55"/>
      <c r="R30" s="55"/>
      <c r="S30" s="66"/>
      <c r="T30" s="57"/>
      <c r="U30" s="57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9"/>
      <c r="AK30" s="58"/>
      <c r="AL30" s="60"/>
      <c r="AM30" s="60"/>
      <c r="AN30" s="60"/>
      <c r="AO30" s="60"/>
      <c r="AP30" s="61"/>
      <c r="AQ30" s="61"/>
      <c r="AR30" s="58"/>
      <c r="AS30" s="55"/>
      <c r="AT30" s="55"/>
      <c r="AU30" s="55"/>
      <c r="AV30" s="63"/>
    </row>
    <row r="31" spans="1:48" ht="15.75" customHeight="1" x14ac:dyDescent="0.15">
      <c r="A31" s="54"/>
      <c r="B31" s="54"/>
      <c r="C31" s="54"/>
      <c r="D31" s="54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6"/>
      <c r="P31" s="55"/>
      <c r="Q31" s="55"/>
      <c r="R31" s="55"/>
      <c r="S31" s="66"/>
      <c r="T31" s="57"/>
      <c r="U31" s="57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10"/>
      <c r="AK31" s="58"/>
      <c r="AL31" s="60"/>
      <c r="AM31" s="60"/>
      <c r="AN31" s="60"/>
      <c r="AO31" s="60"/>
      <c r="AP31" s="61"/>
      <c r="AQ31" s="62"/>
      <c r="AR31" s="58"/>
      <c r="AS31" s="55"/>
      <c r="AT31" s="55"/>
      <c r="AU31" s="55"/>
      <c r="AV31" s="63"/>
    </row>
    <row r="32" spans="1:48" ht="15.75" customHeight="1" x14ac:dyDescent="0.15">
      <c r="A32" s="54"/>
      <c r="B32" s="54"/>
      <c r="C32" s="54"/>
      <c r="D32" s="54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6"/>
      <c r="P32" s="55"/>
      <c r="Q32" s="55"/>
      <c r="R32" s="55"/>
      <c r="S32" s="55"/>
      <c r="T32" s="57"/>
      <c r="U32" s="57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9"/>
      <c r="AK32" s="58"/>
      <c r="AL32" s="60"/>
      <c r="AM32" s="60"/>
      <c r="AN32" s="60"/>
      <c r="AO32" s="60"/>
      <c r="AP32" s="61"/>
      <c r="AQ32" s="61"/>
      <c r="AR32" s="58"/>
      <c r="AS32" s="55"/>
      <c r="AT32" s="55"/>
      <c r="AU32" s="55"/>
      <c r="AV32" s="63"/>
    </row>
    <row r="33" spans="1:48" ht="15.75" customHeight="1" x14ac:dyDescent="0.15">
      <c r="A33" s="54"/>
      <c r="B33" s="54"/>
      <c r="C33" s="54"/>
      <c r="D33" s="54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6"/>
      <c r="P33" s="55"/>
      <c r="Q33" s="55"/>
      <c r="R33" s="55"/>
      <c r="S33" s="55"/>
      <c r="T33" s="57"/>
      <c r="U33" s="57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10"/>
      <c r="AK33" s="58"/>
      <c r="AL33" s="60"/>
      <c r="AM33" s="60"/>
      <c r="AN33" s="60"/>
      <c r="AO33" s="60"/>
      <c r="AP33" s="62"/>
      <c r="AQ33" s="62"/>
      <c r="AR33" s="58"/>
      <c r="AS33" s="55"/>
      <c r="AT33" s="55"/>
      <c r="AU33" s="55"/>
      <c r="AV33" s="63"/>
    </row>
    <row r="34" spans="1:48" ht="15.75" customHeight="1" x14ac:dyDescent="0.15">
      <c r="A34" s="54"/>
      <c r="B34" s="54"/>
      <c r="C34" s="54"/>
      <c r="D34" s="54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6"/>
      <c r="P34" s="55"/>
      <c r="Q34" s="55"/>
      <c r="R34" s="55"/>
      <c r="S34" s="55"/>
      <c r="T34" s="57"/>
      <c r="U34" s="57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10"/>
      <c r="AK34" s="58"/>
      <c r="AL34" s="60"/>
      <c r="AM34" s="60"/>
      <c r="AN34" s="60"/>
      <c r="AO34" s="60"/>
      <c r="AP34" s="62"/>
      <c r="AQ34" s="62"/>
      <c r="AR34" s="58"/>
      <c r="AS34" s="55"/>
      <c r="AT34" s="55"/>
      <c r="AU34" s="55"/>
      <c r="AV34" s="63"/>
    </row>
    <row r="35" spans="1:48" ht="15.75" customHeight="1" x14ac:dyDescent="0.15">
      <c r="A35" s="54"/>
      <c r="B35" s="54"/>
      <c r="C35" s="54"/>
      <c r="D35" s="54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6"/>
      <c r="P35" s="55"/>
      <c r="Q35" s="55"/>
      <c r="R35" s="55"/>
      <c r="S35" s="55"/>
      <c r="T35" s="57"/>
      <c r="U35" s="57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65"/>
      <c r="AI35" s="65"/>
      <c r="AJ35" s="10"/>
      <c r="AK35" s="58"/>
      <c r="AL35" s="60"/>
      <c r="AM35" s="60"/>
      <c r="AN35" s="60"/>
      <c r="AO35" s="60"/>
      <c r="AP35" s="62"/>
      <c r="AQ35" s="62"/>
      <c r="AR35" s="58"/>
      <c r="AS35" s="55"/>
      <c r="AT35" s="55"/>
      <c r="AU35" s="55"/>
      <c r="AV35" s="63"/>
    </row>
    <row r="36" spans="1:48" ht="15.75" customHeight="1" x14ac:dyDescent="0.15">
      <c r="A36" s="54"/>
      <c r="B36" s="54"/>
      <c r="C36" s="54"/>
      <c r="D36" s="54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6"/>
      <c r="P36" s="55"/>
      <c r="Q36" s="55"/>
      <c r="R36" s="55"/>
      <c r="S36" s="66"/>
      <c r="T36" s="57"/>
      <c r="U36" s="57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10"/>
      <c r="AK36" s="58"/>
      <c r="AL36" s="60"/>
      <c r="AM36" s="60"/>
      <c r="AN36" s="60"/>
      <c r="AO36" s="60"/>
      <c r="AP36" s="61"/>
      <c r="AQ36" s="62"/>
      <c r="AR36" s="58"/>
      <c r="AS36" s="55"/>
      <c r="AT36" s="55"/>
      <c r="AU36" s="55"/>
      <c r="AV36" s="63"/>
    </row>
    <row r="37" spans="1:48" ht="15.75" customHeight="1" x14ac:dyDescent="0.15">
      <c r="A37" s="54"/>
      <c r="B37" s="54"/>
      <c r="C37" s="54"/>
      <c r="D37" s="54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6"/>
      <c r="P37" s="55"/>
      <c r="Q37" s="55"/>
      <c r="R37" s="55"/>
      <c r="S37" s="55"/>
      <c r="T37" s="57"/>
      <c r="U37" s="57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9"/>
      <c r="AK37" s="58"/>
      <c r="AL37" s="60"/>
      <c r="AM37" s="60"/>
      <c r="AN37" s="60"/>
      <c r="AO37" s="60"/>
      <c r="AP37" s="62"/>
      <c r="AQ37" s="62"/>
      <c r="AR37" s="58"/>
      <c r="AS37" s="55"/>
      <c r="AT37" s="55"/>
      <c r="AU37" s="55"/>
      <c r="AV37" s="63"/>
    </row>
    <row r="38" spans="1:48" ht="15.75" customHeight="1" x14ac:dyDescent="0.15">
      <c r="A38" s="54"/>
      <c r="B38" s="54"/>
      <c r="C38" s="54"/>
      <c r="D38" s="54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6"/>
      <c r="P38" s="55"/>
      <c r="Q38" s="55"/>
      <c r="R38" s="55"/>
      <c r="S38" s="66"/>
      <c r="T38" s="57"/>
      <c r="U38" s="57"/>
      <c r="V38" s="58"/>
      <c r="W38" s="58"/>
      <c r="X38" s="58"/>
      <c r="Y38" s="58"/>
      <c r="Z38" s="58"/>
      <c r="AA38" s="58"/>
      <c r="AB38" s="58"/>
      <c r="AC38" s="58"/>
      <c r="AD38" s="65"/>
      <c r="AE38" s="58"/>
      <c r="AF38" s="58"/>
      <c r="AG38" s="58"/>
      <c r="AH38" s="58"/>
      <c r="AI38" s="58"/>
      <c r="AJ38" s="10"/>
      <c r="AK38" s="58"/>
      <c r="AL38" s="60"/>
      <c r="AM38" s="60"/>
      <c r="AN38" s="60"/>
      <c r="AO38" s="60"/>
      <c r="AP38" s="62"/>
      <c r="AQ38" s="62"/>
      <c r="AR38" s="58"/>
      <c r="AS38" s="55"/>
      <c r="AT38" s="55"/>
      <c r="AU38" s="55"/>
      <c r="AV38" s="63"/>
    </row>
    <row r="39" spans="1:48" ht="15.75" customHeight="1" x14ac:dyDescent="0.15">
      <c r="A39" s="54"/>
      <c r="B39" s="54"/>
      <c r="C39" s="54"/>
      <c r="D39" s="54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6"/>
      <c r="P39" s="55"/>
      <c r="Q39" s="55"/>
      <c r="R39" s="55"/>
      <c r="S39" s="66"/>
      <c r="T39" s="57"/>
      <c r="U39" s="57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10"/>
      <c r="AK39" s="58"/>
      <c r="AL39" s="60"/>
      <c r="AM39" s="60"/>
      <c r="AN39" s="60"/>
      <c r="AO39" s="60"/>
      <c r="AP39" s="61"/>
      <c r="AQ39" s="62"/>
      <c r="AR39" s="58"/>
      <c r="AS39" s="55"/>
      <c r="AT39" s="55"/>
      <c r="AU39" s="55"/>
      <c r="AV39" s="63"/>
    </row>
    <row r="40" spans="1:48" ht="15.75" customHeight="1" x14ac:dyDescent="0.15">
      <c r="A40" s="54"/>
      <c r="B40" s="54"/>
      <c r="C40" s="54"/>
      <c r="D40" s="54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6"/>
      <c r="P40" s="55"/>
      <c r="Q40" s="55"/>
      <c r="R40" s="55"/>
      <c r="S40" s="66"/>
      <c r="T40" s="57"/>
      <c r="U40" s="57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10"/>
      <c r="AK40" s="58"/>
      <c r="AL40" s="60"/>
      <c r="AM40" s="60"/>
      <c r="AN40" s="60"/>
      <c r="AO40" s="60"/>
      <c r="AP40" s="61"/>
      <c r="AQ40" s="62"/>
      <c r="AR40" s="58"/>
      <c r="AS40" s="55"/>
      <c r="AT40" s="55"/>
      <c r="AU40" s="55"/>
      <c r="AV40" s="63"/>
    </row>
    <row r="41" spans="1:48" ht="15.75" customHeight="1" x14ac:dyDescent="0.15">
      <c r="A41" s="54"/>
      <c r="B41" s="54"/>
      <c r="C41" s="54"/>
      <c r="D41" s="54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6"/>
      <c r="P41" s="55"/>
      <c r="Q41" s="55"/>
      <c r="R41" s="55"/>
      <c r="S41" s="66"/>
      <c r="T41" s="57"/>
      <c r="U41" s="57"/>
      <c r="V41" s="65"/>
      <c r="W41" s="65"/>
      <c r="X41" s="65"/>
      <c r="Y41" s="65"/>
      <c r="Z41" s="65"/>
      <c r="AA41" s="65"/>
      <c r="AB41" s="65"/>
      <c r="AC41" s="65"/>
      <c r="AD41" s="58"/>
      <c r="AE41" s="58"/>
      <c r="AF41" s="58"/>
      <c r="AG41" s="58"/>
      <c r="AH41" s="65"/>
      <c r="AI41" s="58"/>
      <c r="AJ41" s="59"/>
      <c r="AK41" s="58"/>
      <c r="AL41" s="60"/>
      <c r="AM41" s="60"/>
      <c r="AN41" s="60"/>
      <c r="AO41" s="60"/>
      <c r="AP41" s="61"/>
      <c r="AQ41" s="62"/>
      <c r="AR41" s="58"/>
      <c r="AS41" s="55"/>
      <c r="AT41" s="55"/>
      <c r="AU41" s="55"/>
      <c r="AV41" s="63"/>
    </row>
    <row r="42" spans="1:48" ht="15" customHeight="1" x14ac:dyDescent="0.15">
      <c r="A42" s="54"/>
      <c r="B42" s="54"/>
      <c r="C42" s="54"/>
      <c r="D42" s="54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6"/>
      <c r="P42" s="55"/>
      <c r="Q42" s="55"/>
      <c r="R42" s="55"/>
      <c r="S42" s="66"/>
      <c r="T42" s="57"/>
      <c r="U42" s="57"/>
      <c r="V42" s="65"/>
      <c r="W42" s="65"/>
      <c r="X42" s="65"/>
      <c r="Y42" s="65"/>
      <c r="Z42" s="65"/>
      <c r="AA42" s="65"/>
      <c r="AB42" s="65"/>
      <c r="AC42" s="65"/>
      <c r="AD42" s="58"/>
      <c r="AE42" s="58"/>
      <c r="AF42" s="58"/>
      <c r="AG42" s="58"/>
      <c r="AH42" s="58"/>
      <c r="AI42" s="58"/>
      <c r="AJ42" s="10"/>
      <c r="AK42" s="58"/>
      <c r="AL42" s="60"/>
      <c r="AM42" s="60"/>
      <c r="AN42" s="60"/>
      <c r="AO42" s="60"/>
      <c r="AP42" s="61"/>
      <c r="AQ42" s="62"/>
      <c r="AR42" s="58"/>
      <c r="AS42" s="55"/>
      <c r="AT42" s="55"/>
      <c r="AU42" s="55"/>
      <c r="AV42" s="63"/>
    </row>
    <row r="43" spans="1:48" ht="15.75" customHeight="1" x14ac:dyDescent="0.15">
      <c r="A43" s="54"/>
      <c r="B43" s="54"/>
      <c r="C43" s="54"/>
      <c r="D43" s="54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6"/>
      <c r="P43" s="55"/>
      <c r="Q43" s="55"/>
      <c r="R43" s="55"/>
      <c r="S43" s="66"/>
      <c r="T43" s="57"/>
      <c r="U43" s="57"/>
      <c r="V43" s="65"/>
      <c r="W43" s="65"/>
      <c r="X43" s="65"/>
      <c r="Y43" s="65"/>
      <c r="Z43" s="65"/>
      <c r="AA43" s="65"/>
      <c r="AB43" s="65"/>
      <c r="AC43" s="65"/>
      <c r="AD43" s="58"/>
      <c r="AE43" s="58"/>
      <c r="AF43" s="58"/>
      <c r="AG43" s="58"/>
      <c r="AH43" s="58"/>
      <c r="AI43" s="58"/>
      <c r="AJ43" s="59"/>
      <c r="AK43" s="58"/>
      <c r="AL43" s="60"/>
      <c r="AM43" s="60"/>
      <c r="AN43" s="60"/>
      <c r="AO43" s="60"/>
      <c r="AP43" s="61"/>
      <c r="AQ43" s="62"/>
      <c r="AR43" s="58"/>
      <c r="AS43" s="55"/>
      <c r="AT43" s="55"/>
      <c r="AU43" s="55"/>
      <c r="AV43" s="63"/>
    </row>
    <row r="44" spans="1:48" ht="15.75" customHeight="1" x14ac:dyDescent="0.15">
      <c r="A44" s="54"/>
      <c r="B44" s="54"/>
      <c r="C44" s="54"/>
      <c r="D44" s="54"/>
      <c r="E44" s="66"/>
      <c r="F44" s="66"/>
      <c r="G44" s="55"/>
      <c r="H44" s="55"/>
      <c r="I44" s="55"/>
      <c r="J44" s="55"/>
      <c r="K44" s="55"/>
      <c r="L44" s="55"/>
      <c r="M44" s="55"/>
      <c r="N44" s="55"/>
      <c r="O44" s="56"/>
      <c r="P44" s="66"/>
      <c r="Q44" s="55"/>
      <c r="R44" s="66"/>
      <c r="S44" s="66"/>
      <c r="T44" s="57"/>
      <c r="U44" s="57"/>
      <c r="V44" s="58"/>
      <c r="W44" s="58"/>
      <c r="X44" s="58"/>
      <c r="Y44" s="58"/>
      <c r="Z44" s="58"/>
      <c r="AA44" s="58"/>
      <c r="AB44" s="58"/>
      <c r="AC44" s="58"/>
      <c r="AD44" s="67"/>
      <c r="AE44" s="67"/>
      <c r="AF44" s="67"/>
      <c r="AG44" s="67"/>
      <c r="AH44" s="67"/>
      <c r="AI44" s="67"/>
      <c r="AJ44" s="68"/>
      <c r="AK44" s="67"/>
      <c r="AL44" s="60"/>
      <c r="AM44" s="60"/>
      <c r="AN44" s="60"/>
      <c r="AO44" s="60"/>
      <c r="AP44" s="62"/>
      <c r="AQ44" s="62"/>
      <c r="AR44" s="67"/>
      <c r="AS44" s="55"/>
      <c r="AT44" s="55"/>
      <c r="AU44" s="55"/>
      <c r="AV44" s="63"/>
    </row>
    <row r="45" spans="1:48" ht="15" customHeight="1" x14ac:dyDescent="0.15">
      <c r="A45" s="54"/>
      <c r="B45" s="54"/>
      <c r="C45" s="54"/>
      <c r="D45" s="54"/>
      <c r="E45" s="66"/>
      <c r="F45" s="66"/>
      <c r="G45" s="55"/>
      <c r="H45" s="55"/>
      <c r="I45" s="55"/>
      <c r="J45" s="55"/>
      <c r="K45" s="55"/>
      <c r="L45" s="55"/>
      <c r="M45" s="55"/>
      <c r="N45" s="55"/>
      <c r="O45" s="56"/>
      <c r="P45" s="66"/>
      <c r="Q45" s="55"/>
      <c r="R45" s="66"/>
      <c r="S45" s="66"/>
      <c r="T45" s="57"/>
      <c r="U45" s="57"/>
      <c r="V45" s="58"/>
      <c r="W45" s="58"/>
      <c r="X45" s="58"/>
      <c r="Y45" s="58"/>
      <c r="Z45" s="58"/>
      <c r="AA45" s="58"/>
      <c r="AB45" s="58"/>
      <c r="AC45" s="58"/>
      <c r="AD45" s="67"/>
      <c r="AE45" s="67"/>
      <c r="AF45" s="67"/>
      <c r="AG45" s="67"/>
      <c r="AH45" s="67"/>
      <c r="AI45" s="67"/>
      <c r="AJ45" s="68"/>
      <c r="AK45" s="67"/>
      <c r="AL45" s="60"/>
      <c r="AM45" s="60"/>
      <c r="AN45" s="60"/>
      <c r="AO45" s="60"/>
      <c r="AP45" s="62"/>
      <c r="AQ45" s="62"/>
      <c r="AR45" s="67"/>
      <c r="AS45" s="55"/>
      <c r="AT45" s="55"/>
      <c r="AU45" s="55"/>
      <c r="AV45" s="63"/>
    </row>
    <row r="46" spans="1:48" ht="15.75" customHeight="1" x14ac:dyDescent="0.15">
      <c r="A46" s="54"/>
      <c r="B46" s="54"/>
      <c r="C46" s="54"/>
      <c r="D46" s="54"/>
      <c r="E46" s="66"/>
      <c r="F46" s="66"/>
      <c r="G46" s="55"/>
      <c r="H46" s="55"/>
      <c r="I46" s="55"/>
      <c r="J46" s="55"/>
      <c r="K46" s="55"/>
      <c r="L46" s="55"/>
      <c r="M46" s="55"/>
      <c r="N46" s="55"/>
      <c r="O46" s="56"/>
      <c r="P46" s="66"/>
      <c r="Q46" s="55"/>
      <c r="R46" s="66"/>
      <c r="S46" s="66"/>
      <c r="T46" s="57"/>
      <c r="U46" s="57"/>
      <c r="V46" s="58"/>
      <c r="W46" s="58"/>
      <c r="X46" s="58"/>
      <c r="Y46" s="58"/>
      <c r="Z46" s="58"/>
      <c r="AA46" s="58"/>
      <c r="AB46" s="58"/>
      <c r="AC46" s="58"/>
      <c r="AD46" s="67"/>
      <c r="AE46" s="67"/>
      <c r="AF46" s="67"/>
      <c r="AG46" s="67"/>
      <c r="AH46" s="67"/>
      <c r="AI46" s="67"/>
      <c r="AJ46" s="68"/>
      <c r="AK46" s="67"/>
      <c r="AL46" s="60"/>
      <c r="AM46" s="60"/>
      <c r="AN46" s="60"/>
      <c r="AO46" s="60"/>
      <c r="AP46" s="62"/>
      <c r="AQ46" s="62"/>
      <c r="AR46" s="67"/>
      <c r="AS46" s="55"/>
      <c r="AT46" s="55"/>
      <c r="AU46" s="55"/>
      <c r="AV46" s="63"/>
    </row>
    <row r="47" spans="1:48" ht="15.75" customHeight="1" x14ac:dyDescent="0.15"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7"/>
      <c r="U47" s="57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K47" s="58"/>
      <c r="AP47" s="61"/>
      <c r="AQ47" s="61"/>
      <c r="AR47" s="58"/>
      <c r="AS47" s="55"/>
      <c r="AT47" s="55"/>
      <c r="AU47" s="55"/>
      <c r="AV47" s="55"/>
    </row>
    <row r="48" spans="1:48" ht="15.75" customHeight="1" x14ac:dyDescent="0.15">
      <c r="A48" s="54">
        <v>1</v>
      </c>
      <c r="B48" s="54"/>
      <c r="C48" s="54"/>
      <c r="D48" s="69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6"/>
      <c r="P48" s="55"/>
      <c r="Q48" s="55"/>
      <c r="R48" s="55"/>
      <c r="S48" s="55"/>
      <c r="T48" s="57"/>
      <c r="U48" s="57"/>
      <c r="V48" s="65"/>
      <c r="W48" s="65"/>
      <c r="X48" s="65"/>
      <c r="Y48" s="65"/>
      <c r="Z48" s="65"/>
      <c r="AA48" s="65"/>
      <c r="AB48" s="65"/>
      <c r="AC48" s="65"/>
      <c r="AD48" s="58"/>
      <c r="AE48" s="58"/>
      <c r="AF48" s="58"/>
      <c r="AG48" s="58"/>
      <c r="AH48" s="58"/>
      <c r="AI48" s="58"/>
      <c r="AJ48" s="10"/>
      <c r="AK48" s="58"/>
      <c r="AL48" s="60"/>
      <c r="AM48" s="60"/>
      <c r="AN48" s="60"/>
      <c r="AO48" s="60"/>
      <c r="AP48" s="61"/>
      <c r="AQ48" s="61"/>
      <c r="AR48" s="58"/>
      <c r="AS48" s="55"/>
      <c r="AT48" s="55"/>
      <c r="AU48" s="55"/>
      <c r="AV48" s="63"/>
    </row>
    <row r="49" spans="1:48" ht="15.75" customHeight="1" x14ac:dyDescent="0.15">
      <c r="A49" s="54">
        <v>1</v>
      </c>
      <c r="B49" s="54"/>
      <c r="C49" s="54"/>
      <c r="D49" s="69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6"/>
      <c r="P49" s="55"/>
      <c r="Q49" s="55"/>
      <c r="R49" s="55"/>
      <c r="S49" s="55"/>
      <c r="T49" s="57"/>
      <c r="U49" s="57"/>
      <c r="V49" s="58"/>
      <c r="W49" s="65"/>
      <c r="X49" s="58"/>
      <c r="Y49" s="65"/>
      <c r="Z49" s="58"/>
      <c r="AA49" s="65"/>
      <c r="AB49" s="58"/>
      <c r="AC49" s="65"/>
      <c r="AD49" s="58"/>
      <c r="AE49" s="58"/>
      <c r="AF49" s="58"/>
      <c r="AG49" s="58"/>
      <c r="AH49" s="65"/>
      <c r="AI49" s="58"/>
      <c r="AJ49" s="10"/>
      <c r="AK49" s="58"/>
      <c r="AL49" s="60"/>
      <c r="AM49" s="60"/>
      <c r="AN49" s="60"/>
      <c r="AO49" s="60"/>
      <c r="AP49" s="61"/>
      <c r="AQ49" s="61"/>
      <c r="AR49" s="58"/>
      <c r="AS49" s="55"/>
      <c r="AT49" s="55"/>
      <c r="AU49" s="55"/>
      <c r="AV49" s="63"/>
    </row>
    <row r="50" spans="1:48" ht="15.75" customHeight="1" x14ac:dyDescent="0.15">
      <c r="A50" s="54">
        <v>1</v>
      </c>
      <c r="B50" s="54"/>
      <c r="C50" s="54"/>
      <c r="D50" s="69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6"/>
      <c r="P50" s="55"/>
      <c r="Q50" s="55"/>
      <c r="R50" s="55"/>
      <c r="S50" s="55"/>
      <c r="T50" s="57"/>
      <c r="U50" s="57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10"/>
      <c r="AK50" s="58"/>
      <c r="AL50" s="60"/>
      <c r="AM50" s="60"/>
      <c r="AN50" s="60"/>
      <c r="AO50" s="60"/>
      <c r="AP50" s="61"/>
      <c r="AQ50" s="61"/>
      <c r="AR50" s="58"/>
      <c r="AS50" s="55"/>
      <c r="AT50" s="55"/>
      <c r="AU50" s="55"/>
      <c r="AV50" s="63"/>
    </row>
    <row r="51" spans="1:48" ht="15.75" customHeight="1" x14ac:dyDescent="0.15">
      <c r="A51" s="54">
        <v>1</v>
      </c>
      <c r="B51" s="54"/>
      <c r="C51" s="54"/>
      <c r="D51" s="69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6"/>
      <c r="P51" s="55"/>
      <c r="Q51" s="55"/>
      <c r="R51" s="55"/>
      <c r="S51" s="55"/>
      <c r="T51" s="57"/>
      <c r="U51" s="57"/>
      <c r="V51" s="65"/>
      <c r="W51" s="65"/>
      <c r="X51" s="65"/>
      <c r="Y51" s="65"/>
      <c r="Z51" s="65"/>
      <c r="AA51" s="65"/>
      <c r="AB51" s="65"/>
      <c r="AC51" s="65"/>
      <c r="AD51" s="58"/>
      <c r="AE51" s="58"/>
      <c r="AF51" s="58"/>
      <c r="AG51" s="58"/>
      <c r="AH51" s="58"/>
      <c r="AI51" s="58"/>
      <c r="AJ51" s="10"/>
      <c r="AK51" s="58"/>
      <c r="AL51" s="60"/>
      <c r="AM51" s="60"/>
      <c r="AN51" s="60"/>
      <c r="AO51" s="60"/>
      <c r="AP51" s="61"/>
      <c r="AQ51" s="61"/>
      <c r="AR51" s="58"/>
      <c r="AS51" s="55"/>
      <c r="AT51" s="55"/>
      <c r="AU51" s="55"/>
      <c r="AV51" s="63"/>
    </row>
    <row r="52" spans="1:48" ht="15.75" customHeight="1" x14ac:dyDescent="0.15">
      <c r="A52" s="54">
        <v>1</v>
      </c>
      <c r="B52" s="54"/>
      <c r="C52" s="54"/>
      <c r="D52" s="69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6"/>
      <c r="P52" s="55"/>
      <c r="Q52" s="55"/>
      <c r="R52" s="55"/>
      <c r="S52" s="55"/>
      <c r="T52" s="57"/>
      <c r="U52" s="57"/>
      <c r="V52" s="65"/>
      <c r="W52" s="65"/>
      <c r="X52" s="65"/>
      <c r="Y52" s="65"/>
      <c r="Z52" s="65"/>
      <c r="AA52" s="65"/>
      <c r="AB52" s="65"/>
      <c r="AC52" s="65"/>
      <c r="AD52" s="58"/>
      <c r="AE52" s="58"/>
      <c r="AF52" s="58"/>
      <c r="AG52" s="58"/>
      <c r="AH52" s="58"/>
      <c r="AI52" s="58"/>
      <c r="AJ52" s="10"/>
      <c r="AK52" s="58"/>
      <c r="AL52" s="60"/>
      <c r="AM52" s="60"/>
      <c r="AN52" s="60"/>
      <c r="AO52" s="60"/>
      <c r="AP52" s="61"/>
      <c r="AQ52" s="61"/>
      <c r="AR52" s="58"/>
      <c r="AS52" s="55"/>
      <c r="AT52" s="55"/>
      <c r="AU52" s="55"/>
      <c r="AV52" s="63"/>
    </row>
    <row r="53" spans="1:48" ht="15.75" customHeight="1" x14ac:dyDescent="0.15"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28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</row>
    <row r="54" spans="1:48" ht="15.75" customHeight="1" x14ac:dyDescent="0.15"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69"/>
      <c r="T54" s="57"/>
      <c r="U54" s="57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5"/>
      <c r="AT54" s="55"/>
      <c r="AU54" s="55"/>
      <c r="AV54" s="55"/>
    </row>
    <row r="55" spans="1:48" ht="15.75" customHeight="1" x14ac:dyDescent="0.15"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69"/>
      <c r="T55" s="57"/>
      <c r="U55" s="57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5"/>
      <c r="AT55" s="55"/>
      <c r="AU55" s="55"/>
      <c r="AV55" s="55"/>
    </row>
    <row r="56" spans="1:48" ht="15.75" customHeight="1" x14ac:dyDescent="0.15"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69"/>
      <c r="T56" s="57"/>
      <c r="U56" s="57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5"/>
      <c r="AT56" s="55"/>
      <c r="AU56" s="55"/>
      <c r="AV56" s="55"/>
    </row>
    <row r="57" spans="1:48" ht="15.75" customHeight="1" x14ac:dyDescent="0.15"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69"/>
      <c r="T57" s="57"/>
      <c r="U57" s="57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5"/>
      <c r="AT57" s="55"/>
      <c r="AU57" s="55"/>
      <c r="AV57" s="55"/>
    </row>
    <row r="58" spans="1:48" ht="15.75" customHeight="1" x14ac:dyDescent="0.15"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69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5"/>
      <c r="AT58" s="55"/>
      <c r="AU58" s="55"/>
      <c r="AV58" s="55"/>
    </row>
    <row r="59" spans="1:48" ht="15.75" customHeight="1" x14ac:dyDescent="0.15"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69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5"/>
      <c r="AT59" s="55"/>
      <c r="AU59" s="55"/>
      <c r="AV59" s="55"/>
    </row>
    <row r="60" spans="1:48" ht="15.75" customHeight="1" x14ac:dyDescent="0.15"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69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55"/>
      <c r="AT60" s="55"/>
      <c r="AU60" s="55"/>
      <c r="AV60" s="55"/>
    </row>
    <row r="61" spans="1:48" ht="15.75" customHeight="1" x14ac:dyDescent="0.15"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69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55"/>
      <c r="AT61" s="55"/>
      <c r="AU61" s="55"/>
      <c r="AV61" s="55"/>
    </row>
    <row r="62" spans="1:48" ht="15.75" customHeight="1" x14ac:dyDescent="0.15"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55"/>
      <c r="AT62" s="55"/>
      <c r="AU62" s="55"/>
      <c r="AV62" s="55"/>
    </row>
    <row r="63" spans="1:48" ht="15.75" customHeight="1" x14ac:dyDescent="0.15"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</row>
    <row r="64" spans="1:48" ht="15.75" customHeight="1" x14ac:dyDescent="0.15"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</row>
    <row r="65" spans="5:51" ht="15.75" customHeight="1" x14ac:dyDescent="0.15"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</row>
    <row r="66" spans="5:51" ht="15.75" customHeight="1" x14ac:dyDescent="0.15"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</row>
    <row r="67" spans="5:51" ht="15.75" customHeight="1" x14ac:dyDescent="0.15"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</row>
    <row r="68" spans="5:51" ht="15.75" customHeight="1" x14ac:dyDescent="0.15"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</row>
    <row r="69" spans="5:51" ht="15.75" customHeight="1" x14ac:dyDescent="0.15"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X69" s="64">
        <v>0.65217391304347827</v>
      </c>
      <c r="AY69" s="54">
        <v>2</v>
      </c>
    </row>
    <row r="70" spans="5:51" ht="15.75" customHeight="1" x14ac:dyDescent="0.15"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</row>
    <row r="71" spans="5:51" ht="15.75" customHeight="1" x14ac:dyDescent="0.15"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</row>
    <row r="72" spans="5:51" ht="15.75" customHeight="1" x14ac:dyDescent="0.15"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</row>
    <row r="73" spans="5:51" ht="15.75" customHeight="1" x14ac:dyDescent="0.15"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</row>
    <row r="74" spans="5:51" ht="15.75" customHeight="1" x14ac:dyDescent="0.15"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</row>
    <row r="75" spans="5:51" ht="15.75" customHeight="1" x14ac:dyDescent="0.15"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</row>
    <row r="76" spans="5:51" ht="15.75" customHeight="1" x14ac:dyDescent="0.15"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</row>
    <row r="77" spans="5:51" ht="15.75" customHeight="1" x14ac:dyDescent="0.15"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</row>
    <row r="78" spans="5:51" ht="15.75" customHeight="1" x14ac:dyDescent="0.15"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</row>
    <row r="79" spans="5:51" ht="15.75" customHeight="1" x14ac:dyDescent="0.15"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</row>
    <row r="80" spans="5:51" ht="15.75" customHeight="1" x14ac:dyDescent="0.15"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</row>
    <row r="81" spans="5:48" ht="15.75" customHeight="1" x14ac:dyDescent="0.15"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</row>
    <row r="82" spans="5:48" ht="15.75" customHeight="1" x14ac:dyDescent="0.15"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</row>
    <row r="83" spans="5:48" ht="15.75" customHeight="1" x14ac:dyDescent="0.15"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5"/>
    </row>
    <row r="84" spans="5:48" ht="15.75" customHeight="1" x14ac:dyDescent="0.15"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</row>
    <row r="85" spans="5:48" ht="15.75" customHeight="1" x14ac:dyDescent="0.15"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</row>
    <row r="86" spans="5:48" ht="15.75" customHeight="1" x14ac:dyDescent="0.15"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</row>
    <row r="87" spans="5:48" ht="15.75" customHeight="1" x14ac:dyDescent="0.15"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</row>
    <row r="88" spans="5:48" ht="15.75" customHeight="1" x14ac:dyDescent="0.15"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</row>
    <row r="89" spans="5:48" ht="15.75" customHeight="1" x14ac:dyDescent="0.15"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/>
    </row>
    <row r="90" spans="5:48" ht="15.75" customHeight="1" x14ac:dyDescent="0.15"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</row>
    <row r="91" spans="5:48" ht="15.75" customHeight="1" x14ac:dyDescent="0.15"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</row>
    <row r="92" spans="5:48" ht="15.75" customHeight="1" x14ac:dyDescent="0.15"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s="55"/>
      <c r="AV92" s="55"/>
    </row>
    <row r="93" spans="5:48" ht="15.75" customHeight="1" x14ac:dyDescent="0.15"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</row>
    <row r="94" spans="5:48" ht="15.75" customHeight="1" x14ac:dyDescent="0.15"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/>
      <c r="AO94" s="55"/>
      <c r="AP94" s="55"/>
      <c r="AQ94" s="55"/>
      <c r="AR94" s="55"/>
      <c r="AS94" s="55"/>
      <c r="AT94" s="55"/>
      <c r="AU94" s="55"/>
      <c r="AV94" s="55"/>
    </row>
    <row r="95" spans="5:48" ht="15.75" customHeight="1" x14ac:dyDescent="0.15"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</row>
    <row r="96" spans="5:48" ht="15.75" customHeight="1" x14ac:dyDescent="0.15"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</row>
    <row r="97" spans="5:48" ht="15.75" customHeight="1" x14ac:dyDescent="0.15"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</row>
    <row r="98" spans="5:48" ht="15.75" customHeight="1" x14ac:dyDescent="0.15"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5"/>
    </row>
    <row r="99" spans="5:48" ht="15.75" customHeight="1" x14ac:dyDescent="0.15"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5"/>
    </row>
    <row r="100" spans="5:48" ht="15.75" customHeight="1" x14ac:dyDescent="0.15"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</row>
    <row r="101" spans="5:48" ht="15.75" customHeight="1" x14ac:dyDescent="0.15"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</row>
    <row r="102" spans="5:48" ht="15.75" customHeight="1" x14ac:dyDescent="0.15"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5"/>
    </row>
    <row r="103" spans="5:48" ht="15.75" customHeight="1" x14ac:dyDescent="0.15"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5"/>
    </row>
    <row r="104" spans="5:48" ht="15.75" customHeight="1" x14ac:dyDescent="0.15"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5"/>
    </row>
    <row r="105" spans="5:48" ht="15.75" customHeight="1" x14ac:dyDescent="0.15"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</row>
    <row r="106" spans="5:48" ht="15.75" customHeight="1" x14ac:dyDescent="0.15"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5"/>
    </row>
    <row r="107" spans="5:48" ht="15.75" customHeight="1" x14ac:dyDescent="0.15"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5"/>
    </row>
    <row r="108" spans="5:48" ht="15.75" customHeight="1" x14ac:dyDescent="0.15"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5"/>
    </row>
    <row r="109" spans="5:48" ht="15.75" customHeight="1" x14ac:dyDescent="0.15"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5"/>
    </row>
    <row r="110" spans="5:48" ht="15.75" customHeight="1" x14ac:dyDescent="0.15"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5"/>
    </row>
    <row r="111" spans="5:48" ht="15.75" customHeight="1" x14ac:dyDescent="0.15"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5"/>
    </row>
    <row r="112" spans="5:48" ht="15.75" customHeight="1" x14ac:dyDescent="0.15"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5"/>
    </row>
    <row r="113" spans="5:48" ht="15.75" customHeight="1" x14ac:dyDescent="0.15"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5"/>
    </row>
    <row r="114" spans="5:48" ht="15.75" customHeight="1" x14ac:dyDescent="0.15"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5"/>
    </row>
    <row r="115" spans="5:48" ht="15.75" customHeight="1" x14ac:dyDescent="0.15"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5"/>
    </row>
    <row r="116" spans="5:48" ht="15.75" customHeight="1" x14ac:dyDescent="0.15"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5"/>
    </row>
    <row r="117" spans="5:48" ht="15.75" customHeight="1" x14ac:dyDescent="0.15"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</row>
    <row r="118" spans="5:48" ht="15.75" customHeight="1" x14ac:dyDescent="0.15"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5"/>
    </row>
    <row r="119" spans="5:48" ht="15.75" customHeight="1" x14ac:dyDescent="0.15"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5"/>
    </row>
    <row r="120" spans="5:48" ht="15.75" customHeight="1" x14ac:dyDescent="0.15"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  <c r="AV120" s="55"/>
    </row>
    <row r="121" spans="5:48" ht="15.75" customHeight="1" x14ac:dyDescent="0.15"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</row>
    <row r="122" spans="5:48" ht="15.75" customHeight="1" x14ac:dyDescent="0.15"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</row>
    <row r="123" spans="5:48" ht="15.75" customHeight="1" x14ac:dyDescent="0.15"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55"/>
      <c r="AP123" s="55"/>
      <c r="AQ123" s="55"/>
      <c r="AR123" s="55"/>
      <c r="AS123" s="55"/>
      <c r="AT123" s="55"/>
      <c r="AU123" s="55"/>
      <c r="AV123" s="55"/>
    </row>
    <row r="124" spans="5:48" ht="15.75" customHeight="1" x14ac:dyDescent="0.15"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55"/>
      <c r="AV124" s="55"/>
    </row>
    <row r="125" spans="5:48" ht="15.75" customHeight="1" x14ac:dyDescent="0.15"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5"/>
    </row>
    <row r="126" spans="5:48" ht="15.75" customHeight="1" x14ac:dyDescent="0.15"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5"/>
    </row>
    <row r="127" spans="5:48" ht="15.75" customHeight="1" x14ac:dyDescent="0.15"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5"/>
    </row>
    <row r="128" spans="5:48" ht="15.75" customHeight="1" x14ac:dyDescent="0.15"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5"/>
    </row>
    <row r="129" spans="5:48" ht="15.75" customHeight="1" x14ac:dyDescent="0.15"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5"/>
    </row>
    <row r="130" spans="5:48" ht="15.75" customHeight="1" x14ac:dyDescent="0.15"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5"/>
    </row>
    <row r="131" spans="5:48" ht="15.75" customHeight="1" x14ac:dyDescent="0.15"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5"/>
    </row>
    <row r="132" spans="5:48" ht="15.75" customHeight="1" x14ac:dyDescent="0.15"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5"/>
    </row>
    <row r="133" spans="5:48" ht="15.75" customHeight="1" x14ac:dyDescent="0.15"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5"/>
    </row>
    <row r="134" spans="5:48" ht="15.75" customHeight="1" x14ac:dyDescent="0.15"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5"/>
    </row>
    <row r="135" spans="5:48" ht="15.75" customHeight="1" x14ac:dyDescent="0.15"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</row>
    <row r="136" spans="5:48" ht="15.75" customHeight="1" x14ac:dyDescent="0.15"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</row>
    <row r="137" spans="5:48" ht="15.75" customHeight="1" x14ac:dyDescent="0.15"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</row>
    <row r="138" spans="5:48" ht="15.75" customHeight="1" x14ac:dyDescent="0.15"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5"/>
    </row>
    <row r="139" spans="5:48" ht="15.75" customHeight="1" x14ac:dyDescent="0.15"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AV139" s="55"/>
    </row>
    <row r="140" spans="5:48" ht="15.75" customHeight="1" x14ac:dyDescent="0.15"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5"/>
    </row>
    <row r="141" spans="5:48" ht="15.75" customHeight="1" x14ac:dyDescent="0.15"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5"/>
    </row>
    <row r="142" spans="5:48" ht="15.75" customHeight="1" x14ac:dyDescent="0.15"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5"/>
    </row>
    <row r="143" spans="5:48" ht="15.75" customHeight="1" x14ac:dyDescent="0.15"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5"/>
    </row>
    <row r="144" spans="5:48" ht="15.75" customHeight="1" x14ac:dyDescent="0.15"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</row>
    <row r="145" spans="5:48" ht="15.75" customHeight="1" x14ac:dyDescent="0.15"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5"/>
    </row>
    <row r="146" spans="5:48" ht="15.75" customHeight="1" x14ac:dyDescent="0.15"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5"/>
    </row>
    <row r="147" spans="5:48" ht="15.75" customHeight="1" x14ac:dyDescent="0.15"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5"/>
    </row>
    <row r="148" spans="5:48" ht="15.75" customHeight="1" x14ac:dyDescent="0.15"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5"/>
    </row>
    <row r="149" spans="5:48" ht="15.75" customHeight="1" x14ac:dyDescent="0.15"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5"/>
    </row>
    <row r="150" spans="5:48" ht="15.75" customHeight="1" x14ac:dyDescent="0.15"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5"/>
    </row>
    <row r="151" spans="5:48" ht="15.75" customHeight="1" x14ac:dyDescent="0.15"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5"/>
    </row>
    <row r="152" spans="5:48" ht="15.75" customHeight="1" x14ac:dyDescent="0.15"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5"/>
    </row>
    <row r="153" spans="5:48" ht="15.75" customHeight="1" x14ac:dyDescent="0.15"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5"/>
    </row>
    <row r="154" spans="5:48" ht="15.75" customHeight="1" x14ac:dyDescent="0.15"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5"/>
    </row>
    <row r="155" spans="5:48" ht="15.75" customHeight="1" x14ac:dyDescent="0.15"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5"/>
    </row>
    <row r="156" spans="5:48" ht="15.75" customHeight="1" x14ac:dyDescent="0.15"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5"/>
    </row>
    <row r="157" spans="5:48" ht="15.75" customHeight="1" x14ac:dyDescent="0.15"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5"/>
    </row>
    <row r="158" spans="5:48" ht="15.75" customHeight="1" x14ac:dyDescent="0.15"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5"/>
    </row>
    <row r="159" spans="5:48" ht="15.75" customHeight="1" x14ac:dyDescent="0.15"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5"/>
    </row>
    <row r="160" spans="5:48" ht="15.75" customHeight="1" x14ac:dyDescent="0.15"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5"/>
    </row>
    <row r="161" spans="5:48" ht="15.75" customHeight="1" x14ac:dyDescent="0.15"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5"/>
    </row>
    <row r="162" spans="5:48" ht="15.75" customHeight="1" x14ac:dyDescent="0.15"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5"/>
    </row>
    <row r="163" spans="5:48" ht="15.75" customHeight="1" x14ac:dyDescent="0.15"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5"/>
    </row>
    <row r="164" spans="5:48" ht="15.75" customHeight="1" x14ac:dyDescent="0.15"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5"/>
    </row>
    <row r="165" spans="5:48" ht="15.75" customHeight="1" x14ac:dyDescent="0.15"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5"/>
    </row>
    <row r="166" spans="5:48" ht="15.75" customHeight="1" x14ac:dyDescent="0.15"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5"/>
    </row>
    <row r="167" spans="5:48" ht="15.75" customHeight="1" x14ac:dyDescent="0.15"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5"/>
    </row>
    <row r="168" spans="5:48" ht="15.75" customHeight="1" x14ac:dyDescent="0.15"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5"/>
    </row>
    <row r="169" spans="5:48" ht="15.75" customHeight="1" x14ac:dyDescent="0.15"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5"/>
    </row>
    <row r="170" spans="5:48" ht="15.75" customHeight="1" x14ac:dyDescent="0.15"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5"/>
    </row>
    <row r="171" spans="5:48" ht="15.75" customHeight="1" x14ac:dyDescent="0.15"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  <c r="AL171" s="55"/>
      <c r="AM171" s="55"/>
      <c r="AN171" s="55"/>
      <c r="AO171" s="55"/>
      <c r="AP171" s="55"/>
      <c r="AQ171" s="55"/>
      <c r="AR171" s="55"/>
      <c r="AS171" s="55"/>
      <c r="AT171" s="55"/>
      <c r="AU171" s="55"/>
      <c r="AV171" s="55"/>
    </row>
    <row r="172" spans="5:48" ht="15.75" customHeight="1" x14ac:dyDescent="0.15"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  <c r="AV172" s="55"/>
    </row>
    <row r="173" spans="5:48" ht="15.75" customHeight="1" x14ac:dyDescent="0.15"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5"/>
    </row>
    <row r="174" spans="5:48" ht="15.75" customHeight="1" x14ac:dyDescent="0.15"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5"/>
    </row>
    <row r="175" spans="5:48" ht="15.75" customHeight="1" x14ac:dyDescent="0.15"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  <c r="AV175" s="55"/>
    </row>
    <row r="176" spans="5:48" ht="15.75" customHeight="1" x14ac:dyDescent="0.15"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5"/>
    </row>
    <row r="177" spans="5:48" ht="15.75" customHeight="1" x14ac:dyDescent="0.15"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5"/>
    </row>
    <row r="178" spans="5:48" ht="15.75" customHeight="1" x14ac:dyDescent="0.15"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5"/>
    </row>
    <row r="179" spans="5:48" ht="15.75" customHeight="1" x14ac:dyDescent="0.15"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AV179" s="55"/>
    </row>
    <row r="180" spans="5:48" ht="15.75" customHeight="1" x14ac:dyDescent="0.15"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5"/>
    </row>
    <row r="181" spans="5:48" ht="15.75" customHeight="1" x14ac:dyDescent="0.15"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5"/>
    </row>
    <row r="182" spans="5:48" ht="15.75" customHeight="1" x14ac:dyDescent="0.15"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</row>
    <row r="183" spans="5:48" ht="15.75" customHeight="1" x14ac:dyDescent="0.15"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5"/>
    </row>
    <row r="184" spans="5:48" ht="15.75" customHeight="1" x14ac:dyDescent="0.15"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5"/>
    </row>
    <row r="185" spans="5:48" ht="15.75" customHeight="1" x14ac:dyDescent="0.15"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5"/>
    </row>
    <row r="186" spans="5:48" ht="15.75" customHeight="1" x14ac:dyDescent="0.15"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5"/>
    </row>
    <row r="187" spans="5:48" ht="15.75" customHeight="1" x14ac:dyDescent="0.15"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5"/>
    </row>
    <row r="188" spans="5:48" ht="15.75" customHeight="1" x14ac:dyDescent="0.15"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5"/>
    </row>
    <row r="189" spans="5:48" ht="15.75" customHeight="1" x14ac:dyDescent="0.15"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5"/>
    </row>
    <row r="190" spans="5:48" ht="15.75" customHeight="1" x14ac:dyDescent="0.15"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5"/>
    </row>
    <row r="191" spans="5:48" ht="15.75" customHeight="1" x14ac:dyDescent="0.15"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5"/>
    </row>
    <row r="192" spans="5:48" ht="15.75" customHeight="1" x14ac:dyDescent="0.15"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5"/>
    </row>
    <row r="193" spans="5:48" ht="15.75" customHeight="1" x14ac:dyDescent="0.15"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5"/>
    </row>
    <row r="194" spans="5:48" ht="15.75" customHeight="1" x14ac:dyDescent="0.15"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5"/>
    </row>
    <row r="195" spans="5:48" ht="15.75" customHeight="1" x14ac:dyDescent="0.15"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5"/>
    </row>
    <row r="196" spans="5:48" ht="15.75" customHeight="1" x14ac:dyDescent="0.15"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5"/>
    </row>
    <row r="197" spans="5:48" ht="15.75" customHeight="1" x14ac:dyDescent="0.15"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5"/>
    </row>
    <row r="198" spans="5:48" ht="15.75" customHeight="1" x14ac:dyDescent="0.15"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  <c r="AV198" s="55"/>
    </row>
    <row r="199" spans="5:48" ht="15.75" customHeight="1" x14ac:dyDescent="0.15"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5"/>
    </row>
    <row r="200" spans="5:48" ht="15.75" customHeight="1" x14ac:dyDescent="0.15"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5"/>
    </row>
    <row r="201" spans="5:48" ht="15.75" customHeight="1" x14ac:dyDescent="0.15"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5"/>
    </row>
    <row r="202" spans="5:48" ht="15.75" customHeight="1" x14ac:dyDescent="0.15"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5"/>
    </row>
    <row r="203" spans="5:48" ht="15.75" customHeight="1" x14ac:dyDescent="0.15"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5"/>
    </row>
    <row r="204" spans="5:48" ht="15.75" customHeight="1" x14ac:dyDescent="0.15"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5"/>
    </row>
    <row r="205" spans="5:48" ht="15.75" customHeight="1" x14ac:dyDescent="0.15"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5"/>
    </row>
    <row r="206" spans="5:48" ht="15.75" customHeight="1" x14ac:dyDescent="0.15"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5"/>
    </row>
    <row r="207" spans="5:48" ht="15.75" customHeight="1" x14ac:dyDescent="0.15"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5"/>
    </row>
    <row r="208" spans="5:48" ht="15.75" customHeight="1" x14ac:dyDescent="0.15"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5"/>
    </row>
    <row r="209" spans="5:48" ht="15.75" customHeight="1" x14ac:dyDescent="0.15"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5"/>
    </row>
    <row r="210" spans="5:48" ht="15.75" customHeight="1" x14ac:dyDescent="0.15"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5"/>
    </row>
    <row r="211" spans="5:48" ht="15.75" customHeight="1" x14ac:dyDescent="0.15"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5"/>
    </row>
    <row r="212" spans="5:48" ht="15.75" customHeight="1" x14ac:dyDescent="0.15"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5"/>
    </row>
    <row r="213" spans="5:48" ht="15.75" customHeight="1" x14ac:dyDescent="0.15"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5"/>
    </row>
    <row r="214" spans="5:48" ht="15.75" customHeight="1" x14ac:dyDescent="0.15"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5"/>
    </row>
    <row r="215" spans="5:48" ht="15.75" customHeight="1" x14ac:dyDescent="0.15"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5"/>
    </row>
    <row r="216" spans="5:48" ht="15.75" customHeight="1" x14ac:dyDescent="0.15"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5"/>
    </row>
    <row r="217" spans="5:48" ht="15.75" customHeight="1" x14ac:dyDescent="0.15"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5"/>
    </row>
    <row r="218" spans="5:48" ht="15.75" customHeight="1" x14ac:dyDescent="0.15"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5"/>
    </row>
    <row r="219" spans="5:48" ht="15.75" customHeight="1" x14ac:dyDescent="0.15"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5"/>
    </row>
    <row r="220" spans="5:48" ht="15.75" customHeight="1" x14ac:dyDescent="0.15"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AV220" s="55"/>
    </row>
    <row r="221" spans="5:48" ht="15.75" customHeight="1" x14ac:dyDescent="0.15"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5"/>
    </row>
    <row r="222" spans="5:48" ht="15.75" customHeight="1" x14ac:dyDescent="0.15"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5"/>
    </row>
    <row r="223" spans="5:48" ht="15.75" customHeight="1" x14ac:dyDescent="0.15"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5"/>
    </row>
    <row r="224" spans="5:48" ht="15.75" customHeight="1" x14ac:dyDescent="0.15"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5"/>
    </row>
    <row r="225" spans="5:48" ht="15.75" customHeight="1" x14ac:dyDescent="0.15"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5"/>
    </row>
    <row r="226" spans="5:48" ht="15.75" customHeight="1" x14ac:dyDescent="0.15"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5"/>
    </row>
    <row r="227" spans="5:48" ht="15.75" customHeight="1" x14ac:dyDescent="0.15"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5"/>
    </row>
    <row r="228" spans="5:48" ht="15.75" customHeight="1" x14ac:dyDescent="0.15"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5"/>
    </row>
    <row r="229" spans="5:48" ht="15.75" customHeight="1" x14ac:dyDescent="0.15"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5"/>
    </row>
    <row r="230" spans="5:48" ht="15.75" customHeight="1" x14ac:dyDescent="0.15"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5"/>
    </row>
    <row r="231" spans="5:48" ht="15.75" customHeight="1" x14ac:dyDescent="0.15"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5"/>
    </row>
    <row r="232" spans="5:48" ht="15.75" customHeight="1" x14ac:dyDescent="0.15"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5"/>
    </row>
    <row r="233" spans="5:48" ht="15.75" customHeight="1" x14ac:dyDescent="0.15"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5"/>
    </row>
    <row r="234" spans="5:48" ht="15.75" customHeight="1" x14ac:dyDescent="0.15"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5"/>
    </row>
    <row r="235" spans="5:48" ht="15.75" customHeight="1" x14ac:dyDescent="0.15"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5"/>
    </row>
    <row r="236" spans="5:48" ht="15.75" customHeight="1" x14ac:dyDescent="0.15"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5"/>
    </row>
    <row r="237" spans="5:48" ht="15.75" customHeight="1" x14ac:dyDescent="0.15"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5"/>
    </row>
    <row r="238" spans="5:48" ht="15.75" customHeight="1" x14ac:dyDescent="0.15"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  <c r="AV238" s="55"/>
    </row>
    <row r="239" spans="5:48" ht="15.75" customHeight="1" x14ac:dyDescent="0.15"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  <c r="AS239" s="55"/>
      <c r="AT239" s="55"/>
      <c r="AU239" s="55"/>
      <c r="AV239" s="55"/>
    </row>
    <row r="240" spans="5:48" ht="15.75" customHeight="1" x14ac:dyDescent="0.15"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  <c r="AV240" s="55"/>
    </row>
    <row r="241" spans="5:48" ht="15.75" customHeight="1" x14ac:dyDescent="0.15"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5"/>
    </row>
    <row r="242" spans="5:48" ht="15.75" customHeight="1" x14ac:dyDescent="0.15"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5"/>
    </row>
    <row r="243" spans="5:48" ht="15.75" customHeight="1" x14ac:dyDescent="0.15"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AV243" s="55"/>
    </row>
    <row r="244" spans="5:48" ht="15.75" customHeight="1" x14ac:dyDescent="0.15"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5"/>
    </row>
    <row r="245" spans="5:48" ht="15.75" customHeight="1" x14ac:dyDescent="0.15"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5"/>
    </row>
    <row r="246" spans="5:48" ht="15.75" customHeight="1" x14ac:dyDescent="0.15"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5"/>
    </row>
    <row r="247" spans="5:48" ht="15.75" customHeight="1" x14ac:dyDescent="0.15"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5"/>
    </row>
    <row r="248" spans="5:48" ht="15.75" customHeight="1" x14ac:dyDescent="0.15"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5"/>
    </row>
    <row r="249" spans="5:48" ht="15.75" customHeight="1" x14ac:dyDescent="0.15"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5"/>
    </row>
    <row r="250" spans="5:48" ht="15.75" customHeight="1" x14ac:dyDescent="0.15"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5"/>
    </row>
    <row r="251" spans="5:48" ht="15.75" customHeight="1" x14ac:dyDescent="0.15"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5"/>
    </row>
    <row r="252" spans="5:48" ht="15.75" customHeight="1" x14ac:dyDescent="0.15"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5"/>
    </row>
    <row r="253" spans="5:48" ht="15.75" customHeight="1" x14ac:dyDescent="0.15"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5"/>
    </row>
    <row r="254" spans="5:48" ht="15.75" customHeight="1" x14ac:dyDescent="0.15"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5"/>
    </row>
    <row r="255" spans="5:48" ht="15.75" customHeight="1" x14ac:dyDescent="0.15"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5"/>
    </row>
    <row r="256" spans="5:48" ht="15.75" customHeight="1" x14ac:dyDescent="0.15"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5"/>
    </row>
    <row r="257" spans="5:48" ht="15.75" customHeight="1" x14ac:dyDescent="0.15"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5"/>
    </row>
    <row r="258" spans="5:48" ht="15.75" customHeight="1" x14ac:dyDescent="0.15"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5"/>
    </row>
    <row r="259" spans="5:48" ht="15.75" customHeight="1" x14ac:dyDescent="0.15"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5"/>
    </row>
    <row r="260" spans="5:48" ht="15.75" customHeight="1" x14ac:dyDescent="0.15"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5"/>
    </row>
    <row r="261" spans="5:48" ht="15.75" customHeight="1" x14ac:dyDescent="0.15"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5"/>
    </row>
    <row r="262" spans="5:48" ht="15.75" customHeight="1" x14ac:dyDescent="0.15"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5"/>
    </row>
    <row r="263" spans="5:48" ht="15.75" customHeight="1" x14ac:dyDescent="0.15"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5"/>
    </row>
    <row r="264" spans="5:48" ht="15.75" customHeight="1" x14ac:dyDescent="0.15"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5"/>
    </row>
    <row r="265" spans="5:48" ht="15.75" customHeight="1" x14ac:dyDescent="0.15"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5"/>
    </row>
    <row r="266" spans="5:48" ht="15.75" customHeight="1" x14ac:dyDescent="0.15"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5"/>
    </row>
    <row r="267" spans="5:48" ht="15.75" customHeight="1" x14ac:dyDescent="0.15"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5"/>
    </row>
    <row r="268" spans="5:48" ht="15.75" customHeight="1" x14ac:dyDescent="0.15"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5"/>
    </row>
    <row r="269" spans="5:48" ht="15.75" customHeight="1" x14ac:dyDescent="0.15"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5"/>
    </row>
    <row r="270" spans="5:48" ht="15.75" customHeight="1" x14ac:dyDescent="0.15"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5"/>
    </row>
    <row r="271" spans="5:48" ht="15.75" customHeight="1" x14ac:dyDescent="0.15"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5"/>
    </row>
    <row r="272" spans="5:48" ht="15.75" customHeight="1" x14ac:dyDescent="0.15"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5"/>
    </row>
    <row r="273" spans="5:48" ht="15.75" customHeight="1" x14ac:dyDescent="0.15"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5"/>
    </row>
    <row r="274" spans="5:48" ht="15.75" customHeight="1" x14ac:dyDescent="0.15"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5"/>
    </row>
    <row r="275" spans="5:48" ht="15.75" customHeight="1" x14ac:dyDescent="0.15"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5"/>
    </row>
    <row r="276" spans="5:48" ht="15.75" customHeight="1" x14ac:dyDescent="0.15"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5"/>
    </row>
    <row r="277" spans="5:48" ht="15.75" customHeight="1" x14ac:dyDescent="0.15"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5"/>
    </row>
    <row r="278" spans="5:48" ht="15.75" customHeight="1" x14ac:dyDescent="0.15"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5"/>
    </row>
    <row r="279" spans="5:48" ht="15.75" customHeight="1" x14ac:dyDescent="0.15"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5"/>
    </row>
    <row r="280" spans="5:48" ht="15.75" customHeight="1" x14ac:dyDescent="0.15"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5"/>
    </row>
    <row r="281" spans="5:48" ht="15.75" customHeight="1" x14ac:dyDescent="0.15"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5"/>
    </row>
    <row r="282" spans="5:48" ht="15.75" customHeight="1" x14ac:dyDescent="0.15"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5"/>
    </row>
    <row r="283" spans="5:48" ht="15.75" customHeight="1" x14ac:dyDescent="0.15"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AV283" s="55"/>
    </row>
    <row r="284" spans="5:48" ht="15.75" customHeight="1" x14ac:dyDescent="0.15"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5"/>
    </row>
    <row r="285" spans="5:48" ht="15.75" customHeight="1" x14ac:dyDescent="0.15"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5"/>
    </row>
    <row r="286" spans="5:48" ht="15.75" customHeight="1" x14ac:dyDescent="0.15"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5"/>
    </row>
    <row r="287" spans="5:48" ht="15.75" customHeight="1" x14ac:dyDescent="0.15"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5"/>
    </row>
    <row r="288" spans="5:48" ht="15.75" customHeight="1" x14ac:dyDescent="0.15"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5"/>
    </row>
    <row r="289" spans="5:48" ht="15.75" customHeight="1" x14ac:dyDescent="0.15"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5"/>
    </row>
    <row r="290" spans="5:48" ht="15.75" customHeight="1" x14ac:dyDescent="0.15"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  <c r="AV290" s="55"/>
    </row>
    <row r="291" spans="5:48" ht="15.75" customHeight="1" x14ac:dyDescent="0.15"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  <c r="AV291" s="55"/>
    </row>
    <row r="292" spans="5:48" ht="15.75" customHeight="1" x14ac:dyDescent="0.15"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AV292" s="55"/>
    </row>
    <row r="293" spans="5:48" ht="15.75" customHeight="1" x14ac:dyDescent="0.15"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  <c r="AV293" s="55"/>
    </row>
    <row r="294" spans="5:48" ht="15.75" customHeight="1" x14ac:dyDescent="0.15"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  <c r="AS294" s="55"/>
      <c r="AT294" s="55"/>
      <c r="AU294" s="55"/>
      <c r="AV294" s="55"/>
    </row>
    <row r="295" spans="5:48" ht="15.75" customHeight="1" x14ac:dyDescent="0.15"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  <c r="AS295" s="55"/>
      <c r="AT295" s="55"/>
      <c r="AU295" s="55"/>
      <c r="AV295" s="55"/>
    </row>
    <row r="296" spans="5:48" ht="15.75" customHeight="1" x14ac:dyDescent="0.15"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5"/>
    </row>
    <row r="297" spans="5:48" ht="15.75" customHeight="1" x14ac:dyDescent="0.15"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5"/>
    </row>
    <row r="298" spans="5:48" ht="15.75" customHeight="1" x14ac:dyDescent="0.15"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5"/>
    </row>
    <row r="299" spans="5:48" ht="15.75" customHeight="1" x14ac:dyDescent="0.15"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5"/>
    </row>
    <row r="300" spans="5:48" ht="15.75" customHeight="1" x14ac:dyDescent="0.15"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5"/>
    </row>
    <row r="301" spans="5:48" ht="15.75" customHeight="1" x14ac:dyDescent="0.15"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5"/>
    </row>
    <row r="302" spans="5:48" ht="15.75" customHeight="1" x14ac:dyDescent="0.15"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5"/>
    </row>
    <row r="303" spans="5:48" ht="15.75" customHeight="1" x14ac:dyDescent="0.15"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  <c r="AV303" s="55"/>
    </row>
    <row r="304" spans="5:48" ht="15.75" customHeight="1" x14ac:dyDescent="0.15"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  <c r="AV304" s="55"/>
    </row>
    <row r="305" spans="5:48" ht="15.75" customHeight="1" x14ac:dyDescent="0.15"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AV305" s="55"/>
    </row>
    <row r="306" spans="5:48" ht="15.75" customHeight="1" x14ac:dyDescent="0.15"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5"/>
    </row>
    <row r="307" spans="5:48" ht="15.75" customHeight="1" x14ac:dyDescent="0.15"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5"/>
    </row>
    <row r="308" spans="5:48" ht="15.75" customHeight="1" x14ac:dyDescent="0.15"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AV308" s="55"/>
    </row>
    <row r="309" spans="5:48" ht="15.75" customHeight="1" x14ac:dyDescent="0.15"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  <c r="AM309" s="55"/>
      <c r="AN309" s="55"/>
      <c r="AO309" s="55"/>
      <c r="AP309" s="55"/>
      <c r="AQ309" s="55"/>
      <c r="AR309" s="55"/>
      <c r="AS309" s="55"/>
      <c r="AT309" s="55"/>
      <c r="AU309" s="55"/>
      <c r="AV309" s="55"/>
    </row>
    <row r="310" spans="5:48" ht="15.75" customHeight="1" x14ac:dyDescent="0.15"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  <c r="AK310" s="55"/>
      <c r="AL310" s="55"/>
      <c r="AM310" s="55"/>
      <c r="AN310" s="55"/>
      <c r="AO310" s="55"/>
      <c r="AP310" s="55"/>
      <c r="AQ310" s="55"/>
      <c r="AR310" s="55"/>
      <c r="AS310" s="55"/>
      <c r="AT310" s="55"/>
      <c r="AU310" s="55"/>
      <c r="AV310" s="55"/>
    </row>
    <row r="311" spans="5:48" ht="15.75" customHeight="1" x14ac:dyDescent="0.15"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55"/>
      <c r="AK311" s="55"/>
      <c r="AL311" s="55"/>
      <c r="AM311" s="55"/>
      <c r="AN311" s="55"/>
      <c r="AO311" s="55"/>
      <c r="AP311" s="55"/>
      <c r="AQ311" s="55"/>
      <c r="AR311" s="55"/>
      <c r="AS311" s="55"/>
      <c r="AT311" s="55"/>
      <c r="AU311" s="55"/>
      <c r="AV311" s="55"/>
    </row>
    <row r="312" spans="5:48" ht="15.75" customHeight="1" x14ac:dyDescent="0.15"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  <c r="AK312" s="55"/>
      <c r="AL312" s="55"/>
      <c r="AM312" s="55"/>
      <c r="AN312" s="55"/>
      <c r="AO312" s="55"/>
      <c r="AP312" s="55"/>
      <c r="AQ312" s="55"/>
      <c r="AR312" s="55"/>
      <c r="AS312" s="55"/>
      <c r="AT312" s="55"/>
      <c r="AU312" s="55"/>
      <c r="AV312" s="55"/>
    </row>
    <row r="313" spans="5:48" ht="15.75" customHeight="1" x14ac:dyDescent="0.15"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55"/>
      <c r="AK313" s="55"/>
      <c r="AL313" s="55"/>
      <c r="AM313" s="55"/>
      <c r="AN313" s="55"/>
      <c r="AO313" s="55"/>
      <c r="AP313" s="55"/>
      <c r="AQ313" s="55"/>
      <c r="AR313" s="55"/>
      <c r="AS313" s="55"/>
      <c r="AT313" s="55"/>
      <c r="AU313" s="55"/>
      <c r="AV313" s="55"/>
    </row>
    <row r="314" spans="5:48" ht="15.75" customHeight="1" x14ac:dyDescent="0.15"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55"/>
      <c r="AK314" s="55"/>
      <c r="AL314" s="55"/>
      <c r="AM314" s="55"/>
      <c r="AN314" s="55"/>
      <c r="AO314" s="55"/>
      <c r="AP314" s="55"/>
      <c r="AQ314" s="55"/>
      <c r="AR314" s="55"/>
      <c r="AS314" s="55"/>
      <c r="AT314" s="55"/>
      <c r="AU314" s="55"/>
      <c r="AV314" s="55"/>
    </row>
    <row r="315" spans="5:48" ht="15.75" customHeight="1" x14ac:dyDescent="0.15"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  <c r="AS315" s="55"/>
      <c r="AT315" s="55"/>
      <c r="AU315" s="55"/>
      <c r="AV315" s="55"/>
    </row>
    <row r="316" spans="5:48" ht="15.75" customHeight="1" x14ac:dyDescent="0.15"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  <c r="AS316" s="55"/>
      <c r="AT316" s="55"/>
      <c r="AU316" s="55"/>
      <c r="AV316" s="55"/>
    </row>
    <row r="317" spans="5:48" ht="15.75" customHeight="1" x14ac:dyDescent="0.15"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  <c r="AP317" s="55"/>
      <c r="AQ317" s="55"/>
      <c r="AR317" s="55"/>
      <c r="AS317" s="55"/>
      <c r="AT317" s="55"/>
      <c r="AU317" s="55"/>
      <c r="AV317" s="55"/>
    </row>
    <row r="318" spans="5:48" ht="15.75" customHeight="1" x14ac:dyDescent="0.15"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  <c r="AS318" s="55"/>
      <c r="AT318" s="55"/>
      <c r="AU318" s="55"/>
      <c r="AV318" s="55"/>
    </row>
    <row r="319" spans="5:48" ht="15.75" customHeight="1" x14ac:dyDescent="0.15"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  <c r="AS319" s="55"/>
      <c r="AT319" s="55"/>
      <c r="AU319" s="55"/>
      <c r="AV319" s="55"/>
    </row>
    <row r="320" spans="5:48" ht="15.75" customHeight="1" x14ac:dyDescent="0.15"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5"/>
    </row>
    <row r="321" spans="5:48" ht="15.75" customHeight="1" x14ac:dyDescent="0.15"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5"/>
    </row>
    <row r="322" spans="5:48" ht="15.75" customHeight="1" x14ac:dyDescent="0.15"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5"/>
    </row>
    <row r="323" spans="5:48" ht="15.75" customHeight="1" x14ac:dyDescent="0.15"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5"/>
    </row>
    <row r="324" spans="5:48" ht="15.75" customHeight="1" x14ac:dyDescent="0.15"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5"/>
    </row>
    <row r="325" spans="5:48" ht="15.75" customHeight="1" x14ac:dyDescent="0.15"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5"/>
    </row>
    <row r="326" spans="5:48" ht="15.75" customHeight="1" x14ac:dyDescent="0.15"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5"/>
    </row>
    <row r="327" spans="5:48" ht="15.75" customHeight="1" x14ac:dyDescent="0.15"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5"/>
      <c r="AQ327" s="55"/>
      <c r="AR327" s="55"/>
      <c r="AS327" s="55"/>
      <c r="AT327" s="55"/>
      <c r="AU327" s="55"/>
      <c r="AV327" s="55"/>
    </row>
    <row r="328" spans="5:48" ht="15.75" customHeight="1" x14ac:dyDescent="0.15"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/>
      <c r="AO328" s="55"/>
      <c r="AP328" s="55"/>
      <c r="AQ328" s="55"/>
      <c r="AR328" s="55"/>
      <c r="AS328" s="55"/>
      <c r="AT328" s="55"/>
      <c r="AU328" s="55"/>
      <c r="AV328" s="55"/>
    </row>
    <row r="329" spans="5:48" ht="15.75" customHeight="1" x14ac:dyDescent="0.15"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/>
      <c r="AO329" s="55"/>
      <c r="AP329" s="55"/>
      <c r="AQ329" s="55"/>
      <c r="AR329" s="55"/>
      <c r="AS329" s="55"/>
      <c r="AT329" s="55"/>
      <c r="AU329" s="55"/>
      <c r="AV329" s="55"/>
    </row>
    <row r="330" spans="5:48" ht="15.75" customHeight="1" x14ac:dyDescent="0.15"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55"/>
      <c r="AP330" s="55"/>
      <c r="AQ330" s="55"/>
      <c r="AR330" s="55"/>
      <c r="AS330" s="55"/>
      <c r="AT330" s="55"/>
      <c r="AU330" s="55"/>
      <c r="AV330" s="55"/>
    </row>
    <row r="331" spans="5:48" ht="15.75" customHeight="1" x14ac:dyDescent="0.15"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  <c r="AM331" s="55"/>
      <c r="AN331" s="55"/>
      <c r="AO331" s="55"/>
      <c r="AP331" s="55"/>
      <c r="AQ331" s="55"/>
      <c r="AR331" s="55"/>
      <c r="AS331" s="55"/>
      <c r="AT331" s="55"/>
      <c r="AU331" s="55"/>
      <c r="AV331" s="55"/>
    </row>
    <row r="332" spans="5:48" ht="15.75" customHeight="1" x14ac:dyDescent="0.15"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  <c r="AO332" s="55"/>
      <c r="AP332" s="55"/>
      <c r="AQ332" s="55"/>
      <c r="AR332" s="55"/>
      <c r="AS332" s="55"/>
      <c r="AT332" s="55"/>
      <c r="AU332" s="55"/>
      <c r="AV332" s="55"/>
    </row>
    <row r="333" spans="5:48" ht="15.75" customHeight="1" x14ac:dyDescent="0.15"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  <c r="AN333" s="55"/>
      <c r="AO333" s="55"/>
      <c r="AP333" s="55"/>
      <c r="AQ333" s="55"/>
      <c r="AR333" s="55"/>
      <c r="AS333" s="55"/>
      <c r="AT333" s="55"/>
      <c r="AU333" s="55"/>
      <c r="AV333" s="55"/>
    </row>
    <row r="334" spans="5:48" ht="15.75" customHeight="1" x14ac:dyDescent="0.15"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  <c r="AN334" s="55"/>
      <c r="AO334" s="55"/>
      <c r="AP334" s="55"/>
      <c r="AQ334" s="55"/>
      <c r="AR334" s="55"/>
      <c r="AS334" s="55"/>
      <c r="AT334" s="55"/>
      <c r="AU334" s="55"/>
      <c r="AV334" s="55"/>
    </row>
    <row r="335" spans="5:48" ht="15.75" customHeight="1" x14ac:dyDescent="0.15"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  <c r="AM335" s="55"/>
      <c r="AN335" s="55"/>
      <c r="AO335" s="55"/>
      <c r="AP335" s="55"/>
      <c r="AQ335" s="55"/>
      <c r="AR335" s="55"/>
      <c r="AS335" s="55"/>
      <c r="AT335" s="55"/>
      <c r="AU335" s="55"/>
      <c r="AV335" s="55"/>
    </row>
    <row r="336" spans="5:48" ht="15.75" customHeight="1" x14ac:dyDescent="0.15"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  <c r="AH336" s="55"/>
      <c r="AI336" s="55"/>
      <c r="AJ336" s="55"/>
      <c r="AK336" s="55"/>
      <c r="AL336" s="55"/>
      <c r="AM336" s="55"/>
      <c r="AN336" s="55"/>
      <c r="AO336" s="55"/>
      <c r="AP336" s="55"/>
      <c r="AQ336" s="55"/>
      <c r="AR336" s="55"/>
      <c r="AS336" s="55"/>
      <c r="AT336" s="55"/>
      <c r="AU336" s="55"/>
      <c r="AV336" s="55"/>
    </row>
    <row r="337" spans="5:48" ht="15.75" customHeight="1" x14ac:dyDescent="0.15"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  <c r="AN337" s="55"/>
      <c r="AO337" s="55"/>
      <c r="AP337" s="55"/>
      <c r="AQ337" s="55"/>
      <c r="AR337" s="55"/>
      <c r="AS337" s="55"/>
      <c r="AT337" s="55"/>
      <c r="AU337" s="55"/>
      <c r="AV337" s="55"/>
    </row>
    <row r="338" spans="5:48" ht="15.75" customHeight="1" x14ac:dyDescent="0.15"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  <c r="AM338" s="55"/>
      <c r="AN338" s="55"/>
      <c r="AO338" s="55"/>
      <c r="AP338" s="55"/>
      <c r="AQ338" s="55"/>
      <c r="AR338" s="55"/>
      <c r="AS338" s="55"/>
      <c r="AT338" s="55"/>
      <c r="AU338" s="55"/>
      <c r="AV338" s="55"/>
    </row>
    <row r="339" spans="5:48" ht="15.75" customHeight="1" x14ac:dyDescent="0.15"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5"/>
    </row>
    <row r="340" spans="5:48" ht="15.75" customHeight="1" x14ac:dyDescent="0.15"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5"/>
    </row>
    <row r="341" spans="5:48" ht="15.75" customHeight="1" x14ac:dyDescent="0.15"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  <c r="AV341" s="55"/>
    </row>
    <row r="342" spans="5:48" ht="15.75" customHeight="1" x14ac:dyDescent="0.15"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  <c r="AV342" s="55"/>
    </row>
    <row r="343" spans="5:48" ht="15.75" customHeight="1" x14ac:dyDescent="0.15"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AV343" s="55"/>
    </row>
    <row r="344" spans="5:48" ht="15.75" customHeight="1" x14ac:dyDescent="0.15"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5"/>
    </row>
    <row r="345" spans="5:48" ht="15.75" customHeight="1" x14ac:dyDescent="0.15"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5"/>
    </row>
    <row r="346" spans="5:48" ht="15.75" customHeight="1" x14ac:dyDescent="0.15"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5"/>
    </row>
    <row r="347" spans="5:48" ht="15.75" customHeight="1" x14ac:dyDescent="0.15"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5"/>
    </row>
    <row r="348" spans="5:48" ht="15.75" customHeight="1" x14ac:dyDescent="0.15"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5"/>
    </row>
    <row r="349" spans="5:48" ht="15.75" customHeight="1" x14ac:dyDescent="0.15"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5"/>
    </row>
    <row r="350" spans="5:48" ht="15.75" customHeight="1" x14ac:dyDescent="0.15"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5"/>
    </row>
    <row r="351" spans="5:48" ht="15.75" customHeight="1" x14ac:dyDescent="0.15"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5"/>
    </row>
    <row r="352" spans="5:48" ht="15.75" customHeight="1" x14ac:dyDescent="0.15"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5"/>
    </row>
    <row r="353" spans="5:48" ht="15.75" customHeight="1" x14ac:dyDescent="0.15"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5"/>
    </row>
    <row r="354" spans="5:48" ht="15.75" customHeight="1" x14ac:dyDescent="0.15"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5"/>
    </row>
    <row r="355" spans="5:48" ht="15.75" customHeight="1" x14ac:dyDescent="0.15"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5"/>
    </row>
    <row r="356" spans="5:48" ht="15.75" customHeight="1" x14ac:dyDescent="0.15"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5"/>
    </row>
    <row r="357" spans="5:48" ht="15.75" customHeight="1" x14ac:dyDescent="0.15"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5"/>
    </row>
    <row r="358" spans="5:48" ht="15.75" customHeight="1" x14ac:dyDescent="0.15"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5"/>
    </row>
    <row r="359" spans="5:48" ht="15.75" customHeight="1" x14ac:dyDescent="0.15"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5"/>
    </row>
    <row r="360" spans="5:48" ht="15.75" customHeight="1" x14ac:dyDescent="0.15"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5"/>
    </row>
    <row r="361" spans="5:48" ht="15.75" customHeight="1" x14ac:dyDescent="0.15"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5"/>
    </row>
    <row r="362" spans="5:48" ht="15.75" customHeight="1" x14ac:dyDescent="0.15"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5"/>
    </row>
    <row r="363" spans="5:48" ht="15.75" customHeight="1" x14ac:dyDescent="0.15"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5"/>
    </row>
    <row r="364" spans="5:48" ht="15.75" customHeight="1" x14ac:dyDescent="0.15"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5"/>
    </row>
    <row r="365" spans="5:48" ht="15.75" customHeight="1" x14ac:dyDescent="0.15"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5"/>
    </row>
    <row r="366" spans="5:48" ht="15.75" customHeight="1" x14ac:dyDescent="0.15"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5"/>
    </row>
    <row r="367" spans="5:48" ht="15.75" customHeight="1" x14ac:dyDescent="0.15"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5"/>
    </row>
    <row r="368" spans="5:48" ht="15.75" customHeight="1" x14ac:dyDescent="0.15"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5"/>
    </row>
    <row r="369" spans="5:48" ht="15.75" customHeight="1" x14ac:dyDescent="0.15"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5"/>
    </row>
    <row r="370" spans="5:48" ht="15.75" customHeight="1" x14ac:dyDescent="0.15"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5"/>
    </row>
    <row r="371" spans="5:48" ht="15.75" customHeight="1" x14ac:dyDescent="0.15"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5"/>
    </row>
    <row r="372" spans="5:48" ht="15.75" customHeight="1" x14ac:dyDescent="0.15"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5"/>
    </row>
    <row r="373" spans="5:48" ht="15.75" customHeight="1" x14ac:dyDescent="0.15"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5"/>
    </row>
    <row r="374" spans="5:48" ht="15.75" customHeight="1" x14ac:dyDescent="0.15"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5"/>
    </row>
    <row r="375" spans="5:48" ht="15.75" customHeight="1" x14ac:dyDescent="0.15"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5"/>
    </row>
    <row r="376" spans="5:48" ht="15.75" customHeight="1" x14ac:dyDescent="0.15"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5"/>
    </row>
    <row r="377" spans="5:48" ht="15.75" customHeight="1" x14ac:dyDescent="0.15"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5"/>
    </row>
    <row r="378" spans="5:48" ht="15.75" customHeight="1" x14ac:dyDescent="0.15"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5"/>
    </row>
    <row r="379" spans="5:48" ht="15.75" customHeight="1" x14ac:dyDescent="0.15"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5"/>
    </row>
    <row r="380" spans="5:48" ht="15.75" customHeight="1" x14ac:dyDescent="0.15"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5"/>
    </row>
    <row r="381" spans="5:48" ht="15.75" customHeight="1" x14ac:dyDescent="0.15"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5"/>
    </row>
    <row r="382" spans="5:48" ht="15.75" customHeight="1" x14ac:dyDescent="0.15"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5"/>
    </row>
    <row r="383" spans="5:48" ht="15.75" customHeight="1" x14ac:dyDescent="0.15"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5"/>
    </row>
    <row r="384" spans="5:48" ht="15.75" customHeight="1" x14ac:dyDescent="0.15"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5"/>
    </row>
    <row r="385" spans="5:48" ht="15.75" customHeight="1" x14ac:dyDescent="0.15"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5"/>
    </row>
    <row r="386" spans="5:48" ht="15.75" customHeight="1" x14ac:dyDescent="0.15"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5"/>
    </row>
    <row r="387" spans="5:48" ht="15.75" customHeight="1" x14ac:dyDescent="0.15"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AV387" s="55"/>
    </row>
    <row r="388" spans="5:48" ht="15.75" customHeight="1" x14ac:dyDescent="0.15"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AV388" s="55"/>
    </row>
    <row r="389" spans="5:48" ht="15.75" customHeight="1" x14ac:dyDescent="0.15"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AV389" s="55"/>
    </row>
    <row r="390" spans="5:48" ht="15.75" customHeight="1" x14ac:dyDescent="0.15"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55"/>
      <c r="AU390" s="55"/>
      <c r="AV390" s="55"/>
    </row>
    <row r="391" spans="5:48" ht="15.75" customHeight="1" x14ac:dyDescent="0.15"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  <c r="AS391" s="55"/>
      <c r="AT391" s="55"/>
      <c r="AU391" s="55"/>
      <c r="AV391" s="55"/>
    </row>
    <row r="392" spans="5:48" ht="15.75" customHeight="1" x14ac:dyDescent="0.15"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  <c r="AS392" s="55"/>
      <c r="AT392" s="55"/>
      <c r="AU392" s="55"/>
      <c r="AV392" s="55"/>
    </row>
    <row r="393" spans="5:48" ht="15.75" customHeight="1" x14ac:dyDescent="0.15"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  <c r="AS393" s="55"/>
      <c r="AT393" s="55"/>
      <c r="AU393" s="55"/>
      <c r="AV393" s="55"/>
    </row>
    <row r="394" spans="5:48" ht="15.75" customHeight="1" x14ac:dyDescent="0.15"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  <c r="AS394" s="55"/>
      <c r="AT394" s="55"/>
      <c r="AU394" s="55"/>
      <c r="AV394" s="55"/>
    </row>
    <row r="395" spans="5:48" ht="15.75" customHeight="1" x14ac:dyDescent="0.15"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  <c r="AV395" s="55"/>
    </row>
    <row r="396" spans="5:48" ht="15.75" customHeight="1" x14ac:dyDescent="0.15"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  <c r="AS396" s="55"/>
      <c r="AT396" s="55"/>
      <c r="AU396" s="55"/>
      <c r="AV396" s="55"/>
    </row>
    <row r="397" spans="5:48" ht="15.75" customHeight="1" x14ac:dyDescent="0.15"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  <c r="AS397" s="55"/>
      <c r="AT397" s="55"/>
      <c r="AU397" s="55"/>
      <c r="AV397" s="55"/>
    </row>
    <row r="398" spans="5:48" ht="15.75" customHeight="1" x14ac:dyDescent="0.15"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5"/>
    </row>
    <row r="399" spans="5:48" ht="15.75" customHeight="1" x14ac:dyDescent="0.15"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AV399" s="55"/>
    </row>
    <row r="400" spans="5:48" ht="15.75" customHeight="1" x14ac:dyDescent="0.15"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5"/>
    </row>
    <row r="401" spans="5:48" ht="15.75" customHeight="1" x14ac:dyDescent="0.15"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5"/>
    </row>
    <row r="402" spans="5:48" ht="15.75" customHeight="1" x14ac:dyDescent="0.15"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5"/>
    </row>
    <row r="403" spans="5:48" ht="15.75" customHeight="1" x14ac:dyDescent="0.15"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5"/>
    </row>
    <row r="404" spans="5:48" ht="15.75" customHeight="1" x14ac:dyDescent="0.15"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AV404" s="55"/>
    </row>
    <row r="405" spans="5:48" ht="15.75" customHeight="1" x14ac:dyDescent="0.15"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5"/>
    </row>
    <row r="406" spans="5:48" ht="15.75" customHeight="1" x14ac:dyDescent="0.15"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5"/>
    </row>
    <row r="407" spans="5:48" ht="15.75" customHeight="1" x14ac:dyDescent="0.15"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  <c r="AV407" s="55"/>
    </row>
    <row r="408" spans="5:48" ht="15.75" customHeight="1" x14ac:dyDescent="0.15"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  <c r="AS408" s="55"/>
      <c r="AT408" s="55"/>
      <c r="AU408" s="55"/>
      <c r="AV408" s="55"/>
    </row>
    <row r="409" spans="5:48" ht="15.75" customHeight="1" x14ac:dyDescent="0.15"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55"/>
      <c r="AK409" s="55"/>
      <c r="AL409" s="55"/>
      <c r="AM409" s="55"/>
      <c r="AN409" s="55"/>
      <c r="AO409" s="55"/>
      <c r="AP409" s="55"/>
      <c r="AQ409" s="55"/>
      <c r="AR409" s="55"/>
      <c r="AS409" s="55"/>
      <c r="AT409" s="55"/>
      <c r="AU409" s="55"/>
      <c r="AV409" s="55"/>
    </row>
    <row r="410" spans="5:48" ht="15.75" customHeight="1" x14ac:dyDescent="0.15"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55"/>
      <c r="AK410" s="55"/>
      <c r="AL410" s="55"/>
      <c r="AM410" s="55"/>
      <c r="AN410" s="55"/>
      <c r="AO410" s="55"/>
      <c r="AP410" s="55"/>
      <c r="AQ410" s="55"/>
      <c r="AR410" s="55"/>
      <c r="AS410" s="55"/>
      <c r="AT410" s="55"/>
      <c r="AU410" s="55"/>
      <c r="AV410" s="55"/>
    </row>
    <row r="411" spans="5:48" ht="15.75" customHeight="1" x14ac:dyDescent="0.15"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  <c r="AJ411" s="55"/>
      <c r="AK411" s="55"/>
      <c r="AL411" s="55"/>
      <c r="AM411" s="55"/>
      <c r="AN411" s="55"/>
      <c r="AO411" s="55"/>
      <c r="AP411" s="55"/>
      <c r="AQ411" s="55"/>
      <c r="AR411" s="55"/>
      <c r="AS411" s="55"/>
      <c r="AT411" s="55"/>
      <c r="AU411" s="55"/>
      <c r="AV411" s="55"/>
    </row>
    <row r="412" spans="5:48" ht="15.75" customHeight="1" x14ac:dyDescent="0.15"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55"/>
      <c r="AK412" s="55"/>
      <c r="AL412" s="55"/>
      <c r="AM412" s="55"/>
      <c r="AN412" s="55"/>
      <c r="AO412" s="55"/>
      <c r="AP412" s="55"/>
      <c r="AQ412" s="55"/>
      <c r="AR412" s="55"/>
      <c r="AS412" s="55"/>
      <c r="AT412" s="55"/>
      <c r="AU412" s="55"/>
      <c r="AV412" s="55"/>
    </row>
    <row r="413" spans="5:48" ht="15.75" customHeight="1" x14ac:dyDescent="0.15"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  <c r="AK413" s="55"/>
      <c r="AL413" s="55"/>
      <c r="AM413" s="55"/>
      <c r="AN413" s="55"/>
      <c r="AO413" s="55"/>
      <c r="AP413" s="55"/>
      <c r="AQ413" s="55"/>
      <c r="AR413" s="55"/>
      <c r="AS413" s="55"/>
      <c r="AT413" s="55"/>
      <c r="AU413" s="55"/>
      <c r="AV413" s="55"/>
    </row>
    <row r="414" spans="5:48" ht="15.75" customHeight="1" x14ac:dyDescent="0.15"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5"/>
      <c r="AN414" s="55"/>
      <c r="AO414" s="55"/>
      <c r="AP414" s="55"/>
      <c r="AQ414" s="55"/>
      <c r="AR414" s="55"/>
      <c r="AS414" s="55"/>
      <c r="AT414" s="55"/>
      <c r="AU414" s="55"/>
      <c r="AV414" s="55"/>
    </row>
    <row r="415" spans="5:48" ht="15.75" customHeight="1" x14ac:dyDescent="0.15"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  <c r="AO415" s="55"/>
      <c r="AP415" s="55"/>
      <c r="AQ415" s="55"/>
      <c r="AR415" s="55"/>
      <c r="AS415" s="55"/>
      <c r="AT415" s="55"/>
      <c r="AU415" s="55"/>
      <c r="AV415" s="55"/>
    </row>
    <row r="416" spans="5:48" ht="15.75" customHeight="1" x14ac:dyDescent="0.15"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/>
      <c r="AO416" s="55"/>
      <c r="AP416" s="55"/>
      <c r="AQ416" s="55"/>
      <c r="AR416" s="55"/>
      <c r="AS416" s="55"/>
      <c r="AT416" s="55"/>
      <c r="AU416" s="55"/>
      <c r="AV416" s="55"/>
    </row>
    <row r="417" spans="5:48" ht="15.75" customHeight="1" x14ac:dyDescent="0.15"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AV417" s="55"/>
    </row>
    <row r="418" spans="5:48" ht="15.75" customHeight="1" x14ac:dyDescent="0.15"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  <c r="AS418" s="55"/>
      <c r="AT418" s="55"/>
      <c r="AU418" s="55"/>
      <c r="AV418" s="55"/>
    </row>
    <row r="419" spans="5:48" ht="15.75" customHeight="1" x14ac:dyDescent="0.15"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  <c r="AP419" s="55"/>
      <c r="AQ419" s="55"/>
      <c r="AR419" s="55"/>
      <c r="AS419" s="55"/>
      <c r="AT419" s="55"/>
      <c r="AU419" s="55"/>
      <c r="AV419" s="55"/>
    </row>
    <row r="420" spans="5:48" ht="15.75" customHeight="1" x14ac:dyDescent="0.15"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  <c r="AP420" s="55"/>
      <c r="AQ420" s="55"/>
      <c r="AR420" s="55"/>
      <c r="AS420" s="55"/>
      <c r="AT420" s="55"/>
      <c r="AU420" s="55"/>
      <c r="AV420" s="55"/>
    </row>
    <row r="421" spans="5:48" ht="15.75" customHeight="1" x14ac:dyDescent="0.15"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  <c r="AS421" s="55"/>
      <c r="AT421" s="55"/>
      <c r="AU421" s="55"/>
      <c r="AV421" s="55"/>
    </row>
    <row r="422" spans="5:48" ht="15.75" customHeight="1" x14ac:dyDescent="0.15"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  <c r="AS422" s="55"/>
      <c r="AT422" s="55"/>
      <c r="AU422" s="55"/>
      <c r="AV422" s="55"/>
    </row>
    <row r="423" spans="5:48" ht="15.75" customHeight="1" x14ac:dyDescent="0.15"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  <c r="AS423" s="55"/>
      <c r="AT423" s="55"/>
      <c r="AU423" s="55"/>
      <c r="AV423" s="55"/>
    </row>
    <row r="424" spans="5:48" ht="15.75" customHeight="1" x14ac:dyDescent="0.15"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  <c r="AS424" s="55"/>
      <c r="AT424" s="55"/>
      <c r="AU424" s="55"/>
      <c r="AV424" s="55"/>
    </row>
    <row r="425" spans="5:48" ht="15.75" customHeight="1" x14ac:dyDescent="0.15"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  <c r="AS425" s="55"/>
      <c r="AT425" s="55"/>
      <c r="AU425" s="55"/>
      <c r="AV425" s="55"/>
    </row>
    <row r="426" spans="5:48" ht="15.75" customHeight="1" x14ac:dyDescent="0.15"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55"/>
      <c r="AK426" s="55"/>
      <c r="AL426" s="55"/>
      <c r="AM426" s="55"/>
      <c r="AN426" s="55"/>
      <c r="AO426" s="55"/>
      <c r="AP426" s="55"/>
      <c r="AQ426" s="55"/>
      <c r="AR426" s="55"/>
      <c r="AS426" s="55"/>
      <c r="AT426" s="55"/>
      <c r="AU426" s="55"/>
      <c r="AV426" s="55"/>
    </row>
    <row r="427" spans="5:48" ht="15.75" customHeight="1" x14ac:dyDescent="0.15"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/>
      <c r="AN427" s="55"/>
      <c r="AO427" s="55"/>
      <c r="AP427" s="55"/>
      <c r="AQ427" s="55"/>
      <c r="AR427" s="55"/>
      <c r="AS427" s="55"/>
      <c r="AT427" s="55"/>
      <c r="AU427" s="55"/>
      <c r="AV427" s="55"/>
    </row>
    <row r="428" spans="5:48" ht="15.75" customHeight="1" x14ac:dyDescent="0.15"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  <c r="AM428" s="55"/>
      <c r="AN428" s="55"/>
      <c r="AO428" s="55"/>
      <c r="AP428" s="55"/>
      <c r="AQ428" s="55"/>
      <c r="AR428" s="55"/>
      <c r="AS428" s="55"/>
      <c r="AT428" s="55"/>
      <c r="AU428" s="55"/>
      <c r="AV428" s="55"/>
    </row>
    <row r="429" spans="5:48" ht="15.75" customHeight="1" x14ac:dyDescent="0.15"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  <c r="AL429" s="55"/>
      <c r="AM429" s="55"/>
      <c r="AN429" s="55"/>
      <c r="AO429" s="55"/>
      <c r="AP429" s="55"/>
      <c r="AQ429" s="55"/>
      <c r="AR429" s="55"/>
      <c r="AS429" s="55"/>
      <c r="AT429" s="55"/>
      <c r="AU429" s="55"/>
      <c r="AV429" s="55"/>
    </row>
    <row r="430" spans="5:48" ht="15.75" customHeight="1" x14ac:dyDescent="0.15"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  <c r="AK430" s="55"/>
      <c r="AL430" s="55"/>
      <c r="AM430" s="55"/>
      <c r="AN430" s="55"/>
      <c r="AO430" s="55"/>
      <c r="AP430" s="55"/>
      <c r="AQ430" s="55"/>
      <c r="AR430" s="55"/>
      <c r="AS430" s="55"/>
      <c r="AT430" s="55"/>
      <c r="AU430" s="55"/>
      <c r="AV430" s="55"/>
    </row>
    <row r="431" spans="5:48" ht="15.75" customHeight="1" x14ac:dyDescent="0.15"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  <c r="AN431" s="55"/>
      <c r="AO431" s="55"/>
      <c r="AP431" s="55"/>
      <c r="AQ431" s="55"/>
      <c r="AR431" s="55"/>
      <c r="AS431" s="55"/>
      <c r="AT431" s="55"/>
      <c r="AU431" s="55"/>
      <c r="AV431" s="55"/>
    </row>
    <row r="432" spans="5:48" ht="15.75" customHeight="1" x14ac:dyDescent="0.15"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5"/>
    </row>
    <row r="433" spans="5:48" ht="15.75" customHeight="1" x14ac:dyDescent="0.15"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5"/>
    </row>
    <row r="434" spans="5:48" ht="15.75" customHeight="1" x14ac:dyDescent="0.15"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5"/>
    </row>
    <row r="435" spans="5:48" ht="15.75" customHeight="1" x14ac:dyDescent="0.15"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5"/>
    </row>
    <row r="436" spans="5:48" ht="15.75" customHeight="1" x14ac:dyDescent="0.15"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  <c r="AV436" s="55"/>
    </row>
    <row r="437" spans="5:48" ht="15.75" customHeight="1" x14ac:dyDescent="0.15"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55"/>
      <c r="AK437" s="55"/>
      <c r="AL437" s="55"/>
      <c r="AM437" s="55"/>
      <c r="AN437" s="55"/>
      <c r="AO437" s="55"/>
      <c r="AP437" s="55"/>
      <c r="AQ437" s="55"/>
      <c r="AR437" s="55"/>
      <c r="AS437" s="55"/>
      <c r="AT437" s="55"/>
      <c r="AU437" s="55"/>
      <c r="AV437" s="55"/>
    </row>
    <row r="438" spans="5:48" ht="15.75" customHeight="1" x14ac:dyDescent="0.15"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55"/>
      <c r="AL438" s="55"/>
      <c r="AM438" s="55"/>
      <c r="AN438" s="55"/>
      <c r="AO438" s="55"/>
      <c r="AP438" s="55"/>
      <c r="AQ438" s="55"/>
      <c r="AR438" s="55"/>
      <c r="AS438" s="55"/>
      <c r="AT438" s="55"/>
      <c r="AU438" s="55"/>
      <c r="AV438" s="55"/>
    </row>
    <row r="439" spans="5:48" ht="15.75" customHeight="1" x14ac:dyDescent="0.15"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55"/>
      <c r="AL439" s="55"/>
      <c r="AM439" s="55"/>
      <c r="AN439" s="55"/>
      <c r="AO439" s="55"/>
      <c r="AP439" s="55"/>
      <c r="AQ439" s="55"/>
      <c r="AR439" s="55"/>
      <c r="AS439" s="55"/>
      <c r="AT439" s="55"/>
      <c r="AU439" s="55"/>
      <c r="AV439" s="55"/>
    </row>
    <row r="440" spans="5:48" ht="15.75" customHeight="1" x14ac:dyDescent="0.15"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5"/>
      <c r="AN440" s="55"/>
      <c r="AO440" s="55"/>
      <c r="AP440" s="55"/>
      <c r="AQ440" s="55"/>
      <c r="AR440" s="55"/>
      <c r="AS440" s="55"/>
      <c r="AT440" s="55"/>
      <c r="AU440" s="55"/>
      <c r="AV440" s="55"/>
    </row>
    <row r="441" spans="5:48" ht="15.75" customHeight="1" x14ac:dyDescent="0.15"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  <c r="AM441" s="55"/>
      <c r="AN441" s="55"/>
      <c r="AO441" s="55"/>
      <c r="AP441" s="55"/>
      <c r="AQ441" s="55"/>
      <c r="AR441" s="55"/>
      <c r="AS441" s="55"/>
      <c r="AT441" s="55"/>
      <c r="AU441" s="55"/>
      <c r="AV441" s="55"/>
    </row>
    <row r="442" spans="5:48" ht="15.75" customHeight="1" x14ac:dyDescent="0.15"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  <c r="AP442" s="55"/>
      <c r="AQ442" s="55"/>
      <c r="AR442" s="55"/>
      <c r="AS442" s="55"/>
      <c r="AT442" s="55"/>
      <c r="AU442" s="55"/>
      <c r="AV442" s="55"/>
    </row>
    <row r="443" spans="5:48" ht="15.75" customHeight="1" x14ac:dyDescent="0.15"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  <c r="AO443" s="55"/>
      <c r="AP443" s="55"/>
      <c r="AQ443" s="55"/>
      <c r="AR443" s="55"/>
      <c r="AS443" s="55"/>
      <c r="AT443" s="55"/>
      <c r="AU443" s="55"/>
      <c r="AV443" s="55"/>
    </row>
    <row r="444" spans="5:48" ht="15.75" customHeight="1" x14ac:dyDescent="0.15"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  <c r="AM444" s="55"/>
      <c r="AN444" s="55"/>
      <c r="AO444" s="55"/>
      <c r="AP444" s="55"/>
      <c r="AQ444" s="55"/>
      <c r="AR444" s="55"/>
      <c r="AS444" s="55"/>
      <c r="AT444" s="55"/>
      <c r="AU444" s="55"/>
      <c r="AV444" s="55"/>
    </row>
    <row r="445" spans="5:48" ht="15.75" customHeight="1" x14ac:dyDescent="0.15"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55"/>
      <c r="AL445" s="55"/>
      <c r="AM445" s="55"/>
      <c r="AN445" s="55"/>
      <c r="AO445" s="55"/>
      <c r="AP445" s="55"/>
      <c r="AQ445" s="55"/>
      <c r="AR445" s="55"/>
      <c r="AS445" s="55"/>
      <c r="AT445" s="55"/>
      <c r="AU445" s="55"/>
      <c r="AV445" s="55"/>
    </row>
    <row r="446" spans="5:48" ht="15.75" customHeight="1" x14ac:dyDescent="0.15"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  <c r="AK446" s="55"/>
      <c r="AL446" s="55"/>
      <c r="AM446" s="55"/>
      <c r="AN446" s="55"/>
      <c r="AO446" s="55"/>
      <c r="AP446" s="55"/>
      <c r="AQ446" s="55"/>
      <c r="AR446" s="55"/>
      <c r="AS446" s="55"/>
      <c r="AT446" s="55"/>
      <c r="AU446" s="55"/>
      <c r="AV446" s="55"/>
    </row>
    <row r="447" spans="5:48" ht="15.75" customHeight="1" x14ac:dyDescent="0.15"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  <c r="AK447" s="55"/>
      <c r="AL447" s="55"/>
      <c r="AM447" s="55"/>
      <c r="AN447" s="55"/>
      <c r="AO447" s="55"/>
      <c r="AP447" s="55"/>
      <c r="AQ447" s="55"/>
      <c r="AR447" s="55"/>
      <c r="AS447" s="55"/>
      <c r="AT447" s="55"/>
      <c r="AU447" s="55"/>
      <c r="AV447" s="55"/>
    </row>
    <row r="448" spans="5:48" ht="15.75" customHeight="1" x14ac:dyDescent="0.15"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  <c r="AK448" s="55"/>
      <c r="AL448" s="55"/>
      <c r="AM448" s="55"/>
      <c r="AN448" s="55"/>
      <c r="AO448" s="55"/>
      <c r="AP448" s="55"/>
      <c r="AQ448" s="55"/>
      <c r="AR448" s="55"/>
      <c r="AS448" s="55"/>
      <c r="AT448" s="55"/>
      <c r="AU448" s="55"/>
      <c r="AV448" s="55"/>
    </row>
    <row r="449" spans="5:48" ht="15.75" customHeight="1" x14ac:dyDescent="0.15"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  <c r="AS449" s="55"/>
      <c r="AT449" s="55"/>
      <c r="AU449" s="55"/>
      <c r="AV449" s="55"/>
    </row>
    <row r="450" spans="5:48" ht="15.75" customHeight="1" x14ac:dyDescent="0.15"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  <c r="AV450" s="55"/>
    </row>
    <row r="451" spans="5:48" ht="15.75" customHeight="1" x14ac:dyDescent="0.15"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  <c r="AV451" s="55"/>
    </row>
    <row r="452" spans="5:48" ht="15.75" customHeight="1" x14ac:dyDescent="0.15"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5"/>
    </row>
    <row r="453" spans="5:48" ht="15.75" customHeight="1" x14ac:dyDescent="0.15"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5"/>
    </row>
    <row r="454" spans="5:48" ht="15.75" customHeight="1" x14ac:dyDescent="0.15"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  <c r="AV454" s="55"/>
    </row>
    <row r="455" spans="5:48" ht="15.75" customHeight="1" x14ac:dyDescent="0.15"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  <c r="AP455" s="55"/>
      <c r="AQ455" s="55"/>
      <c r="AR455" s="55"/>
      <c r="AS455" s="55"/>
      <c r="AT455" s="55"/>
      <c r="AU455" s="55"/>
      <c r="AV455" s="55"/>
    </row>
    <row r="456" spans="5:48" ht="15.75" customHeight="1" x14ac:dyDescent="0.15"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55"/>
      <c r="AP456" s="55"/>
      <c r="AQ456" s="55"/>
      <c r="AR456" s="55"/>
      <c r="AS456" s="55"/>
      <c r="AT456" s="55"/>
      <c r="AU456" s="55"/>
      <c r="AV456" s="55"/>
    </row>
    <row r="457" spans="5:48" ht="15.75" customHeight="1" x14ac:dyDescent="0.15"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  <c r="AO457" s="55"/>
      <c r="AP457" s="55"/>
      <c r="AQ457" s="55"/>
      <c r="AR457" s="55"/>
      <c r="AS457" s="55"/>
      <c r="AT457" s="55"/>
      <c r="AU457" s="55"/>
      <c r="AV457" s="55"/>
    </row>
    <row r="458" spans="5:48" ht="15.75" customHeight="1" x14ac:dyDescent="0.15"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  <c r="AP458" s="55"/>
      <c r="AQ458" s="55"/>
      <c r="AR458" s="55"/>
      <c r="AS458" s="55"/>
      <c r="AT458" s="55"/>
      <c r="AU458" s="55"/>
      <c r="AV458" s="55"/>
    </row>
    <row r="459" spans="5:48" ht="15.75" customHeight="1" x14ac:dyDescent="0.15"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  <c r="AS459" s="55"/>
      <c r="AT459" s="55"/>
      <c r="AU459" s="55"/>
      <c r="AV459" s="55"/>
    </row>
    <row r="460" spans="5:48" ht="15.75" customHeight="1" x14ac:dyDescent="0.15"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  <c r="AS460" s="55"/>
      <c r="AT460" s="55"/>
      <c r="AU460" s="55"/>
      <c r="AV460" s="55"/>
    </row>
    <row r="461" spans="5:48" ht="15.75" customHeight="1" x14ac:dyDescent="0.15"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  <c r="AS461" s="55"/>
      <c r="AT461" s="55"/>
      <c r="AU461" s="55"/>
      <c r="AV461" s="55"/>
    </row>
    <row r="462" spans="5:48" ht="15.75" customHeight="1" x14ac:dyDescent="0.15"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  <c r="AS462" s="55"/>
      <c r="AT462" s="55"/>
      <c r="AU462" s="55"/>
      <c r="AV462" s="55"/>
    </row>
    <row r="463" spans="5:48" ht="15.75" customHeight="1" x14ac:dyDescent="0.15"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55"/>
      <c r="AP463" s="55"/>
      <c r="AQ463" s="55"/>
      <c r="AR463" s="55"/>
      <c r="AS463" s="55"/>
      <c r="AT463" s="55"/>
      <c r="AU463" s="55"/>
      <c r="AV463" s="55"/>
    </row>
    <row r="464" spans="5:48" ht="15.75" customHeight="1" x14ac:dyDescent="0.15"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/>
      <c r="AO464" s="55"/>
      <c r="AP464" s="55"/>
      <c r="AQ464" s="55"/>
      <c r="AR464" s="55"/>
      <c r="AS464" s="55"/>
      <c r="AT464" s="55"/>
      <c r="AU464" s="55"/>
      <c r="AV464" s="55"/>
    </row>
    <row r="465" spans="5:48" ht="15.75" customHeight="1" x14ac:dyDescent="0.15"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/>
      <c r="AN465" s="55"/>
      <c r="AO465" s="55"/>
      <c r="AP465" s="55"/>
      <c r="AQ465" s="55"/>
      <c r="AR465" s="55"/>
      <c r="AS465" s="55"/>
      <c r="AT465" s="55"/>
      <c r="AU465" s="55"/>
      <c r="AV465" s="55"/>
    </row>
    <row r="466" spans="5:48" ht="15.75" customHeight="1" x14ac:dyDescent="0.15"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/>
      <c r="AO466" s="55"/>
      <c r="AP466" s="55"/>
      <c r="AQ466" s="55"/>
      <c r="AR466" s="55"/>
      <c r="AS466" s="55"/>
      <c r="AT466" s="55"/>
      <c r="AU466" s="55"/>
      <c r="AV466" s="55"/>
    </row>
    <row r="467" spans="5:48" ht="15.75" customHeight="1" x14ac:dyDescent="0.15"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  <c r="AL467" s="55"/>
      <c r="AM467" s="55"/>
      <c r="AN467" s="55"/>
      <c r="AO467" s="55"/>
      <c r="AP467" s="55"/>
      <c r="AQ467" s="55"/>
      <c r="AR467" s="55"/>
      <c r="AS467" s="55"/>
      <c r="AT467" s="55"/>
      <c r="AU467" s="55"/>
      <c r="AV467" s="55"/>
    </row>
    <row r="468" spans="5:48" ht="15.75" customHeight="1" x14ac:dyDescent="0.15"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  <c r="AL468" s="55"/>
      <c r="AM468" s="55"/>
      <c r="AN468" s="55"/>
      <c r="AO468" s="55"/>
      <c r="AP468" s="55"/>
      <c r="AQ468" s="55"/>
      <c r="AR468" s="55"/>
      <c r="AS468" s="55"/>
      <c r="AT468" s="55"/>
      <c r="AU468" s="55"/>
      <c r="AV468" s="55"/>
    </row>
    <row r="469" spans="5:48" ht="15.75" customHeight="1" x14ac:dyDescent="0.15"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/>
      <c r="AQ469" s="55"/>
      <c r="AR469" s="55"/>
      <c r="AS469" s="55"/>
      <c r="AT469" s="55"/>
      <c r="AU469" s="55"/>
      <c r="AV469" s="55"/>
    </row>
    <row r="470" spans="5:48" ht="15.75" customHeight="1" x14ac:dyDescent="0.15"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  <c r="AQ470" s="55"/>
      <c r="AR470" s="55"/>
      <c r="AS470" s="55"/>
      <c r="AT470" s="55"/>
      <c r="AU470" s="55"/>
      <c r="AV470" s="55"/>
    </row>
    <row r="471" spans="5:48" ht="15.75" customHeight="1" x14ac:dyDescent="0.15"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/>
      <c r="AQ471" s="55"/>
      <c r="AR471" s="55"/>
      <c r="AS471" s="55"/>
      <c r="AT471" s="55"/>
      <c r="AU471" s="55"/>
      <c r="AV471" s="55"/>
    </row>
    <row r="472" spans="5:48" ht="15.75" customHeight="1" x14ac:dyDescent="0.15"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/>
      <c r="AQ472" s="55"/>
      <c r="AR472" s="55"/>
      <c r="AS472" s="55"/>
      <c r="AT472" s="55"/>
      <c r="AU472" s="55"/>
      <c r="AV472" s="55"/>
    </row>
    <row r="473" spans="5:48" ht="15.75" customHeight="1" x14ac:dyDescent="0.15"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  <c r="AS473" s="55"/>
      <c r="AT473" s="55"/>
      <c r="AU473" s="55"/>
      <c r="AV473" s="55"/>
    </row>
    <row r="474" spans="5:48" ht="15.75" customHeight="1" x14ac:dyDescent="0.15"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  <c r="AS474" s="55"/>
      <c r="AT474" s="55"/>
      <c r="AU474" s="55"/>
      <c r="AV474" s="55"/>
    </row>
    <row r="475" spans="5:48" ht="15.75" customHeight="1" x14ac:dyDescent="0.15"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  <c r="AO475" s="55"/>
      <c r="AP475" s="55"/>
      <c r="AQ475" s="55"/>
      <c r="AR475" s="55"/>
      <c r="AS475" s="55"/>
      <c r="AT475" s="55"/>
      <c r="AU475" s="55"/>
      <c r="AV475" s="55"/>
    </row>
    <row r="476" spans="5:48" ht="15.75" customHeight="1" x14ac:dyDescent="0.15"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  <c r="AO476" s="55"/>
      <c r="AP476" s="55"/>
      <c r="AQ476" s="55"/>
      <c r="AR476" s="55"/>
      <c r="AS476" s="55"/>
      <c r="AT476" s="55"/>
      <c r="AU476" s="55"/>
      <c r="AV476" s="55"/>
    </row>
    <row r="477" spans="5:48" ht="15.75" customHeight="1" x14ac:dyDescent="0.15"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  <c r="AP477" s="55"/>
      <c r="AQ477" s="55"/>
      <c r="AR477" s="55"/>
      <c r="AS477" s="55"/>
      <c r="AT477" s="55"/>
      <c r="AU477" s="55"/>
      <c r="AV477" s="55"/>
    </row>
    <row r="478" spans="5:48" ht="15.75" customHeight="1" x14ac:dyDescent="0.15"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/>
      <c r="AO478" s="55"/>
      <c r="AP478" s="55"/>
      <c r="AQ478" s="55"/>
      <c r="AR478" s="55"/>
      <c r="AS478" s="55"/>
      <c r="AT478" s="55"/>
      <c r="AU478" s="55"/>
      <c r="AV478" s="55"/>
    </row>
    <row r="479" spans="5:48" ht="15.75" customHeight="1" x14ac:dyDescent="0.15"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  <c r="AP479" s="55"/>
      <c r="AQ479" s="55"/>
      <c r="AR479" s="55"/>
      <c r="AS479" s="55"/>
      <c r="AT479" s="55"/>
      <c r="AU479" s="55"/>
      <c r="AV479" s="55"/>
    </row>
    <row r="480" spans="5:48" ht="15.75" customHeight="1" x14ac:dyDescent="0.15"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/>
      <c r="AQ480" s="55"/>
      <c r="AR480" s="55"/>
      <c r="AS480" s="55"/>
      <c r="AT480" s="55"/>
      <c r="AU480" s="55"/>
      <c r="AV480" s="55"/>
    </row>
    <row r="481" spans="5:48" ht="15.75" customHeight="1" x14ac:dyDescent="0.15"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  <c r="AQ481" s="55"/>
      <c r="AR481" s="55"/>
      <c r="AS481" s="55"/>
      <c r="AT481" s="55"/>
      <c r="AU481" s="55"/>
      <c r="AV481" s="55"/>
    </row>
    <row r="482" spans="5:48" ht="15.75" customHeight="1" x14ac:dyDescent="0.15"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  <c r="AS482" s="55"/>
      <c r="AT482" s="55"/>
      <c r="AU482" s="55"/>
      <c r="AV482" s="55"/>
    </row>
    <row r="483" spans="5:48" ht="15.75" customHeight="1" x14ac:dyDescent="0.15"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  <c r="AS483" s="55"/>
      <c r="AT483" s="55"/>
      <c r="AU483" s="55"/>
      <c r="AV483" s="55"/>
    </row>
    <row r="484" spans="5:48" ht="15.75" customHeight="1" x14ac:dyDescent="0.15"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  <c r="AS484" s="55"/>
      <c r="AT484" s="55"/>
      <c r="AU484" s="55"/>
      <c r="AV484" s="55"/>
    </row>
    <row r="485" spans="5:48" ht="15.75" customHeight="1" x14ac:dyDescent="0.15"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  <c r="AQ485" s="55"/>
      <c r="AR485" s="55"/>
      <c r="AS485" s="55"/>
      <c r="AT485" s="55"/>
      <c r="AU485" s="55"/>
      <c r="AV485" s="55"/>
    </row>
    <row r="486" spans="5:48" ht="15.75" customHeight="1" x14ac:dyDescent="0.15"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  <c r="AS486" s="55"/>
      <c r="AT486" s="55"/>
      <c r="AU486" s="55"/>
      <c r="AV486" s="55"/>
    </row>
    <row r="487" spans="5:48" ht="15.75" customHeight="1" x14ac:dyDescent="0.15"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  <c r="AP487" s="55"/>
      <c r="AQ487" s="55"/>
      <c r="AR487" s="55"/>
      <c r="AS487" s="55"/>
      <c r="AT487" s="55"/>
      <c r="AU487" s="55"/>
      <c r="AV487" s="55"/>
    </row>
    <row r="488" spans="5:48" ht="15.75" customHeight="1" x14ac:dyDescent="0.15"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  <c r="AS488" s="55"/>
      <c r="AT488" s="55"/>
      <c r="AU488" s="55"/>
      <c r="AV488" s="55"/>
    </row>
    <row r="489" spans="5:48" ht="15.75" customHeight="1" x14ac:dyDescent="0.15"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/>
      <c r="AO489" s="55"/>
      <c r="AP489" s="55"/>
      <c r="AQ489" s="55"/>
      <c r="AR489" s="55"/>
      <c r="AS489" s="55"/>
      <c r="AT489" s="55"/>
      <c r="AU489" s="55"/>
      <c r="AV489" s="55"/>
    </row>
    <row r="490" spans="5:48" ht="15.75" customHeight="1" x14ac:dyDescent="0.15"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/>
      <c r="AO490" s="55"/>
      <c r="AP490" s="55"/>
      <c r="AQ490" s="55"/>
      <c r="AR490" s="55"/>
      <c r="AS490" s="55"/>
      <c r="AT490" s="55"/>
      <c r="AU490" s="55"/>
      <c r="AV490" s="55"/>
    </row>
    <row r="491" spans="5:48" ht="15.75" customHeight="1" x14ac:dyDescent="0.15"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  <c r="AO491" s="55"/>
      <c r="AP491" s="55"/>
      <c r="AQ491" s="55"/>
      <c r="AR491" s="55"/>
      <c r="AS491" s="55"/>
      <c r="AT491" s="55"/>
      <c r="AU491" s="55"/>
      <c r="AV491" s="55"/>
    </row>
    <row r="492" spans="5:48" ht="15.75" customHeight="1" x14ac:dyDescent="0.15"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  <c r="AO492" s="55"/>
      <c r="AP492" s="55"/>
      <c r="AQ492" s="55"/>
      <c r="AR492" s="55"/>
      <c r="AS492" s="55"/>
      <c r="AT492" s="55"/>
      <c r="AU492" s="55"/>
      <c r="AV492" s="55"/>
    </row>
    <row r="493" spans="5:48" ht="15.75" customHeight="1" x14ac:dyDescent="0.15"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/>
      <c r="AO493" s="55"/>
      <c r="AP493" s="55"/>
      <c r="AQ493" s="55"/>
      <c r="AR493" s="55"/>
      <c r="AS493" s="55"/>
      <c r="AT493" s="55"/>
      <c r="AU493" s="55"/>
      <c r="AV493" s="55"/>
    </row>
    <row r="494" spans="5:48" ht="15.75" customHeight="1" x14ac:dyDescent="0.15"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5"/>
      <c r="AO494" s="55"/>
      <c r="AP494" s="55"/>
      <c r="AQ494" s="55"/>
      <c r="AR494" s="55"/>
      <c r="AS494" s="55"/>
      <c r="AT494" s="55"/>
      <c r="AU494" s="55"/>
      <c r="AV494" s="55"/>
    </row>
    <row r="495" spans="5:48" ht="15.75" customHeight="1" x14ac:dyDescent="0.15"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  <c r="AM495" s="55"/>
      <c r="AN495" s="55"/>
      <c r="AO495" s="55"/>
      <c r="AP495" s="55"/>
      <c r="AQ495" s="55"/>
      <c r="AR495" s="55"/>
      <c r="AS495" s="55"/>
      <c r="AT495" s="55"/>
      <c r="AU495" s="55"/>
      <c r="AV495" s="55"/>
    </row>
    <row r="496" spans="5:48" ht="15.75" customHeight="1" x14ac:dyDescent="0.15"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5"/>
      <c r="AO496" s="55"/>
      <c r="AP496" s="55"/>
      <c r="AQ496" s="55"/>
      <c r="AR496" s="55"/>
      <c r="AS496" s="55"/>
      <c r="AT496" s="55"/>
      <c r="AU496" s="55"/>
      <c r="AV496" s="55"/>
    </row>
    <row r="497" spans="5:48" ht="15.75" customHeight="1" x14ac:dyDescent="0.15"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5"/>
      <c r="AO497" s="55"/>
      <c r="AP497" s="55"/>
      <c r="AQ497" s="55"/>
      <c r="AR497" s="55"/>
      <c r="AS497" s="55"/>
      <c r="AT497" s="55"/>
      <c r="AU497" s="55"/>
      <c r="AV497" s="55"/>
    </row>
    <row r="498" spans="5:48" ht="15.75" customHeight="1" x14ac:dyDescent="0.15"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  <c r="AH498" s="55"/>
      <c r="AI498" s="55"/>
      <c r="AJ498" s="55"/>
      <c r="AK498" s="55"/>
      <c r="AL498" s="55"/>
      <c r="AM498" s="55"/>
      <c r="AN498" s="55"/>
      <c r="AO498" s="55"/>
      <c r="AP498" s="55"/>
      <c r="AQ498" s="55"/>
      <c r="AR498" s="55"/>
      <c r="AS498" s="55"/>
      <c r="AT498" s="55"/>
      <c r="AU498" s="55"/>
      <c r="AV498" s="55"/>
    </row>
    <row r="499" spans="5:48" ht="15.75" customHeight="1" x14ac:dyDescent="0.15"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/>
      <c r="AN499" s="55"/>
      <c r="AO499" s="55"/>
      <c r="AP499" s="55"/>
      <c r="AQ499" s="55"/>
      <c r="AR499" s="55"/>
      <c r="AS499" s="55"/>
      <c r="AT499" s="55"/>
      <c r="AU499" s="55"/>
      <c r="AV499" s="55"/>
    </row>
    <row r="500" spans="5:48" ht="15.75" customHeight="1" x14ac:dyDescent="0.15"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/>
      <c r="AN500" s="55"/>
      <c r="AO500" s="55"/>
      <c r="AP500" s="55"/>
      <c r="AQ500" s="55"/>
      <c r="AR500" s="55"/>
      <c r="AS500" s="55"/>
      <c r="AT500" s="55"/>
      <c r="AU500" s="55"/>
      <c r="AV500" s="55"/>
    </row>
    <row r="501" spans="5:48" ht="15.75" customHeight="1" x14ac:dyDescent="0.15"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  <c r="AM501" s="55"/>
      <c r="AN501" s="55"/>
      <c r="AO501" s="55"/>
      <c r="AP501" s="55"/>
      <c r="AQ501" s="55"/>
      <c r="AR501" s="55"/>
      <c r="AS501" s="55"/>
      <c r="AT501" s="55"/>
      <c r="AU501" s="55"/>
      <c r="AV501" s="55"/>
    </row>
    <row r="502" spans="5:48" ht="15.75" customHeight="1" x14ac:dyDescent="0.15"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  <c r="AH502" s="55"/>
      <c r="AI502" s="55"/>
      <c r="AJ502" s="55"/>
      <c r="AK502" s="55"/>
      <c r="AL502" s="55"/>
      <c r="AM502" s="55"/>
      <c r="AN502" s="55"/>
      <c r="AO502" s="55"/>
      <c r="AP502" s="55"/>
      <c r="AQ502" s="55"/>
      <c r="AR502" s="55"/>
      <c r="AS502" s="55"/>
      <c r="AT502" s="55"/>
      <c r="AU502" s="55"/>
      <c r="AV502" s="55"/>
    </row>
    <row r="503" spans="5:48" ht="15.75" customHeight="1" x14ac:dyDescent="0.15"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/>
      <c r="AN503" s="55"/>
      <c r="AO503" s="55"/>
      <c r="AP503" s="55"/>
      <c r="AQ503" s="55"/>
      <c r="AR503" s="55"/>
      <c r="AS503" s="55"/>
      <c r="AT503" s="55"/>
      <c r="AU503" s="55"/>
      <c r="AV503" s="55"/>
    </row>
    <row r="504" spans="5:48" ht="15.75" customHeight="1" x14ac:dyDescent="0.15"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/>
      <c r="AN504" s="55"/>
      <c r="AO504" s="55"/>
      <c r="AP504" s="55"/>
      <c r="AQ504" s="55"/>
      <c r="AR504" s="55"/>
      <c r="AS504" s="55"/>
      <c r="AT504" s="55"/>
      <c r="AU504" s="55"/>
      <c r="AV504" s="55"/>
    </row>
    <row r="505" spans="5:48" ht="15.75" customHeight="1" x14ac:dyDescent="0.15"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5"/>
      <c r="AO505" s="55"/>
      <c r="AP505" s="55"/>
      <c r="AQ505" s="55"/>
      <c r="AR505" s="55"/>
      <c r="AS505" s="55"/>
      <c r="AT505" s="55"/>
      <c r="AU505" s="55"/>
      <c r="AV505" s="55"/>
    </row>
    <row r="506" spans="5:48" ht="15.75" customHeight="1" x14ac:dyDescent="0.15"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  <c r="AM506" s="55"/>
      <c r="AN506" s="55"/>
      <c r="AO506" s="55"/>
      <c r="AP506" s="55"/>
      <c r="AQ506" s="55"/>
      <c r="AR506" s="55"/>
      <c r="AS506" s="55"/>
      <c r="AT506" s="55"/>
      <c r="AU506" s="55"/>
      <c r="AV506" s="55"/>
    </row>
    <row r="507" spans="5:48" ht="15.75" customHeight="1" x14ac:dyDescent="0.15"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5"/>
      <c r="AO507" s="55"/>
      <c r="AP507" s="55"/>
      <c r="AQ507" s="55"/>
      <c r="AR507" s="55"/>
      <c r="AS507" s="55"/>
      <c r="AT507" s="55"/>
      <c r="AU507" s="55"/>
      <c r="AV507" s="55"/>
    </row>
    <row r="508" spans="5:48" ht="15.75" customHeight="1" x14ac:dyDescent="0.15"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55"/>
      <c r="AK508" s="55"/>
      <c r="AL508" s="55"/>
      <c r="AM508" s="55"/>
      <c r="AN508" s="55"/>
      <c r="AO508" s="55"/>
      <c r="AP508" s="55"/>
      <c r="AQ508" s="55"/>
      <c r="AR508" s="55"/>
      <c r="AS508" s="55"/>
      <c r="AT508" s="55"/>
      <c r="AU508" s="55"/>
      <c r="AV508" s="55"/>
    </row>
    <row r="509" spans="5:48" ht="15.75" customHeight="1" x14ac:dyDescent="0.15"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55"/>
      <c r="AK509" s="55"/>
      <c r="AL509" s="55"/>
      <c r="AM509" s="55"/>
      <c r="AN509" s="55"/>
      <c r="AO509" s="55"/>
      <c r="AP509" s="55"/>
      <c r="AQ509" s="55"/>
      <c r="AR509" s="55"/>
      <c r="AS509" s="55"/>
      <c r="AT509" s="55"/>
      <c r="AU509" s="55"/>
      <c r="AV509" s="55"/>
    </row>
    <row r="510" spans="5:48" ht="15.75" customHeight="1" x14ac:dyDescent="0.15"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  <c r="AH510" s="55"/>
      <c r="AI510" s="55"/>
      <c r="AJ510" s="55"/>
      <c r="AK510" s="55"/>
      <c r="AL510" s="55"/>
      <c r="AM510" s="55"/>
      <c r="AN510" s="55"/>
      <c r="AO510" s="55"/>
      <c r="AP510" s="55"/>
      <c r="AQ510" s="55"/>
      <c r="AR510" s="55"/>
      <c r="AS510" s="55"/>
      <c r="AT510" s="55"/>
      <c r="AU510" s="55"/>
      <c r="AV510" s="55"/>
    </row>
    <row r="511" spans="5:48" ht="15.75" customHeight="1" x14ac:dyDescent="0.15"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  <c r="AH511" s="55"/>
      <c r="AI511" s="55"/>
      <c r="AJ511" s="55"/>
      <c r="AK511" s="55"/>
      <c r="AL511" s="55"/>
      <c r="AM511" s="55"/>
      <c r="AN511" s="55"/>
      <c r="AO511" s="55"/>
      <c r="AP511" s="55"/>
      <c r="AQ511" s="55"/>
      <c r="AR511" s="55"/>
      <c r="AS511" s="55"/>
      <c r="AT511" s="55"/>
      <c r="AU511" s="55"/>
      <c r="AV511" s="55"/>
    </row>
    <row r="512" spans="5:48" ht="15.75" customHeight="1" x14ac:dyDescent="0.15"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  <c r="AH512" s="55"/>
      <c r="AI512" s="55"/>
      <c r="AJ512" s="55"/>
      <c r="AK512" s="55"/>
      <c r="AL512" s="55"/>
      <c r="AM512" s="55"/>
      <c r="AN512" s="55"/>
      <c r="AO512" s="55"/>
      <c r="AP512" s="55"/>
      <c r="AQ512" s="55"/>
      <c r="AR512" s="55"/>
      <c r="AS512" s="55"/>
      <c r="AT512" s="55"/>
      <c r="AU512" s="55"/>
      <c r="AV512" s="55"/>
    </row>
    <row r="513" spans="5:48" ht="15.75" customHeight="1" x14ac:dyDescent="0.15"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  <c r="AH513" s="55"/>
      <c r="AI513" s="55"/>
      <c r="AJ513" s="55"/>
      <c r="AK513" s="55"/>
      <c r="AL513" s="55"/>
      <c r="AM513" s="55"/>
      <c r="AN513" s="55"/>
      <c r="AO513" s="55"/>
      <c r="AP513" s="55"/>
      <c r="AQ513" s="55"/>
      <c r="AR513" s="55"/>
      <c r="AS513" s="55"/>
      <c r="AT513" s="55"/>
      <c r="AU513" s="55"/>
      <c r="AV513" s="55"/>
    </row>
    <row r="514" spans="5:48" ht="15.75" customHeight="1" x14ac:dyDescent="0.15"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  <c r="AH514" s="55"/>
      <c r="AI514" s="55"/>
      <c r="AJ514" s="55"/>
      <c r="AK514" s="55"/>
      <c r="AL514" s="55"/>
      <c r="AM514" s="55"/>
      <c r="AN514" s="55"/>
      <c r="AO514" s="55"/>
      <c r="AP514" s="55"/>
      <c r="AQ514" s="55"/>
      <c r="AR514" s="55"/>
      <c r="AS514" s="55"/>
      <c r="AT514" s="55"/>
      <c r="AU514" s="55"/>
      <c r="AV514" s="55"/>
    </row>
    <row r="515" spans="5:48" ht="15.75" customHeight="1" x14ac:dyDescent="0.15"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  <c r="AH515" s="55"/>
      <c r="AI515" s="55"/>
      <c r="AJ515" s="55"/>
      <c r="AK515" s="55"/>
      <c r="AL515" s="55"/>
      <c r="AM515" s="55"/>
      <c r="AN515" s="55"/>
      <c r="AO515" s="55"/>
      <c r="AP515" s="55"/>
      <c r="AQ515" s="55"/>
      <c r="AR515" s="55"/>
      <c r="AS515" s="55"/>
      <c r="AT515" s="55"/>
      <c r="AU515" s="55"/>
      <c r="AV515" s="55"/>
    </row>
    <row r="516" spans="5:48" ht="15.75" customHeight="1" x14ac:dyDescent="0.15"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55"/>
      <c r="AK516" s="55"/>
      <c r="AL516" s="55"/>
      <c r="AM516" s="55"/>
      <c r="AN516" s="55"/>
      <c r="AO516" s="55"/>
      <c r="AP516" s="55"/>
      <c r="AQ516" s="55"/>
      <c r="AR516" s="55"/>
      <c r="AS516" s="55"/>
      <c r="AT516" s="55"/>
      <c r="AU516" s="55"/>
      <c r="AV516" s="55"/>
    </row>
    <row r="517" spans="5:48" ht="15.75" customHeight="1" x14ac:dyDescent="0.15"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55"/>
      <c r="AK517" s="55"/>
      <c r="AL517" s="55"/>
      <c r="AM517" s="55"/>
      <c r="AN517" s="55"/>
      <c r="AO517" s="55"/>
      <c r="AP517" s="55"/>
      <c r="AQ517" s="55"/>
      <c r="AR517" s="55"/>
      <c r="AS517" s="55"/>
      <c r="AT517" s="55"/>
      <c r="AU517" s="55"/>
      <c r="AV517" s="55"/>
    </row>
    <row r="518" spans="5:48" ht="15.75" customHeight="1" x14ac:dyDescent="0.15"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  <c r="AH518" s="55"/>
      <c r="AI518" s="55"/>
      <c r="AJ518" s="55"/>
      <c r="AK518" s="55"/>
      <c r="AL518" s="55"/>
      <c r="AM518" s="55"/>
      <c r="AN518" s="55"/>
      <c r="AO518" s="55"/>
      <c r="AP518" s="55"/>
      <c r="AQ518" s="55"/>
      <c r="AR518" s="55"/>
      <c r="AS518" s="55"/>
      <c r="AT518" s="55"/>
      <c r="AU518" s="55"/>
      <c r="AV518" s="55"/>
    </row>
    <row r="519" spans="5:48" ht="15.75" customHeight="1" x14ac:dyDescent="0.15"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  <c r="AH519" s="55"/>
      <c r="AI519" s="55"/>
      <c r="AJ519" s="55"/>
      <c r="AK519" s="55"/>
      <c r="AL519" s="55"/>
      <c r="AM519" s="55"/>
      <c r="AN519" s="55"/>
      <c r="AO519" s="55"/>
      <c r="AP519" s="55"/>
      <c r="AQ519" s="55"/>
      <c r="AR519" s="55"/>
      <c r="AS519" s="55"/>
      <c r="AT519" s="55"/>
      <c r="AU519" s="55"/>
      <c r="AV519" s="55"/>
    </row>
    <row r="520" spans="5:48" ht="15.75" customHeight="1" x14ac:dyDescent="0.15"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  <c r="AH520" s="55"/>
      <c r="AI520" s="55"/>
      <c r="AJ520" s="55"/>
      <c r="AK520" s="55"/>
      <c r="AL520" s="55"/>
      <c r="AM520" s="55"/>
      <c r="AN520" s="55"/>
      <c r="AO520" s="55"/>
      <c r="AP520" s="55"/>
      <c r="AQ520" s="55"/>
      <c r="AR520" s="55"/>
      <c r="AS520" s="55"/>
      <c r="AT520" s="55"/>
      <c r="AU520" s="55"/>
      <c r="AV520" s="55"/>
    </row>
    <row r="521" spans="5:48" ht="15.75" customHeight="1" x14ac:dyDescent="0.15"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  <c r="AK521" s="55"/>
      <c r="AL521" s="55"/>
      <c r="AM521" s="55"/>
      <c r="AN521" s="55"/>
      <c r="AO521" s="55"/>
      <c r="AP521" s="55"/>
      <c r="AQ521" s="55"/>
      <c r="AR521" s="55"/>
      <c r="AS521" s="55"/>
      <c r="AT521" s="55"/>
      <c r="AU521" s="55"/>
      <c r="AV521" s="55"/>
    </row>
    <row r="522" spans="5:48" ht="15.75" customHeight="1" x14ac:dyDescent="0.15"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  <c r="AH522" s="55"/>
      <c r="AI522" s="55"/>
      <c r="AJ522" s="55"/>
      <c r="AK522" s="55"/>
      <c r="AL522" s="55"/>
      <c r="AM522" s="55"/>
      <c r="AN522" s="55"/>
      <c r="AO522" s="55"/>
      <c r="AP522" s="55"/>
      <c r="AQ522" s="55"/>
      <c r="AR522" s="55"/>
      <c r="AS522" s="55"/>
      <c r="AT522" s="55"/>
      <c r="AU522" s="55"/>
      <c r="AV522" s="55"/>
    </row>
    <row r="523" spans="5:48" ht="15.75" customHeight="1" x14ac:dyDescent="0.15"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55"/>
      <c r="AK523" s="55"/>
      <c r="AL523" s="55"/>
      <c r="AM523" s="55"/>
      <c r="AN523" s="55"/>
      <c r="AO523" s="55"/>
      <c r="AP523" s="55"/>
      <c r="AQ523" s="55"/>
      <c r="AR523" s="55"/>
      <c r="AS523" s="55"/>
      <c r="AT523" s="55"/>
      <c r="AU523" s="55"/>
      <c r="AV523" s="55"/>
    </row>
    <row r="524" spans="5:48" ht="15.75" customHeight="1" x14ac:dyDescent="0.15"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55"/>
      <c r="AK524" s="55"/>
      <c r="AL524" s="55"/>
      <c r="AM524" s="55"/>
      <c r="AN524" s="55"/>
      <c r="AO524" s="55"/>
      <c r="AP524" s="55"/>
      <c r="AQ524" s="55"/>
      <c r="AR524" s="55"/>
      <c r="AS524" s="55"/>
      <c r="AT524" s="55"/>
      <c r="AU524" s="55"/>
      <c r="AV524" s="55"/>
    </row>
    <row r="525" spans="5:48" ht="15.75" customHeight="1" x14ac:dyDescent="0.15"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  <c r="AH525" s="55"/>
      <c r="AI525" s="55"/>
      <c r="AJ525" s="55"/>
      <c r="AK525" s="55"/>
      <c r="AL525" s="55"/>
      <c r="AM525" s="55"/>
      <c r="AN525" s="55"/>
      <c r="AO525" s="55"/>
      <c r="AP525" s="55"/>
      <c r="AQ525" s="55"/>
      <c r="AR525" s="55"/>
      <c r="AS525" s="55"/>
      <c r="AT525" s="55"/>
      <c r="AU525" s="55"/>
      <c r="AV525" s="55"/>
    </row>
    <row r="526" spans="5:48" ht="15.75" customHeight="1" x14ac:dyDescent="0.15"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55"/>
      <c r="AK526" s="55"/>
      <c r="AL526" s="55"/>
      <c r="AM526" s="55"/>
      <c r="AN526" s="55"/>
      <c r="AO526" s="55"/>
      <c r="AP526" s="55"/>
      <c r="AQ526" s="55"/>
      <c r="AR526" s="55"/>
      <c r="AS526" s="55"/>
      <c r="AT526" s="55"/>
      <c r="AU526" s="55"/>
      <c r="AV526" s="55"/>
    </row>
    <row r="527" spans="5:48" ht="15.75" customHeight="1" x14ac:dyDescent="0.15"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  <c r="AH527" s="55"/>
      <c r="AI527" s="55"/>
      <c r="AJ527" s="55"/>
      <c r="AK527" s="55"/>
      <c r="AL527" s="55"/>
      <c r="AM527" s="55"/>
      <c r="AN527" s="55"/>
      <c r="AO527" s="55"/>
      <c r="AP527" s="55"/>
      <c r="AQ527" s="55"/>
      <c r="AR527" s="55"/>
      <c r="AS527" s="55"/>
      <c r="AT527" s="55"/>
      <c r="AU527" s="55"/>
      <c r="AV527" s="55"/>
    </row>
    <row r="528" spans="5:48" ht="15.75" customHeight="1" x14ac:dyDescent="0.15"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  <c r="AH528" s="55"/>
      <c r="AI528" s="55"/>
      <c r="AJ528" s="55"/>
      <c r="AK528" s="55"/>
      <c r="AL528" s="55"/>
      <c r="AM528" s="55"/>
      <c r="AN528" s="55"/>
      <c r="AO528" s="55"/>
      <c r="AP528" s="55"/>
      <c r="AQ528" s="55"/>
      <c r="AR528" s="55"/>
      <c r="AS528" s="55"/>
      <c r="AT528" s="55"/>
      <c r="AU528" s="55"/>
      <c r="AV528" s="55"/>
    </row>
    <row r="529" spans="5:48" ht="15.75" customHeight="1" x14ac:dyDescent="0.15"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  <c r="AH529" s="55"/>
      <c r="AI529" s="55"/>
      <c r="AJ529" s="55"/>
      <c r="AK529" s="55"/>
      <c r="AL529" s="55"/>
      <c r="AM529" s="55"/>
      <c r="AN529" s="55"/>
      <c r="AO529" s="55"/>
      <c r="AP529" s="55"/>
      <c r="AQ529" s="55"/>
      <c r="AR529" s="55"/>
      <c r="AS529" s="55"/>
      <c r="AT529" s="55"/>
      <c r="AU529" s="55"/>
      <c r="AV529" s="55"/>
    </row>
    <row r="530" spans="5:48" ht="15.75" customHeight="1" x14ac:dyDescent="0.15"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  <c r="AH530" s="55"/>
      <c r="AI530" s="55"/>
      <c r="AJ530" s="55"/>
      <c r="AK530" s="55"/>
      <c r="AL530" s="55"/>
      <c r="AM530" s="55"/>
      <c r="AN530" s="55"/>
      <c r="AO530" s="55"/>
      <c r="AP530" s="55"/>
      <c r="AQ530" s="55"/>
      <c r="AR530" s="55"/>
      <c r="AS530" s="55"/>
      <c r="AT530" s="55"/>
      <c r="AU530" s="55"/>
      <c r="AV530" s="55"/>
    </row>
    <row r="531" spans="5:48" ht="15.75" customHeight="1" x14ac:dyDescent="0.15"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  <c r="AH531" s="55"/>
      <c r="AI531" s="55"/>
      <c r="AJ531" s="55"/>
      <c r="AK531" s="55"/>
      <c r="AL531" s="55"/>
      <c r="AM531" s="55"/>
      <c r="AN531" s="55"/>
      <c r="AO531" s="55"/>
      <c r="AP531" s="55"/>
      <c r="AQ531" s="55"/>
      <c r="AR531" s="55"/>
      <c r="AS531" s="55"/>
      <c r="AT531" s="55"/>
      <c r="AU531" s="55"/>
      <c r="AV531" s="55"/>
    </row>
    <row r="532" spans="5:48" ht="15.75" customHeight="1" x14ac:dyDescent="0.15"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  <c r="AK532" s="55"/>
      <c r="AL532" s="55"/>
      <c r="AM532" s="55"/>
      <c r="AN532" s="55"/>
      <c r="AO532" s="55"/>
      <c r="AP532" s="55"/>
      <c r="AQ532" s="55"/>
      <c r="AR532" s="55"/>
      <c r="AS532" s="55"/>
      <c r="AT532" s="55"/>
      <c r="AU532" s="55"/>
      <c r="AV532" s="55"/>
    </row>
    <row r="533" spans="5:48" ht="15.75" customHeight="1" x14ac:dyDescent="0.15"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55"/>
      <c r="AK533" s="55"/>
      <c r="AL533" s="55"/>
      <c r="AM533" s="55"/>
      <c r="AN533" s="55"/>
      <c r="AO533" s="55"/>
      <c r="AP533" s="55"/>
      <c r="AQ533" s="55"/>
      <c r="AR533" s="55"/>
      <c r="AS533" s="55"/>
      <c r="AT533" s="55"/>
      <c r="AU533" s="55"/>
      <c r="AV533" s="55"/>
    </row>
    <row r="534" spans="5:48" ht="15.75" customHeight="1" x14ac:dyDescent="0.15"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  <c r="AH534" s="55"/>
      <c r="AI534" s="55"/>
      <c r="AJ534" s="55"/>
      <c r="AK534" s="55"/>
      <c r="AL534" s="55"/>
      <c r="AM534" s="55"/>
      <c r="AN534" s="55"/>
      <c r="AO534" s="55"/>
      <c r="AP534" s="55"/>
      <c r="AQ534" s="55"/>
      <c r="AR534" s="55"/>
      <c r="AS534" s="55"/>
      <c r="AT534" s="55"/>
      <c r="AU534" s="55"/>
      <c r="AV534" s="55"/>
    </row>
    <row r="535" spans="5:48" ht="15.75" customHeight="1" x14ac:dyDescent="0.15"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  <c r="AH535" s="55"/>
      <c r="AI535" s="55"/>
      <c r="AJ535" s="55"/>
      <c r="AK535" s="55"/>
      <c r="AL535" s="55"/>
      <c r="AM535" s="55"/>
      <c r="AN535" s="55"/>
      <c r="AO535" s="55"/>
      <c r="AP535" s="55"/>
      <c r="AQ535" s="55"/>
      <c r="AR535" s="55"/>
      <c r="AS535" s="55"/>
      <c r="AT535" s="55"/>
      <c r="AU535" s="55"/>
      <c r="AV535" s="55"/>
    </row>
    <row r="536" spans="5:48" ht="15.75" customHeight="1" x14ac:dyDescent="0.15"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  <c r="AH536" s="55"/>
      <c r="AI536" s="55"/>
      <c r="AJ536" s="55"/>
      <c r="AK536" s="55"/>
      <c r="AL536" s="55"/>
      <c r="AM536" s="55"/>
      <c r="AN536" s="55"/>
      <c r="AO536" s="55"/>
      <c r="AP536" s="55"/>
      <c r="AQ536" s="55"/>
      <c r="AR536" s="55"/>
      <c r="AS536" s="55"/>
      <c r="AT536" s="55"/>
      <c r="AU536" s="55"/>
      <c r="AV536" s="55"/>
    </row>
    <row r="537" spans="5:48" ht="15.75" customHeight="1" x14ac:dyDescent="0.15"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  <c r="AH537" s="55"/>
      <c r="AI537" s="55"/>
      <c r="AJ537" s="55"/>
      <c r="AK537" s="55"/>
      <c r="AL537" s="55"/>
      <c r="AM537" s="55"/>
      <c r="AN537" s="55"/>
      <c r="AO537" s="55"/>
      <c r="AP537" s="55"/>
      <c r="AQ537" s="55"/>
      <c r="AR537" s="55"/>
      <c r="AS537" s="55"/>
      <c r="AT537" s="55"/>
      <c r="AU537" s="55"/>
      <c r="AV537" s="55"/>
    </row>
    <row r="538" spans="5:48" ht="15.75" customHeight="1" x14ac:dyDescent="0.15"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  <c r="AH538" s="55"/>
      <c r="AI538" s="55"/>
      <c r="AJ538" s="55"/>
      <c r="AK538" s="55"/>
      <c r="AL538" s="55"/>
      <c r="AM538" s="55"/>
      <c r="AN538" s="55"/>
      <c r="AO538" s="55"/>
      <c r="AP538" s="55"/>
      <c r="AQ538" s="55"/>
      <c r="AR538" s="55"/>
      <c r="AS538" s="55"/>
      <c r="AT538" s="55"/>
      <c r="AU538" s="55"/>
      <c r="AV538" s="55"/>
    </row>
    <row r="539" spans="5:48" ht="15.75" customHeight="1" x14ac:dyDescent="0.15"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55"/>
      <c r="AK539" s="55"/>
      <c r="AL539" s="55"/>
      <c r="AM539" s="55"/>
      <c r="AN539" s="55"/>
      <c r="AO539" s="55"/>
      <c r="AP539" s="55"/>
      <c r="AQ539" s="55"/>
      <c r="AR539" s="55"/>
      <c r="AS539" s="55"/>
      <c r="AT539" s="55"/>
      <c r="AU539" s="55"/>
      <c r="AV539" s="55"/>
    </row>
    <row r="540" spans="5:48" ht="15.75" customHeight="1" x14ac:dyDescent="0.15"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55"/>
      <c r="AK540" s="55"/>
      <c r="AL540" s="55"/>
      <c r="AM540" s="55"/>
      <c r="AN540" s="55"/>
      <c r="AO540" s="55"/>
      <c r="AP540" s="55"/>
      <c r="AQ540" s="55"/>
      <c r="AR540" s="55"/>
      <c r="AS540" s="55"/>
      <c r="AT540" s="55"/>
      <c r="AU540" s="55"/>
      <c r="AV540" s="55"/>
    </row>
    <row r="541" spans="5:48" ht="15.75" customHeight="1" x14ac:dyDescent="0.15"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  <c r="AH541" s="55"/>
      <c r="AI541" s="55"/>
      <c r="AJ541" s="55"/>
      <c r="AK541" s="55"/>
      <c r="AL541" s="55"/>
      <c r="AM541" s="55"/>
      <c r="AN541" s="55"/>
      <c r="AO541" s="55"/>
      <c r="AP541" s="55"/>
      <c r="AQ541" s="55"/>
      <c r="AR541" s="55"/>
      <c r="AS541" s="55"/>
      <c r="AT541" s="55"/>
      <c r="AU541" s="55"/>
      <c r="AV541" s="55"/>
    </row>
    <row r="542" spans="5:48" ht="15.75" customHeight="1" x14ac:dyDescent="0.15"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  <c r="AH542" s="55"/>
      <c r="AI542" s="55"/>
      <c r="AJ542" s="55"/>
      <c r="AK542" s="55"/>
      <c r="AL542" s="55"/>
      <c r="AM542" s="55"/>
      <c r="AN542" s="55"/>
      <c r="AO542" s="55"/>
      <c r="AP542" s="55"/>
      <c r="AQ542" s="55"/>
      <c r="AR542" s="55"/>
      <c r="AS542" s="55"/>
      <c r="AT542" s="55"/>
      <c r="AU542" s="55"/>
      <c r="AV542" s="55"/>
    </row>
    <row r="543" spans="5:48" ht="15.75" customHeight="1" x14ac:dyDescent="0.15"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  <c r="AH543" s="55"/>
      <c r="AI543" s="55"/>
      <c r="AJ543" s="55"/>
      <c r="AK543" s="55"/>
      <c r="AL543" s="55"/>
      <c r="AM543" s="55"/>
      <c r="AN543" s="55"/>
      <c r="AO543" s="55"/>
      <c r="AP543" s="55"/>
      <c r="AQ543" s="55"/>
      <c r="AR543" s="55"/>
      <c r="AS543" s="55"/>
      <c r="AT543" s="55"/>
      <c r="AU543" s="55"/>
      <c r="AV543" s="55"/>
    </row>
    <row r="544" spans="5:48" ht="15.75" customHeight="1" x14ac:dyDescent="0.15"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  <c r="AH544" s="55"/>
      <c r="AI544" s="55"/>
      <c r="AJ544" s="55"/>
      <c r="AK544" s="55"/>
      <c r="AL544" s="55"/>
      <c r="AM544" s="55"/>
      <c r="AN544" s="55"/>
      <c r="AO544" s="55"/>
      <c r="AP544" s="55"/>
      <c r="AQ544" s="55"/>
      <c r="AR544" s="55"/>
      <c r="AS544" s="55"/>
      <c r="AT544" s="55"/>
      <c r="AU544" s="55"/>
      <c r="AV544" s="55"/>
    </row>
    <row r="545" spans="5:48" ht="15.75" customHeight="1" x14ac:dyDescent="0.15"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  <c r="AH545" s="55"/>
      <c r="AI545" s="55"/>
      <c r="AJ545" s="55"/>
      <c r="AK545" s="55"/>
      <c r="AL545" s="55"/>
      <c r="AM545" s="55"/>
      <c r="AN545" s="55"/>
      <c r="AO545" s="55"/>
      <c r="AP545" s="55"/>
      <c r="AQ545" s="55"/>
      <c r="AR545" s="55"/>
      <c r="AS545" s="55"/>
      <c r="AT545" s="55"/>
      <c r="AU545" s="55"/>
      <c r="AV545" s="55"/>
    </row>
    <row r="546" spans="5:48" ht="15.75" customHeight="1" x14ac:dyDescent="0.15"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  <c r="AH546" s="55"/>
      <c r="AI546" s="55"/>
      <c r="AJ546" s="55"/>
      <c r="AK546" s="55"/>
      <c r="AL546" s="55"/>
      <c r="AM546" s="55"/>
      <c r="AN546" s="55"/>
      <c r="AO546" s="55"/>
      <c r="AP546" s="55"/>
      <c r="AQ546" s="55"/>
      <c r="AR546" s="55"/>
      <c r="AS546" s="55"/>
      <c r="AT546" s="55"/>
      <c r="AU546" s="55"/>
      <c r="AV546" s="55"/>
    </row>
    <row r="547" spans="5:48" ht="15.75" customHeight="1" x14ac:dyDescent="0.15"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  <c r="AH547" s="55"/>
      <c r="AI547" s="55"/>
      <c r="AJ547" s="55"/>
      <c r="AK547" s="55"/>
      <c r="AL547" s="55"/>
      <c r="AM547" s="55"/>
      <c r="AN547" s="55"/>
      <c r="AO547" s="55"/>
      <c r="AP547" s="55"/>
      <c r="AQ547" s="55"/>
      <c r="AR547" s="55"/>
      <c r="AS547" s="55"/>
      <c r="AT547" s="55"/>
      <c r="AU547" s="55"/>
      <c r="AV547" s="55"/>
    </row>
    <row r="548" spans="5:48" ht="15.75" customHeight="1" x14ac:dyDescent="0.15"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  <c r="AH548" s="55"/>
      <c r="AI548" s="55"/>
      <c r="AJ548" s="55"/>
      <c r="AK548" s="55"/>
      <c r="AL548" s="55"/>
      <c r="AM548" s="55"/>
      <c r="AN548" s="55"/>
      <c r="AO548" s="55"/>
      <c r="AP548" s="55"/>
      <c r="AQ548" s="55"/>
      <c r="AR548" s="55"/>
      <c r="AS548" s="55"/>
      <c r="AT548" s="55"/>
      <c r="AU548" s="55"/>
      <c r="AV548" s="55"/>
    </row>
    <row r="549" spans="5:48" ht="15.75" customHeight="1" x14ac:dyDescent="0.15"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  <c r="AH549" s="55"/>
      <c r="AI549" s="55"/>
      <c r="AJ549" s="55"/>
      <c r="AK549" s="55"/>
      <c r="AL549" s="55"/>
      <c r="AM549" s="55"/>
      <c r="AN549" s="55"/>
      <c r="AO549" s="55"/>
      <c r="AP549" s="55"/>
      <c r="AQ549" s="55"/>
      <c r="AR549" s="55"/>
      <c r="AS549" s="55"/>
      <c r="AT549" s="55"/>
      <c r="AU549" s="55"/>
      <c r="AV549" s="55"/>
    </row>
    <row r="550" spans="5:48" ht="15.75" customHeight="1" x14ac:dyDescent="0.15"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  <c r="AH550" s="55"/>
      <c r="AI550" s="55"/>
      <c r="AJ550" s="55"/>
      <c r="AK550" s="55"/>
      <c r="AL550" s="55"/>
      <c r="AM550" s="55"/>
      <c r="AN550" s="55"/>
      <c r="AO550" s="55"/>
      <c r="AP550" s="55"/>
      <c r="AQ550" s="55"/>
      <c r="AR550" s="55"/>
      <c r="AS550" s="55"/>
      <c r="AT550" s="55"/>
      <c r="AU550" s="55"/>
      <c r="AV550" s="55"/>
    </row>
    <row r="551" spans="5:48" ht="15.75" customHeight="1" x14ac:dyDescent="0.15"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  <c r="AH551" s="55"/>
      <c r="AI551" s="55"/>
      <c r="AJ551" s="55"/>
      <c r="AK551" s="55"/>
      <c r="AL551" s="55"/>
      <c r="AM551" s="55"/>
      <c r="AN551" s="55"/>
      <c r="AO551" s="55"/>
      <c r="AP551" s="55"/>
      <c r="AQ551" s="55"/>
      <c r="AR551" s="55"/>
      <c r="AS551" s="55"/>
      <c r="AT551" s="55"/>
      <c r="AU551" s="55"/>
      <c r="AV551" s="55"/>
    </row>
    <row r="552" spans="5:48" ht="15.75" customHeight="1" x14ac:dyDescent="0.15"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  <c r="AH552" s="55"/>
      <c r="AI552" s="55"/>
      <c r="AJ552" s="55"/>
      <c r="AK552" s="55"/>
      <c r="AL552" s="55"/>
      <c r="AM552" s="55"/>
      <c r="AN552" s="55"/>
      <c r="AO552" s="55"/>
      <c r="AP552" s="55"/>
      <c r="AQ552" s="55"/>
      <c r="AR552" s="55"/>
      <c r="AS552" s="55"/>
      <c r="AT552" s="55"/>
      <c r="AU552" s="55"/>
      <c r="AV552" s="55"/>
    </row>
    <row r="553" spans="5:48" ht="15.75" customHeight="1" x14ac:dyDescent="0.15"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  <c r="AH553" s="55"/>
      <c r="AI553" s="55"/>
      <c r="AJ553" s="55"/>
      <c r="AK553" s="55"/>
      <c r="AL553" s="55"/>
      <c r="AM553" s="55"/>
      <c r="AN553" s="55"/>
      <c r="AO553" s="55"/>
      <c r="AP553" s="55"/>
      <c r="AQ553" s="55"/>
      <c r="AR553" s="55"/>
      <c r="AS553" s="55"/>
      <c r="AT553" s="55"/>
      <c r="AU553" s="55"/>
      <c r="AV553" s="55"/>
    </row>
    <row r="554" spans="5:48" ht="15.75" customHeight="1" x14ac:dyDescent="0.15"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55"/>
      <c r="AK554" s="55"/>
      <c r="AL554" s="55"/>
      <c r="AM554" s="55"/>
      <c r="AN554" s="55"/>
      <c r="AO554" s="55"/>
      <c r="AP554" s="55"/>
      <c r="AQ554" s="55"/>
      <c r="AR554" s="55"/>
      <c r="AS554" s="55"/>
      <c r="AT554" s="55"/>
      <c r="AU554" s="55"/>
      <c r="AV554" s="55"/>
    </row>
    <row r="555" spans="5:48" ht="15.75" customHeight="1" x14ac:dyDescent="0.15"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  <c r="AH555" s="55"/>
      <c r="AI555" s="55"/>
      <c r="AJ555" s="55"/>
      <c r="AK555" s="55"/>
      <c r="AL555" s="55"/>
      <c r="AM555" s="55"/>
      <c r="AN555" s="55"/>
      <c r="AO555" s="55"/>
      <c r="AP555" s="55"/>
      <c r="AQ555" s="55"/>
      <c r="AR555" s="55"/>
      <c r="AS555" s="55"/>
      <c r="AT555" s="55"/>
      <c r="AU555" s="55"/>
      <c r="AV555" s="55"/>
    </row>
    <row r="556" spans="5:48" ht="15.75" customHeight="1" x14ac:dyDescent="0.15"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  <c r="AH556" s="55"/>
      <c r="AI556" s="55"/>
      <c r="AJ556" s="55"/>
      <c r="AK556" s="55"/>
      <c r="AL556" s="55"/>
      <c r="AM556" s="55"/>
      <c r="AN556" s="55"/>
      <c r="AO556" s="55"/>
      <c r="AP556" s="55"/>
      <c r="AQ556" s="55"/>
      <c r="AR556" s="55"/>
      <c r="AS556" s="55"/>
      <c r="AT556" s="55"/>
      <c r="AU556" s="55"/>
      <c r="AV556" s="55"/>
    </row>
    <row r="557" spans="5:48" ht="15.75" customHeight="1" x14ac:dyDescent="0.15"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  <c r="AH557" s="55"/>
      <c r="AI557" s="55"/>
      <c r="AJ557" s="55"/>
      <c r="AK557" s="55"/>
      <c r="AL557" s="55"/>
      <c r="AM557" s="55"/>
      <c r="AN557" s="55"/>
      <c r="AO557" s="55"/>
      <c r="AP557" s="55"/>
      <c r="AQ557" s="55"/>
      <c r="AR557" s="55"/>
      <c r="AS557" s="55"/>
      <c r="AT557" s="55"/>
      <c r="AU557" s="55"/>
      <c r="AV557" s="55"/>
    </row>
    <row r="558" spans="5:48" ht="15.75" customHeight="1" x14ac:dyDescent="0.15"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  <c r="AH558" s="55"/>
      <c r="AI558" s="55"/>
      <c r="AJ558" s="55"/>
      <c r="AK558" s="55"/>
      <c r="AL558" s="55"/>
      <c r="AM558" s="55"/>
      <c r="AN558" s="55"/>
      <c r="AO558" s="55"/>
      <c r="AP558" s="55"/>
      <c r="AQ558" s="55"/>
      <c r="AR558" s="55"/>
      <c r="AS558" s="55"/>
      <c r="AT558" s="55"/>
      <c r="AU558" s="55"/>
      <c r="AV558" s="55"/>
    </row>
    <row r="559" spans="5:48" ht="15.75" customHeight="1" x14ac:dyDescent="0.15"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  <c r="AH559" s="55"/>
      <c r="AI559" s="55"/>
      <c r="AJ559" s="55"/>
      <c r="AK559" s="55"/>
      <c r="AL559" s="55"/>
      <c r="AM559" s="55"/>
      <c r="AN559" s="55"/>
      <c r="AO559" s="55"/>
      <c r="AP559" s="55"/>
      <c r="AQ559" s="55"/>
      <c r="AR559" s="55"/>
      <c r="AS559" s="55"/>
      <c r="AT559" s="55"/>
      <c r="AU559" s="55"/>
      <c r="AV559" s="55"/>
    </row>
    <row r="560" spans="5:48" ht="15.75" customHeight="1" x14ac:dyDescent="0.15"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  <c r="AH560" s="55"/>
      <c r="AI560" s="55"/>
      <c r="AJ560" s="55"/>
      <c r="AK560" s="55"/>
      <c r="AL560" s="55"/>
      <c r="AM560" s="55"/>
      <c r="AN560" s="55"/>
      <c r="AO560" s="55"/>
      <c r="AP560" s="55"/>
      <c r="AQ560" s="55"/>
      <c r="AR560" s="55"/>
      <c r="AS560" s="55"/>
      <c r="AT560" s="55"/>
      <c r="AU560" s="55"/>
      <c r="AV560" s="55"/>
    </row>
    <row r="561" spans="5:48" ht="15.75" customHeight="1" x14ac:dyDescent="0.15"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  <c r="AH561" s="55"/>
      <c r="AI561" s="55"/>
      <c r="AJ561" s="55"/>
      <c r="AK561" s="55"/>
      <c r="AL561" s="55"/>
      <c r="AM561" s="55"/>
      <c r="AN561" s="55"/>
      <c r="AO561" s="55"/>
      <c r="AP561" s="55"/>
      <c r="AQ561" s="55"/>
      <c r="AR561" s="55"/>
      <c r="AS561" s="55"/>
      <c r="AT561" s="55"/>
      <c r="AU561" s="55"/>
      <c r="AV561" s="55"/>
    </row>
    <row r="562" spans="5:48" ht="15.75" customHeight="1" x14ac:dyDescent="0.15"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  <c r="AH562" s="55"/>
      <c r="AI562" s="55"/>
      <c r="AJ562" s="55"/>
      <c r="AK562" s="55"/>
      <c r="AL562" s="55"/>
      <c r="AM562" s="55"/>
      <c r="AN562" s="55"/>
      <c r="AO562" s="55"/>
      <c r="AP562" s="55"/>
      <c r="AQ562" s="55"/>
      <c r="AR562" s="55"/>
      <c r="AS562" s="55"/>
      <c r="AT562" s="55"/>
      <c r="AU562" s="55"/>
      <c r="AV562" s="55"/>
    </row>
    <row r="563" spans="5:48" ht="15.75" customHeight="1" x14ac:dyDescent="0.15"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  <c r="AH563" s="55"/>
      <c r="AI563" s="55"/>
      <c r="AJ563" s="55"/>
      <c r="AK563" s="55"/>
      <c r="AL563" s="55"/>
      <c r="AM563" s="55"/>
      <c r="AN563" s="55"/>
      <c r="AO563" s="55"/>
      <c r="AP563" s="55"/>
      <c r="AQ563" s="55"/>
      <c r="AR563" s="55"/>
      <c r="AS563" s="55"/>
      <c r="AT563" s="55"/>
      <c r="AU563" s="55"/>
      <c r="AV563" s="55"/>
    </row>
    <row r="564" spans="5:48" ht="15.75" customHeight="1" x14ac:dyDescent="0.15"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  <c r="AH564" s="55"/>
      <c r="AI564" s="55"/>
      <c r="AJ564" s="55"/>
      <c r="AK564" s="55"/>
      <c r="AL564" s="55"/>
      <c r="AM564" s="55"/>
      <c r="AN564" s="55"/>
      <c r="AO564" s="55"/>
      <c r="AP564" s="55"/>
      <c r="AQ564" s="55"/>
      <c r="AR564" s="55"/>
      <c r="AS564" s="55"/>
      <c r="AT564" s="55"/>
      <c r="AU564" s="55"/>
      <c r="AV564" s="55"/>
    </row>
    <row r="565" spans="5:48" ht="15.75" customHeight="1" x14ac:dyDescent="0.15"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  <c r="AH565" s="55"/>
      <c r="AI565" s="55"/>
      <c r="AJ565" s="55"/>
      <c r="AK565" s="55"/>
      <c r="AL565" s="55"/>
      <c r="AM565" s="55"/>
      <c r="AN565" s="55"/>
      <c r="AO565" s="55"/>
      <c r="AP565" s="55"/>
      <c r="AQ565" s="55"/>
      <c r="AR565" s="55"/>
      <c r="AS565" s="55"/>
      <c r="AT565" s="55"/>
      <c r="AU565" s="55"/>
      <c r="AV565" s="55"/>
    </row>
    <row r="566" spans="5:48" ht="15.75" customHeight="1" x14ac:dyDescent="0.15"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  <c r="AH566" s="55"/>
      <c r="AI566" s="55"/>
      <c r="AJ566" s="55"/>
      <c r="AK566" s="55"/>
      <c r="AL566" s="55"/>
      <c r="AM566" s="55"/>
      <c r="AN566" s="55"/>
      <c r="AO566" s="55"/>
      <c r="AP566" s="55"/>
      <c r="AQ566" s="55"/>
      <c r="AR566" s="55"/>
      <c r="AS566" s="55"/>
      <c r="AT566" s="55"/>
      <c r="AU566" s="55"/>
      <c r="AV566" s="55"/>
    </row>
    <row r="567" spans="5:48" ht="15.75" customHeight="1" x14ac:dyDescent="0.15"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  <c r="AH567" s="55"/>
      <c r="AI567" s="55"/>
      <c r="AJ567" s="55"/>
      <c r="AK567" s="55"/>
      <c r="AL567" s="55"/>
      <c r="AM567" s="55"/>
      <c r="AN567" s="55"/>
      <c r="AO567" s="55"/>
      <c r="AP567" s="55"/>
      <c r="AQ567" s="55"/>
      <c r="AR567" s="55"/>
      <c r="AS567" s="55"/>
      <c r="AT567" s="55"/>
      <c r="AU567" s="55"/>
      <c r="AV567" s="55"/>
    </row>
    <row r="568" spans="5:48" ht="15.75" customHeight="1" x14ac:dyDescent="0.15"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  <c r="AH568" s="55"/>
      <c r="AI568" s="55"/>
      <c r="AJ568" s="55"/>
      <c r="AK568" s="55"/>
      <c r="AL568" s="55"/>
      <c r="AM568" s="55"/>
      <c r="AN568" s="55"/>
      <c r="AO568" s="55"/>
      <c r="AP568" s="55"/>
      <c r="AQ568" s="55"/>
      <c r="AR568" s="55"/>
      <c r="AS568" s="55"/>
      <c r="AT568" s="55"/>
      <c r="AU568" s="55"/>
      <c r="AV568" s="55"/>
    </row>
    <row r="569" spans="5:48" ht="15.75" customHeight="1" x14ac:dyDescent="0.15"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  <c r="AH569" s="55"/>
      <c r="AI569" s="55"/>
      <c r="AJ569" s="55"/>
      <c r="AK569" s="55"/>
      <c r="AL569" s="55"/>
      <c r="AM569" s="55"/>
      <c r="AN569" s="55"/>
      <c r="AO569" s="55"/>
      <c r="AP569" s="55"/>
      <c r="AQ569" s="55"/>
      <c r="AR569" s="55"/>
      <c r="AS569" s="55"/>
      <c r="AT569" s="55"/>
      <c r="AU569" s="55"/>
      <c r="AV569" s="55"/>
    </row>
    <row r="570" spans="5:48" ht="15.75" customHeight="1" x14ac:dyDescent="0.15"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  <c r="AH570" s="55"/>
      <c r="AI570" s="55"/>
      <c r="AJ570" s="55"/>
      <c r="AK570" s="55"/>
      <c r="AL570" s="55"/>
      <c r="AM570" s="55"/>
      <c r="AN570" s="55"/>
      <c r="AO570" s="55"/>
      <c r="AP570" s="55"/>
      <c r="AQ570" s="55"/>
      <c r="AR570" s="55"/>
      <c r="AS570" s="55"/>
      <c r="AT570" s="55"/>
      <c r="AU570" s="55"/>
      <c r="AV570" s="55"/>
    </row>
    <row r="571" spans="5:48" ht="15.75" customHeight="1" x14ac:dyDescent="0.15"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55"/>
      <c r="AK571" s="55"/>
      <c r="AL571" s="55"/>
      <c r="AM571" s="55"/>
      <c r="AN571" s="55"/>
      <c r="AO571" s="55"/>
      <c r="AP571" s="55"/>
      <c r="AQ571" s="55"/>
      <c r="AR571" s="55"/>
      <c r="AS571" s="55"/>
      <c r="AT571" s="55"/>
      <c r="AU571" s="55"/>
      <c r="AV571" s="55"/>
    </row>
    <row r="572" spans="5:48" ht="15.75" customHeight="1" x14ac:dyDescent="0.15"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  <c r="AM572" s="55"/>
      <c r="AN572" s="55"/>
      <c r="AO572" s="55"/>
      <c r="AP572" s="55"/>
      <c r="AQ572" s="55"/>
      <c r="AR572" s="55"/>
      <c r="AS572" s="55"/>
      <c r="AT572" s="55"/>
      <c r="AU572" s="55"/>
      <c r="AV572" s="55"/>
    </row>
    <row r="573" spans="5:48" ht="15.75" customHeight="1" x14ac:dyDescent="0.15"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  <c r="AH573" s="55"/>
      <c r="AI573" s="55"/>
      <c r="AJ573" s="55"/>
      <c r="AK573" s="55"/>
      <c r="AL573" s="55"/>
      <c r="AM573" s="55"/>
      <c r="AN573" s="55"/>
      <c r="AO573" s="55"/>
      <c r="AP573" s="55"/>
      <c r="AQ573" s="55"/>
      <c r="AR573" s="55"/>
      <c r="AS573" s="55"/>
      <c r="AT573" s="55"/>
      <c r="AU573" s="55"/>
      <c r="AV573" s="55"/>
    </row>
    <row r="574" spans="5:48" ht="15.75" customHeight="1" x14ac:dyDescent="0.15"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  <c r="AH574" s="55"/>
      <c r="AI574" s="55"/>
      <c r="AJ574" s="55"/>
      <c r="AK574" s="55"/>
      <c r="AL574" s="55"/>
      <c r="AM574" s="55"/>
      <c r="AN574" s="55"/>
      <c r="AO574" s="55"/>
      <c r="AP574" s="55"/>
      <c r="AQ574" s="55"/>
      <c r="AR574" s="55"/>
      <c r="AS574" s="55"/>
      <c r="AT574" s="55"/>
      <c r="AU574" s="55"/>
      <c r="AV574" s="55"/>
    </row>
    <row r="575" spans="5:48" ht="15.75" customHeight="1" x14ac:dyDescent="0.15"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  <c r="AH575" s="55"/>
      <c r="AI575" s="55"/>
      <c r="AJ575" s="55"/>
      <c r="AK575" s="55"/>
      <c r="AL575" s="55"/>
      <c r="AM575" s="55"/>
      <c r="AN575" s="55"/>
      <c r="AO575" s="55"/>
      <c r="AP575" s="55"/>
      <c r="AQ575" s="55"/>
      <c r="AR575" s="55"/>
      <c r="AS575" s="55"/>
      <c r="AT575" s="55"/>
      <c r="AU575" s="55"/>
      <c r="AV575" s="55"/>
    </row>
    <row r="576" spans="5:48" ht="15.75" customHeight="1" x14ac:dyDescent="0.15"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  <c r="AH576" s="55"/>
      <c r="AI576" s="55"/>
      <c r="AJ576" s="55"/>
      <c r="AK576" s="55"/>
      <c r="AL576" s="55"/>
      <c r="AM576" s="55"/>
      <c r="AN576" s="55"/>
      <c r="AO576" s="55"/>
      <c r="AP576" s="55"/>
      <c r="AQ576" s="55"/>
      <c r="AR576" s="55"/>
      <c r="AS576" s="55"/>
      <c r="AT576" s="55"/>
      <c r="AU576" s="55"/>
      <c r="AV576" s="55"/>
    </row>
    <row r="577" spans="5:48" ht="15.75" customHeight="1" x14ac:dyDescent="0.15"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  <c r="AH577" s="55"/>
      <c r="AI577" s="55"/>
      <c r="AJ577" s="55"/>
      <c r="AK577" s="55"/>
      <c r="AL577" s="55"/>
      <c r="AM577" s="55"/>
      <c r="AN577" s="55"/>
      <c r="AO577" s="55"/>
      <c r="AP577" s="55"/>
      <c r="AQ577" s="55"/>
      <c r="AR577" s="55"/>
      <c r="AS577" s="55"/>
      <c r="AT577" s="55"/>
      <c r="AU577" s="55"/>
      <c r="AV577" s="55"/>
    </row>
    <row r="578" spans="5:48" ht="15.75" customHeight="1" x14ac:dyDescent="0.15"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  <c r="AH578" s="55"/>
      <c r="AI578" s="55"/>
      <c r="AJ578" s="55"/>
      <c r="AK578" s="55"/>
      <c r="AL578" s="55"/>
      <c r="AM578" s="55"/>
      <c r="AN578" s="55"/>
      <c r="AO578" s="55"/>
      <c r="AP578" s="55"/>
      <c r="AQ578" s="55"/>
      <c r="AR578" s="55"/>
      <c r="AS578" s="55"/>
      <c r="AT578" s="55"/>
      <c r="AU578" s="55"/>
      <c r="AV578" s="55"/>
    </row>
    <row r="579" spans="5:48" ht="15.75" customHeight="1" x14ac:dyDescent="0.15"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  <c r="AH579" s="55"/>
      <c r="AI579" s="55"/>
      <c r="AJ579" s="55"/>
      <c r="AK579" s="55"/>
      <c r="AL579" s="55"/>
      <c r="AM579" s="55"/>
      <c r="AN579" s="55"/>
      <c r="AO579" s="55"/>
      <c r="AP579" s="55"/>
      <c r="AQ579" s="55"/>
      <c r="AR579" s="55"/>
      <c r="AS579" s="55"/>
      <c r="AT579" s="55"/>
      <c r="AU579" s="55"/>
      <c r="AV579" s="55"/>
    </row>
    <row r="580" spans="5:48" ht="15.75" customHeight="1" x14ac:dyDescent="0.15"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  <c r="AH580" s="55"/>
      <c r="AI580" s="55"/>
      <c r="AJ580" s="55"/>
      <c r="AK580" s="55"/>
      <c r="AL580" s="55"/>
      <c r="AM580" s="55"/>
      <c r="AN580" s="55"/>
      <c r="AO580" s="55"/>
      <c r="AP580" s="55"/>
      <c r="AQ580" s="55"/>
      <c r="AR580" s="55"/>
      <c r="AS580" s="55"/>
      <c r="AT580" s="55"/>
      <c r="AU580" s="55"/>
      <c r="AV580" s="55"/>
    </row>
    <row r="581" spans="5:48" ht="15.75" customHeight="1" x14ac:dyDescent="0.15"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  <c r="AH581" s="55"/>
      <c r="AI581" s="55"/>
      <c r="AJ581" s="55"/>
      <c r="AK581" s="55"/>
      <c r="AL581" s="55"/>
      <c r="AM581" s="55"/>
      <c r="AN581" s="55"/>
      <c r="AO581" s="55"/>
      <c r="AP581" s="55"/>
      <c r="AQ581" s="55"/>
      <c r="AR581" s="55"/>
      <c r="AS581" s="55"/>
      <c r="AT581" s="55"/>
      <c r="AU581" s="55"/>
      <c r="AV581" s="55"/>
    </row>
    <row r="582" spans="5:48" ht="15.75" customHeight="1" x14ac:dyDescent="0.15"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  <c r="AH582" s="55"/>
      <c r="AI582" s="55"/>
      <c r="AJ582" s="55"/>
      <c r="AK582" s="55"/>
      <c r="AL582" s="55"/>
      <c r="AM582" s="55"/>
      <c r="AN582" s="55"/>
      <c r="AO582" s="55"/>
      <c r="AP582" s="55"/>
      <c r="AQ582" s="55"/>
      <c r="AR582" s="55"/>
      <c r="AS582" s="55"/>
      <c r="AT582" s="55"/>
      <c r="AU582" s="55"/>
      <c r="AV582" s="55"/>
    </row>
    <row r="583" spans="5:48" ht="15.75" customHeight="1" x14ac:dyDescent="0.15"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  <c r="AH583" s="55"/>
      <c r="AI583" s="55"/>
      <c r="AJ583" s="55"/>
      <c r="AK583" s="55"/>
      <c r="AL583" s="55"/>
      <c r="AM583" s="55"/>
      <c r="AN583" s="55"/>
      <c r="AO583" s="55"/>
      <c r="AP583" s="55"/>
      <c r="AQ583" s="55"/>
      <c r="AR583" s="55"/>
      <c r="AS583" s="55"/>
      <c r="AT583" s="55"/>
      <c r="AU583" s="55"/>
      <c r="AV583" s="55"/>
    </row>
    <row r="584" spans="5:48" ht="15.75" customHeight="1" x14ac:dyDescent="0.15"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  <c r="AH584" s="55"/>
      <c r="AI584" s="55"/>
      <c r="AJ584" s="55"/>
      <c r="AK584" s="55"/>
      <c r="AL584" s="55"/>
      <c r="AM584" s="55"/>
      <c r="AN584" s="55"/>
      <c r="AO584" s="55"/>
      <c r="AP584" s="55"/>
      <c r="AQ584" s="55"/>
      <c r="AR584" s="55"/>
      <c r="AS584" s="55"/>
      <c r="AT584" s="55"/>
      <c r="AU584" s="55"/>
      <c r="AV584" s="55"/>
    </row>
    <row r="585" spans="5:48" ht="15.75" customHeight="1" x14ac:dyDescent="0.15"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  <c r="AH585" s="55"/>
      <c r="AI585" s="55"/>
      <c r="AJ585" s="55"/>
      <c r="AK585" s="55"/>
      <c r="AL585" s="55"/>
      <c r="AM585" s="55"/>
      <c r="AN585" s="55"/>
      <c r="AO585" s="55"/>
      <c r="AP585" s="55"/>
      <c r="AQ585" s="55"/>
      <c r="AR585" s="55"/>
      <c r="AS585" s="55"/>
      <c r="AT585" s="55"/>
      <c r="AU585" s="55"/>
      <c r="AV585" s="55"/>
    </row>
    <row r="586" spans="5:48" ht="15.75" customHeight="1" x14ac:dyDescent="0.15"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  <c r="AH586" s="55"/>
      <c r="AI586" s="55"/>
      <c r="AJ586" s="55"/>
      <c r="AK586" s="55"/>
      <c r="AL586" s="55"/>
      <c r="AM586" s="55"/>
      <c r="AN586" s="55"/>
      <c r="AO586" s="55"/>
      <c r="AP586" s="55"/>
      <c r="AQ586" s="55"/>
      <c r="AR586" s="55"/>
      <c r="AS586" s="55"/>
      <c r="AT586" s="55"/>
      <c r="AU586" s="55"/>
      <c r="AV586" s="55"/>
    </row>
    <row r="587" spans="5:48" ht="15.75" customHeight="1" x14ac:dyDescent="0.15"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  <c r="AH587" s="55"/>
      <c r="AI587" s="55"/>
      <c r="AJ587" s="55"/>
      <c r="AK587" s="55"/>
      <c r="AL587" s="55"/>
      <c r="AM587" s="55"/>
      <c r="AN587" s="55"/>
      <c r="AO587" s="55"/>
      <c r="AP587" s="55"/>
      <c r="AQ587" s="55"/>
      <c r="AR587" s="55"/>
      <c r="AS587" s="55"/>
      <c r="AT587" s="55"/>
      <c r="AU587" s="55"/>
      <c r="AV587" s="55"/>
    </row>
    <row r="588" spans="5:48" ht="15.75" customHeight="1" x14ac:dyDescent="0.15"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  <c r="AH588" s="55"/>
      <c r="AI588" s="55"/>
      <c r="AJ588" s="55"/>
      <c r="AK588" s="55"/>
      <c r="AL588" s="55"/>
      <c r="AM588" s="55"/>
      <c r="AN588" s="55"/>
      <c r="AO588" s="55"/>
      <c r="AP588" s="55"/>
      <c r="AQ588" s="55"/>
      <c r="AR588" s="55"/>
      <c r="AS588" s="55"/>
      <c r="AT588" s="55"/>
      <c r="AU588" s="55"/>
      <c r="AV588" s="55"/>
    </row>
    <row r="589" spans="5:48" ht="15.75" customHeight="1" x14ac:dyDescent="0.15"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  <c r="AH589" s="55"/>
      <c r="AI589" s="55"/>
      <c r="AJ589" s="55"/>
      <c r="AK589" s="55"/>
      <c r="AL589" s="55"/>
      <c r="AM589" s="55"/>
      <c r="AN589" s="55"/>
      <c r="AO589" s="55"/>
      <c r="AP589" s="55"/>
      <c r="AQ589" s="55"/>
      <c r="AR589" s="55"/>
      <c r="AS589" s="55"/>
      <c r="AT589" s="55"/>
      <c r="AU589" s="55"/>
      <c r="AV589" s="55"/>
    </row>
    <row r="590" spans="5:48" ht="15.75" customHeight="1" x14ac:dyDescent="0.15"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  <c r="AH590" s="55"/>
      <c r="AI590" s="55"/>
      <c r="AJ590" s="55"/>
      <c r="AK590" s="55"/>
      <c r="AL590" s="55"/>
      <c r="AM590" s="55"/>
      <c r="AN590" s="55"/>
      <c r="AO590" s="55"/>
      <c r="AP590" s="55"/>
      <c r="AQ590" s="55"/>
      <c r="AR590" s="55"/>
      <c r="AS590" s="55"/>
      <c r="AT590" s="55"/>
      <c r="AU590" s="55"/>
      <c r="AV590" s="55"/>
    </row>
    <row r="591" spans="5:48" ht="15.75" customHeight="1" x14ac:dyDescent="0.15"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  <c r="AH591" s="55"/>
      <c r="AI591" s="55"/>
      <c r="AJ591" s="55"/>
      <c r="AK591" s="55"/>
      <c r="AL591" s="55"/>
      <c r="AM591" s="55"/>
      <c r="AN591" s="55"/>
      <c r="AO591" s="55"/>
      <c r="AP591" s="55"/>
      <c r="AQ591" s="55"/>
      <c r="AR591" s="55"/>
      <c r="AS591" s="55"/>
      <c r="AT591" s="55"/>
      <c r="AU591" s="55"/>
      <c r="AV591" s="55"/>
    </row>
    <row r="592" spans="5:48" ht="15.75" customHeight="1" x14ac:dyDescent="0.15"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  <c r="AH592" s="55"/>
      <c r="AI592" s="55"/>
      <c r="AJ592" s="55"/>
      <c r="AK592" s="55"/>
      <c r="AL592" s="55"/>
      <c r="AM592" s="55"/>
      <c r="AN592" s="55"/>
      <c r="AO592" s="55"/>
      <c r="AP592" s="55"/>
      <c r="AQ592" s="55"/>
      <c r="AR592" s="55"/>
      <c r="AS592" s="55"/>
      <c r="AT592" s="55"/>
      <c r="AU592" s="55"/>
      <c r="AV592" s="55"/>
    </row>
    <row r="593" spans="5:48" ht="15.75" customHeight="1" x14ac:dyDescent="0.15"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  <c r="AH593" s="55"/>
      <c r="AI593" s="55"/>
      <c r="AJ593" s="55"/>
      <c r="AK593" s="55"/>
      <c r="AL593" s="55"/>
      <c r="AM593" s="55"/>
      <c r="AN593" s="55"/>
      <c r="AO593" s="55"/>
      <c r="AP593" s="55"/>
      <c r="AQ593" s="55"/>
      <c r="AR593" s="55"/>
      <c r="AS593" s="55"/>
      <c r="AT593" s="55"/>
      <c r="AU593" s="55"/>
      <c r="AV593" s="55"/>
    </row>
    <row r="594" spans="5:48" ht="15.75" customHeight="1" x14ac:dyDescent="0.15"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  <c r="AH594" s="55"/>
      <c r="AI594" s="55"/>
      <c r="AJ594" s="55"/>
      <c r="AK594" s="55"/>
      <c r="AL594" s="55"/>
      <c r="AM594" s="55"/>
      <c r="AN594" s="55"/>
      <c r="AO594" s="55"/>
      <c r="AP594" s="55"/>
      <c r="AQ594" s="55"/>
      <c r="AR594" s="55"/>
      <c r="AS594" s="55"/>
      <c r="AT594" s="55"/>
      <c r="AU594" s="55"/>
      <c r="AV594" s="55"/>
    </row>
    <row r="595" spans="5:48" ht="15.75" customHeight="1" x14ac:dyDescent="0.15"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  <c r="AH595" s="55"/>
      <c r="AI595" s="55"/>
      <c r="AJ595" s="55"/>
      <c r="AK595" s="55"/>
      <c r="AL595" s="55"/>
      <c r="AM595" s="55"/>
      <c r="AN595" s="55"/>
      <c r="AO595" s="55"/>
      <c r="AP595" s="55"/>
      <c r="AQ595" s="55"/>
      <c r="AR595" s="55"/>
      <c r="AS595" s="55"/>
      <c r="AT595" s="55"/>
      <c r="AU595" s="55"/>
      <c r="AV595" s="55"/>
    </row>
    <row r="596" spans="5:48" ht="15.75" customHeight="1" x14ac:dyDescent="0.15"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  <c r="AH596" s="55"/>
      <c r="AI596" s="55"/>
      <c r="AJ596" s="55"/>
      <c r="AK596" s="55"/>
      <c r="AL596" s="55"/>
      <c r="AM596" s="55"/>
      <c r="AN596" s="55"/>
      <c r="AO596" s="55"/>
      <c r="AP596" s="55"/>
      <c r="AQ596" s="55"/>
      <c r="AR596" s="55"/>
      <c r="AS596" s="55"/>
      <c r="AT596" s="55"/>
      <c r="AU596" s="55"/>
      <c r="AV596" s="55"/>
    </row>
    <row r="597" spans="5:48" ht="15.75" customHeight="1" x14ac:dyDescent="0.15"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  <c r="AH597" s="55"/>
      <c r="AI597" s="55"/>
      <c r="AJ597" s="55"/>
      <c r="AK597" s="55"/>
      <c r="AL597" s="55"/>
      <c r="AM597" s="55"/>
      <c r="AN597" s="55"/>
      <c r="AO597" s="55"/>
      <c r="AP597" s="55"/>
      <c r="AQ597" s="55"/>
      <c r="AR597" s="55"/>
      <c r="AS597" s="55"/>
      <c r="AT597" s="55"/>
      <c r="AU597" s="55"/>
      <c r="AV597" s="55"/>
    </row>
    <row r="598" spans="5:48" ht="15.75" customHeight="1" x14ac:dyDescent="0.15"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  <c r="AH598" s="55"/>
      <c r="AI598" s="55"/>
      <c r="AJ598" s="55"/>
      <c r="AK598" s="55"/>
      <c r="AL598" s="55"/>
      <c r="AM598" s="55"/>
      <c r="AN598" s="55"/>
      <c r="AO598" s="55"/>
      <c r="AP598" s="55"/>
      <c r="AQ598" s="55"/>
      <c r="AR598" s="55"/>
      <c r="AS598" s="55"/>
      <c r="AT598" s="55"/>
      <c r="AU598" s="55"/>
      <c r="AV598" s="55"/>
    </row>
    <row r="599" spans="5:48" ht="15.75" customHeight="1" x14ac:dyDescent="0.15"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  <c r="AH599" s="55"/>
      <c r="AI599" s="55"/>
      <c r="AJ599" s="55"/>
      <c r="AK599" s="55"/>
      <c r="AL599" s="55"/>
      <c r="AM599" s="55"/>
      <c r="AN599" s="55"/>
      <c r="AO599" s="55"/>
      <c r="AP599" s="55"/>
      <c r="AQ599" s="55"/>
      <c r="AR599" s="55"/>
      <c r="AS599" s="55"/>
      <c r="AT599" s="55"/>
      <c r="AU599" s="55"/>
      <c r="AV599" s="55"/>
    </row>
    <row r="600" spans="5:48" ht="15.75" customHeight="1" x14ac:dyDescent="0.15"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  <c r="AH600" s="55"/>
      <c r="AI600" s="55"/>
      <c r="AJ600" s="55"/>
      <c r="AK600" s="55"/>
      <c r="AL600" s="55"/>
      <c r="AM600" s="55"/>
      <c r="AN600" s="55"/>
      <c r="AO600" s="55"/>
      <c r="AP600" s="55"/>
      <c r="AQ600" s="55"/>
      <c r="AR600" s="55"/>
      <c r="AS600" s="55"/>
      <c r="AT600" s="55"/>
      <c r="AU600" s="55"/>
      <c r="AV600" s="55"/>
    </row>
    <row r="601" spans="5:48" ht="15.75" customHeight="1" x14ac:dyDescent="0.15"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  <c r="AH601" s="55"/>
      <c r="AI601" s="55"/>
      <c r="AJ601" s="55"/>
      <c r="AK601" s="55"/>
      <c r="AL601" s="55"/>
      <c r="AM601" s="55"/>
      <c r="AN601" s="55"/>
      <c r="AO601" s="55"/>
      <c r="AP601" s="55"/>
      <c r="AQ601" s="55"/>
      <c r="AR601" s="55"/>
      <c r="AS601" s="55"/>
      <c r="AT601" s="55"/>
      <c r="AU601" s="55"/>
      <c r="AV601" s="55"/>
    </row>
    <row r="602" spans="5:48" ht="15.75" customHeight="1" x14ac:dyDescent="0.15"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  <c r="AH602" s="55"/>
      <c r="AI602" s="55"/>
      <c r="AJ602" s="55"/>
      <c r="AK602" s="55"/>
      <c r="AL602" s="55"/>
      <c r="AM602" s="55"/>
      <c r="AN602" s="55"/>
      <c r="AO602" s="55"/>
      <c r="AP602" s="55"/>
      <c r="AQ602" s="55"/>
      <c r="AR602" s="55"/>
      <c r="AS602" s="55"/>
      <c r="AT602" s="55"/>
      <c r="AU602" s="55"/>
      <c r="AV602" s="55"/>
    </row>
    <row r="603" spans="5:48" ht="15.75" customHeight="1" x14ac:dyDescent="0.15"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55"/>
      <c r="AL603" s="55"/>
      <c r="AM603" s="55"/>
      <c r="AN603" s="55"/>
      <c r="AO603" s="55"/>
      <c r="AP603" s="55"/>
      <c r="AQ603" s="55"/>
      <c r="AR603" s="55"/>
      <c r="AS603" s="55"/>
      <c r="AT603" s="55"/>
      <c r="AU603" s="55"/>
      <c r="AV603" s="55"/>
    </row>
    <row r="604" spans="5:48" ht="15.75" customHeight="1" x14ac:dyDescent="0.15"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  <c r="AH604" s="55"/>
      <c r="AI604" s="55"/>
      <c r="AJ604" s="55"/>
      <c r="AK604" s="55"/>
      <c r="AL604" s="55"/>
      <c r="AM604" s="55"/>
      <c r="AN604" s="55"/>
      <c r="AO604" s="55"/>
      <c r="AP604" s="55"/>
      <c r="AQ604" s="55"/>
      <c r="AR604" s="55"/>
      <c r="AS604" s="55"/>
      <c r="AT604" s="55"/>
      <c r="AU604" s="55"/>
      <c r="AV604" s="55"/>
    </row>
    <row r="605" spans="5:48" ht="15.75" customHeight="1" x14ac:dyDescent="0.15"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  <c r="AH605" s="55"/>
      <c r="AI605" s="55"/>
      <c r="AJ605" s="55"/>
      <c r="AK605" s="55"/>
      <c r="AL605" s="55"/>
      <c r="AM605" s="55"/>
      <c r="AN605" s="55"/>
      <c r="AO605" s="55"/>
      <c r="AP605" s="55"/>
      <c r="AQ605" s="55"/>
      <c r="AR605" s="55"/>
      <c r="AS605" s="55"/>
      <c r="AT605" s="55"/>
      <c r="AU605" s="55"/>
      <c r="AV605" s="55"/>
    </row>
    <row r="606" spans="5:48" ht="15.75" customHeight="1" x14ac:dyDescent="0.15"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  <c r="AH606" s="55"/>
      <c r="AI606" s="55"/>
      <c r="AJ606" s="55"/>
      <c r="AK606" s="55"/>
      <c r="AL606" s="55"/>
      <c r="AM606" s="55"/>
      <c r="AN606" s="55"/>
      <c r="AO606" s="55"/>
      <c r="AP606" s="55"/>
      <c r="AQ606" s="55"/>
      <c r="AR606" s="55"/>
      <c r="AS606" s="55"/>
      <c r="AT606" s="55"/>
      <c r="AU606" s="55"/>
      <c r="AV606" s="55"/>
    </row>
    <row r="607" spans="5:48" ht="15.75" customHeight="1" x14ac:dyDescent="0.15"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  <c r="AH607" s="55"/>
      <c r="AI607" s="55"/>
      <c r="AJ607" s="55"/>
      <c r="AK607" s="55"/>
      <c r="AL607" s="55"/>
      <c r="AM607" s="55"/>
      <c r="AN607" s="55"/>
      <c r="AO607" s="55"/>
      <c r="AP607" s="55"/>
      <c r="AQ607" s="55"/>
      <c r="AR607" s="55"/>
      <c r="AS607" s="55"/>
      <c r="AT607" s="55"/>
      <c r="AU607" s="55"/>
      <c r="AV607" s="55"/>
    </row>
    <row r="608" spans="5:48" ht="15.75" customHeight="1" x14ac:dyDescent="0.15"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  <c r="AH608" s="55"/>
      <c r="AI608" s="55"/>
      <c r="AJ608" s="55"/>
      <c r="AK608" s="55"/>
      <c r="AL608" s="55"/>
      <c r="AM608" s="55"/>
      <c r="AN608" s="55"/>
      <c r="AO608" s="55"/>
      <c r="AP608" s="55"/>
      <c r="AQ608" s="55"/>
      <c r="AR608" s="55"/>
      <c r="AS608" s="55"/>
      <c r="AT608" s="55"/>
      <c r="AU608" s="55"/>
      <c r="AV608" s="55"/>
    </row>
    <row r="609" spans="5:48" ht="15.75" customHeight="1" x14ac:dyDescent="0.15"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  <c r="AH609" s="55"/>
      <c r="AI609" s="55"/>
      <c r="AJ609" s="55"/>
      <c r="AK609" s="55"/>
      <c r="AL609" s="55"/>
      <c r="AM609" s="55"/>
      <c r="AN609" s="55"/>
      <c r="AO609" s="55"/>
      <c r="AP609" s="55"/>
      <c r="AQ609" s="55"/>
      <c r="AR609" s="55"/>
      <c r="AS609" s="55"/>
      <c r="AT609" s="55"/>
      <c r="AU609" s="55"/>
      <c r="AV609" s="55"/>
    </row>
    <row r="610" spans="5:48" ht="15.75" customHeight="1" x14ac:dyDescent="0.15"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  <c r="AH610" s="55"/>
      <c r="AI610" s="55"/>
      <c r="AJ610" s="55"/>
      <c r="AK610" s="55"/>
      <c r="AL610" s="55"/>
      <c r="AM610" s="55"/>
      <c r="AN610" s="55"/>
      <c r="AO610" s="55"/>
      <c r="AP610" s="55"/>
      <c r="AQ610" s="55"/>
      <c r="AR610" s="55"/>
      <c r="AS610" s="55"/>
      <c r="AT610" s="55"/>
      <c r="AU610" s="55"/>
      <c r="AV610" s="55"/>
    </row>
    <row r="611" spans="5:48" ht="15.75" customHeight="1" x14ac:dyDescent="0.15"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  <c r="AH611" s="55"/>
      <c r="AI611" s="55"/>
      <c r="AJ611" s="55"/>
      <c r="AK611" s="55"/>
      <c r="AL611" s="55"/>
      <c r="AM611" s="55"/>
      <c r="AN611" s="55"/>
      <c r="AO611" s="55"/>
      <c r="AP611" s="55"/>
      <c r="AQ611" s="55"/>
      <c r="AR611" s="55"/>
      <c r="AS611" s="55"/>
      <c r="AT611" s="55"/>
      <c r="AU611" s="55"/>
      <c r="AV611" s="55"/>
    </row>
    <row r="612" spans="5:48" ht="15.75" customHeight="1" x14ac:dyDescent="0.15"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  <c r="AH612" s="55"/>
      <c r="AI612" s="55"/>
      <c r="AJ612" s="55"/>
      <c r="AK612" s="55"/>
      <c r="AL612" s="55"/>
      <c r="AM612" s="55"/>
      <c r="AN612" s="55"/>
      <c r="AO612" s="55"/>
      <c r="AP612" s="55"/>
      <c r="AQ612" s="55"/>
      <c r="AR612" s="55"/>
      <c r="AS612" s="55"/>
      <c r="AT612" s="55"/>
      <c r="AU612" s="55"/>
      <c r="AV612" s="55"/>
    </row>
    <row r="613" spans="5:48" ht="15.75" customHeight="1" x14ac:dyDescent="0.15"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  <c r="AH613" s="55"/>
      <c r="AI613" s="55"/>
      <c r="AJ613" s="55"/>
      <c r="AK613" s="55"/>
      <c r="AL613" s="55"/>
      <c r="AM613" s="55"/>
      <c r="AN613" s="55"/>
      <c r="AO613" s="55"/>
      <c r="AP613" s="55"/>
      <c r="AQ613" s="55"/>
      <c r="AR613" s="55"/>
      <c r="AS613" s="55"/>
      <c r="AT613" s="55"/>
      <c r="AU613" s="55"/>
      <c r="AV613" s="55"/>
    </row>
    <row r="614" spans="5:48" ht="15.75" customHeight="1" x14ac:dyDescent="0.15"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  <c r="AH614" s="55"/>
      <c r="AI614" s="55"/>
      <c r="AJ614" s="55"/>
      <c r="AK614" s="55"/>
      <c r="AL614" s="55"/>
      <c r="AM614" s="55"/>
      <c r="AN614" s="55"/>
      <c r="AO614" s="55"/>
      <c r="AP614" s="55"/>
      <c r="AQ614" s="55"/>
      <c r="AR614" s="55"/>
      <c r="AS614" s="55"/>
      <c r="AT614" s="55"/>
      <c r="AU614" s="55"/>
      <c r="AV614" s="55"/>
    </row>
    <row r="615" spans="5:48" ht="15.75" customHeight="1" x14ac:dyDescent="0.15"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  <c r="AH615" s="55"/>
      <c r="AI615" s="55"/>
      <c r="AJ615" s="55"/>
      <c r="AK615" s="55"/>
      <c r="AL615" s="55"/>
      <c r="AM615" s="55"/>
      <c r="AN615" s="55"/>
      <c r="AO615" s="55"/>
      <c r="AP615" s="55"/>
      <c r="AQ615" s="55"/>
      <c r="AR615" s="55"/>
      <c r="AS615" s="55"/>
      <c r="AT615" s="55"/>
      <c r="AU615" s="55"/>
      <c r="AV615" s="55"/>
    </row>
    <row r="616" spans="5:48" ht="15.75" customHeight="1" x14ac:dyDescent="0.15"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  <c r="AH616" s="55"/>
      <c r="AI616" s="55"/>
      <c r="AJ616" s="55"/>
      <c r="AK616" s="55"/>
      <c r="AL616" s="55"/>
      <c r="AM616" s="55"/>
      <c r="AN616" s="55"/>
      <c r="AO616" s="55"/>
      <c r="AP616" s="55"/>
      <c r="AQ616" s="55"/>
      <c r="AR616" s="55"/>
      <c r="AS616" s="55"/>
      <c r="AT616" s="55"/>
      <c r="AU616" s="55"/>
      <c r="AV616" s="55"/>
    </row>
    <row r="617" spans="5:48" ht="15.75" customHeight="1" x14ac:dyDescent="0.15"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  <c r="AH617" s="55"/>
      <c r="AI617" s="55"/>
      <c r="AJ617" s="55"/>
      <c r="AK617" s="55"/>
      <c r="AL617" s="55"/>
      <c r="AM617" s="55"/>
      <c r="AN617" s="55"/>
      <c r="AO617" s="55"/>
      <c r="AP617" s="55"/>
      <c r="AQ617" s="55"/>
      <c r="AR617" s="55"/>
      <c r="AS617" s="55"/>
      <c r="AT617" s="55"/>
      <c r="AU617" s="55"/>
      <c r="AV617" s="55"/>
    </row>
    <row r="618" spans="5:48" ht="15.75" customHeight="1" x14ac:dyDescent="0.15"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  <c r="AH618" s="55"/>
      <c r="AI618" s="55"/>
      <c r="AJ618" s="55"/>
      <c r="AK618" s="55"/>
      <c r="AL618" s="55"/>
      <c r="AM618" s="55"/>
      <c r="AN618" s="55"/>
      <c r="AO618" s="55"/>
      <c r="AP618" s="55"/>
      <c r="AQ618" s="55"/>
      <c r="AR618" s="55"/>
      <c r="AS618" s="55"/>
      <c r="AT618" s="55"/>
      <c r="AU618" s="55"/>
      <c r="AV618" s="55"/>
    </row>
    <row r="619" spans="5:48" ht="15.75" customHeight="1" x14ac:dyDescent="0.15"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  <c r="AH619" s="55"/>
      <c r="AI619" s="55"/>
      <c r="AJ619" s="55"/>
      <c r="AK619" s="55"/>
      <c r="AL619" s="55"/>
      <c r="AM619" s="55"/>
      <c r="AN619" s="55"/>
      <c r="AO619" s="55"/>
      <c r="AP619" s="55"/>
      <c r="AQ619" s="55"/>
      <c r="AR619" s="55"/>
      <c r="AS619" s="55"/>
      <c r="AT619" s="55"/>
      <c r="AU619" s="55"/>
      <c r="AV619" s="55"/>
    </row>
    <row r="620" spans="5:48" ht="15.75" customHeight="1" x14ac:dyDescent="0.15"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  <c r="AH620" s="55"/>
      <c r="AI620" s="55"/>
      <c r="AJ620" s="55"/>
      <c r="AK620" s="55"/>
      <c r="AL620" s="55"/>
      <c r="AM620" s="55"/>
      <c r="AN620" s="55"/>
      <c r="AO620" s="55"/>
      <c r="AP620" s="55"/>
      <c r="AQ620" s="55"/>
      <c r="AR620" s="55"/>
      <c r="AS620" s="55"/>
      <c r="AT620" s="55"/>
      <c r="AU620" s="55"/>
      <c r="AV620" s="55"/>
    </row>
    <row r="621" spans="5:48" ht="15.75" customHeight="1" x14ac:dyDescent="0.15"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  <c r="AH621" s="55"/>
      <c r="AI621" s="55"/>
      <c r="AJ621" s="55"/>
      <c r="AK621" s="55"/>
      <c r="AL621" s="55"/>
      <c r="AM621" s="55"/>
      <c r="AN621" s="55"/>
      <c r="AO621" s="55"/>
      <c r="AP621" s="55"/>
      <c r="AQ621" s="55"/>
      <c r="AR621" s="55"/>
      <c r="AS621" s="55"/>
      <c r="AT621" s="55"/>
      <c r="AU621" s="55"/>
      <c r="AV621" s="55"/>
    </row>
    <row r="622" spans="5:48" ht="15.75" customHeight="1" x14ac:dyDescent="0.15"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  <c r="AH622" s="55"/>
      <c r="AI622" s="55"/>
      <c r="AJ622" s="55"/>
      <c r="AK622" s="55"/>
      <c r="AL622" s="55"/>
      <c r="AM622" s="55"/>
      <c r="AN622" s="55"/>
      <c r="AO622" s="55"/>
      <c r="AP622" s="55"/>
      <c r="AQ622" s="55"/>
      <c r="AR622" s="55"/>
      <c r="AS622" s="55"/>
      <c r="AT622" s="55"/>
      <c r="AU622" s="55"/>
      <c r="AV622" s="55"/>
    </row>
    <row r="623" spans="5:48" ht="15.75" customHeight="1" x14ac:dyDescent="0.15"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  <c r="AH623" s="55"/>
      <c r="AI623" s="55"/>
      <c r="AJ623" s="55"/>
      <c r="AK623" s="55"/>
      <c r="AL623" s="55"/>
      <c r="AM623" s="55"/>
      <c r="AN623" s="55"/>
      <c r="AO623" s="55"/>
      <c r="AP623" s="55"/>
      <c r="AQ623" s="55"/>
      <c r="AR623" s="55"/>
      <c r="AS623" s="55"/>
      <c r="AT623" s="55"/>
      <c r="AU623" s="55"/>
      <c r="AV623" s="55"/>
    </row>
    <row r="624" spans="5:48" ht="15.75" customHeight="1" x14ac:dyDescent="0.15"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  <c r="AH624" s="55"/>
      <c r="AI624" s="55"/>
      <c r="AJ624" s="55"/>
      <c r="AK624" s="55"/>
      <c r="AL624" s="55"/>
      <c r="AM624" s="55"/>
      <c r="AN624" s="55"/>
      <c r="AO624" s="55"/>
      <c r="AP624" s="55"/>
      <c r="AQ624" s="55"/>
      <c r="AR624" s="55"/>
      <c r="AS624" s="55"/>
      <c r="AT624" s="55"/>
      <c r="AU624" s="55"/>
      <c r="AV624" s="55"/>
    </row>
    <row r="625" spans="5:48" ht="15.75" customHeight="1" x14ac:dyDescent="0.15"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  <c r="AH625" s="55"/>
      <c r="AI625" s="55"/>
      <c r="AJ625" s="55"/>
      <c r="AK625" s="55"/>
      <c r="AL625" s="55"/>
      <c r="AM625" s="55"/>
      <c r="AN625" s="55"/>
      <c r="AO625" s="55"/>
      <c r="AP625" s="55"/>
      <c r="AQ625" s="55"/>
      <c r="AR625" s="55"/>
      <c r="AS625" s="55"/>
      <c r="AT625" s="55"/>
      <c r="AU625" s="55"/>
      <c r="AV625" s="55"/>
    </row>
    <row r="626" spans="5:48" ht="15.75" customHeight="1" x14ac:dyDescent="0.15"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  <c r="AH626" s="55"/>
      <c r="AI626" s="55"/>
      <c r="AJ626" s="55"/>
      <c r="AK626" s="55"/>
      <c r="AL626" s="55"/>
      <c r="AM626" s="55"/>
      <c r="AN626" s="55"/>
      <c r="AO626" s="55"/>
      <c r="AP626" s="55"/>
      <c r="AQ626" s="55"/>
      <c r="AR626" s="55"/>
      <c r="AS626" s="55"/>
      <c r="AT626" s="55"/>
      <c r="AU626" s="55"/>
      <c r="AV626" s="55"/>
    </row>
    <row r="627" spans="5:48" ht="15.75" customHeight="1" x14ac:dyDescent="0.15"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  <c r="AH627" s="55"/>
      <c r="AI627" s="55"/>
      <c r="AJ627" s="55"/>
      <c r="AK627" s="55"/>
      <c r="AL627" s="55"/>
      <c r="AM627" s="55"/>
      <c r="AN627" s="55"/>
      <c r="AO627" s="55"/>
      <c r="AP627" s="55"/>
      <c r="AQ627" s="55"/>
      <c r="AR627" s="55"/>
      <c r="AS627" s="55"/>
      <c r="AT627" s="55"/>
      <c r="AU627" s="55"/>
      <c r="AV627" s="55"/>
    </row>
    <row r="628" spans="5:48" ht="15.75" customHeight="1" x14ac:dyDescent="0.15"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  <c r="AH628" s="55"/>
      <c r="AI628" s="55"/>
      <c r="AJ628" s="55"/>
      <c r="AK628" s="55"/>
      <c r="AL628" s="55"/>
      <c r="AM628" s="55"/>
      <c r="AN628" s="55"/>
      <c r="AO628" s="55"/>
      <c r="AP628" s="55"/>
      <c r="AQ628" s="55"/>
      <c r="AR628" s="55"/>
      <c r="AS628" s="55"/>
      <c r="AT628" s="55"/>
      <c r="AU628" s="55"/>
      <c r="AV628" s="55"/>
    </row>
    <row r="629" spans="5:48" ht="15.75" customHeight="1" x14ac:dyDescent="0.15"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  <c r="AH629" s="55"/>
      <c r="AI629" s="55"/>
      <c r="AJ629" s="55"/>
      <c r="AK629" s="55"/>
      <c r="AL629" s="55"/>
      <c r="AM629" s="55"/>
      <c r="AN629" s="55"/>
      <c r="AO629" s="55"/>
      <c r="AP629" s="55"/>
      <c r="AQ629" s="55"/>
      <c r="AR629" s="55"/>
      <c r="AS629" s="55"/>
      <c r="AT629" s="55"/>
      <c r="AU629" s="55"/>
      <c r="AV629" s="55"/>
    </row>
    <row r="630" spans="5:48" ht="15.75" customHeight="1" x14ac:dyDescent="0.15"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  <c r="AH630" s="55"/>
      <c r="AI630" s="55"/>
      <c r="AJ630" s="55"/>
      <c r="AK630" s="55"/>
      <c r="AL630" s="55"/>
      <c r="AM630" s="55"/>
      <c r="AN630" s="55"/>
      <c r="AO630" s="55"/>
      <c r="AP630" s="55"/>
      <c r="AQ630" s="55"/>
      <c r="AR630" s="55"/>
      <c r="AS630" s="55"/>
      <c r="AT630" s="55"/>
      <c r="AU630" s="55"/>
      <c r="AV630" s="55"/>
    </row>
    <row r="631" spans="5:48" ht="15.75" customHeight="1" x14ac:dyDescent="0.15"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  <c r="AH631" s="55"/>
      <c r="AI631" s="55"/>
      <c r="AJ631" s="55"/>
      <c r="AK631" s="55"/>
      <c r="AL631" s="55"/>
      <c r="AM631" s="55"/>
      <c r="AN631" s="55"/>
      <c r="AO631" s="55"/>
      <c r="AP631" s="55"/>
      <c r="AQ631" s="55"/>
      <c r="AR631" s="55"/>
      <c r="AS631" s="55"/>
      <c r="AT631" s="55"/>
      <c r="AU631" s="55"/>
      <c r="AV631" s="55"/>
    </row>
    <row r="632" spans="5:48" ht="15.75" customHeight="1" x14ac:dyDescent="0.15"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  <c r="AH632" s="55"/>
      <c r="AI632" s="55"/>
      <c r="AJ632" s="55"/>
      <c r="AK632" s="55"/>
      <c r="AL632" s="55"/>
      <c r="AM632" s="55"/>
      <c r="AN632" s="55"/>
      <c r="AO632" s="55"/>
      <c r="AP632" s="55"/>
      <c r="AQ632" s="55"/>
      <c r="AR632" s="55"/>
      <c r="AS632" s="55"/>
      <c r="AT632" s="55"/>
      <c r="AU632" s="55"/>
      <c r="AV632" s="55"/>
    </row>
    <row r="633" spans="5:48" ht="15.75" customHeight="1" x14ac:dyDescent="0.15"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  <c r="AH633" s="55"/>
      <c r="AI633" s="55"/>
      <c r="AJ633" s="55"/>
      <c r="AK633" s="55"/>
      <c r="AL633" s="55"/>
      <c r="AM633" s="55"/>
      <c r="AN633" s="55"/>
      <c r="AO633" s="55"/>
      <c r="AP633" s="55"/>
      <c r="AQ633" s="55"/>
      <c r="AR633" s="55"/>
      <c r="AS633" s="55"/>
      <c r="AT633" s="55"/>
      <c r="AU633" s="55"/>
      <c r="AV633" s="55"/>
    </row>
    <row r="634" spans="5:48" ht="15.75" customHeight="1" x14ac:dyDescent="0.15"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  <c r="AH634" s="55"/>
      <c r="AI634" s="55"/>
      <c r="AJ634" s="55"/>
      <c r="AK634" s="55"/>
      <c r="AL634" s="55"/>
      <c r="AM634" s="55"/>
      <c r="AN634" s="55"/>
      <c r="AO634" s="55"/>
      <c r="AP634" s="55"/>
      <c r="AQ634" s="55"/>
      <c r="AR634" s="55"/>
      <c r="AS634" s="55"/>
      <c r="AT634" s="55"/>
      <c r="AU634" s="55"/>
      <c r="AV634" s="55"/>
    </row>
    <row r="635" spans="5:48" ht="15.75" customHeight="1" x14ac:dyDescent="0.15"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  <c r="AH635" s="55"/>
      <c r="AI635" s="55"/>
      <c r="AJ635" s="55"/>
      <c r="AK635" s="55"/>
      <c r="AL635" s="55"/>
      <c r="AM635" s="55"/>
      <c r="AN635" s="55"/>
      <c r="AO635" s="55"/>
      <c r="AP635" s="55"/>
      <c r="AQ635" s="55"/>
      <c r="AR635" s="55"/>
      <c r="AS635" s="55"/>
      <c r="AT635" s="55"/>
      <c r="AU635" s="55"/>
      <c r="AV635" s="55"/>
    </row>
    <row r="636" spans="5:48" ht="15.75" customHeight="1" x14ac:dyDescent="0.15"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  <c r="AH636" s="55"/>
      <c r="AI636" s="55"/>
      <c r="AJ636" s="55"/>
      <c r="AK636" s="55"/>
      <c r="AL636" s="55"/>
      <c r="AM636" s="55"/>
      <c r="AN636" s="55"/>
      <c r="AO636" s="55"/>
      <c r="AP636" s="55"/>
      <c r="AQ636" s="55"/>
      <c r="AR636" s="55"/>
      <c r="AS636" s="55"/>
      <c r="AT636" s="55"/>
      <c r="AU636" s="55"/>
      <c r="AV636" s="55"/>
    </row>
    <row r="637" spans="5:48" ht="15.75" customHeight="1" x14ac:dyDescent="0.15"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  <c r="AH637" s="55"/>
      <c r="AI637" s="55"/>
      <c r="AJ637" s="55"/>
      <c r="AK637" s="55"/>
      <c r="AL637" s="55"/>
      <c r="AM637" s="55"/>
      <c r="AN637" s="55"/>
      <c r="AO637" s="55"/>
      <c r="AP637" s="55"/>
      <c r="AQ637" s="55"/>
      <c r="AR637" s="55"/>
      <c r="AS637" s="55"/>
      <c r="AT637" s="55"/>
      <c r="AU637" s="55"/>
      <c r="AV637" s="55"/>
    </row>
    <row r="638" spans="5:48" ht="15.75" customHeight="1" x14ac:dyDescent="0.15"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  <c r="AH638" s="55"/>
      <c r="AI638" s="55"/>
      <c r="AJ638" s="55"/>
      <c r="AK638" s="55"/>
      <c r="AL638" s="55"/>
      <c r="AM638" s="55"/>
      <c r="AN638" s="55"/>
      <c r="AO638" s="55"/>
      <c r="AP638" s="55"/>
      <c r="AQ638" s="55"/>
      <c r="AR638" s="55"/>
      <c r="AS638" s="55"/>
      <c r="AT638" s="55"/>
      <c r="AU638" s="55"/>
      <c r="AV638" s="55"/>
    </row>
    <row r="639" spans="5:48" ht="15.75" customHeight="1" x14ac:dyDescent="0.15"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  <c r="AH639" s="55"/>
      <c r="AI639" s="55"/>
      <c r="AJ639" s="55"/>
      <c r="AK639" s="55"/>
      <c r="AL639" s="55"/>
      <c r="AM639" s="55"/>
      <c r="AN639" s="55"/>
      <c r="AO639" s="55"/>
      <c r="AP639" s="55"/>
      <c r="AQ639" s="55"/>
      <c r="AR639" s="55"/>
      <c r="AS639" s="55"/>
      <c r="AT639" s="55"/>
      <c r="AU639" s="55"/>
      <c r="AV639" s="55"/>
    </row>
    <row r="640" spans="5:48" ht="15.75" customHeight="1" x14ac:dyDescent="0.15"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  <c r="AH640" s="55"/>
      <c r="AI640" s="55"/>
      <c r="AJ640" s="55"/>
      <c r="AK640" s="55"/>
      <c r="AL640" s="55"/>
      <c r="AM640" s="55"/>
      <c r="AN640" s="55"/>
      <c r="AO640" s="55"/>
      <c r="AP640" s="55"/>
      <c r="AQ640" s="55"/>
      <c r="AR640" s="55"/>
      <c r="AS640" s="55"/>
      <c r="AT640" s="55"/>
      <c r="AU640" s="55"/>
      <c r="AV640" s="55"/>
    </row>
    <row r="641" spans="5:48" ht="15.75" customHeight="1" x14ac:dyDescent="0.15"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  <c r="AH641" s="55"/>
      <c r="AI641" s="55"/>
      <c r="AJ641" s="55"/>
      <c r="AK641" s="55"/>
      <c r="AL641" s="55"/>
      <c r="AM641" s="55"/>
      <c r="AN641" s="55"/>
      <c r="AO641" s="55"/>
      <c r="AP641" s="55"/>
      <c r="AQ641" s="55"/>
      <c r="AR641" s="55"/>
      <c r="AS641" s="55"/>
      <c r="AT641" s="55"/>
      <c r="AU641" s="55"/>
      <c r="AV641" s="55"/>
    </row>
    <row r="642" spans="5:48" ht="15.75" customHeight="1" x14ac:dyDescent="0.15"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  <c r="AH642" s="55"/>
      <c r="AI642" s="55"/>
      <c r="AJ642" s="55"/>
      <c r="AK642" s="55"/>
      <c r="AL642" s="55"/>
      <c r="AM642" s="55"/>
      <c r="AN642" s="55"/>
      <c r="AO642" s="55"/>
      <c r="AP642" s="55"/>
      <c r="AQ642" s="55"/>
      <c r="AR642" s="55"/>
      <c r="AS642" s="55"/>
      <c r="AT642" s="55"/>
      <c r="AU642" s="55"/>
      <c r="AV642" s="55"/>
    </row>
    <row r="643" spans="5:48" ht="15.75" customHeight="1" x14ac:dyDescent="0.15"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  <c r="AH643" s="55"/>
      <c r="AI643" s="55"/>
      <c r="AJ643" s="55"/>
      <c r="AK643" s="55"/>
      <c r="AL643" s="55"/>
      <c r="AM643" s="55"/>
      <c r="AN643" s="55"/>
      <c r="AO643" s="55"/>
      <c r="AP643" s="55"/>
      <c r="AQ643" s="55"/>
      <c r="AR643" s="55"/>
      <c r="AS643" s="55"/>
      <c r="AT643" s="55"/>
      <c r="AU643" s="55"/>
      <c r="AV643" s="55"/>
    </row>
    <row r="644" spans="5:48" ht="15.75" customHeight="1" x14ac:dyDescent="0.15"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  <c r="AH644" s="55"/>
      <c r="AI644" s="55"/>
      <c r="AJ644" s="55"/>
      <c r="AK644" s="55"/>
      <c r="AL644" s="55"/>
      <c r="AM644" s="55"/>
      <c r="AN644" s="55"/>
      <c r="AO644" s="55"/>
      <c r="AP644" s="55"/>
      <c r="AQ644" s="55"/>
      <c r="AR644" s="55"/>
      <c r="AS644" s="55"/>
      <c r="AT644" s="55"/>
      <c r="AU644" s="55"/>
      <c r="AV644" s="55"/>
    </row>
    <row r="645" spans="5:48" ht="15.75" customHeight="1" x14ac:dyDescent="0.15"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  <c r="AH645" s="55"/>
      <c r="AI645" s="55"/>
      <c r="AJ645" s="55"/>
      <c r="AK645" s="55"/>
      <c r="AL645" s="55"/>
      <c r="AM645" s="55"/>
      <c r="AN645" s="55"/>
      <c r="AO645" s="55"/>
      <c r="AP645" s="55"/>
      <c r="AQ645" s="55"/>
      <c r="AR645" s="55"/>
      <c r="AS645" s="55"/>
      <c r="AT645" s="55"/>
      <c r="AU645" s="55"/>
      <c r="AV645" s="55"/>
    </row>
    <row r="646" spans="5:48" ht="15.75" customHeight="1" x14ac:dyDescent="0.15"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  <c r="AH646" s="55"/>
      <c r="AI646" s="55"/>
      <c r="AJ646" s="55"/>
      <c r="AK646" s="55"/>
      <c r="AL646" s="55"/>
      <c r="AM646" s="55"/>
      <c r="AN646" s="55"/>
      <c r="AO646" s="55"/>
      <c r="AP646" s="55"/>
      <c r="AQ646" s="55"/>
      <c r="AR646" s="55"/>
      <c r="AS646" s="55"/>
      <c r="AT646" s="55"/>
      <c r="AU646" s="55"/>
      <c r="AV646" s="55"/>
    </row>
    <row r="647" spans="5:48" ht="15.75" customHeight="1" x14ac:dyDescent="0.15"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  <c r="AH647" s="55"/>
      <c r="AI647" s="55"/>
      <c r="AJ647" s="55"/>
      <c r="AK647" s="55"/>
      <c r="AL647" s="55"/>
      <c r="AM647" s="55"/>
      <c r="AN647" s="55"/>
      <c r="AO647" s="55"/>
      <c r="AP647" s="55"/>
      <c r="AQ647" s="55"/>
      <c r="AR647" s="55"/>
      <c r="AS647" s="55"/>
      <c r="AT647" s="55"/>
      <c r="AU647" s="55"/>
      <c r="AV647" s="55"/>
    </row>
    <row r="648" spans="5:48" ht="15.75" customHeight="1" x14ac:dyDescent="0.15"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  <c r="AH648" s="55"/>
      <c r="AI648" s="55"/>
      <c r="AJ648" s="55"/>
      <c r="AK648" s="55"/>
      <c r="AL648" s="55"/>
      <c r="AM648" s="55"/>
      <c r="AN648" s="55"/>
      <c r="AO648" s="55"/>
      <c r="AP648" s="55"/>
      <c r="AQ648" s="55"/>
      <c r="AR648" s="55"/>
      <c r="AS648" s="55"/>
      <c r="AT648" s="55"/>
      <c r="AU648" s="55"/>
      <c r="AV648" s="55"/>
    </row>
    <row r="649" spans="5:48" ht="15.75" customHeight="1" x14ac:dyDescent="0.15"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  <c r="AH649" s="55"/>
      <c r="AI649" s="55"/>
      <c r="AJ649" s="55"/>
      <c r="AK649" s="55"/>
      <c r="AL649" s="55"/>
      <c r="AM649" s="55"/>
      <c r="AN649" s="55"/>
      <c r="AO649" s="55"/>
      <c r="AP649" s="55"/>
      <c r="AQ649" s="55"/>
      <c r="AR649" s="55"/>
      <c r="AS649" s="55"/>
      <c r="AT649" s="55"/>
      <c r="AU649" s="55"/>
      <c r="AV649" s="55"/>
    </row>
    <row r="650" spans="5:48" ht="15.75" customHeight="1" x14ac:dyDescent="0.15"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  <c r="AH650" s="55"/>
      <c r="AI650" s="55"/>
      <c r="AJ650" s="55"/>
      <c r="AK650" s="55"/>
      <c r="AL650" s="55"/>
      <c r="AM650" s="55"/>
      <c r="AN650" s="55"/>
      <c r="AO650" s="55"/>
      <c r="AP650" s="55"/>
      <c r="AQ650" s="55"/>
      <c r="AR650" s="55"/>
      <c r="AS650" s="55"/>
      <c r="AT650" s="55"/>
      <c r="AU650" s="55"/>
      <c r="AV650" s="55"/>
    </row>
    <row r="651" spans="5:48" ht="15.75" customHeight="1" x14ac:dyDescent="0.15"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  <c r="AH651" s="55"/>
      <c r="AI651" s="55"/>
      <c r="AJ651" s="55"/>
      <c r="AK651" s="55"/>
      <c r="AL651" s="55"/>
      <c r="AM651" s="55"/>
      <c r="AN651" s="55"/>
      <c r="AO651" s="55"/>
      <c r="AP651" s="55"/>
      <c r="AQ651" s="55"/>
      <c r="AR651" s="55"/>
      <c r="AS651" s="55"/>
      <c r="AT651" s="55"/>
      <c r="AU651" s="55"/>
      <c r="AV651" s="55"/>
    </row>
    <row r="652" spans="5:48" ht="15.75" customHeight="1" x14ac:dyDescent="0.15"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  <c r="AH652" s="55"/>
      <c r="AI652" s="55"/>
      <c r="AJ652" s="55"/>
      <c r="AK652" s="55"/>
      <c r="AL652" s="55"/>
      <c r="AM652" s="55"/>
      <c r="AN652" s="55"/>
      <c r="AO652" s="55"/>
      <c r="AP652" s="55"/>
      <c r="AQ652" s="55"/>
      <c r="AR652" s="55"/>
      <c r="AS652" s="55"/>
      <c r="AT652" s="55"/>
      <c r="AU652" s="55"/>
      <c r="AV652" s="55"/>
    </row>
    <row r="653" spans="5:48" ht="15.75" customHeight="1" x14ac:dyDescent="0.15"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  <c r="AH653" s="55"/>
      <c r="AI653" s="55"/>
      <c r="AJ653" s="55"/>
      <c r="AK653" s="55"/>
      <c r="AL653" s="55"/>
      <c r="AM653" s="55"/>
      <c r="AN653" s="55"/>
      <c r="AO653" s="55"/>
      <c r="AP653" s="55"/>
      <c r="AQ653" s="55"/>
      <c r="AR653" s="55"/>
      <c r="AS653" s="55"/>
      <c r="AT653" s="55"/>
      <c r="AU653" s="55"/>
      <c r="AV653" s="55"/>
    </row>
    <row r="654" spans="5:48" ht="15.75" customHeight="1" x14ac:dyDescent="0.15"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  <c r="AH654" s="55"/>
      <c r="AI654" s="55"/>
      <c r="AJ654" s="55"/>
      <c r="AK654" s="55"/>
      <c r="AL654" s="55"/>
      <c r="AM654" s="55"/>
      <c r="AN654" s="55"/>
      <c r="AO654" s="55"/>
      <c r="AP654" s="55"/>
      <c r="AQ654" s="55"/>
      <c r="AR654" s="55"/>
      <c r="AS654" s="55"/>
      <c r="AT654" s="55"/>
      <c r="AU654" s="55"/>
      <c r="AV654" s="55"/>
    </row>
    <row r="655" spans="5:48" ht="15.75" customHeight="1" x14ac:dyDescent="0.15"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  <c r="AH655" s="55"/>
      <c r="AI655" s="55"/>
      <c r="AJ655" s="55"/>
      <c r="AK655" s="55"/>
      <c r="AL655" s="55"/>
      <c r="AM655" s="55"/>
      <c r="AN655" s="55"/>
      <c r="AO655" s="55"/>
      <c r="AP655" s="55"/>
      <c r="AQ655" s="55"/>
      <c r="AR655" s="55"/>
      <c r="AS655" s="55"/>
      <c r="AT655" s="55"/>
      <c r="AU655" s="55"/>
      <c r="AV655" s="55"/>
    </row>
    <row r="656" spans="5:48" ht="15.75" customHeight="1" x14ac:dyDescent="0.15"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  <c r="AH656" s="55"/>
      <c r="AI656" s="55"/>
      <c r="AJ656" s="55"/>
      <c r="AK656" s="55"/>
      <c r="AL656" s="55"/>
      <c r="AM656" s="55"/>
      <c r="AN656" s="55"/>
      <c r="AO656" s="55"/>
      <c r="AP656" s="55"/>
      <c r="AQ656" s="55"/>
      <c r="AR656" s="55"/>
      <c r="AS656" s="55"/>
      <c r="AT656" s="55"/>
      <c r="AU656" s="55"/>
      <c r="AV656" s="55"/>
    </row>
    <row r="657" spans="5:48" ht="15.75" customHeight="1" x14ac:dyDescent="0.15"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  <c r="AH657" s="55"/>
      <c r="AI657" s="55"/>
      <c r="AJ657" s="55"/>
      <c r="AK657" s="55"/>
      <c r="AL657" s="55"/>
      <c r="AM657" s="55"/>
      <c r="AN657" s="55"/>
      <c r="AO657" s="55"/>
      <c r="AP657" s="55"/>
      <c r="AQ657" s="55"/>
      <c r="AR657" s="55"/>
      <c r="AS657" s="55"/>
      <c r="AT657" s="55"/>
      <c r="AU657" s="55"/>
      <c r="AV657" s="55"/>
    </row>
    <row r="658" spans="5:48" ht="15.75" customHeight="1" x14ac:dyDescent="0.15"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  <c r="AH658" s="55"/>
      <c r="AI658" s="55"/>
      <c r="AJ658" s="55"/>
      <c r="AK658" s="55"/>
      <c r="AL658" s="55"/>
      <c r="AM658" s="55"/>
      <c r="AN658" s="55"/>
      <c r="AO658" s="55"/>
      <c r="AP658" s="55"/>
      <c r="AQ658" s="55"/>
      <c r="AR658" s="55"/>
      <c r="AS658" s="55"/>
      <c r="AT658" s="55"/>
      <c r="AU658" s="55"/>
      <c r="AV658" s="55"/>
    </row>
    <row r="659" spans="5:48" ht="15.75" customHeight="1" x14ac:dyDescent="0.15"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  <c r="AH659" s="55"/>
      <c r="AI659" s="55"/>
      <c r="AJ659" s="55"/>
      <c r="AK659" s="55"/>
      <c r="AL659" s="55"/>
      <c r="AM659" s="55"/>
      <c r="AN659" s="55"/>
      <c r="AO659" s="55"/>
      <c r="AP659" s="55"/>
      <c r="AQ659" s="55"/>
      <c r="AR659" s="55"/>
      <c r="AS659" s="55"/>
      <c r="AT659" s="55"/>
      <c r="AU659" s="55"/>
      <c r="AV659" s="55"/>
    </row>
    <row r="660" spans="5:48" ht="15.75" customHeight="1" x14ac:dyDescent="0.15"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  <c r="AH660" s="55"/>
      <c r="AI660" s="55"/>
      <c r="AJ660" s="55"/>
      <c r="AK660" s="55"/>
      <c r="AL660" s="55"/>
      <c r="AM660" s="55"/>
      <c r="AN660" s="55"/>
      <c r="AO660" s="55"/>
      <c r="AP660" s="55"/>
      <c r="AQ660" s="55"/>
      <c r="AR660" s="55"/>
      <c r="AS660" s="55"/>
      <c r="AT660" s="55"/>
      <c r="AU660" s="55"/>
      <c r="AV660" s="55"/>
    </row>
    <row r="661" spans="5:48" ht="15.75" customHeight="1" x14ac:dyDescent="0.15"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  <c r="AH661" s="55"/>
      <c r="AI661" s="55"/>
      <c r="AJ661" s="55"/>
      <c r="AK661" s="55"/>
      <c r="AL661" s="55"/>
      <c r="AM661" s="55"/>
      <c r="AN661" s="55"/>
      <c r="AO661" s="55"/>
      <c r="AP661" s="55"/>
      <c r="AQ661" s="55"/>
      <c r="AR661" s="55"/>
      <c r="AS661" s="55"/>
      <c r="AT661" s="55"/>
      <c r="AU661" s="55"/>
      <c r="AV661" s="55"/>
    </row>
    <row r="662" spans="5:48" ht="15.75" customHeight="1" x14ac:dyDescent="0.15"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  <c r="AH662" s="55"/>
      <c r="AI662" s="55"/>
      <c r="AJ662" s="55"/>
      <c r="AK662" s="55"/>
      <c r="AL662" s="55"/>
      <c r="AM662" s="55"/>
      <c r="AN662" s="55"/>
      <c r="AO662" s="55"/>
      <c r="AP662" s="55"/>
      <c r="AQ662" s="55"/>
      <c r="AR662" s="55"/>
      <c r="AS662" s="55"/>
      <c r="AT662" s="55"/>
      <c r="AU662" s="55"/>
      <c r="AV662" s="55"/>
    </row>
    <row r="663" spans="5:48" ht="15.75" customHeight="1" x14ac:dyDescent="0.15"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  <c r="AH663" s="55"/>
      <c r="AI663" s="55"/>
      <c r="AJ663" s="55"/>
      <c r="AK663" s="55"/>
      <c r="AL663" s="55"/>
      <c r="AM663" s="55"/>
      <c r="AN663" s="55"/>
      <c r="AO663" s="55"/>
      <c r="AP663" s="55"/>
      <c r="AQ663" s="55"/>
      <c r="AR663" s="55"/>
      <c r="AS663" s="55"/>
      <c r="AT663" s="55"/>
      <c r="AU663" s="55"/>
      <c r="AV663" s="55"/>
    </row>
    <row r="664" spans="5:48" ht="15.75" customHeight="1" x14ac:dyDescent="0.15"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  <c r="AH664" s="55"/>
      <c r="AI664" s="55"/>
      <c r="AJ664" s="55"/>
      <c r="AK664" s="55"/>
      <c r="AL664" s="55"/>
      <c r="AM664" s="55"/>
      <c r="AN664" s="55"/>
      <c r="AO664" s="55"/>
      <c r="AP664" s="55"/>
      <c r="AQ664" s="55"/>
      <c r="AR664" s="55"/>
      <c r="AS664" s="55"/>
      <c r="AT664" s="55"/>
      <c r="AU664" s="55"/>
      <c r="AV664" s="55"/>
    </row>
    <row r="665" spans="5:48" ht="15.75" customHeight="1" x14ac:dyDescent="0.15"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  <c r="AH665" s="55"/>
      <c r="AI665" s="55"/>
      <c r="AJ665" s="55"/>
      <c r="AK665" s="55"/>
      <c r="AL665" s="55"/>
      <c r="AM665" s="55"/>
      <c r="AN665" s="55"/>
      <c r="AO665" s="55"/>
      <c r="AP665" s="55"/>
      <c r="AQ665" s="55"/>
      <c r="AR665" s="55"/>
      <c r="AS665" s="55"/>
      <c r="AT665" s="55"/>
      <c r="AU665" s="55"/>
      <c r="AV665" s="55"/>
    </row>
    <row r="666" spans="5:48" ht="15.75" customHeight="1" x14ac:dyDescent="0.15"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  <c r="AH666" s="55"/>
      <c r="AI666" s="55"/>
      <c r="AJ666" s="55"/>
      <c r="AK666" s="55"/>
      <c r="AL666" s="55"/>
      <c r="AM666" s="55"/>
      <c r="AN666" s="55"/>
      <c r="AO666" s="55"/>
      <c r="AP666" s="55"/>
      <c r="AQ666" s="55"/>
      <c r="AR666" s="55"/>
      <c r="AS666" s="55"/>
      <c r="AT666" s="55"/>
      <c r="AU666" s="55"/>
      <c r="AV666" s="55"/>
    </row>
    <row r="667" spans="5:48" ht="15.75" customHeight="1" x14ac:dyDescent="0.15"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  <c r="AH667" s="55"/>
      <c r="AI667" s="55"/>
      <c r="AJ667" s="55"/>
      <c r="AK667" s="55"/>
      <c r="AL667" s="55"/>
      <c r="AM667" s="55"/>
      <c r="AN667" s="55"/>
      <c r="AO667" s="55"/>
      <c r="AP667" s="55"/>
      <c r="AQ667" s="55"/>
      <c r="AR667" s="55"/>
      <c r="AS667" s="55"/>
      <c r="AT667" s="55"/>
      <c r="AU667" s="55"/>
      <c r="AV667" s="55"/>
    </row>
    <row r="668" spans="5:48" ht="15.75" customHeight="1" x14ac:dyDescent="0.15"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  <c r="AH668" s="55"/>
      <c r="AI668" s="55"/>
      <c r="AJ668" s="55"/>
      <c r="AK668" s="55"/>
      <c r="AL668" s="55"/>
      <c r="AM668" s="55"/>
      <c r="AN668" s="55"/>
      <c r="AO668" s="55"/>
      <c r="AP668" s="55"/>
      <c r="AQ668" s="55"/>
      <c r="AR668" s="55"/>
      <c r="AS668" s="55"/>
      <c r="AT668" s="55"/>
      <c r="AU668" s="55"/>
      <c r="AV668" s="55"/>
    </row>
    <row r="669" spans="5:48" ht="15.75" customHeight="1" x14ac:dyDescent="0.15"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  <c r="AH669" s="55"/>
      <c r="AI669" s="55"/>
      <c r="AJ669" s="55"/>
      <c r="AK669" s="55"/>
      <c r="AL669" s="55"/>
      <c r="AM669" s="55"/>
      <c r="AN669" s="55"/>
      <c r="AO669" s="55"/>
      <c r="AP669" s="55"/>
      <c r="AQ669" s="55"/>
      <c r="AR669" s="55"/>
      <c r="AS669" s="55"/>
      <c r="AT669" s="55"/>
      <c r="AU669" s="55"/>
      <c r="AV669" s="55"/>
    </row>
    <row r="670" spans="5:48" ht="15.75" customHeight="1" x14ac:dyDescent="0.15"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  <c r="AH670" s="55"/>
      <c r="AI670" s="55"/>
      <c r="AJ670" s="55"/>
      <c r="AK670" s="55"/>
      <c r="AL670" s="55"/>
      <c r="AM670" s="55"/>
      <c r="AN670" s="55"/>
      <c r="AO670" s="55"/>
      <c r="AP670" s="55"/>
      <c r="AQ670" s="55"/>
      <c r="AR670" s="55"/>
      <c r="AS670" s="55"/>
      <c r="AT670" s="55"/>
      <c r="AU670" s="55"/>
      <c r="AV670" s="55"/>
    </row>
    <row r="671" spans="5:48" ht="15.75" customHeight="1" x14ac:dyDescent="0.15"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  <c r="AH671" s="55"/>
      <c r="AI671" s="55"/>
      <c r="AJ671" s="55"/>
      <c r="AK671" s="55"/>
      <c r="AL671" s="55"/>
      <c r="AM671" s="55"/>
      <c r="AN671" s="55"/>
      <c r="AO671" s="55"/>
      <c r="AP671" s="55"/>
      <c r="AQ671" s="55"/>
      <c r="AR671" s="55"/>
      <c r="AS671" s="55"/>
      <c r="AT671" s="55"/>
      <c r="AU671" s="55"/>
      <c r="AV671" s="55"/>
    </row>
    <row r="672" spans="5:48" ht="15.75" customHeight="1" x14ac:dyDescent="0.15"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  <c r="AH672" s="55"/>
      <c r="AI672" s="55"/>
      <c r="AJ672" s="55"/>
      <c r="AK672" s="55"/>
      <c r="AL672" s="55"/>
      <c r="AM672" s="55"/>
      <c r="AN672" s="55"/>
      <c r="AO672" s="55"/>
      <c r="AP672" s="55"/>
      <c r="AQ672" s="55"/>
      <c r="AR672" s="55"/>
      <c r="AS672" s="55"/>
      <c r="AT672" s="55"/>
      <c r="AU672" s="55"/>
      <c r="AV672" s="55"/>
    </row>
    <row r="673" spans="5:48" ht="15.75" customHeight="1" x14ac:dyDescent="0.15"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  <c r="AH673" s="55"/>
      <c r="AI673" s="55"/>
      <c r="AJ673" s="55"/>
      <c r="AK673" s="55"/>
      <c r="AL673" s="55"/>
      <c r="AM673" s="55"/>
      <c r="AN673" s="55"/>
      <c r="AO673" s="55"/>
      <c r="AP673" s="55"/>
      <c r="AQ673" s="55"/>
      <c r="AR673" s="55"/>
      <c r="AS673" s="55"/>
      <c r="AT673" s="55"/>
      <c r="AU673" s="55"/>
      <c r="AV673" s="55"/>
    </row>
    <row r="674" spans="5:48" ht="15.75" customHeight="1" x14ac:dyDescent="0.15"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  <c r="AH674" s="55"/>
      <c r="AI674" s="55"/>
      <c r="AJ674" s="55"/>
      <c r="AK674" s="55"/>
      <c r="AL674" s="55"/>
      <c r="AM674" s="55"/>
      <c r="AN674" s="55"/>
      <c r="AO674" s="55"/>
      <c r="AP674" s="55"/>
      <c r="AQ674" s="55"/>
      <c r="AR674" s="55"/>
      <c r="AS674" s="55"/>
      <c r="AT674" s="55"/>
      <c r="AU674" s="55"/>
      <c r="AV674" s="55"/>
    </row>
    <row r="675" spans="5:48" ht="15.75" customHeight="1" x14ac:dyDescent="0.15"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  <c r="AH675" s="55"/>
      <c r="AI675" s="55"/>
      <c r="AJ675" s="55"/>
      <c r="AK675" s="55"/>
      <c r="AL675" s="55"/>
      <c r="AM675" s="55"/>
      <c r="AN675" s="55"/>
      <c r="AO675" s="55"/>
      <c r="AP675" s="55"/>
      <c r="AQ675" s="55"/>
      <c r="AR675" s="55"/>
      <c r="AS675" s="55"/>
      <c r="AT675" s="55"/>
      <c r="AU675" s="55"/>
      <c r="AV675" s="55"/>
    </row>
    <row r="676" spans="5:48" ht="15.75" customHeight="1" x14ac:dyDescent="0.15"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  <c r="AH676" s="55"/>
      <c r="AI676" s="55"/>
      <c r="AJ676" s="55"/>
      <c r="AK676" s="55"/>
      <c r="AL676" s="55"/>
      <c r="AM676" s="55"/>
      <c r="AN676" s="55"/>
      <c r="AO676" s="55"/>
      <c r="AP676" s="55"/>
      <c r="AQ676" s="55"/>
      <c r="AR676" s="55"/>
      <c r="AS676" s="55"/>
      <c r="AT676" s="55"/>
      <c r="AU676" s="55"/>
      <c r="AV676" s="55"/>
    </row>
    <row r="677" spans="5:48" ht="15.75" customHeight="1" x14ac:dyDescent="0.15"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  <c r="AH677" s="55"/>
      <c r="AI677" s="55"/>
      <c r="AJ677" s="55"/>
      <c r="AK677" s="55"/>
      <c r="AL677" s="55"/>
      <c r="AM677" s="55"/>
      <c r="AN677" s="55"/>
      <c r="AO677" s="55"/>
      <c r="AP677" s="55"/>
      <c r="AQ677" s="55"/>
      <c r="AR677" s="55"/>
      <c r="AS677" s="55"/>
      <c r="AT677" s="55"/>
      <c r="AU677" s="55"/>
      <c r="AV677" s="55"/>
    </row>
    <row r="678" spans="5:48" ht="15.75" customHeight="1" x14ac:dyDescent="0.15"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  <c r="AH678" s="55"/>
      <c r="AI678" s="55"/>
      <c r="AJ678" s="55"/>
      <c r="AK678" s="55"/>
      <c r="AL678" s="55"/>
      <c r="AM678" s="55"/>
      <c r="AN678" s="55"/>
      <c r="AO678" s="55"/>
      <c r="AP678" s="55"/>
      <c r="AQ678" s="55"/>
      <c r="AR678" s="55"/>
      <c r="AS678" s="55"/>
      <c r="AT678" s="55"/>
      <c r="AU678" s="55"/>
      <c r="AV678" s="55"/>
    </row>
    <row r="679" spans="5:48" ht="15.75" customHeight="1" x14ac:dyDescent="0.15"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  <c r="AH679" s="55"/>
      <c r="AI679" s="55"/>
      <c r="AJ679" s="55"/>
      <c r="AK679" s="55"/>
      <c r="AL679" s="55"/>
      <c r="AM679" s="55"/>
      <c r="AN679" s="55"/>
      <c r="AO679" s="55"/>
      <c r="AP679" s="55"/>
      <c r="AQ679" s="55"/>
      <c r="AR679" s="55"/>
      <c r="AS679" s="55"/>
      <c r="AT679" s="55"/>
      <c r="AU679" s="55"/>
      <c r="AV679" s="55"/>
    </row>
    <row r="680" spans="5:48" ht="15.75" customHeight="1" x14ac:dyDescent="0.15"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  <c r="AH680" s="55"/>
      <c r="AI680" s="55"/>
      <c r="AJ680" s="55"/>
      <c r="AK680" s="55"/>
      <c r="AL680" s="55"/>
      <c r="AM680" s="55"/>
      <c r="AN680" s="55"/>
      <c r="AO680" s="55"/>
      <c r="AP680" s="55"/>
      <c r="AQ680" s="55"/>
      <c r="AR680" s="55"/>
      <c r="AS680" s="55"/>
      <c r="AT680" s="55"/>
      <c r="AU680" s="55"/>
      <c r="AV680" s="55"/>
    </row>
    <row r="681" spans="5:48" ht="15.75" customHeight="1" x14ac:dyDescent="0.15"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  <c r="AH681" s="55"/>
      <c r="AI681" s="55"/>
      <c r="AJ681" s="55"/>
      <c r="AK681" s="55"/>
      <c r="AL681" s="55"/>
      <c r="AM681" s="55"/>
      <c r="AN681" s="55"/>
      <c r="AO681" s="55"/>
      <c r="AP681" s="55"/>
      <c r="AQ681" s="55"/>
      <c r="AR681" s="55"/>
      <c r="AS681" s="55"/>
      <c r="AT681" s="55"/>
      <c r="AU681" s="55"/>
      <c r="AV681" s="55"/>
    </row>
    <row r="682" spans="5:48" ht="15.75" customHeight="1" x14ac:dyDescent="0.15"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  <c r="AH682" s="55"/>
      <c r="AI682" s="55"/>
      <c r="AJ682" s="55"/>
      <c r="AK682" s="55"/>
      <c r="AL682" s="55"/>
      <c r="AM682" s="55"/>
      <c r="AN682" s="55"/>
      <c r="AO682" s="55"/>
      <c r="AP682" s="55"/>
      <c r="AQ682" s="55"/>
      <c r="AR682" s="55"/>
      <c r="AS682" s="55"/>
      <c r="AT682" s="55"/>
      <c r="AU682" s="55"/>
      <c r="AV682" s="55"/>
    </row>
    <row r="683" spans="5:48" ht="15.75" customHeight="1" x14ac:dyDescent="0.15"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  <c r="AH683" s="55"/>
      <c r="AI683" s="55"/>
      <c r="AJ683" s="55"/>
      <c r="AK683" s="55"/>
      <c r="AL683" s="55"/>
      <c r="AM683" s="55"/>
      <c r="AN683" s="55"/>
      <c r="AO683" s="55"/>
      <c r="AP683" s="55"/>
      <c r="AQ683" s="55"/>
      <c r="AR683" s="55"/>
      <c r="AS683" s="55"/>
      <c r="AT683" s="55"/>
      <c r="AU683" s="55"/>
      <c r="AV683" s="55"/>
    </row>
    <row r="684" spans="5:48" ht="15.75" customHeight="1" x14ac:dyDescent="0.15"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  <c r="AH684" s="55"/>
      <c r="AI684" s="55"/>
      <c r="AJ684" s="55"/>
      <c r="AK684" s="55"/>
      <c r="AL684" s="55"/>
      <c r="AM684" s="55"/>
      <c r="AN684" s="55"/>
      <c r="AO684" s="55"/>
      <c r="AP684" s="55"/>
      <c r="AQ684" s="55"/>
      <c r="AR684" s="55"/>
      <c r="AS684" s="55"/>
      <c r="AT684" s="55"/>
      <c r="AU684" s="55"/>
      <c r="AV684" s="55"/>
    </row>
    <row r="685" spans="5:48" ht="15.75" customHeight="1" x14ac:dyDescent="0.15"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  <c r="AH685" s="55"/>
      <c r="AI685" s="55"/>
      <c r="AJ685" s="55"/>
      <c r="AK685" s="55"/>
      <c r="AL685" s="55"/>
      <c r="AM685" s="55"/>
      <c r="AN685" s="55"/>
      <c r="AO685" s="55"/>
      <c r="AP685" s="55"/>
      <c r="AQ685" s="55"/>
      <c r="AR685" s="55"/>
      <c r="AS685" s="55"/>
      <c r="AT685" s="55"/>
      <c r="AU685" s="55"/>
      <c r="AV685" s="55"/>
    </row>
    <row r="686" spans="5:48" ht="15.75" customHeight="1" x14ac:dyDescent="0.15"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  <c r="AH686" s="55"/>
      <c r="AI686" s="55"/>
      <c r="AJ686" s="55"/>
      <c r="AK686" s="55"/>
      <c r="AL686" s="55"/>
      <c r="AM686" s="55"/>
      <c r="AN686" s="55"/>
      <c r="AO686" s="55"/>
      <c r="AP686" s="55"/>
      <c r="AQ686" s="55"/>
      <c r="AR686" s="55"/>
      <c r="AS686" s="55"/>
      <c r="AT686" s="55"/>
      <c r="AU686" s="55"/>
      <c r="AV686" s="55"/>
    </row>
    <row r="687" spans="5:48" ht="15.75" customHeight="1" x14ac:dyDescent="0.15"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  <c r="AH687" s="55"/>
      <c r="AI687" s="55"/>
      <c r="AJ687" s="55"/>
      <c r="AK687" s="55"/>
      <c r="AL687" s="55"/>
      <c r="AM687" s="55"/>
      <c r="AN687" s="55"/>
      <c r="AO687" s="55"/>
      <c r="AP687" s="55"/>
      <c r="AQ687" s="55"/>
      <c r="AR687" s="55"/>
      <c r="AS687" s="55"/>
      <c r="AT687" s="55"/>
      <c r="AU687" s="55"/>
      <c r="AV687" s="55"/>
    </row>
    <row r="688" spans="5:48" ht="15.75" customHeight="1" x14ac:dyDescent="0.15"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  <c r="AH688" s="55"/>
      <c r="AI688" s="55"/>
      <c r="AJ688" s="55"/>
      <c r="AK688" s="55"/>
      <c r="AL688" s="55"/>
      <c r="AM688" s="55"/>
      <c r="AN688" s="55"/>
      <c r="AO688" s="55"/>
      <c r="AP688" s="55"/>
      <c r="AQ688" s="55"/>
      <c r="AR688" s="55"/>
      <c r="AS688" s="55"/>
      <c r="AT688" s="55"/>
      <c r="AU688" s="55"/>
      <c r="AV688" s="55"/>
    </row>
    <row r="689" spans="5:48" ht="15.75" customHeight="1" x14ac:dyDescent="0.15"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  <c r="AH689" s="55"/>
      <c r="AI689" s="55"/>
      <c r="AJ689" s="55"/>
      <c r="AK689" s="55"/>
      <c r="AL689" s="55"/>
      <c r="AM689" s="55"/>
      <c r="AN689" s="55"/>
      <c r="AO689" s="55"/>
      <c r="AP689" s="55"/>
      <c r="AQ689" s="55"/>
      <c r="AR689" s="55"/>
      <c r="AS689" s="55"/>
      <c r="AT689" s="55"/>
      <c r="AU689" s="55"/>
      <c r="AV689" s="55"/>
    </row>
    <row r="690" spans="5:48" ht="15.75" customHeight="1" x14ac:dyDescent="0.15"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  <c r="AH690" s="55"/>
      <c r="AI690" s="55"/>
      <c r="AJ690" s="55"/>
      <c r="AK690" s="55"/>
      <c r="AL690" s="55"/>
      <c r="AM690" s="55"/>
      <c r="AN690" s="55"/>
      <c r="AO690" s="55"/>
      <c r="AP690" s="55"/>
      <c r="AQ690" s="55"/>
      <c r="AR690" s="55"/>
      <c r="AS690" s="55"/>
      <c r="AT690" s="55"/>
      <c r="AU690" s="55"/>
      <c r="AV690" s="55"/>
    </row>
    <row r="691" spans="5:48" ht="15.75" customHeight="1" x14ac:dyDescent="0.15"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  <c r="AF691" s="55"/>
      <c r="AG691" s="55"/>
      <c r="AH691" s="55"/>
      <c r="AI691" s="55"/>
      <c r="AJ691" s="55"/>
      <c r="AK691" s="55"/>
      <c r="AL691" s="55"/>
      <c r="AM691" s="55"/>
      <c r="AN691" s="55"/>
      <c r="AO691" s="55"/>
      <c r="AP691" s="55"/>
      <c r="AQ691" s="55"/>
      <c r="AR691" s="55"/>
      <c r="AS691" s="55"/>
      <c r="AT691" s="55"/>
      <c r="AU691" s="55"/>
      <c r="AV691" s="55"/>
    </row>
    <row r="692" spans="5:48" ht="15.75" customHeight="1" x14ac:dyDescent="0.15"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  <c r="AF692" s="55"/>
      <c r="AG692" s="55"/>
      <c r="AH692" s="55"/>
      <c r="AI692" s="55"/>
      <c r="AJ692" s="55"/>
      <c r="AK692" s="55"/>
      <c r="AL692" s="55"/>
      <c r="AM692" s="55"/>
      <c r="AN692" s="55"/>
      <c r="AO692" s="55"/>
      <c r="AP692" s="55"/>
      <c r="AQ692" s="55"/>
      <c r="AR692" s="55"/>
      <c r="AS692" s="55"/>
      <c r="AT692" s="55"/>
      <c r="AU692" s="55"/>
      <c r="AV692" s="55"/>
    </row>
    <row r="693" spans="5:48" ht="15.75" customHeight="1" x14ac:dyDescent="0.15"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  <c r="AC693" s="55"/>
      <c r="AD693" s="55"/>
      <c r="AE693" s="55"/>
      <c r="AF693" s="55"/>
      <c r="AG693" s="55"/>
      <c r="AH693" s="55"/>
      <c r="AI693" s="55"/>
      <c r="AJ693" s="55"/>
      <c r="AK693" s="55"/>
      <c r="AL693" s="55"/>
      <c r="AM693" s="55"/>
      <c r="AN693" s="55"/>
      <c r="AO693" s="55"/>
      <c r="AP693" s="55"/>
      <c r="AQ693" s="55"/>
      <c r="AR693" s="55"/>
      <c r="AS693" s="55"/>
      <c r="AT693" s="55"/>
      <c r="AU693" s="55"/>
      <c r="AV693" s="55"/>
    </row>
    <row r="694" spans="5:48" ht="15.75" customHeight="1" x14ac:dyDescent="0.15"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  <c r="AF694" s="55"/>
      <c r="AG694" s="55"/>
      <c r="AH694" s="55"/>
      <c r="AI694" s="55"/>
      <c r="AJ694" s="55"/>
      <c r="AK694" s="55"/>
      <c r="AL694" s="55"/>
      <c r="AM694" s="55"/>
      <c r="AN694" s="55"/>
      <c r="AO694" s="55"/>
      <c r="AP694" s="55"/>
      <c r="AQ694" s="55"/>
      <c r="AR694" s="55"/>
      <c r="AS694" s="55"/>
      <c r="AT694" s="55"/>
      <c r="AU694" s="55"/>
      <c r="AV694" s="55"/>
    </row>
    <row r="695" spans="5:48" ht="15.75" customHeight="1" x14ac:dyDescent="0.15"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  <c r="AC695" s="55"/>
      <c r="AD695" s="55"/>
      <c r="AE695" s="55"/>
      <c r="AF695" s="55"/>
      <c r="AG695" s="55"/>
      <c r="AH695" s="55"/>
      <c r="AI695" s="55"/>
      <c r="AJ695" s="55"/>
      <c r="AK695" s="55"/>
      <c r="AL695" s="55"/>
      <c r="AM695" s="55"/>
      <c r="AN695" s="55"/>
      <c r="AO695" s="55"/>
      <c r="AP695" s="55"/>
      <c r="AQ695" s="55"/>
      <c r="AR695" s="55"/>
      <c r="AS695" s="55"/>
      <c r="AT695" s="55"/>
      <c r="AU695" s="55"/>
      <c r="AV695" s="55"/>
    </row>
    <row r="696" spans="5:48" ht="15.75" customHeight="1" x14ac:dyDescent="0.15"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  <c r="AF696" s="55"/>
      <c r="AG696" s="55"/>
      <c r="AH696" s="55"/>
      <c r="AI696" s="55"/>
      <c r="AJ696" s="55"/>
      <c r="AK696" s="55"/>
      <c r="AL696" s="55"/>
      <c r="AM696" s="55"/>
      <c r="AN696" s="55"/>
      <c r="AO696" s="55"/>
      <c r="AP696" s="55"/>
      <c r="AQ696" s="55"/>
      <c r="AR696" s="55"/>
      <c r="AS696" s="55"/>
      <c r="AT696" s="55"/>
      <c r="AU696" s="55"/>
      <c r="AV696" s="55"/>
    </row>
    <row r="697" spans="5:48" ht="15.75" customHeight="1" x14ac:dyDescent="0.15"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  <c r="AF697" s="55"/>
      <c r="AG697" s="55"/>
      <c r="AH697" s="55"/>
      <c r="AI697" s="55"/>
      <c r="AJ697" s="55"/>
      <c r="AK697" s="55"/>
      <c r="AL697" s="55"/>
      <c r="AM697" s="55"/>
      <c r="AN697" s="55"/>
      <c r="AO697" s="55"/>
      <c r="AP697" s="55"/>
      <c r="AQ697" s="55"/>
      <c r="AR697" s="55"/>
      <c r="AS697" s="55"/>
      <c r="AT697" s="55"/>
      <c r="AU697" s="55"/>
      <c r="AV697" s="55"/>
    </row>
    <row r="698" spans="5:48" ht="15.75" customHeight="1" x14ac:dyDescent="0.15"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  <c r="AF698" s="55"/>
      <c r="AG698" s="55"/>
      <c r="AH698" s="55"/>
      <c r="AI698" s="55"/>
      <c r="AJ698" s="55"/>
      <c r="AK698" s="55"/>
      <c r="AL698" s="55"/>
      <c r="AM698" s="55"/>
      <c r="AN698" s="55"/>
      <c r="AO698" s="55"/>
      <c r="AP698" s="55"/>
      <c r="AQ698" s="55"/>
      <c r="AR698" s="55"/>
      <c r="AS698" s="55"/>
      <c r="AT698" s="55"/>
      <c r="AU698" s="55"/>
      <c r="AV698" s="55"/>
    </row>
    <row r="699" spans="5:48" ht="15.75" customHeight="1" x14ac:dyDescent="0.15"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  <c r="AF699" s="55"/>
      <c r="AG699" s="55"/>
      <c r="AH699" s="55"/>
      <c r="AI699" s="55"/>
      <c r="AJ699" s="55"/>
      <c r="AK699" s="55"/>
      <c r="AL699" s="55"/>
      <c r="AM699" s="55"/>
      <c r="AN699" s="55"/>
      <c r="AO699" s="55"/>
      <c r="AP699" s="55"/>
      <c r="AQ699" s="55"/>
      <c r="AR699" s="55"/>
      <c r="AS699" s="55"/>
      <c r="AT699" s="55"/>
      <c r="AU699" s="55"/>
      <c r="AV699" s="55"/>
    </row>
    <row r="700" spans="5:48" ht="15.75" customHeight="1" x14ac:dyDescent="0.15"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  <c r="AF700" s="55"/>
      <c r="AG700" s="55"/>
      <c r="AH700" s="55"/>
      <c r="AI700" s="55"/>
      <c r="AJ700" s="55"/>
      <c r="AK700" s="55"/>
      <c r="AL700" s="55"/>
      <c r="AM700" s="55"/>
      <c r="AN700" s="55"/>
      <c r="AO700" s="55"/>
      <c r="AP700" s="55"/>
      <c r="AQ700" s="55"/>
      <c r="AR700" s="55"/>
      <c r="AS700" s="55"/>
      <c r="AT700" s="55"/>
      <c r="AU700" s="55"/>
      <c r="AV700" s="55"/>
    </row>
    <row r="701" spans="5:48" ht="15.75" customHeight="1" x14ac:dyDescent="0.15"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  <c r="AC701" s="55"/>
      <c r="AD701" s="55"/>
      <c r="AE701" s="55"/>
      <c r="AF701" s="55"/>
      <c r="AG701" s="55"/>
      <c r="AH701" s="55"/>
      <c r="AI701" s="55"/>
      <c r="AJ701" s="55"/>
      <c r="AK701" s="55"/>
      <c r="AL701" s="55"/>
      <c r="AM701" s="55"/>
      <c r="AN701" s="55"/>
      <c r="AO701" s="55"/>
      <c r="AP701" s="55"/>
      <c r="AQ701" s="55"/>
      <c r="AR701" s="55"/>
      <c r="AS701" s="55"/>
      <c r="AT701" s="55"/>
      <c r="AU701" s="55"/>
      <c r="AV701" s="55"/>
    </row>
    <row r="702" spans="5:48" ht="15.75" customHeight="1" x14ac:dyDescent="0.15"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  <c r="AF702" s="55"/>
      <c r="AG702" s="55"/>
      <c r="AH702" s="55"/>
      <c r="AI702" s="55"/>
      <c r="AJ702" s="55"/>
      <c r="AK702" s="55"/>
      <c r="AL702" s="55"/>
      <c r="AM702" s="55"/>
      <c r="AN702" s="55"/>
      <c r="AO702" s="55"/>
      <c r="AP702" s="55"/>
      <c r="AQ702" s="55"/>
      <c r="AR702" s="55"/>
      <c r="AS702" s="55"/>
      <c r="AT702" s="55"/>
      <c r="AU702" s="55"/>
      <c r="AV702" s="55"/>
    </row>
    <row r="703" spans="5:48" ht="15.75" customHeight="1" x14ac:dyDescent="0.15"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  <c r="AF703" s="55"/>
      <c r="AG703" s="55"/>
      <c r="AH703" s="55"/>
      <c r="AI703" s="55"/>
      <c r="AJ703" s="55"/>
      <c r="AK703" s="55"/>
      <c r="AL703" s="55"/>
      <c r="AM703" s="55"/>
      <c r="AN703" s="55"/>
      <c r="AO703" s="55"/>
      <c r="AP703" s="55"/>
      <c r="AQ703" s="55"/>
      <c r="AR703" s="55"/>
      <c r="AS703" s="55"/>
      <c r="AT703" s="55"/>
      <c r="AU703" s="55"/>
      <c r="AV703" s="55"/>
    </row>
    <row r="704" spans="5:48" ht="15.75" customHeight="1" x14ac:dyDescent="0.15"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  <c r="AC704" s="55"/>
      <c r="AD704" s="55"/>
      <c r="AE704" s="55"/>
      <c r="AF704" s="55"/>
      <c r="AG704" s="55"/>
      <c r="AH704" s="55"/>
      <c r="AI704" s="55"/>
      <c r="AJ704" s="55"/>
      <c r="AK704" s="55"/>
      <c r="AL704" s="55"/>
      <c r="AM704" s="55"/>
      <c r="AN704" s="55"/>
      <c r="AO704" s="55"/>
      <c r="AP704" s="55"/>
      <c r="AQ704" s="55"/>
      <c r="AR704" s="55"/>
      <c r="AS704" s="55"/>
      <c r="AT704" s="55"/>
      <c r="AU704" s="55"/>
      <c r="AV704" s="55"/>
    </row>
    <row r="705" spans="5:48" ht="15.75" customHeight="1" x14ac:dyDescent="0.15"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  <c r="AE705" s="55"/>
      <c r="AF705" s="55"/>
      <c r="AG705" s="55"/>
      <c r="AH705" s="55"/>
      <c r="AI705" s="55"/>
      <c r="AJ705" s="55"/>
      <c r="AK705" s="55"/>
      <c r="AL705" s="55"/>
      <c r="AM705" s="55"/>
      <c r="AN705" s="55"/>
      <c r="AO705" s="55"/>
      <c r="AP705" s="55"/>
      <c r="AQ705" s="55"/>
      <c r="AR705" s="55"/>
      <c r="AS705" s="55"/>
      <c r="AT705" s="55"/>
      <c r="AU705" s="55"/>
      <c r="AV705" s="55"/>
    </row>
    <row r="706" spans="5:48" ht="15.75" customHeight="1" x14ac:dyDescent="0.15"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  <c r="AE706" s="55"/>
      <c r="AF706" s="55"/>
      <c r="AG706" s="55"/>
      <c r="AH706" s="55"/>
      <c r="AI706" s="55"/>
      <c r="AJ706" s="55"/>
      <c r="AK706" s="55"/>
      <c r="AL706" s="55"/>
      <c r="AM706" s="55"/>
      <c r="AN706" s="55"/>
      <c r="AO706" s="55"/>
      <c r="AP706" s="55"/>
      <c r="AQ706" s="55"/>
      <c r="AR706" s="55"/>
      <c r="AS706" s="55"/>
      <c r="AT706" s="55"/>
      <c r="AU706" s="55"/>
      <c r="AV706" s="55"/>
    </row>
    <row r="707" spans="5:48" ht="15.75" customHeight="1" x14ac:dyDescent="0.15"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  <c r="AE707" s="55"/>
      <c r="AF707" s="55"/>
      <c r="AG707" s="55"/>
      <c r="AH707" s="55"/>
      <c r="AI707" s="55"/>
      <c r="AJ707" s="55"/>
      <c r="AK707" s="55"/>
      <c r="AL707" s="55"/>
      <c r="AM707" s="55"/>
      <c r="AN707" s="55"/>
      <c r="AO707" s="55"/>
      <c r="AP707" s="55"/>
      <c r="AQ707" s="55"/>
      <c r="AR707" s="55"/>
      <c r="AS707" s="55"/>
      <c r="AT707" s="55"/>
      <c r="AU707" s="55"/>
      <c r="AV707" s="55"/>
    </row>
    <row r="708" spans="5:48" ht="15.75" customHeight="1" x14ac:dyDescent="0.15"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  <c r="AH708" s="55"/>
      <c r="AI708" s="55"/>
      <c r="AJ708" s="55"/>
      <c r="AK708" s="55"/>
      <c r="AL708" s="55"/>
      <c r="AM708" s="55"/>
      <c r="AN708" s="55"/>
      <c r="AO708" s="55"/>
      <c r="AP708" s="55"/>
      <c r="AQ708" s="55"/>
      <c r="AR708" s="55"/>
      <c r="AS708" s="55"/>
      <c r="AT708" s="55"/>
      <c r="AU708" s="55"/>
      <c r="AV708" s="55"/>
    </row>
    <row r="709" spans="5:48" ht="15.75" customHeight="1" x14ac:dyDescent="0.15"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  <c r="AF709" s="55"/>
      <c r="AG709" s="55"/>
      <c r="AH709" s="55"/>
      <c r="AI709" s="55"/>
      <c r="AJ709" s="55"/>
      <c r="AK709" s="55"/>
      <c r="AL709" s="55"/>
      <c r="AM709" s="55"/>
      <c r="AN709" s="55"/>
      <c r="AO709" s="55"/>
      <c r="AP709" s="55"/>
      <c r="AQ709" s="55"/>
      <c r="AR709" s="55"/>
      <c r="AS709" s="55"/>
      <c r="AT709" s="55"/>
      <c r="AU709" s="55"/>
      <c r="AV709" s="55"/>
    </row>
    <row r="710" spans="5:48" ht="15.75" customHeight="1" x14ac:dyDescent="0.15"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  <c r="AF710" s="55"/>
      <c r="AG710" s="55"/>
      <c r="AH710" s="55"/>
      <c r="AI710" s="55"/>
      <c r="AJ710" s="55"/>
      <c r="AK710" s="55"/>
      <c r="AL710" s="55"/>
      <c r="AM710" s="55"/>
      <c r="AN710" s="55"/>
      <c r="AO710" s="55"/>
      <c r="AP710" s="55"/>
      <c r="AQ710" s="55"/>
      <c r="AR710" s="55"/>
      <c r="AS710" s="55"/>
      <c r="AT710" s="55"/>
      <c r="AU710" s="55"/>
      <c r="AV710" s="55"/>
    </row>
    <row r="711" spans="5:48" ht="15.75" customHeight="1" x14ac:dyDescent="0.15"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  <c r="AF711" s="55"/>
      <c r="AG711" s="55"/>
      <c r="AH711" s="55"/>
      <c r="AI711" s="55"/>
      <c r="AJ711" s="55"/>
      <c r="AK711" s="55"/>
      <c r="AL711" s="55"/>
      <c r="AM711" s="55"/>
      <c r="AN711" s="55"/>
      <c r="AO711" s="55"/>
      <c r="AP711" s="55"/>
      <c r="AQ711" s="55"/>
      <c r="AR711" s="55"/>
      <c r="AS711" s="55"/>
      <c r="AT711" s="55"/>
      <c r="AU711" s="55"/>
      <c r="AV711" s="55"/>
    </row>
    <row r="712" spans="5:48" ht="15.75" customHeight="1" x14ac:dyDescent="0.15"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  <c r="AG712" s="55"/>
      <c r="AH712" s="55"/>
      <c r="AI712" s="55"/>
      <c r="AJ712" s="55"/>
      <c r="AK712" s="55"/>
      <c r="AL712" s="55"/>
      <c r="AM712" s="55"/>
      <c r="AN712" s="55"/>
      <c r="AO712" s="55"/>
      <c r="AP712" s="55"/>
      <c r="AQ712" s="55"/>
      <c r="AR712" s="55"/>
      <c r="AS712" s="55"/>
      <c r="AT712" s="55"/>
      <c r="AU712" s="55"/>
      <c r="AV712" s="55"/>
    </row>
    <row r="713" spans="5:48" ht="15.75" customHeight="1" x14ac:dyDescent="0.15"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  <c r="AC713" s="55"/>
      <c r="AD713" s="55"/>
      <c r="AE713" s="55"/>
      <c r="AF713" s="55"/>
      <c r="AG713" s="55"/>
      <c r="AH713" s="55"/>
      <c r="AI713" s="55"/>
      <c r="AJ713" s="55"/>
      <c r="AK713" s="55"/>
      <c r="AL713" s="55"/>
      <c r="AM713" s="55"/>
      <c r="AN713" s="55"/>
      <c r="AO713" s="55"/>
      <c r="AP713" s="55"/>
      <c r="AQ713" s="55"/>
      <c r="AR713" s="55"/>
      <c r="AS713" s="55"/>
      <c r="AT713" s="55"/>
      <c r="AU713" s="55"/>
      <c r="AV713" s="55"/>
    </row>
    <row r="714" spans="5:48" ht="15.75" customHeight="1" x14ac:dyDescent="0.15"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  <c r="AF714" s="55"/>
      <c r="AG714" s="55"/>
      <c r="AH714" s="55"/>
      <c r="AI714" s="55"/>
      <c r="AJ714" s="55"/>
      <c r="AK714" s="55"/>
      <c r="AL714" s="55"/>
      <c r="AM714" s="55"/>
      <c r="AN714" s="55"/>
      <c r="AO714" s="55"/>
      <c r="AP714" s="55"/>
      <c r="AQ714" s="55"/>
      <c r="AR714" s="55"/>
      <c r="AS714" s="55"/>
      <c r="AT714" s="55"/>
      <c r="AU714" s="55"/>
      <c r="AV714" s="55"/>
    </row>
    <row r="715" spans="5:48" ht="15.75" customHeight="1" x14ac:dyDescent="0.15"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5"/>
      <c r="AE715" s="55"/>
      <c r="AF715" s="55"/>
      <c r="AG715" s="55"/>
      <c r="AH715" s="55"/>
      <c r="AI715" s="55"/>
      <c r="AJ715" s="55"/>
      <c r="AK715" s="55"/>
      <c r="AL715" s="55"/>
      <c r="AM715" s="55"/>
      <c r="AN715" s="55"/>
      <c r="AO715" s="55"/>
      <c r="AP715" s="55"/>
      <c r="AQ715" s="55"/>
      <c r="AR715" s="55"/>
      <c r="AS715" s="55"/>
      <c r="AT715" s="55"/>
      <c r="AU715" s="55"/>
      <c r="AV715" s="55"/>
    </row>
    <row r="716" spans="5:48" ht="15.75" customHeight="1" x14ac:dyDescent="0.15"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  <c r="AF716" s="55"/>
      <c r="AG716" s="55"/>
      <c r="AH716" s="55"/>
      <c r="AI716" s="55"/>
      <c r="AJ716" s="55"/>
      <c r="AK716" s="55"/>
      <c r="AL716" s="55"/>
      <c r="AM716" s="55"/>
      <c r="AN716" s="55"/>
      <c r="AO716" s="55"/>
      <c r="AP716" s="55"/>
      <c r="AQ716" s="55"/>
      <c r="AR716" s="55"/>
      <c r="AS716" s="55"/>
      <c r="AT716" s="55"/>
      <c r="AU716" s="55"/>
      <c r="AV716" s="55"/>
    </row>
    <row r="717" spans="5:48" ht="15.75" customHeight="1" x14ac:dyDescent="0.15"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  <c r="AF717" s="55"/>
      <c r="AG717" s="55"/>
      <c r="AH717" s="55"/>
      <c r="AI717" s="55"/>
      <c r="AJ717" s="55"/>
      <c r="AK717" s="55"/>
      <c r="AL717" s="55"/>
      <c r="AM717" s="55"/>
      <c r="AN717" s="55"/>
      <c r="AO717" s="55"/>
      <c r="AP717" s="55"/>
      <c r="AQ717" s="55"/>
      <c r="AR717" s="55"/>
      <c r="AS717" s="55"/>
      <c r="AT717" s="55"/>
      <c r="AU717" s="55"/>
      <c r="AV717" s="55"/>
    </row>
    <row r="718" spans="5:48" ht="15.75" customHeight="1" x14ac:dyDescent="0.15"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5"/>
      <c r="AE718" s="55"/>
      <c r="AF718" s="55"/>
      <c r="AG718" s="55"/>
      <c r="AH718" s="55"/>
      <c r="AI718" s="55"/>
      <c r="AJ718" s="55"/>
      <c r="AK718" s="55"/>
      <c r="AL718" s="55"/>
      <c r="AM718" s="55"/>
      <c r="AN718" s="55"/>
      <c r="AO718" s="55"/>
      <c r="AP718" s="55"/>
      <c r="AQ718" s="55"/>
      <c r="AR718" s="55"/>
      <c r="AS718" s="55"/>
      <c r="AT718" s="55"/>
      <c r="AU718" s="55"/>
      <c r="AV718" s="55"/>
    </row>
    <row r="719" spans="5:48" ht="15.75" customHeight="1" x14ac:dyDescent="0.15"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5"/>
      <c r="AE719" s="55"/>
      <c r="AF719" s="55"/>
      <c r="AG719" s="55"/>
      <c r="AH719" s="55"/>
      <c r="AI719" s="55"/>
      <c r="AJ719" s="55"/>
      <c r="AK719" s="55"/>
      <c r="AL719" s="55"/>
      <c r="AM719" s="55"/>
      <c r="AN719" s="55"/>
      <c r="AO719" s="55"/>
      <c r="AP719" s="55"/>
      <c r="AQ719" s="55"/>
      <c r="AR719" s="55"/>
      <c r="AS719" s="55"/>
      <c r="AT719" s="55"/>
      <c r="AU719" s="55"/>
      <c r="AV719" s="55"/>
    </row>
    <row r="720" spans="5:48" ht="15.75" customHeight="1" x14ac:dyDescent="0.15"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  <c r="AD720" s="55"/>
      <c r="AE720" s="55"/>
      <c r="AF720" s="55"/>
      <c r="AG720" s="55"/>
      <c r="AH720" s="55"/>
      <c r="AI720" s="55"/>
      <c r="AJ720" s="55"/>
      <c r="AK720" s="55"/>
      <c r="AL720" s="55"/>
      <c r="AM720" s="55"/>
      <c r="AN720" s="55"/>
      <c r="AO720" s="55"/>
      <c r="AP720" s="55"/>
      <c r="AQ720" s="55"/>
      <c r="AR720" s="55"/>
      <c r="AS720" s="55"/>
      <c r="AT720" s="55"/>
      <c r="AU720" s="55"/>
      <c r="AV720" s="55"/>
    </row>
    <row r="721" spans="5:48" ht="15.75" customHeight="1" x14ac:dyDescent="0.15"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  <c r="AD721" s="55"/>
      <c r="AE721" s="55"/>
      <c r="AF721" s="55"/>
      <c r="AG721" s="55"/>
      <c r="AH721" s="55"/>
      <c r="AI721" s="55"/>
      <c r="AJ721" s="55"/>
      <c r="AK721" s="55"/>
      <c r="AL721" s="55"/>
      <c r="AM721" s="55"/>
      <c r="AN721" s="55"/>
      <c r="AO721" s="55"/>
      <c r="AP721" s="55"/>
      <c r="AQ721" s="55"/>
      <c r="AR721" s="55"/>
      <c r="AS721" s="55"/>
      <c r="AT721" s="55"/>
      <c r="AU721" s="55"/>
      <c r="AV721" s="55"/>
    </row>
    <row r="722" spans="5:48" ht="15.75" customHeight="1" x14ac:dyDescent="0.15"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  <c r="AD722" s="55"/>
      <c r="AE722" s="55"/>
      <c r="AF722" s="55"/>
      <c r="AG722" s="55"/>
      <c r="AH722" s="55"/>
      <c r="AI722" s="55"/>
      <c r="AJ722" s="55"/>
      <c r="AK722" s="55"/>
      <c r="AL722" s="55"/>
      <c r="AM722" s="55"/>
      <c r="AN722" s="55"/>
      <c r="AO722" s="55"/>
      <c r="AP722" s="55"/>
      <c r="AQ722" s="55"/>
      <c r="AR722" s="55"/>
      <c r="AS722" s="55"/>
      <c r="AT722" s="55"/>
      <c r="AU722" s="55"/>
      <c r="AV722" s="55"/>
    </row>
    <row r="723" spans="5:48" ht="15.75" customHeight="1" x14ac:dyDescent="0.15"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  <c r="AF723" s="55"/>
      <c r="AG723" s="55"/>
      <c r="AH723" s="55"/>
      <c r="AI723" s="55"/>
      <c r="AJ723" s="55"/>
      <c r="AK723" s="55"/>
      <c r="AL723" s="55"/>
      <c r="AM723" s="55"/>
      <c r="AN723" s="55"/>
      <c r="AO723" s="55"/>
      <c r="AP723" s="55"/>
      <c r="AQ723" s="55"/>
      <c r="AR723" s="55"/>
      <c r="AS723" s="55"/>
      <c r="AT723" s="55"/>
      <c r="AU723" s="55"/>
      <c r="AV723" s="55"/>
    </row>
    <row r="724" spans="5:48" ht="15.75" customHeight="1" x14ac:dyDescent="0.15"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  <c r="AF724" s="55"/>
      <c r="AG724" s="55"/>
      <c r="AH724" s="55"/>
      <c r="AI724" s="55"/>
      <c r="AJ724" s="55"/>
      <c r="AK724" s="55"/>
      <c r="AL724" s="55"/>
      <c r="AM724" s="55"/>
      <c r="AN724" s="55"/>
      <c r="AO724" s="55"/>
      <c r="AP724" s="55"/>
      <c r="AQ724" s="55"/>
      <c r="AR724" s="55"/>
      <c r="AS724" s="55"/>
      <c r="AT724" s="55"/>
      <c r="AU724" s="55"/>
      <c r="AV724" s="55"/>
    </row>
    <row r="725" spans="5:48" ht="15.75" customHeight="1" x14ac:dyDescent="0.15"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  <c r="AF725" s="55"/>
      <c r="AG725" s="55"/>
      <c r="AH725" s="55"/>
      <c r="AI725" s="55"/>
      <c r="AJ725" s="55"/>
      <c r="AK725" s="55"/>
      <c r="AL725" s="55"/>
      <c r="AM725" s="55"/>
      <c r="AN725" s="55"/>
      <c r="AO725" s="55"/>
      <c r="AP725" s="55"/>
      <c r="AQ725" s="55"/>
      <c r="AR725" s="55"/>
      <c r="AS725" s="55"/>
      <c r="AT725" s="55"/>
      <c r="AU725" s="55"/>
      <c r="AV725" s="55"/>
    </row>
    <row r="726" spans="5:48" ht="15.75" customHeight="1" x14ac:dyDescent="0.15"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  <c r="AF726" s="55"/>
      <c r="AG726" s="55"/>
      <c r="AH726" s="55"/>
      <c r="AI726" s="55"/>
      <c r="AJ726" s="55"/>
      <c r="AK726" s="55"/>
      <c r="AL726" s="55"/>
      <c r="AM726" s="55"/>
      <c r="AN726" s="55"/>
      <c r="AO726" s="55"/>
      <c r="AP726" s="55"/>
      <c r="AQ726" s="55"/>
      <c r="AR726" s="55"/>
      <c r="AS726" s="55"/>
      <c r="AT726" s="55"/>
      <c r="AU726" s="55"/>
      <c r="AV726" s="55"/>
    </row>
    <row r="727" spans="5:48" ht="15.75" customHeight="1" x14ac:dyDescent="0.15"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  <c r="AF727" s="55"/>
      <c r="AG727" s="55"/>
      <c r="AH727" s="55"/>
      <c r="AI727" s="55"/>
      <c r="AJ727" s="55"/>
      <c r="AK727" s="55"/>
      <c r="AL727" s="55"/>
      <c r="AM727" s="55"/>
      <c r="AN727" s="55"/>
      <c r="AO727" s="55"/>
      <c r="AP727" s="55"/>
      <c r="AQ727" s="55"/>
      <c r="AR727" s="55"/>
      <c r="AS727" s="55"/>
      <c r="AT727" s="55"/>
      <c r="AU727" s="55"/>
      <c r="AV727" s="55"/>
    </row>
    <row r="728" spans="5:48" ht="15.75" customHeight="1" x14ac:dyDescent="0.15"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  <c r="AF728" s="55"/>
      <c r="AG728" s="55"/>
      <c r="AH728" s="55"/>
      <c r="AI728" s="55"/>
      <c r="AJ728" s="55"/>
      <c r="AK728" s="55"/>
      <c r="AL728" s="55"/>
      <c r="AM728" s="55"/>
      <c r="AN728" s="55"/>
      <c r="AO728" s="55"/>
      <c r="AP728" s="55"/>
      <c r="AQ728" s="55"/>
      <c r="AR728" s="55"/>
      <c r="AS728" s="55"/>
      <c r="AT728" s="55"/>
      <c r="AU728" s="55"/>
      <c r="AV728" s="55"/>
    </row>
    <row r="729" spans="5:48" ht="15.75" customHeight="1" x14ac:dyDescent="0.15"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  <c r="AH729" s="55"/>
      <c r="AI729" s="55"/>
      <c r="AJ729" s="55"/>
      <c r="AK729" s="55"/>
      <c r="AL729" s="55"/>
      <c r="AM729" s="55"/>
      <c r="AN729" s="55"/>
      <c r="AO729" s="55"/>
      <c r="AP729" s="55"/>
      <c r="AQ729" s="55"/>
      <c r="AR729" s="55"/>
      <c r="AS729" s="55"/>
      <c r="AT729" s="55"/>
      <c r="AU729" s="55"/>
      <c r="AV729" s="55"/>
    </row>
    <row r="730" spans="5:48" ht="15.75" customHeight="1" x14ac:dyDescent="0.15"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  <c r="AH730" s="55"/>
      <c r="AI730" s="55"/>
      <c r="AJ730" s="55"/>
      <c r="AK730" s="55"/>
      <c r="AL730" s="55"/>
      <c r="AM730" s="55"/>
      <c r="AN730" s="55"/>
      <c r="AO730" s="55"/>
      <c r="AP730" s="55"/>
      <c r="AQ730" s="55"/>
      <c r="AR730" s="55"/>
      <c r="AS730" s="55"/>
      <c r="AT730" s="55"/>
      <c r="AU730" s="55"/>
      <c r="AV730" s="55"/>
    </row>
    <row r="731" spans="5:48" ht="15.75" customHeight="1" x14ac:dyDescent="0.15"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  <c r="AH731" s="55"/>
      <c r="AI731" s="55"/>
      <c r="AJ731" s="55"/>
      <c r="AK731" s="55"/>
      <c r="AL731" s="55"/>
      <c r="AM731" s="55"/>
      <c r="AN731" s="55"/>
      <c r="AO731" s="55"/>
      <c r="AP731" s="55"/>
      <c r="AQ731" s="55"/>
      <c r="AR731" s="55"/>
      <c r="AS731" s="55"/>
      <c r="AT731" s="55"/>
      <c r="AU731" s="55"/>
      <c r="AV731" s="55"/>
    </row>
    <row r="732" spans="5:48" ht="15.75" customHeight="1" x14ac:dyDescent="0.15"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  <c r="AF732" s="55"/>
      <c r="AG732" s="55"/>
      <c r="AH732" s="55"/>
      <c r="AI732" s="55"/>
      <c r="AJ732" s="55"/>
      <c r="AK732" s="55"/>
      <c r="AL732" s="55"/>
      <c r="AM732" s="55"/>
      <c r="AN732" s="55"/>
      <c r="AO732" s="55"/>
      <c r="AP732" s="55"/>
      <c r="AQ732" s="55"/>
      <c r="AR732" s="55"/>
      <c r="AS732" s="55"/>
      <c r="AT732" s="55"/>
      <c r="AU732" s="55"/>
      <c r="AV732" s="55"/>
    </row>
    <row r="733" spans="5:48" ht="15.75" customHeight="1" x14ac:dyDescent="0.15"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  <c r="AF733" s="55"/>
      <c r="AG733" s="55"/>
      <c r="AH733" s="55"/>
      <c r="AI733" s="55"/>
      <c r="AJ733" s="55"/>
      <c r="AK733" s="55"/>
      <c r="AL733" s="55"/>
      <c r="AM733" s="55"/>
      <c r="AN733" s="55"/>
      <c r="AO733" s="55"/>
      <c r="AP733" s="55"/>
      <c r="AQ733" s="55"/>
      <c r="AR733" s="55"/>
      <c r="AS733" s="55"/>
      <c r="AT733" s="55"/>
      <c r="AU733" s="55"/>
      <c r="AV733" s="55"/>
    </row>
    <row r="734" spans="5:48" ht="15.75" customHeight="1" x14ac:dyDescent="0.15"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  <c r="AF734" s="55"/>
      <c r="AG734" s="55"/>
      <c r="AH734" s="55"/>
      <c r="AI734" s="55"/>
      <c r="AJ734" s="55"/>
      <c r="AK734" s="55"/>
      <c r="AL734" s="55"/>
      <c r="AM734" s="55"/>
      <c r="AN734" s="55"/>
      <c r="AO734" s="55"/>
      <c r="AP734" s="55"/>
      <c r="AQ734" s="55"/>
      <c r="AR734" s="55"/>
      <c r="AS734" s="55"/>
      <c r="AT734" s="55"/>
      <c r="AU734" s="55"/>
      <c r="AV734" s="55"/>
    </row>
    <row r="735" spans="5:48" ht="15.75" customHeight="1" x14ac:dyDescent="0.15"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  <c r="AF735" s="55"/>
      <c r="AG735" s="55"/>
      <c r="AH735" s="55"/>
      <c r="AI735" s="55"/>
      <c r="AJ735" s="55"/>
      <c r="AK735" s="55"/>
      <c r="AL735" s="55"/>
      <c r="AM735" s="55"/>
      <c r="AN735" s="55"/>
      <c r="AO735" s="55"/>
      <c r="AP735" s="55"/>
      <c r="AQ735" s="55"/>
      <c r="AR735" s="55"/>
      <c r="AS735" s="55"/>
      <c r="AT735" s="55"/>
      <c r="AU735" s="55"/>
      <c r="AV735" s="55"/>
    </row>
    <row r="736" spans="5:48" ht="15.75" customHeight="1" x14ac:dyDescent="0.15"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  <c r="AF736" s="55"/>
      <c r="AG736" s="55"/>
      <c r="AH736" s="55"/>
      <c r="AI736" s="55"/>
      <c r="AJ736" s="55"/>
      <c r="AK736" s="55"/>
      <c r="AL736" s="55"/>
      <c r="AM736" s="55"/>
      <c r="AN736" s="55"/>
      <c r="AO736" s="55"/>
      <c r="AP736" s="55"/>
      <c r="AQ736" s="55"/>
      <c r="AR736" s="55"/>
      <c r="AS736" s="55"/>
      <c r="AT736" s="55"/>
      <c r="AU736" s="55"/>
      <c r="AV736" s="55"/>
    </row>
    <row r="737" spans="5:48" ht="15.75" customHeight="1" x14ac:dyDescent="0.15"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  <c r="AF737" s="55"/>
      <c r="AG737" s="55"/>
      <c r="AH737" s="55"/>
      <c r="AI737" s="55"/>
      <c r="AJ737" s="55"/>
      <c r="AK737" s="55"/>
      <c r="AL737" s="55"/>
      <c r="AM737" s="55"/>
      <c r="AN737" s="55"/>
      <c r="AO737" s="55"/>
      <c r="AP737" s="55"/>
      <c r="AQ737" s="55"/>
      <c r="AR737" s="55"/>
      <c r="AS737" s="55"/>
      <c r="AT737" s="55"/>
      <c r="AU737" s="55"/>
      <c r="AV737" s="55"/>
    </row>
    <row r="738" spans="5:48" ht="15.75" customHeight="1" x14ac:dyDescent="0.15"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  <c r="AF738" s="55"/>
      <c r="AG738" s="55"/>
      <c r="AH738" s="55"/>
      <c r="AI738" s="55"/>
      <c r="AJ738" s="55"/>
      <c r="AK738" s="55"/>
      <c r="AL738" s="55"/>
      <c r="AM738" s="55"/>
      <c r="AN738" s="55"/>
      <c r="AO738" s="55"/>
      <c r="AP738" s="55"/>
      <c r="AQ738" s="55"/>
      <c r="AR738" s="55"/>
      <c r="AS738" s="55"/>
      <c r="AT738" s="55"/>
      <c r="AU738" s="55"/>
      <c r="AV738" s="55"/>
    </row>
    <row r="739" spans="5:48" ht="15.75" customHeight="1" x14ac:dyDescent="0.15"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  <c r="AH739" s="55"/>
      <c r="AI739" s="55"/>
      <c r="AJ739" s="55"/>
      <c r="AK739" s="55"/>
      <c r="AL739" s="55"/>
      <c r="AM739" s="55"/>
      <c r="AN739" s="55"/>
      <c r="AO739" s="55"/>
      <c r="AP739" s="55"/>
      <c r="AQ739" s="55"/>
      <c r="AR739" s="55"/>
      <c r="AS739" s="55"/>
      <c r="AT739" s="55"/>
      <c r="AU739" s="55"/>
      <c r="AV739" s="55"/>
    </row>
    <row r="740" spans="5:48" ht="15.75" customHeight="1" x14ac:dyDescent="0.15"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  <c r="AH740" s="55"/>
      <c r="AI740" s="55"/>
      <c r="AJ740" s="55"/>
      <c r="AK740" s="55"/>
      <c r="AL740" s="55"/>
      <c r="AM740" s="55"/>
      <c r="AN740" s="55"/>
      <c r="AO740" s="55"/>
      <c r="AP740" s="55"/>
      <c r="AQ740" s="55"/>
      <c r="AR740" s="55"/>
      <c r="AS740" s="55"/>
      <c r="AT740" s="55"/>
      <c r="AU740" s="55"/>
      <c r="AV740" s="55"/>
    </row>
    <row r="741" spans="5:48" ht="15.75" customHeight="1" x14ac:dyDescent="0.15"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  <c r="AH741" s="55"/>
      <c r="AI741" s="55"/>
      <c r="AJ741" s="55"/>
      <c r="AK741" s="55"/>
      <c r="AL741" s="55"/>
      <c r="AM741" s="55"/>
      <c r="AN741" s="55"/>
      <c r="AO741" s="55"/>
      <c r="AP741" s="55"/>
      <c r="AQ741" s="55"/>
      <c r="AR741" s="55"/>
      <c r="AS741" s="55"/>
      <c r="AT741" s="55"/>
      <c r="AU741" s="55"/>
      <c r="AV741" s="55"/>
    </row>
    <row r="742" spans="5:48" ht="15.75" customHeight="1" x14ac:dyDescent="0.15"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  <c r="AF742" s="55"/>
      <c r="AG742" s="55"/>
      <c r="AH742" s="55"/>
      <c r="AI742" s="55"/>
      <c r="AJ742" s="55"/>
      <c r="AK742" s="55"/>
      <c r="AL742" s="55"/>
      <c r="AM742" s="55"/>
      <c r="AN742" s="55"/>
      <c r="AO742" s="55"/>
      <c r="AP742" s="55"/>
      <c r="AQ742" s="55"/>
      <c r="AR742" s="55"/>
      <c r="AS742" s="55"/>
      <c r="AT742" s="55"/>
      <c r="AU742" s="55"/>
      <c r="AV742" s="55"/>
    </row>
    <row r="743" spans="5:48" ht="15.75" customHeight="1" x14ac:dyDescent="0.15"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  <c r="AF743" s="55"/>
      <c r="AG743" s="55"/>
      <c r="AH743" s="55"/>
      <c r="AI743" s="55"/>
      <c r="AJ743" s="55"/>
      <c r="AK743" s="55"/>
      <c r="AL743" s="55"/>
      <c r="AM743" s="55"/>
      <c r="AN743" s="55"/>
      <c r="AO743" s="55"/>
      <c r="AP743" s="55"/>
      <c r="AQ743" s="55"/>
      <c r="AR743" s="55"/>
      <c r="AS743" s="55"/>
      <c r="AT743" s="55"/>
      <c r="AU743" s="55"/>
      <c r="AV743" s="55"/>
    </row>
    <row r="744" spans="5:48" ht="15.75" customHeight="1" x14ac:dyDescent="0.15"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  <c r="AF744" s="55"/>
      <c r="AG744" s="55"/>
      <c r="AH744" s="55"/>
      <c r="AI744" s="55"/>
      <c r="AJ744" s="55"/>
      <c r="AK744" s="55"/>
      <c r="AL744" s="55"/>
      <c r="AM744" s="55"/>
      <c r="AN744" s="55"/>
      <c r="AO744" s="55"/>
      <c r="AP744" s="55"/>
      <c r="AQ744" s="55"/>
      <c r="AR744" s="55"/>
      <c r="AS744" s="55"/>
      <c r="AT744" s="55"/>
      <c r="AU744" s="55"/>
      <c r="AV744" s="55"/>
    </row>
    <row r="745" spans="5:48" ht="15.75" customHeight="1" x14ac:dyDescent="0.15"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  <c r="AF745" s="55"/>
      <c r="AG745" s="55"/>
      <c r="AH745" s="55"/>
      <c r="AI745" s="55"/>
      <c r="AJ745" s="55"/>
      <c r="AK745" s="55"/>
      <c r="AL745" s="55"/>
      <c r="AM745" s="55"/>
      <c r="AN745" s="55"/>
      <c r="AO745" s="55"/>
      <c r="AP745" s="55"/>
      <c r="AQ745" s="55"/>
      <c r="AR745" s="55"/>
      <c r="AS745" s="55"/>
      <c r="AT745" s="55"/>
      <c r="AU745" s="55"/>
      <c r="AV745" s="55"/>
    </row>
    <row r="746" spans="5:48" ht="15.75" customHeight="1" x14ac:dyDescent="0.15"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  <c r="AF746" s="55"/>
      <c r="AG746" s="55"/>
      <c r="AH746" s="55"/>
      <c r="AI746" s="55"/>
      <c r="AJ746" s="55"/>
      <c r="AK746" s="55"/>
      <c r="AL746" s="55"/>
      <c r="AM746" s="55"/>
      <c r="AN746" s="55"/>
      <c r="AO746" s="55"/>
      <c r="AP746" s="55"/>
      <c r="AQ746" s="55"/>
      <c r="AR746" s="55"/>
      <c r="AS746" s="55"/>
      <c r="AT746" s="55"/>
      <c r="AU746" s="55"/>
      <c r="AV746" s="55"/>
    </row>
    <row r="747" spans="5:48" ht="15.75" customHeight="1" x14ac:dyDescent="0.15"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  <c r="AF747" s="55"/>
      <c r="AG747" s="55"/>
      <c r="AH747" s="55"/>
      <c r="AI747" s="55"/>
      <c r="AJ747" s="55"/>
      <c r="AK747" s="55"/>
      <c r="AL747" s="55"/>
      <c r="AM747" s="55"/>
      <c r="AN747" s="55"/>
      <c r="AO747" s="55"/>
      <c r="AP747" s="55"/>
      <c r="AQ747" s="55"/>
      <c r="AR747" s="55"/>
      <c r="AS747" s="55"/>
      <c r="AT747" s="55"/>
      <c r="AU747" s="55"/>
      <c r="AV747" s="55"/>
    </row>
    <row r="748" spans="5:48" ht="15.75" customHeight="1" x14ac:dyDescent="0.15"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  <c r="AF748" s="55"/>
      <c r="AG748" s="55"/>
      <c r="AH748" s="55"/>
      <c r="AI748" s="55"/>
      <c r="AJ748" s="55"/>
      <c r="AK748" s="55"/>
      <c r="AL748" s="55"/>
      <c r="AM748" s="55"/>
      <c r="AN748" s="55"/>
      <c r="AO748" s="55"/>
      <c r="AP748" s="55"/>
      <c r="AQ748" s="55"/>
      <c r="AR748" s="55"/>
      <c r="AS748" s="55"/>
      <c r="AT748" s="55"/>
      <c r="AU748" s="55"/>
      <c r="AV748" s="55"/>
    </row>
    <row r="749" spans="5:48" ht="15.75" customHeight="1" x14ac:dyDescent="0.15"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  <c r="AF749" s="55"/>
      <c r="AG749" s="55"/>
      <c r="AH749" s="55"/>
      <c r="AI749" s="55"/>
      <c r="AJ749" s="55"/>
      <c r="AK749" s="55"/>
      <c r="AL749" s="55"/>
      <c r="AM749" s="55"/>
      <c r="AN749" s="55"/>
      <c r="AO749" s="55"/>
      <c r="AP749" s="55"/>
      <c r="AQ749" s="55"/>
      <c r="AR749" s="55"/>
      <c r="AS749" s="55"/>
      <c r="AT749" s="55"/>
      <c r="AU749" s="55"/>
      <c r="AV749" s="55"/>
    </row>
    <row r="750" spans="5:48" ht="15.75" customHeight="1" x14ac:dyDescent="0.15"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  <c r="AF750" s="55"/>
      <c r="AG750" s="55"/>
      <c r="AH750" s="55"/>
      <c r="AI750" s="55"/>
      <c r="AJ750" s="55"/>
      <c r="AK750" s="55"/>
      <c r="AL750" s="55"/>
      <c r="AM750" s="55"/>
      <c r="AN750" s="55"/>
      <c r="AO750" s="55"/>
      <c r="AP750" s="55"/>
      <c r="AQ750" s="55"/>
      <c r="AR750" s="55"/>
      <c r="AS750" s="55"/>
      <c r="AT750" s="55"/>
      <c r="AU750" s="55"/>
      <c r="AV750" s="55"/>
    </row>
    <row r="751" spans="5:48" ht="15.75" customHeight="1" x14ac:dyDescent="0.15"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  <c r="AF751" s="55"/>
      <c r="AG751" s="55"/>
      <c r="AH751" s="55"/>
      <c r="AI751" s="55"/>
      <c r="AJ751" s="55"/>
      <c r="AK751" s="55"/>
      <c r="AL751" s="55"/>
      <c r="AM751" s="55"/>
      <c r="AN751" s="55"/>
      <c r="AO751" s="55"/>
      <c r="AP751" s="55"/>
      <c r="AQ751" s="55"/>
      <c r="AR751" s="55"/>
      <c r="AS751" s="55"/>
      <c r="AT751" s="55"/>
      <c r="AU751" s="55"/>
      <c r="AV751" s="55"/>
    </row>
    <row r="752" spans="5:48" ht="15.75" customHeight="1" x14ac:dyDescent="0.15"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  <c r="AF752" s="55"/>
      <c r="AG752" s="55"/>
      <c r="AH752" s="55"/>
      <c r="AI752" s="55"/>
      <c r="AJ752" s="55"/>
      <c r="AK752" s="55"/>
      <c r="AL752" s="55"/>
      <c r="AM752" s="55"/>
      <c r="AN752" s="55"/>
      <c r="AO752" s="55"/>
      <c r="AP752" s="55"/>
      <c r="AQ752" s="55"/>
      <c r="AR752" s="55"/>
      <c r="AS752" s="55"/>
      <c r="AT752" s="55"/>
      <c r="AU752" s="55"/>
      <c r="AV752" s="55"/>
    </row>
    <row r="753" spans="5:48" ht="15.75" customHeight="1" x14ac:dyDescent="0.15"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  <c r="AF753" s="55"/>
      <c r="AG753" s="55"/>
      <c r="AH753" s="55"/>
      <c r="AI753" s="55"/>
      <c r="AJ753" s="55"/>
      <c r="AK753" s="55"/>
      <c r="AL753" s="55"/>
      <c r="AM753" s="55"/>
      <c r="AN753" s="55"/>
      <c r="AO753" s="55"/>
      <c r="AP753" s="55"/>
      <c r="AQ753" s="55"/>
      <c r="AR753" s="55"/>
      <c r="AS753" s="55"/>
      <c r="AT753" s="55"/>
      <c r="AU753" s="55"/>
      <c r="AV753" s="55"/>
    </row>
    <row r="754" spans="5:48" ht="15.75" customHeight="1" x14ac:dyDescent="0.15"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  <c r="AF754" s="55"/>
      <c r="AG754" s="55"/>
      <c r="AH754" s="55"/>
      <c r="AI754" s="55"/>
      <c r="AJ754" s="55"/>
      <c r="AK754" s="55"/>
      <c r="AL754" s="55"/>
      <c r="AM754" s="55"/>
      <c r="AN754" s="55"/>
      <c r="AO754" s="55"/>
      <c r="AP754" s="55"/>
      <c r="AQ754" s="55"/>
      <c r="AR754" s="55"/>
      <c r="AS754" s="55"/>
      <c r="AT754" s="55"/>
      <c r="AU754" s="55"/>
      <c r="AV754" s="55"/>
    </row>
    <row r="755" spans="5:48" ht="15.75" customHeight="1" x14ac:dyDescent="0.15"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  <c r="AF755" s="55"/>
      <c r="AG755" s="55"/>
      <c r="AH755" s="55"/>
      <c r="AI755" s="55"/>
      <c r="AJ755" s="55"/>
      <c r="AK755" s="55"/>
      <c r="AL755" s="55"/>
      <c r="AM755" s="55"/>
      <c r="AN755" s="55"/>
      <c r="AO755" s="55"/>
      <c r="AP755" s="55"/>
      <c r="AQ755" s="55"/>
      <c r="AR755" s="55"/>
      <c r="AS755" s="55"/>
      <c r="AT755" s="55"/>
      <c r="AU755" s="55"/>
      <c r="AV755" s="55"/>
    </row>
    <row r="756" spans="5:48" ht="15.75" customHeight="1" x14ac:dyDescent="0.15"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  <c r="AF756" s="55"/>
      <c r="AG756" s="55"/>
      <c r="AH756" s="55"/>
      <c r="AI756" s="55"/>
      <c r="AJ756" s="55"/>
      <c r="AK756" s="55"/>
      <c r="AL756" s="55"/>
      <c r="AM756" s="55"/>
      <c r="AN756" s="55"/>
      <c r="AO756" s="55"/>
      <c r="AP756" s="55"/>
      <c r="AQ756" s="55"/>
      <c r="AR756" s="55"/>
      <c r="AS756" s="55"/>
      <c r="AT756" s="55"/>
      <c r="AU756" s="55"/>
      <c r="AV756" s="55"/>
    </row>
    <row r="757" spans="5:48" ht="15.75" customHeight="1" x14ac:dyDescent="0.15"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  <c r="AF757" s="55"/>
      <c r="AG757" s="55"/>
      <c r="AH757" s="55"/>
      <c r="AI757" s="55"/>
      <c r="AJ757" s="55"/>
      <c r="AK757" s="55"/>
      <c r="AL757" s="55"/>
      <c r="AM757" s="55"/>
      <c r="AN757" s="55"/>
      <c r="AO757" s="55"/>
      <c r="AP757" s="55"/>
      <c r="AQ757" s="55"/>
      <c r="AR757" s="55"/>
      <c r="AS757" s="55"/>
      <c r="AT757" s="55"/>
      <c r="AU757" s="55"/>
      <c r="AV757" s="55"/>
    </row>
    <row r="758" spans="5:48" ht="15.75" customHeight="1" x14ac:dyDescent="0.15"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  <c r="AF758" s="55"/>
      <c r="AG758" s="55"/>
      <c r="AH758" s="55"/>
      <c r="AI758" s="55"/>
      <c r="AJ758" s="55"/>
      <c r="AK758" s="55"/>
      <c r="AL758" s="55"/>
      <c r="AM758" s="55"/>
      <c r="AN758" s="55"/>
      <c r="AO758" s="55"/>
      <c r="AP758" s="55"/>
      <c r="AQ758" s="55"/>
      <c r="AR758" s="55"/>
      <c r="AS758" s="55"/>
      <c r="AT758" s="55"/>
      <c r="AU758" s="55"/>
      <c r="AV758" s="55"/>
    </row>
    <row r="759" spans="5:48" ht="15.75" customHeight="1" x14ac:dyDescent="0.15"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  <c r="AF759" s="55"/>
      <c r="AG759" s="55"/>
      <c r="AH759" s="55"/>
      <c r="AI759" s="55"/>
      <c r="AJ759" s="55"/>
      <c r="AK759" s="55"/>
      <c r="AL759" s="55"/>
      <c r="AM759" s="55"/>
      <c r="AN759" s="55"/>
      <c r="AO759" s="55"/>
      <c r="AP759" s="55"/>
      <c r="AQ759" s="55"/>
      <c r="AR759" s="55"/>
      <c r="AS759" s="55"/>
      <c r="AT759" s="55"/>
      <c r="AU759" s="55"/>
      <c r="AV759" s="55"/>
    </row>
    <row r="760" spans="5:48" ht="15.75" customHeight="1" x14ac:dyDescent="0.15"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  <c r="AF760" s="55"/>
      <c r="AG760" s="55"/>
      <c r="AH760" s="55"/>
      <c r="AI760" s="55"/>
      <c r="AJ760" s="55"/>
      <c r="AK760" s="55"/>
      <c r="AL760" s="55"/>
      <c r="AM760" s="55"/>
      <c r="AN760" s="55"/>
      <c r="AO760" s="55"/>
      <c r="AP760" s="55"/>
      <c r="AQ760" s="55"/>
      <c r="AR760" s="55"/>
      <c r="AS760" s="55"/>
      <c r="AT760" s="55"/>
      <c r="AU760" s="55"/>
      <c r="AV760" s="55"/>
    </row>
    <row r="761" spans="5:48" ht="15.75" customHeight="1" x14ac:dyDescent="0.15"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  <c r="AF761" s="55"/>
      <c r="AG761" s="55"/>
      <c r="AH761" s="55"/>
      <c r="AI761" s="55"/>
      <c r="AJ761" s="55"/>
      <c r="AK761" s="55"/>
      <c r="AL761" s="55"/>
      <c r="AM761" s="55"/>
      <c r="AN761" s="55"/>
      <c r="AO761" s="55"/>
      <c r="AP761" s="55"/>
      <c r="AQ761" s="55"/>
      <c r="AR761" s="55"/>
      <c r="AS761" s="55"/>
      <c r="AT761" s="55"/>
      <c r="AU761" s="55"/>
      <c r="AV761" s="55"/>
    </row>
    <row r="762" spans="5:48" ht="15.75" customHeight="1" x14ac:dyDescent="0.15"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  <c r="AF762" s="55"/>
      <c r="AG762" s="55"/>
      <c r="AH762" s="55"/>
      <c r="AI762" s="55"/>
      <c r="AJ762" s="55"/>
      <c r="AK762" s="55"/>
      <c r="AL762" s="55"/>
      <c r="AM762" s="55"/>
      <c r="AN762" s="55"/>
      <c r="AO762" s="55"/>
      <c r="AP762" s="55"/>
      <c r="AQ762" s="55"/>
      <c r="AR762" s="55"/>
      <c r="AS762" s="55"/>
      <c r="AT762" s="55"/>
      <c r="AU762" s="55"/>
      <c r="AV762" s="55"/>
    </row>
    <row r="763" spans="5:48" ht="15.75" customHeight="1" x14ac:dyDescent="0.15"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  <c r="AF763" s="55"/>
      <c r="AG763" s="55"/>
      <c r="AH763" s="55"/>
      <c r="AI763" s="55"/>
      <c r="AJ763" s="55"/>
      <c r="AK763" s="55"/>
      <c r="AL763" s="55"/>
      <c r="AM763" s="55"/>
      <c r="AN763" s="55"/>
      <c r="AO763" s="55"/>
      <c r="AP763" s="55"/>
      <c r="AQ763" s="55"/>
      <c r="AR763" s="55"/>
      <c r="AS763" s="55"/>
      <c r="AT763" s="55"/>
      <c r="AU763" s="55"/>
      <c r="AV763" s="55"/>
    </row>
    <row r="764" spans="5:48" ht="15.75" customHeight="1" x14ac:dyDescent="0.15"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  <c r="AF764" s="55"/>
      <c r="AG764" s="55"/>
      <c r="AH764" s="55"/>
      <c r="AI764" s="55"/>
      <c r="AJ764" s="55"/>
      <c r="AK764" s="55"/>
      <c r="AL764" s="55"/>
      <c r="AM764" s="55"/>
      <c r="AN764" s="55"/>
      <c r="AO764" s="55"/>
      <c r="AP764" s="55"/>
      <c r="AQ764" s="55"/>
      <c r="AR764" s="55"/>
      <c r="AS764" s="55"/>
      <c r="AT764" s="55"/>
      <c r="AU764" s="55"/>
      <c r="AV764" s="55"/>
    </row>
    <row r="765" spans="5:48" ht="15.75" customHeight="1" x14ac:dyDescent="0.15"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  <c r="AF765" s="55"/>
      <c r="AG765" s="55"/>
      <c r="AH765" s="55"/>
      <c r="AI765" s="55"/>
      <c r="AJ765" s="55"/>
      <c r="AK765" s="55"/>
      <c r="AL765" s="55"/>
      <c r="AM765" s="55"/>
      <c r="AN765" s="55"/>
      <c r="AO765" s="55"/>
      <c r="AP765" s="55"/>
      <c r="AQ765" s="55"/>
      <c r="AR765" s="55"/>
      <c r="AS765" s="55"/>
      <c r="AT765" s="55"/>
      <c r="AU765" s="55"/>
      <c r="AV765" s="55"/>
    </row>
    <row r="766" spans="5:48" ht="15.75" customHeight="1" x14ac:dyDescent="0.15"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  <c r="AF766" s="55"/>
      <c r="AG766" s="55"/>
      <c r="AH766" s="55"/>
      <c r="AI766" s="55"/>
      <c r="AJ766" s="55"/>
      <c r="AK766" s="55"/>
      <c r="AL766" s="55"/>
      <c r="AM766" s="55"/>
      <c r="AN766" s="55"/>
      <c r="AO766" s="55"/>
      <c r="AP766" s="55"/>
      <c r="AQ766" s="55"/>
      <c r="AR766" s="55"/>
      <c r="AS766" s="55"/>
      <c r="AT766" s="55"/>
      <c r="AU766" s="55"/>
      <c r="AV766" s="55"/>
    </row>
    <row r="767" spans="5:48" ht="15.75" customHeight="1" x14ac:dyDescent="0.15"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  <c r="AF767" s="55"/>
      <c r="AG767" s="55"/>
      <c r="AH767" s="55"/>
      <c r="AI767" s="55"/>
      <c r="AJ767" s="55"/>
      <c r="AK767" s="55"/>
      <c r="AL767" s="55"/>
      <c r="AM767" s="55"/>
      <c r="AN767" s="55"/>
      <c r="AO767" s="55"/>
      <c r="AP767" s="55"/>
      <c r="AQ767" s="55"/>
      <c r="AR767" s="55"/>
      <c r="AS767" s="55"/>
      <c r="AT767" s="55"/>
      <c r="AU767" s="55"/>
      <c r="AV767" s="55"/>
    </row>
    <row r="768" spans="5:48" ht="15.75" customHeight="1" x14ac:dyDescent="0.15"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  <c r="AF768" s="55"/>
      <c r="AG768" s="55"/>
      <c r="AH768" s="55"/>
      <c r="AI768" s="55"/>
      <c r="AJ768" s="55"/>
      <c r="AK768" s="55"/>
      <c r="AL768" s="55"/>
      <c r="AM768" s="55"/>
      <c r="AN768" s="55"/>
      <c r="AO768" s="55"/>
      <c r="AP768" s="55"/>
      <c r="AQ768" s="55"/>
      <c r="AR768" s="55"/>
      <c r="AS768" s="55"/>
      <c r="AT768" s="55"/>
      <c r="AU768" s="55"/>
      <c r="AV768" s="55"/>
    </row>
    <row r="769" spans="5:48" ht="15.75" customHeight="1" x14ac:dyDescent="0.15"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  <c r="AF769" s="55"/>
      <c r="AG769" s="55"/>
      <c r="AH769" s="55"/>
      <c r="AI769" s="55"/>
      <c r="AJ769" s="55"/>
      <c r="AK769" s="55"/>
      <c r="AL769" s="55"/>
      <c r="AM769" s="55"/>
      <c r="AN769" s="55"/>
      <c r="AO769" s="55"/>
      <c r="AP769" s="55"/>
      <c r="AQ769" s="55"/>
      <c r="AR769" s="55"/>
      <c r="AS769" s="55"/>
      <c r="AT769" s="55"/>
      <c r="AU769" s="55"/>
      <c r="AV769" s="55"/>
    </row>
    <row r="770" spans="5:48" ht="15.75" customHeight="1" x14ac:dyDescent="0.15"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  <c r="AF770" s="55"/>
      <c r="AG770" s="55"/>
      <c r="AH770" s="55"/>
      <c r="AI770" s="55"/>
      <c r="AJ770" s="55"/>
      <c r="AK770" s="55"/>
      <c r="AL770" s="55"/>
      <c r="AM770" s="55"/>
      <c r="AN770" s="55"/>
      <c r="AO770" s="55"/>
      <c r="AP770" s="55"/>
      <c r="AQ770" s="55"/>
      <c r="AR770" s="55"/>
      <c r="AS770" s="55"/>
      <c r="AT770" s="55"/>
      <c r="AU770" s="55"/>
      <c r="AV770" s="55"/>
    </row>
    <row r="771" spans="5:48" ht="15.75" customHeight="1" x14ac:dyDescent="0.15"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  <c r="AH771" s="55"/>
      <c r="AI771" s="55"/>
      <c r="AJ771" s="55"/>
      <c r="AK771" s="55"/>
      <c r="AL771" s="55"/>
      <c r="AM771" s="55"/>
      <c r="AN771" s="55"/>
      <c r="AO771" s="55"/>
      <c r="AP771" s="55"/>
      <c r="AQ771" s="55"/>
      <c r="AR771" s="55"/>
      <c r="AS771" s="55"/>
      <c r="AT771" s="55"/>
      <c r="AU771" s="55"/>
      <c r="AV771" s="55"/>
    </row>
    <row r="772" spans="5:48" ht="15.75" customHeight="1" x14ac:dyDescent="0.15"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  <c r="AH772" s="55"/>
      <c r="AI772" s="55"/>
      <c r="AJ772" s="55"/>
      <c r="AK772" s="55"/>
      <c r="AL772" s="55"/>
      <c r="AM772" s="55"/>
      <c r="AN772" s="55"/>
      <c r="AO772" s="55"/>
      <c r="AP772" s="55"/>
      <c r="AQ772" s="55"/>
      <c r="AR772" s="55"/>
      <c r="AS772" s="55"/>
      <c r="AT772" s="55"/>
      <c r="AU772" s="55"/>
      <c r="AV772" s="55"/>
    </row>
    <row r="773" spans="5:48" ht="15.75" customHeight="1" x14ac:dyDescent="0.15"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  <c r="AH773" s="55"/>
      <c r="AI773" s="55"/>
      <c r="AJ773" s="55"/>
      <c r="AK773" s="55"/>
      <c r="AL773" s="55"/>
      <c r="AM773" s="55"/>
      <c r="AN773" s="55"/>
      <c r="AO773" s="55"/>
      <c r="AP773" s="55"/>
      <c r="AQ773" s="55"/>
      <c r="AR773" s="55"/>
      <c r="AS773" s="55"/>
      <c r="AT773" s="55"/>
      <c r="AU773" s="55"/>
      <c r="AV773" s="55"/>
    </row>
    <row r="774" spans="5:48" ht="15.75" customHeight="1" x14ac:dyDescent="0.15"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  <c r="AH774" s="55"/>
      <c r="AI774" s="55"/>
      <c r="AJ774" s="55"/>
      <c r="AK774" s="55"/>
      <c r="AL774" s="55"/>
      <c r="AM774" s="55"/>
      <c r="AN774" s="55"/>
      <c r="AO774" s="55"/>
      <c r="AP774" s="55"/>
      <c r="AQ774" s="55"/>
      <c r="AR774" s="55"/>
      <c r="AS774" s="55"/>
      <c r="AT774" s="55"/>
      <c r="AU774" s="55"/>
      <c r="AV774" s="55"/>
    </row>
    <row r="775" spans="5:48" ht="15.75" customHeight="1" x14ac:dyDescent="0.15"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  <c r="AH775" s="55"/>
      <c r="AI775" s="55"/>
      <c r="AJ775" s="55"/>
      <c r="AK775" s="55"/>
      <c r="AL775" s="55"/>
      <c r="AM775" s="55"/>
      <c r="AN775" s="55"/>
      <c r="AO775" s="55"/>
      <c r="AP775" s="55"/>
      <c r="AQ775" s="55"/>
      <c r="AR775" s="55"/>
      <c r="AS775" s="55"/>
      <c r="AT775" s="55"/>
      <c r="AU775" s="55"/>
      <c r="AV775" s="55"/>
    </row>
    <row r="776" spans="5:48" ht="15.75" customHeight="1" x14ac:dyDescent="0.15"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  <c r="AH776" s="55"/>
      <c r="AI776" s="55"/>
      <c r="AJ776" s="55"/>
      <c r="AK776" s="55"/>
      <c r="AL776" s="55"/>
      <c r="AM776" s="55"/>
      <c r="AN776" s="55"/>
      <c r="AO776" s="55"/>
      <c r="AP776" s="55"/>
      <c r="AQ776" s="55"/>
      <c r="AR776" s="55"/>
      <c r="AS776" s="55"/>
      <c r="AT776" s="55"/>
      <c r="AU776" s="55"/>
      <c r="AV776" s="55"/>
    </row>
    <row r="777" spans="5:48" ht="15.75" customHeight="1" x14ac:dyDescent="0.15"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  <c r="AH777" s="55"/>
      <c r="AI777" s="55"/>
      <c r="AJ777" s="55"/>
      <c r="AK777" s="55"/>
      <c r="AL777" s="55"/>
      <c r="AM777" s="55"/>
      <c r="AN777" s="55"/>
      <c r="AO777" s="55"/>
      <c r="AP777" s="55"/>
      <c r="AQ777" s="55"/>
      <c r="AR777" s="55"/>
      <c r="AS777" s="55"/>
      <c r="AT777" s="55"/>
      <c r="AU777" s="55"/>
      <c r="AV777" s="55"/>
    </row>
    <row r="778" spans="5:48" ht="15.75" customHeight="1" x14ac:dyDescent="0.15"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  <c r="AH778" s="55"/>
      <c r="AI778" s="55"/>
      <c r="AJ778" s="55"/>
      <c r="AK778" s="55"/>
      <c r="AL778" s="55"/>
      <c r="AM778" s="55"/>
      <c r="AN778" s="55"/>
      <c r="AO778" s="55"/>
      <c r="AP778" s="55"/>
      <c r="AQ778" s="55"/>
      <c r="AR778" s="55"/>
      <c r="AS778" s="55"/>
      <c r="AT778" s="55"/>
      <c r="AU778" s="55"/>
      <c r="AV778" s="55"/>
    </row>
    <row r="779" spans="5:48" ht="15.75" customHeight="1" x14ac:dyDescent="0.15"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  <c r="AH779" s="55"/>
      <c r="AI779" s="55"/>
      <c r="AJ779" s="55"/>
      <c r="AK779" s="55"/>
      <c r="AL779" s="55"/>
      <c r="AM779" s="55"/>
      <c r="AN779" s="55"/>
      <c r="AO779" s="55"/>
      <c r="AP779" s="55"/>
      <c r="AQ779" s="55"/>
      <c r="AR779" s="55"/>
      <c r="AS779" s="55"/>
      <c r="AT779" s="55"/>
      <c r="AU779" s="55"/>
      <c r="AV779" s="55"/>
    </row>
    <row r="780" spans="5:48" ht="15.75" customHeight="1" x14ac:dyDescent="0.15"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  <c r="AH780" s="55"/>
      <c r="AI780" s="55"/>
      <c r="AJ780" s="55"/>
      <c r="AK780" s="55"/>
      <c r="AL780" s="55"/>
      <c r="AM780" s="55"/>
      <c r="AN780" s="55"/>
      <c r="AO780" s="55"/>
      <c r="AP780" s="55"/>
      <c r="AQ780" s="55"/>
      <c r="AR780" s="55"/>
      <c r="AS780" s="55"/>
      <c r="AT780" s="55"/>
      <c r="AU780" s="55"/>
      <c r="AV780" s="55"/>
    </row>
    <row r="781" spans="5:48" ht="15.75" customHeight="1" x14ac:dyDescent="0.15"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  <c r="AH781" s="55"/>
      <c r="AI781" s="55"/>
      <c r="AJ781" s="55"/>
      <c r="AK781" s="55"/>
      <c r="AL781" s="55"/>
      <c r="AM781" s="55"/>
      <c r="AN781" s="55"/>
      <c r="AO781" s="55"/>
      <c r="AP781" s="55"/>
      <c r="AQ781" s="55"/>
      <c r="AR781" s="55"/>
      <c r="AS781" s="55"/>
      <c r="AT781" s="55"/>
      <c r="AU781" s="55"/>
      <c r="AV781" s="55"/>
    </row>
    <row r="782" spans="5:48" ht="15.75" customHeight="1" x14ac:dyDescent="0.15"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  <c r="AH782" s="55"/>
      <c r="AI782" s="55"/>
      <c r="AJ782" s="55"/>
      <c r="AK782" s="55"/>
      <c r="AL782" s="55"/>
      <c r="AM782" s="55"/>
      <c r="AN782" s="55"/>
      <c r="AO782" s="55"/>
      <c r="AP782" s="55"/>
      <c r="AQ782" s="55"/>
      <c r="AR782" s="55"/>
      <c r="AS782" s="55"/>
      <c r="AT782" s="55"/>
      <c r="AU782" s="55"/>
      <c r="AV782" s="55"/>
    </row>
    <row r="783" spans="5:48" ht="15.75" customHeight="1" x14ac:dyDescent="0.15"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  <c r="AH783" s="55"/>
      <c r="AI783" s="55"/>
      <c r="AJ783" s="55"/>
      <c r="AK783" s="55"/>
      <c r="AL783" s="55"/>
      <c r="AM783" s="55"/>
      <c r="AN783" s="55"/>
      <c r="AO783" s="55"/>
      <c r="AP783" s="55"/>
      <c r="AQ783" s="55"/>
      <c r="AR783" s="55"/>
      <c r="AS783" s="55"/>
      <c r="AT783" s="55"/>
      <c r="AU783" s="55"/>
      <c r="AV783" s="55"/>
    </row>
    <row r="784" spans="5:48" ht="15.75" customHeight="1" x14ac:dyDescent="0.15"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  <c r="AH784" s="55"/>
      <c r="AI784" s="55"/>
      <c r="AJ784" s="55"/>
      <c r="AK784" s="55"/>
      <c r="AL784" s="55"/>
      <c r="AM784" s="55"/>
      <c r="AN784" s="55"/>
      <c r="AO784" s="55"/>
      <c r="AP784" s="55"/>
      <c r="AQ784" s="55"/>
      <c r="AR784" s="55"/>
      <c r="AS784" s="55"/>
      <c r="AT784" s="55"/>
      <c r="AU784" s="55"/>
      <c r="AV784" s="55"/>
    </row>
    <row r="785" spans="5:48" ht="15.75" customHeight="1" x14ac:dyDescent="0.15"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  <c r="AH785" s="55"/>
      <c r="AI785" s="55"/>
      <c r="AJ785" s="55"/>
      <c r="AK785" s="55"/>
      <c r="AL785" s="55"/>
      <c r="AM785" s="55"/>
      <c r="AN785" s="55"/>
      <c r="AO785" s="55"/>
      <c r="AP785" s="55"/>
      <c r="AQ785" s="55"/>
      <c r="AR785" s="55"/>
      <c r="AS785" s="55"/>
      <c r="AT785" s="55"/>
      <c r="AU785" s="55"/>
      <c r="AV785" s="55"/>
    </row>
    <row r="786" spans="5:48" ht="15.75" customHeight="1" x14ac:dyDescent="0.15"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  <c r="AH786" s="55"/>
      <c r="AI786" s="55"/>
      <c r="AJ786" s="55"/>
      <c r="AK786" s="55"/>
      <c r="AL786" s="55"/>
      <c r="AM786" s="55"/>
      <c r="AN786" s="55"/>
      <c r="AO786" s="55"/>
      <c r="AP786" s="55"/>
      <c r="AQ786" s="55"/>
      <c r="AR786" s="55"/>
      <c r="AS786" s="55"/>
      <c r="AT786" s="55"/>
      <c r="AU786" s="55"/>
      <c r="AV786" s="55"/>
    </row>
    <row r="787" spans="5:48" ht="15.75" customHeight="1" x14ac:dyDescent="0.15"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  <c r="AH787" s="55"/>
      <c r="AI787" s="55"/>
      <c r="AJ787" s="55"/>
      <c r="AK787" s="55"/>
      <c r="AL787" s="55"/>
      <c r="AM787" s="55"/>
      <c r="AN787" s="55"/>
      <c r="AO787" s="55"/>
      <c r="AP787" s="55"/>
      <c r="AQ787" s="55"/>
      <c r="AR787" s="55"/>
      <c r="AS787" s="55"/>
      <c r="AT787" s="55"/>
      <c r="AU787" s="55"/>
      <c r="AV787" s="55"/>
    </row>
    <row r="788" spans="5:48" ht="15.75" customHeight="1" x14ac:dyDescent="0.15"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  <c r="AH788" s="55"/>
      <c r="AI788" s="55"/>
      <c r="AJ788" s="55"/>
      <c r="AK788" s="55"/>
      <c r="AL788" s="55"/>
      <c r="AM788" s="55"/>
      <c r="AN788" s="55"/>
      <c r="AO788" s="55"/>
      <c r="AP788" s="55"/>
      <c r="AQ788" s="55"/>
      <c r="AR788" s="55"/>
      <c r="AS788" s="55"/>
      <c r="AT788" s="55"/>
      <c r="AU788" s="55"/>
      <c r="AV788" s="55"/>
    </row>
    <row r="789" spans="5:48" ht="15.75" customHeight="1" x14ac:dyDescent="0.15"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  <c r="AH789" s="55"/>
      <c r="AI789" s="55"/>
      <c r="AJ789" s="55"/>
      <c r="AK789" s="55"/>
      <c r="AL789" s="55"/>
      <c r="AM789" s="55"/>
      <c r="AN789" s="55"/>
      <c r="AO789" s="55"/>
      <c r="AP789" s="55"/>
      <c r="AQ789" s="55"/>
      <c r="AR789" s="55"/>
      <c r="AS789" s="55"/>
      <c r="AT789" s="55"/>
      <c r="AU789" s="55"/>
      <c r="AV789" s="55"/>
    </row>
    <row r="790" spans="5:48" ht="15.75" customHeight="1" x14ac:dyDescent="0.15"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  <c r="AH790" s="55"/>
      <c r="AI790" s="55"/>
      <c r="AJ790" s="55"/>
      <c r="AK790" s="55"/>
      <c r="AL790" s="55"/>
      <c r="AM790" s="55"/>
      <c r="AN790" s="55"/>
      <c r="AO790" s="55"/>
      <c r="AP790" s="55"/>
      <c r="AQ790" s="55"/>
      <c r="AR790" s="55"/>
      <c r="AS790" s="55"/>
      <c r="AT790" s="55"/>
      <c r="AU790" s="55"/>
      <c r="AV790" s="55"/>
    </row>
    <row r="791" spans="5:48" ht="15.75" customHeight="1" x14ac:dyDescent="0.15"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  <c r="AH791" s="55"/>
      <c r="AI791" s="55"/>
      <c r="AJ791" s="55"/>
      <c r="AK791" s="55"/>
      <c r="AL791" s="55"/>
      <c r="AM791" s="55"/>
      <c r="AN791" s="55"/>
      <c r="AO791" s="55"/>
      <c r="AP791" s="55"/>
      <c r="AQ791" s="55"/>
      <c r="AR791" s="55"/>
      <c r="AS791" s="55"/>
      <c r="AT791" s="55"/>
      <c r="AU791" s="55"/>
      <c r="AV791" s="55"/>
    </row>
    <row r="792" spans="5:48" ht="15.75" customHeight="1" x14ac:dyDescent="0.15"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  <c r="AH792" s="55"/>
      <c r="AI792" s="55"/>
      <c r="AJ792" s="55"/>
      <c r="AK792" s="55"/>
      <c r="AL792" s="55"/>
      <c r="AM792" s="55"/>
      <c r="AN792" s="55"/>
      <c r="AO792" s="55"/>
      <c r="AP792" s="55"/>
      <c r="AQ792" s="55"/>
      <c r="AR792" s="55"/>
      <c r="AS792" s="55"/>
      <c r="AT792" s="55"/>
      <c r="AU792" s="55"/>
      <c r="AV792" s="55"/>
    </row>
    <row r="793" spans="5:48" ht="15.75" customHeight="1" x14ac:dyDescent="0.15"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  <c r="AH793" s="55"/>
      <c r="AI793" s="55"/>
      <c r="AJ793" s="55"/>
      <c r="AK793" s="55"/>
      <c r="AL793" s="55"/>
      <c r="AM793" s="55"/>
      <c r="AN793" s="55"/>
      <c r="AO793" s="55"/>
      <c r="AP793" s="55"/>
      <c r="AQ793" s="55"/>
      <c r="AR793" s="55"/>
      <c r="AS793" s="55"/>
      <c r="AT793" s="55"/>
      <c r="AU793" s="55"/>
      <c r="AV793" s="55"/>
    </row>
    <row r="794" spans="5:48" ht="15.75" customHeight="1" x14ac:dyDescent="0.15"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  <c r="AH794" s="55"/>
      <c r="AI794" s="55"/>
      <c r="AJ794" s="55"/>
      <c r="AK794" s="55"/>
      <c r="AL794" s="55"/>
      <c r="AM794" s="55"/>
      <c r="AN794" s="55"/>
      <c r="AO794" s="55"/>
      <c r="AP794" s="55"/>
      <c r="AQ794" s="55"/>
      <c r="AR794" s="55"/>
      <c r="AS794" s="55"/>
      <c r="AT794" s="55"/>
      <c r="AU794" s="55"/>
      <c r="AV794" s="55"/>
    </row>
    <row r="795" spans="5:48" ht="15.75" customHeight="1" x14ac:dyDescent="0.15"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  <c r="AH795" s="55"/>
      <c r="AI795" s="55"/>
      <c r="AJ795" s="55"/>
      <c r="AK795" s="55"/>
      <c r="AL795" s="55"/>
      <c r="AM795" s="55"/>
      <c r="AN795" s="55"/>
      <c r="AO795" s="55"/>
      <c r="AP795" s="55"/>
      <c r="AQ795" s="55"/>
      <c r="AR795" s="55"/>
      <c r="AS795" s="55"/>
      <c r="AT795" s="55"/>
      <c r="AU795" s="55"/>
      <c r="AV795" s="55"/>
    </row>
    <row r="796" spans="5:48" ht="15.75" customHeight="1" x14ac:dyDescent="0.15"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  <c r="AH796" s="55"/>
      <c r="AI796" s="55"/>
      <c r="AJ796" s="55"/>
      <c r="AK796" s="55"/>
      <c r="AL796" s="55"/>
      <c r="AM796" s="55"/>
      <c r="AN796" s="55"/>
      <c r="AO796" s="55"/>
      <c r="AP796" s="55"/>
      <c r="AQ796" s="55"/>
      <c r="AR796" s="55"/>
      <c r="AS796" s="55"/>
      <c r="AT796" s="55"/>
      <c r="AU796" s="55"/>
      <c r="AV796" s="55"/>
    </row>
    <row r="797" spans="5:48" ht="15.75" customHeight="1" x14ac:dyDescent="0.15"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  <c r="AH797" s="55"/>
      <c r="AI797" s="55"/>
      <c r="AJ797" s="55"/>
      <c r="AK797" s="55"/>
      <c r="AL797" s="55"/>
      <c r="AM797" s="55"/>
      <c r="AN797" s="55"/>
      <c r="AO797" s="55"/>
      <c r="AP797" s="55"/>
      <c r="AQ797" s="55"/>
      <c r="AR797" s="55"/>
      <c r="AS797" s="55"/>
      <c r="AT797" s="55"/>
      <c r="AU797" s="55"/>
      <c r="AV797" s="55"/>
    </row>
    <row r="798" spans="5:48" ht="15.75" customHeight="1" x14ac:dyDescent="0.15"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  <c r="AH798" s="55"/>
      <c r="AI798" s="55"/>
      <c r="AJ798" s="55"/>
      <c r="AK798" s="55"/>
      <c r="AL798" s="55"/>
      <c r="AM798" s="55"/>
      <c r="AN798" s="55"/>
      <c r="AO798" s="55"/>
      <c r="AP798" s="55"/>
      <c r="AQ798" s="55"/>
      <c r="AR798" s="55"/>
      <c r="AS798" s="55"/>
      <c r="AT798" s="55"/>
      <c r="AU798" s="55"/>
      <c r="AV798" s="55"/>
    </row>
    <row r="799" spans="5:48" ht="15.75" customHeight="1" x14ac:dyDescent="0.15"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  <c r="AH799" s="55"/>
      <c r="AI799" s="55"/>
      <c r="AJ799" s="55"/>
      <c r="AK799" s="55"/>
      <c r="AL799" s="55"/>
      <c r="AM799" s="55"/>
      <c r="AN799" s="55"/>
      <c r="AO799" s="55"/>
      <c r="AP799" s="55"/>
      <c r="AQ799" s="55"/>
      <c r="AR799" s="55"/>
      <c r="AS799" s="55"/>
      <c r="AT799" s="55"/>
      <c r="AU799" s="55"/>
      <c r="AV799" s="55"/>
    </row>
    <row r="800" spans="5:48" ht="15.75" customHeight="1" x14ac:dyDescent="0.15"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  <c r="AH800" s="55"/>
      <c r="AI800" s="55"/>
      <c r="AJ800" s="55"/>
      <c r="AK800" s="55"/>
      <c r="AL800" s="55"/>
      <c r="AM800" s="55"/>
      <c r="AN800" s="55"/>
      <c r="AO800" s="55"/>
      <c r="AP800" s="55"/>
      <c r="AQ800" s="55"/>
      <c r="AR800" s="55"/>
      <c r="AS800" s="55"/>
      <c r="AT800" s="55"/>
      <c r="AU800" s="55"/>
      <c r="AV800" s="55"/>
    </row>
    <row r="801" spans="5:48" ht="15.75" customHeight="1" x14ac:dyDescent="0.15"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  <c r="AH801" s="55"/>
      <c r="AI801" s="55"/>
      <c r="AJ801" s="55"/>
      <c r="AK801" s="55"/>
      <c r="AL801" s="55"/>
      <c r="AM801" s="55"/>
      <c r="AN801" s="55"/>
      <c r="AO801" s="55"/>
      <c r="AP801" s="55"/>
      <c r="AQ801" s="55"/>
      <c r="AR801" s="55"/>
      <c r="AS801" s="55"/>
      <c r="AT801" s="55"/>
      <c r="AU801" s="55"/>
      <c r="AV801" s="55"/>
    </row>
    <row r="802" spans="5:48" ht="15.75" customHeight="1" x14ac:dyDescent="0.15"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  <c r="AH802" s="55"/>
      <c r="AI802" s="55"/>
      <c r="AJ802" s="55"/>
      <c r="AK802" s="55"/>
      <c r="AL802" s="55"/>
      <c r="AM802" s="55"/>
      <c r="AN802" s="55"/>
      <c r="AO802" s="55"/>
      <c r="AP802" s="55"/>
      <c r="AQ802" s="55"/>
      <c r="AR802" s="55"/>
      <c r="AS802" s="55"/>
      <c r="AT802" s="55"/>
      <c r="AU802" s="55"/>
      <c r="AV802" s="55"/>
    </row>
    <row r="803" spans="5:48" ht="15.75" customHeight="1" x14ac:dyDescent="0.15"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  <c r="AH803" s="55"/>
      <c r="AI803" s="55"/>
      <c r="AJ803" s="55"/>
      <c r="AK803" s="55"/>
      <c r="AL803" s="55"/>
      <c r="AM803" s="55"/>
      <c r="AN803" s="55"/>
      <c r="AO803" s="55"/>
      <c r="AP803" s="55"/>
      <c r="AQ803" s="55"/>
      <c r="AR803" s="55"/>
      <c r="AS803" s="55"/>
      <c r="AT803" s="55"/>
      <c r="AU803" s="55"/>
      <c r="AV803" s="55"/>
    </row>
    <row r="804" spans="5:48" ht="15.75" customHeight="1" x14ac:dyDescent="0.15"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  <c r="AH804" s="55"/>
      <c r="AI804" s="55"/>
      <c r="AJ804" s="55"/>
      <c r="AK804" s="55"/>
      <c r="AL804" s="55"/>
      <c r="AM804" s="55"/>
      <c r="AN804" s="55"/>
      <c r="AO804" s="55"/>
      <c r="AP804" s="55"/>
      <c r="AQ804" s="55"/>
      <c r="AR804" s="55"/>
      <c r="AS804" s="55"/>
      <c r="AT804" s="55"/>
      <c r="AU804" s="55"/>
      <c r="AV804" s="55"/>
    </row>
    <row r="805" spans="5:48" ht="15.75" customHeight="1" x14ac:dyDescent="0.15"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  <c r="AF805" s="55"/>
      <c r="AG805" s="55"/>
      <c r="AH805" s="55"/>
      <c r="AI805" s="55"/>
      <c r="AJ805" s="55"/>
      <c r="AK805" s="55"/>
      <c r="AL805" s="55"/>
      <c r="AM805" s="55"/>
      <c r="AN805" s="55"/>
      <c r="AO805" s="55"/>
      <c r="AP805" s="55"/>
      <c r="AQ805" s="55"/>
      <c r="AR805" s="55"/>
      <c r="AS805" s="55"/>
      <c r="AT805" s="55"/>
      <c r="AU805" s="55"/>
      <c r="AV805" s="55"/>
    </row>
    <row r="806" spans="5:48" ht="15.75" customHeight="1" x14ac:dyDescent="0.15"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  <c r="AF806" s="55"/>
      <c r="AG806" s="55"/>
      <c r="AH806" s="55"/>
      <c r="AI806" s="55"/>
      <c r="AJ806" s="55"/>
      <c r="AK806" s="55"/>
      <c r="AL806" s="55"/>
      <c r="AM806" s="55"/>
      <c r="AN806" s="55"/>
      <c r="AO806" s="55"/>
      <c r="AP806" s="55"/>
      <c r="AQ806" s="55"/>
      <c r="AR806" s="55"/>
      <c r="AS806" s="55"/>
      <c r="AT806" s="55"/>
      <c r="AU806" s="55"/>
      <c r="AV806" s="55"/>
    </row>
    <row r="807" spans="5:48" ht="15.75" customHeight="1" x14ac:dyDescent="0.15"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  <c r="AF807" s="55"/>
      <c r="AG807" s="55"/>
      <c r="AH807" s="55"/>
      <c r="AI807" s="55"/>
      <c r="AJ807" s="55"/>
      <c r="AK807" s="55"/>
      <c r="AL807" s="55"/>
      <c r="AM807" s="55"/>
      <c r="AN807" s="55"/>
      <c r="AO807" s="55"/>
      <c r="AP807" s="55"/>
      <c r="AQ807" s="55"/>
      <c r="AR807" s="55"/>
      <c r="AS807" s="55"/>
      <c r="AT807" s="55"/>
      <c r="AU807" s="55"/>
      <c r="AV807" s="55"/>
    </row>
    <row r="808" spans="5:48" ht="15.75" customHeight="1" x14ac:dyDescent="0.15"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  <c r="AH808" s="55"/>
      <c r="AI808" s="55"/>
      <c r="AJ808" s="55"/>
      <c r="AK808" s="55"/>
      <c r="AL808" s="55"/>
      <c r="AM808" s="55"/>
      <c r="AN808" s="55"/>
      <c r="AO808" s="55"/>
      <c r="AP808" s="55"/>
      <c r="AQ808" s="55"/>
      <c r="AR808" s="55"/>
      <c r="AS808" s="55"/>
      <c r="AT808" s="55"/>
      <c r="AU808" s="55"/>
      <c r="AV808" s="55"/>
    </row>
    <row r="809" spans="5:48" ht="15.75" customHeight="1" x14ac:dyDescent="0.15"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  <c r="AH809" s="55"/>
      <c r="AI809" s="55"/>
      <c r="AJ809" s="55"/>
      <c r="AK809" s="55"/>
      <c r="AL809" s="55"/>
      <c r="AM809" s="55"/>
      <c r="AN809" s="55"/>
      <c r="AO809" s="55"/>
      <c r="AP809" s="55"/>
      <c r="AQ809" s="55"/>
      <c r="AR809" s="55"/>
      <c r="AS809" s="55"/>
      <c r="AT809" s="55"/>
      <c r="AU809" s="55"/>
      <c r="AV809" s="55"/>
    </row>
    <row r="810" spans="5:48" ht="15.75" customHeight="1" x14ac:dyDescent="0.15"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  <c r="AH810" s="55"/>
      <c r="AI810" s="55"/>
      <c r="AJ810" s="55"/>
      <c r="AK810" s="55"/>
      <c r="AL810" s="55"/>
      <c r="AM810" s="55"/>
      <c r="AN810" s="55"/>
      <c r="AO810" s="55"/>
      <c r="AP810" s="55"/>
      <c r="AQ810" s="55"/>
      <c r="AR810" s="55"/>
      <c r="AS810" s="55"/>
      <c r="AT810" s="55"/>
      <c r="AU810" s="55"/>
      <c r="AV810" s="55"/>
    </row>
    <row r="811" spans="5:48" ht="15.75" customHeight="1" x14ac:dyDescent="0.15"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  <c r="AH811" s="55"/>
      <c r="AI811" s="55"/>
      <c r="AJ811" s="55"/>
      <c r="AK811" s="55"/>
      <c r="AL811" s="55"/>
      <c r="AM811" s="55"/>
      <c r="AN811" s="55"/>
      <c r="AO811" s="55"/>
      <c r="AP811" s="55"/>
      <c r="AQ811" s="55"/>
      <c r="AR811" s="55"/>
      <c r="AS811" s="55"/>
      <c r="AT811" s="55"/>
      <c r="AU811" s="55"/>
      <c r="AV811" s="55"/>
    </row>
    <row r="812" spans="5:48" ht="15.75" customHeight="1" x14ac:dyDescent="0.15"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  <c r="AH812" s="55"/>
      <c r="AI812" s="55"/>
      <c r="AJ812" s="55"/>
      <c r="AK812" s="55"/>
      <c r="AL812" s="55"/>
      <c r="AM812" s="55"/>
      <c r="AN812" s="55"/>
      <c r="AO812" s="55"/>
      <c r="AP812" s="55"/>
      <c r="AQ812" s="55"/>
      <c r="AR812" s="55"/>
      <c r="AS812" s="55"/>
      <c r="AT812" s="55"/>
      <c r="AU812" s="55"/>
      <c r="AV812" s="55"/>
    </row>
    <row r="813" spans="5:48" ht="15.75" customHeight="1" x14ac:dyDescent="0.15"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  <c r="AH813" s="55"/>
      <c r="AI813" s="55"/>
      <c r="AJ813" s="55"/>
      <c r="AK813" s="55"/>
      <c r="AL813" s="55"/>
      <c r="AM813" s="55"/>
      <c r="AN813" s="55"/>
      <c r="AO813" s="55"/>
      <c r="AP813" s="55"/>
      <c r="AQ813" s="55"/>
      <c r="AR813" s="55"/>
      <c r="AS813" s="55"/>
      <c r="AT813" s="55"/>
      <c r="AU813" s="55"/>
      <c r="AV813" s="55"/>
    </row>
    <row r="814" spans="5:48" ht="15.75" customHeight="1" x14ac:dyDescent="0.15"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  <c r="AH814" s="55"/>
      <c r="AI814" s="55"/>
      <c r="AJ814" s="55"/>
      <c r="AK814" s="55"/>
      <c r="AL814" s="55"/>
      <c r="AM814" s="55"/>
      <c r="AN814" s="55"/>
      <c r="AO814" s="55"/>
      <c r="AP814" s="55"/>
      <c r="AQ814" s="55"/>
      <c r="AR814" s="55"/>
      <c r="AS814" s="55"/>
      <c r="AT814" s="55"/>
      <c r="AU814" s="55"/>
      <c r="AV814" s="55"/>
    </row>
    <row r="815" spans="5:48" ht="15.75" customHeight="1" x14ac:dyDescent="0.15"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  <c r="AH815" s="55"/>
      <c r="AI815" s="55"/>
      <c r="AJ815" s="55"/>
      <c r="AK815" s="55"/>
      <c r="AL815" s="55"/>
      <c r="AM815" s="55"/>
      <c r="AN815" s="55"/>
      <c r="AO815" s="55"/>
      <c r="AP815" s="55"/>
      <c r="AQ815" s="55"/>
      <c r="AR815" s="55"/>
      <c r="AS815" s="55"/>
      <c r="AT815" s="55"/>
      <c r="AU815" s="55"/>
      <c r="AV815" s="55"/>
    </row>
    <row r="816" spans="5:48" ht="15.75" customHeight="1" x14ac:dyDescent="0.15"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  <c r="AF816" s="55"/>
      <c r="AG816" s="55"/>
      <c r="AH816" s="55"/>
      <c r="AI816" s="55"/>
      <c r="AJ816" s="55"/>
      <c r="AK816" s="55"/>
      <c r="AL816" s="55"/>
      <c r="AM816" s="55"/>
      <c r="AN816" s="55"/>
      <c r="AO816" s="55"/>
      <c r="AP816" s="55"/>
      <c r="AQ816" s="55"/>
      <c r="AR816" s="55"/>
      <c r="AS816" s="55"/>
      <c r="AT816" s="55"/>
      <c r="AU816" s="55"/>
      <c r="AV816" s="55"/>
    </row>
    <row r="817" spans="5:48" ht="15.75" customHeight="1" x14ac:dyDescent="0.15"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  <c r="AF817" s="55"/>
      <c r="AG817" s="55"/>
      <c r="AH817" s="55"/>
      <c r="AI817" s="55"/>
      <c r="AJ817" s="55"/>
      <c r="AK817" s="55"/>
      <c r="AL817" s="55"/>
      <c r="AM817" s="55"/>
      <c r="AN817" s="55"/>
      <c r="AO817" s="55"/>
      <c r="AP817" s="55"/>
      <c r="AQ817" s="55"/>
      <c r="AR817" s="55"/>
      <c r="AS817" s="55"/>
      <c r="AT817" s="55"/>
      <c r="AU817" s="55"/>
      <c r="AV817" s="55"/>
    </row>
    <row r="818" spans="5:48" ht="15.75" customHeight="1" x14ac:dyDescent="0.15"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  <c r="AH818" s="55"/>
      <c r="AI818" s="55"/>
      <c r="AJ818" s="55"/>
      <c r="AK818" s="55"/>
      <c r="AL818" s="55"/>
      <c r="AM818" s="55"/>
      <c r="AN818" s="55"/>
      <c r="AO818" s="55"/>
      <c r="AP818" s="55"/>
      <c r="AQ818" s="55"/>
      <c r="AR818" s="55"/>
      <c r="AS818" s="55"/>
      <c r="AT818" s="55"/>
      <c r="AU818" s="55"/>
      <c r="AV818" s="55"/>
    </row>
    <row r="819" spans="5:48" ht="15.75" customHeight="1" x14ac:dyDescent="0.15"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  <c r="AF819" s="55"/>
      <c r="AG819" s="55"/>
      <c r="AH819" s="55"/>
      <c r="AI819" s="55"/>
      <c r="AJ819" s="55"/>
      <c r="AK819" s="55"/>
      <c r="AL819" s="55"/>
      <c r="AM819" s="55"/>
      <c r="AN819" s="55"/>
      <c r="AO819" s="55"/>
      <c r="AP819" s="55"/>
      <c r="AQ819" s="55"/>
      <c r="AR819" s="55"/>
      <c r="AS819" s="55"/>
      <c r="AT819" s="55"/>
      <c r="AU819" s="55"/>
      <c r="AV819" s="55"/>
    </row>
    <row r="820" spans="5:48" ht="15.75" customHeight="1" x14ac:dyDescent="0.15"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  <c r="AH820" s="55"/>
      <c r="AI820" s="55"/>
      <c r="AJ820" s="55"/>
      <c r="AK820" s="55"/>
      <c r="AL820" s="55"/>
      <c r="AM820" s="55"/>
      <c r="AN820" s="55"/>
      <c r="AO820" s="55"/>
      <c r="AP820" s="55"/>
      <c r="AQ820" s="55"/>
      <c r="AR820" s="55"/>
      <c r="AS820" s="55"/>
      <c r="AT820" s="55"/>
      <c r="AU820" s="55"/>
      <c r="AV820" s="55"/>
    </row>
    <row r="821" spans="5:48" ht="15.75" customHeight="1" x14ac:dyDescent="0.15"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  <c r="AF821" s="55"/>
      <c r="AG821" s="55"/>
      <c r="AH821" s="55"/>
      <c r="AI821" s="55"/>
      <c r="AJ821" s="55"/>
      <c r="AK821" s="55"/>
      <c r="AL821" s="55"/>
      <c r="AM821" s="55"/>
      <c r="AN821" s="55"/>
      <c r="AO821" s="55"/>
      <c r="AP821" s="55"/>
      <c r="AQ821" s="55"/>
      <c r="AR821" s="55"/>
      <c r="AS821" s="55"/>
      <c r="AT821" s="55"/>
      <c r="AU821" s="55"/>
      <c r="AV821" s="55"/>
    </row>
    <row r="822" spans="5:48" ht="15.75" customHeight="1" x14ac:dyDescent="0.15"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  <c r="AF822" s="55"/>
      <c r="AG822" s="55"/>
      <c r="AH822" s="55"/>
      <c r="AI822" s="55"/>
      <c r="AJ822" s="55"/>
      <c r="AK822" s="55"/>
      <c r="AL822" s="55"/>
      <c r="AM822" s="55"/>
      <c r="AN822" s="55"/>
      <c r="AO822" s="55"/>
      <c r="AP822" s="55"/>
      <c r="AQ822" s="55"/>
      <c r="AR822" s="55"/>
      <c r="AS822" s="55"/>
      <c r="AT822" s="55"/>
      <c r="AU822" s="55"/>
      <c r="AV822" s="55"/>
    </row>
    <row r="823" spans="5:48" ht="15.75" customHeight="1" x14ac:dyDescent="0.15"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  <c r="AH823" s="55"/>
      <c r="AI823" s="55"/>
      <c r="AJ823" s="55"/>
      <c r="AK823" s="55"/>
      <c r="AL823" s="55"/>
      <c r="AM823" s="55"/>
      <c r="AN823" s="55"/>
      <c r="AO823" s="55"/>
      <c r="AP823" s="55"/>
      <c r="AQ823" s="55"/>
      <c r="AR823" s="55"/>
      <c r="AS823" s="55"/>
      <c r="AT823" s="55"/>
      <c r="AU823" s="55"/>
      <c r="AV823" s="55"/>
    </row>
    <row r="824" spans="5:48" ht="15.75" customHeight="1" x14ac:dyDescent="0.15"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  <c r="AH824" s="55"/>
      <c r="AI824" s="55"/>
      <c r="AJ824" s="55"/>
      <c r="AK824" s="55"/>
      <c r="AL824" s="55"/>
      <c r="AM824" s="55"/>
      <c r="AN824" s="55"/>
      <c r="AO824" s="55"/>
      <c r="AP824" s="55"/>
      <c r="AQ824" s="55"/>
      <c r="AR824" s="55"/>
      <c r="AS824" s="55"/>
      <c r="AT824" s="55"/>
      <c r="AU824" s="55"/>
      <c r="AV824" s="55"/>
    </row>
    <row r="825" spans="5:48" ht="15.75" customHeight="1" x14ac:dyDescent="0.15"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  <c r="AF825" s="55"/>
      <c r="AG825" s="55"/>
      <c r="AH825" s="55"/>
      <c r="AI825" s="55"/>
      <c r="AJ825" s="55"/>
      <c r="AK825" s="55"/>
      <c r="AL825" s="55"/>
      <c r="AM825" s="55"/>
      <c r="AN825" s="55"/>
      <c r="AO825" s="55"/>
      <c r="AP825" s="55"/>
      <c r="AQ825" s="55"/>
      <c r="AR825" s="55"/>
      <c r="AS825" s="55"/>
      <c r="AT825" s="55"/>
      <c r="AU825" s="55"/>
      <c r="AV825" s="55"/>
    </row>
    <row r="826" spans="5:48" ht="15.75" customHeight="1" x14ac:dyDescent="0.15"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  <c r="AF826" s="55"/>
      <c r="AG826" s="55"/>
      <c r="AH826" s="55"/>
      <c r="AI826" s="55"/>
      <c r="AJ826" s="55"/>
      <c r="AK826" s="55"/>
      <c r="AL826" s="55"/>
      <c r="AM826" s="55"/>
      <c r="AN826" s="55"/>
      <c r="AO826" s="55"/>
      <c r="AP826" s="55"/>
      <c r="AQ826" s="55"/>
      <c r="AR826" s="55"/>
      <c r="AS826" s="55"/>
      <c r="AT826" s="55"/>
      <c r="AU826" s="55"/>
      <c r="AV826" s="55"/>
    </row>
    <row r="827" spans="5:48" ht="15.75" customHeight="1" x14ac:dyDescent="0.15"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  <c r="AF827" s="55"/>
      <c r="AG827" s="55"/>
      <c r="AH827" s="55"/>
      <c r="AI827" s="55"/>
      <c r="AJ827" s="55"/>
      <c r="AK827" s="55"/>
      <c r="AL827" s="55"/>
      <c r="AM827" s="55"/>
      <c r="AN827" s="55"/>
      <c r="AO827" s="55"/>
      <c r="AP827" s="55"/>
      <c r="AQ827" s="55"/>
      <c r="AR827" s="55"/>
      <c r="AS827" s="55"/>
      <c r="AT827" s="55"/>
      <c r="AU827" s="55"/>
      <c r="AV827" s="55"/>
    </row>
    <row r="828" spans="5:48" ht="15.75" customHeight="1" x14ac:dyDescent="0.15"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  <c r="AH828" s="55"/>
      <c r="AI828" s="55"/>
      <c r="AJ828" s="55"/>
      <c r="AK828" s="55"/>
      <c r="AL828" s="55"/>
      <c r="AM828" s="55"/>
      <c r="AN828" s="55"/>
      <c r="AO828" s="55"/>
      <c r="AP828" s="55"/>
      <c r="AQ828" s="55"/>
      <c r="AR828" s="55"/>
      <c r="AS828" s="55"/>
      <c r="AT828" s="55"/>
      <c r="AU828" s="55"/>
      <c r="AV828" s="55"/>
    </row>
    <row r="829" spans="5:48" ht="15.75" customHeight="1" x14ac:dyDescent="0.15"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  <c r="AF829" s="55"/>
      <c r="AG829" s="55"/>
      <c r="AH829" s="55"/>
      <c r="AI829" s="55"/>
      <c r="AJ829" s="55"/>
      <c r="AK829" s="55"/>
      <c r="AL829" s="55"/>
      <c r="AM829" s="55"/>
      <c r="AN829" s="55"/>
      <c r="AO829" s="55"/>
      <c r="AP829" s="55"/>
      <c r="AQ829" s="55"/>
      <c r="AR829" s="55"/>
      <c r="AS829" s="55"/>
      <c r="AT829" s="55"/>
      <c r="AU829" s="55"/>
      <c r="AV829" s="55"/>
    </row>
    <row r="830" spans="5:48" ht="15.75" customHeight="1" x14ac:dyDescent="0.15"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  <c r="AF830" s="55"/>
      <c r="AG830" s="55"/>
      <c r="AH830" s="55"/>
      <c r="AI830" s="55"/>
      <c r="AJ830" s="55"/>
      <c r="AK830" s="55"/>
      <c r="AL830" s="55"/>
      <c r="AM830" s="55"/>
      <c r="AN830" s="55"/>
      <c r="AO830" s="55"/>
      <c r="AP830" s="55"/>
      <c r="AQ830" s="55"/>
      <c r="AR830" s="55"/>
      <c r="AS830" s="55"/>
      <c r="AT830" s="55"/>
      <c r="AU830" s="55"/>
      <c r="AV830" s="55"/>
    </row>
    <row r="831" spans="5:48" ht="15.75" customHeight="1" x14ac:dyDescent="0.15"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  <c r="AF831" s="55"/>
      <c r="AG831" s="55"/>
      <c r="AH831" s="55"/>
      <c r="AI831" s="55"/>
      <c r="AJ831" s="55"/>
      <c r="AK831" s="55"/>
      <c r="AL831" s="55"/>
      <c r="AM831" s="55"/>
      <c r="AN831" s="55"/>
      <c r="AO831" s="55"/>
      <c r="AP831" s="55"/>
      <c r="AQ831" s="55"/>
      <c r="AR831" s="55"/>
      <c r="AS831" s="55"/>
      <c r="AT831" s="55"/>
      <c r="AU831" s="55"/>
      <c r="AV831" s="55"/>
    </row>
    <row r="832" spans="5:48" ht="15.75" customHeight="1" x14ac:dyDescent="0.15"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  <c r="AF832" s="55"/>
      <c r="AG832" s="55"/>
      <c r="AH832" s="55"/>
      <c r="AI832" s="55"/>
      <c r="AJ832" s="55"/>
      <c r="AK832" s="55"/>
      <c r="AL832" s="55"/>
      <c r="AM832" s="55"/>
      <c r="AN832" s="55"/>
      <c r="AO832" s="55"/>
      <c r="AP832" s="55"/>
      <c r="AQ832" s="55"/>
      <c r="AR832" s="55"/>
      <c r="AS832" s="55"/>
      <c r="AT832" s="55"/>
      <c r="AU832" s="55"/>
      <c r="AV832" s="55"/>
    </row>
    <row r="833" spans="5:48" ht="15.75" customHeight="1" x14ac:dyDescent="0.15"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  <c r="AF833" s="55"/>
      <c r="AG833" s="55"/>
      <c r="AH833" s="55"/>
      <c r="AI833" s="55"/>
      <c r="AJ833" s="55"/>
      <c r="AK833" s="55"/>
      <c r="AL833" s="55"/>
      <c r="AM833" s="55"/>
      <c r="AN833" s="55"/>
      <c r="AO833" s="55"/>
      <c r="AP833" s="55"/>
      <c r="AQ833" s="55"/>
      <c r="AR833" s="55"/>
      <c r="AS833" s="55"/>
      <c r="AT833" s="55"/>
      <c r="AU833" s="55"/>
      <c r="AV833" s="55"/>
    </row>
    <row r="834" spans="5:48" ht="15.75" customHeight="1" x14ac:dyDescent="0.15"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  <c r="AF834" s="55"/>
      <c r="AG834" s="55"/>
      <c r="AH834" s="55"/>
      <c r="AI834" s="55"/>
      <c r="AJ834" s="55"/>
      <c r="AK834" s="55"/>
      <c r="AL834" s="55"/>
      <c r="AM834" s="55"/>
      <c r="AN834" s="55"/>
      <c r="AO834" s="55"/>
      <c r="AP834" s="55"/>
      <c r="AQ834" s="55"/>
      <c r="AR834" s="55"/>
      <c r="AS834" s="55"/>
      <c r="AT834" s="55"/>
      <c r="AU834" s="55"/>
      <c r="AV834" s="55"/>
    </row>
    <row r="835" spans="5:48" ht="15.75" customHeight="1" x14ac:dyDescent="0.15"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  <c r="AF835" s="55"/>
      <c r="AG835" s="55"/>
      <c r="AH835" s="55"/>
      <c r="AI835" s="55"/>
      <c r="AJ835" s="55"/>
      <c r="AK835" s="55"/>
      <c r="AL835" s="55"/>
      <c r="AM835" s="55"/>
      <c r="AN835" s="55"/>
      <c r="AO835" s="55"/>
      <c r="AP835" s="55"/>
      <c r="AQ835" s="55"/>
      <c r="AR835" s="55"/>
      <c r="AS835" s="55"/>
      <c r="AT835" s="55"/>
      <c r="AU835" s="55"/>
      <c r="AV835" s="55"/>
    </row>
    <row r="836" spans="5:48" ht="15.75" customHeight="1" x14ac:dyDescent="0.15"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  <c r="AF836" s="55"/>
      <c r="AG836" s="55"/>
      <c r="AH836" s="55"/>
      <c r="AI836" s="55"/>
      <c r="AJ836" s="55"/>
      <c r="AK836" s="55"/>
      <c r="AL836" s="55"/>
      <c r="AM836" s="55"/>
      <c r="AN836" s="55"/>
      <c r="AO836" s="55"/>
      <c r="AP836" s="55"/>
      <c r="AQ836" s="55"/>
      <c r="AR836" s="55"/>
      <c r="AS836" s="55"/>
      <c r="AT836" s="55"/>
      <c r="AU836" s="55"/>
      <c r="AV836" s="55"/>
    </row>
    <row r="837" spans="5:48" ht="15.75" customHeight="1" x14ac:dyDescent="0.15"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  <c r="AF837" s="55"/>
      <c r="AG837" s="55"/>
      <c r="AH837" s="55"/>
      <c r="AI837" s="55"/>
      <c r="AJ837" s="55"/>
      <c r="AK837" s="55"/>
      <c r="AL837" s="55"/>
      <c r="AM837" s="55"/>
      <c r="AN837" s="55"/>
      <c r="AO837" s="55"/>
      <c r="AP837" s="55"/>
      <c r="AQ837" s="55"/>
      <c r="AR837" s="55"/>
      <c r="AS837" s="55"/>
      <c r="AT837" s="55"/>
      <c r="AU837" s="55"/>
      <c r="AV837" s="55"/>
    </row>
    <row r="838" spans="5:48" ht="15.75" customHeight="1" x14ac:dyDescent="0.15"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  <c r="AF838" s="55"/>
      <c r="AG838" s="55"/>
      <c r="AH838" s="55"/>
      <c r="AI838" s="55"/>
      <c r="AJ838" s="55"/>
      <c r="AK838" s="55"/>
      <c r="AL838" s="55"/>
      <c r="AM838" s="55"/>
      <c r="AN838" s="55"/>
      <c r="AO838" s="55"/>
      <c r="AP838" s="55"/>
      <c r="AQ838" s="55"/>
      <c r="AR838" s="55"/>
      <c r="AS838" s="55"/>
      <c r="AT838" s="55"/>
      <c r="AU838" s="55"/>
      <c r="AV838" s="55"/>
    </row>
    <row r="839" spans="5:48" ht="15.75" customHeight="1" x14ac:dyDescent="0.15"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  <c r="AF839" s="55"/>
      <c r="AG839" s="55"/>
      <c r="AH839" s="55"/>
      <c r="AI839" s="55"/>
      <c r="AJ839" s="55"/>
      <c r="AK839" s="55"/>
      <c r="AL839" s="55"/>
      <c r="AM839" s="55"/>
      <c r="AN839" s="55"/>
      <c r="AO839" s="55"/>
      <c r="AP839" s="55"/>
      <c r="AQ839" s="55"/>
      <c r="AR839" s="55"/>
      <c r="AS839" s="55"/>
      <c r="AT839" s="55"/>
      <c r="AU839" s="55"/>
      <c r="AV839" s="55"/>
    </row>
    <row r="840" spans="5:48" ht="15.75" customHeight="1" x14ac:dyDescent="0.15"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  <c r="AF840" s="55"/>
      <c r="AG840" s="55"/>
      <c r="AH840" s="55"/>
      <c r="AI840" s="55"/>
      <c r="AJ840" s="55"/>
      <c r="AK840" s="55"/>
      <c r="AL840" s="55"/>
      <c r="AM840" s="55"/>
      <c r="AN840" s="55"/>
      <c r="AO840" s="55"/>
      <c r="AP840" s="55"/>
      <c r="AQ840" s="55"/>
      <c r="AR840" s="55"/>
      <c r="AS840" s="55"/>
      <c r="AT840" s="55"/>
      <c r="AU840" s="55"/>
      <c r="AV840" s="55"/>
    </row>
    <row r="841" spans="5:48" ht="15.75" customHeight="1" x14ac:dyDescent="0.15"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  <c r="AF841" s="55"/>
      <c r="AG841" s="55"/>
      <c r="AH841" s="55"/>
      <c r="AI841" s="55"/>
      <c r="AJ841" s="55"/>
      <c r="AK841" s="55"/>
      <c r="AL841" s="55"/>
      <c r="AM841" s="55"/>
      <c r="AN841" s="55"/>
      <c r="AO841" s="55"/>
      <c r="AP841" s="55"/>
      <c r="AQ841" s="55"/>
      <c r="AR841" s="55"/>
      <c r="AS841" s="55"/>
      <c r="AT841" s="55"/>
      <c r="AU841" s="55"/>
      <c r="AV841" s="55"/>
    </row>
    <row r="842" spans="5:48" ht="15.75" customHeight="1" x14ac:dyDescent="0.15"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  <c r="AF842" s="55"/>
      <c r="AG842" s="55"/>
      <c r="AH842" s="55"/>
      <c r="AI842" s="55"/>
      <c r="AJ842" s="55"/>
      <c r="AK842" s="55"/>
      <c r="AL842" s="55"/>
      <c r="AM842" s="55"/>
      <c r="AN842" s="55"/>
      <c r="AO842" s="55"/>
      <c r="AP842" s="55"/>
      <c r="AQ842" s="55"/>
      <c r="AR842" s="55"/>
      <c r="AS842" s="55"/>
      <c r="AT842" s="55"/>
      <c r="AU842" s="55"/>
      <c r="AV842" s="55"/>
    </row>
    <row r="843" spans="5:48" ht="15.75" customHeight="1" x14ac:dyDescent="0.15"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  <c r="AF843" s="55"/>
      <c r="AG843" s="55"/>
      <c r="AH843" s="55"/>
      <c r="AI843" s="55"/>
      <c r="AJ843" s="55"/>
      <c r="AK843" s="55"/>
      <c r="AL843" s="55"/>
      <c r="AM843" s="55"/>
      <c r="AN843" s="55"/>
      <c r="AO843" s="55"/>
      <c r="AP843" s="55"/>
      <c r="AQ843" s="55"/>
      <c r="AR843" s="55"/>
      <c r="AS843" s="55"/>
      <c r="AT843" s="55"/>
      <c r="AU843" s="55"/>
      <c r="AV843" s="55"/>
    </row>
    <row r="844" spans="5:48" ht="15.75" customHeight="1" x14ac:dyDescent="0.15"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  <c r="AF844" s="55"/>
      <c r="AG844" s="55"/>
      <c r="AH844" s="55"/>
      <c r="AI844" s="55"/>
      <c r="AJ844" s="55"/>
      <c r="AK844" s="55"/>
      <c r="AL844" s="55"/>
      <c r="AM844" s="55"/>
      <c r="AN844" s="55"/>
      <c r="AO844" s="55"/>
      <c r="AP844" s="55"/>
      <c r="AQ844" s="55"/>
      <c r="AR844" s="55"/>
      <c r="AS844" s="55"/>
      <c r="AT844" s="55"/>
      <c r="AU844" s="55"/>
      <c r="AV844" s="55"/>
    </row>
    <row r="845" spans="5:48" ht="15.75" customHeight="1" x14ac:dyDescent="0.15"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  <c r="AG845" s="55"/>
      <c r="AH845" s="55"/>
      <c r="AI845" s="55"/>
      <c r="AJ845" s="55"/>
      <c r="AK845" s="55"/>
      <c r="AL845" s="55"/>
      <c r="AM845" s="55"/>
      <c r="AN845" s="55"/>
      <c r="AO845" s="55"/>
      <c r="AP845" s="55"/>
      <c r="AQ845" s="55"/>
      <c r="AR845" s="55"/>
      <c r="AS845" s="55"/>
      <c r="AT845" s="55"/>
      <c r="AU845" s="55"/>
      <c r="AV845" s="55"/>
    </row>
    <row r="846" spans="5:48" ht="15.75" customHeight="1" x14ac:dyDescent="0.15"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  <c r="AF846" s="55"/>
      <c r="AG846" s="55"/>
      <c r="AH846" s="55"/>
      <c r="AI846" s="55"/>
      <c r="AJ846" s="55"/>
      <c r="AK846" s="55"/>
      <c r="AL846" s="55"/>
      <c r="AM846" s="55"/>
      <c r="AN846" s="55"/>
      <c r="AO846" s="55"/>
      <c r="AP846" s="55"/>
      <c r="AQ846" s="55"/>
      <c r="AR846" s="55"/>
      <c r="AS846" s="55"/>
      <c r="AT846" s="55"/>
      <c r="AU846" s="55"/>
      <c r="AV846" s="55"/>
    </row>
    <row r="847" spans="5:48" ht="15.75" customHeight="1" x14ac:dyDescent="0.15"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  <c r="AF847" s="55"/>
      <c r="AG847" s="55"/>
      <c r="AH847" s="55"/>
      <c r="AI847" s="55"/>
      <c r="AJ847" s="55"/>
      <c r="AK847" s="55"/>
      <c r="AL847" s="55"/>
      <c r="AM847" s="55"/>
      <c r="AN847" s="55"/>
      <c r="AO847" s="55"/>
      <c r="AP847" s="55"/>
      <c r="AQ847" s="55"/>
      <c r="AR847" s="55"/>
      <c r="AS847" s="55"/>
      <c r="AT847" s="55"/>
      <c r="AU847" s="55"/>
      <c r="AV847" s="55"/>
    </row>
    <row r="848" spans="5:48" ht="15.75" customHeight="1" x14ac:dyDescent="0.15"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  <c r="AD848" s="55"/>
      <c r="AE848" s="55"/>
      <c r="AF848" s="55"/>
      <c r="AG848" s="55"/>
      <c r="AH848" s="55"/>
      <c r="AI848" s="55"/>
      <c r="AJ848" s="55"/>
      <c r="AK848" s="55"/>
      <c r="AL848" s="55"/>
      <c r="AM848" s="55"/>
      <c r="AN848" s="55"/>
      <c r="AO848" s="55"/>
      <c r="AP848" s="55"/>
      <c r="AQ848" s="55"/>
      <c r="AR848" s="55"/>
      <c r="AS848" s="55"/>
      <c r="AT848" s="55"/>
      <c r="AU848" s="55"/>
      <c r="AV848" s="55"/>
    </row>
    <row r="849" spans="5:48" ht="15.75" customHeight="1" x14ac:dyDescent="0.15"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  <c r="AD849" s="55"/>
      <c r="AE849" s="55"/>
      <c r="AF849" s="55"/>
      <c r="AG849" s="55"/>
      <c r="AH849" s="55"/>
      <c r="AI849" s="55"/>
      <c r="AJ849" s="55"/>
      <c r="AK849" s="55"/>
      <c r="AL849" s="55"/>
      <c r="AM849" s="55"/>
      <c r="AN849" s="55"/>
      <c r="AO849" s="55"/>
      <c r="AP849" s="55"/>
      <c r="AQ849" s="55"/>
      <c r="AR849" s="55"/>
      <c r="AS849" s="55"/>
      <c r="AT849" s="55"/>
      <c r="AU849" s="55"/>
      <c r="AV849" s="55"/>
    </row>
    <row r="850" spans="5:48" ht="15.75" customHeight="1" x14ac:dyDescent="0.15"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5"/>
      <c r="AE850" s="55"/>
      <c r="AF850" s="55"/>
      <c r="AG850" s="55"/>
      <c r="AH850" s="55"/>
      <c r="AI850" s="55"/>
      <c r="AJ850" s="55"/>
      <c r="AK850" s="55"/>
      <c r="AL850" s="55"/>
      <c r="AM850" s="55"/>
      <c r="AN850" s="55"/>
      <c r="AO850" s="55"/>
      <c r="AP850" s="55"/>
      <c r="AQ850" s="55"/>
      <c r="AR850" s="55"/>
      <c r="AS850" s="55"/>
      <c r="AT850" s="55"/>
      <c r="AU850" s="55"/>
      <c r="AV850" s="55"/>
    </row>
    <row r="851" spans="5:48" ht="15.75" customHeight="1" x14ac:dyDescent="0.15"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5"/>
      <c r="AE851" s="55"/>
      <c r="AF851" s="55"/>
      <c r="AG851" s="55"/>
      <c r="AH851" s="55"/>
      <c r="AI851" s="55"/>
      <c r="AJ851" s="55"/>
      <c r="AK851" s="55"/>
      <c r="AL851" s="55"/>
      <c r="AM851" s="55"/>
      <c r="AN851" s="55"/>
      <c r="AO851" s="55"/>
      <c r="AP851" s="55"/>
      <c r="AQ851" s="55"/>
      <c r="AR851" s="55"/>
      <c r="AS851" s="55"/>
      <c r="AT851" s="55"/>
      <c r="AU851" s="55"/>
      <c r="AV851" s="55"/>
    </row>
    <row r="852" spans="5:48" ht="15.75" customHeight="1" x14ac:dyDescent="0.15"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5"/>
      <c r="AE852" s="55"/>
      <c r="AF852" s="55"/>
      <c r="AG852" s="55"/>
      <c r="AH852" s="55"/>
      <c r="AI852" s="55"/>
      <c r="AJ852" s="55"/>
      <c r="AK852" s="55"/>
      <c r="AL852" s="55"/>
      <c r="AM852" s="55"/>
      <c r="AN852" s="55"/>
      <c r="AO852" s="55"/>
      <c r="AP852" s="55"/>
      <c r="AQ852" s="55"/>
      <c r="AR852" s="55"/>
      <c r="AS852" s="55"/>
      <c r="AT852" s="55"/>
      <c r="AU852" s="55"/>
      <c r="AV852" s="55"/>
    </row>
    <row r="853" spans="5:48" ht="15.75" customHeight="1" x14ac:dyDescent="0.15"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5"/>
      <c r="AE853" s="55"/>
      <c r="AF853" s="55"/>
      <c r="AG853" s="55"/>
      <c r="AH853" s="55"/>
      <c r="AI853" s="55"/>
      <c r="AJ853" s="55"/>
      <c r="AK853" s="55"/>
      <c r="AL853" s="55"/>
      <c r="AM853" s="55"/>
      <c r="AN853" s="55"/>
      <c r="AO853" s="55"/>
      <c r="AP853" s="55"/>
      <c r="AQ853" s="55"/>
      <c r="AR853" s="55"/>
      <c r="AS853" s="55"/>
      <c r="AT853" s="55"/>
      <c r="AU853" s="55"/>
      <c r="AV853" s="55"/>
    </row>
    <row r="854" spans="5:48" ht="15.75" customHeight="1" x14ac:dyDescent="0.15"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  <c r="AD854" s="55"/>
      <c r="AE854" s="55"/>
      <c r="AF854" s="55"/>
      <c r="AG854" s="55"/>
      <c r="AH854" s="55"/>
      <c r="AI854" s="55"/>
      <c r="AJ854" s="55"/>
      <c r="AK854" s="55"/>
      <c r="AL854" s="55"/>
      <c r="AM854" s="55"/>
      <c r="AN854" s="55"/>
      <c r="AO854" s="55"/>
      <c r="AP854" s="55"/>
      <c r="AQ854" s="55"/>
      <c r="AR854" s="55"/>
      <c r="AS854" s="55"/>
      <c r="AT854" s="55"/>
      <c r="AU854" s="55"/>
      <c r="AV854" s="55"/>
    </row>
    <row r="855" spans="5:48" ht="15.75" customHeight="1" x14ac:dyDescent="0.15"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  <c r="AD855" s="55"/>
      <c r="AE855" s="55"/>
      <c r="AF855" s="55"/>
      <c r="AG855" s="55"/>
      <c r="AH855" s="55"/>
      <c r="AI855" s="55"/>
      <c r="AJ855" s="55"/>
      <c r="AK855" s="55"/>
      <c r="AL855" s="55"/>
      <c r="AM855" s="55"/>
      <c r="AN855" s="55"/>
      <c r="AO855" s="55"/>
      <c r="AP855" s="55"/>
      <c r="AQ855" s="55"/>
      <c r="AR855" s="55"/>
      <c r="AS855" s="55"/>
      <c r="AT855" s="55"/>
      <c r="AU855" s="55"/>
      <c r="AV855" s="55"/>
    </row>
    <row r="856" spans="5:48" ht="15.75" customHeight="1" x14ac:dyDescent="0.15"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  <c r="AE856" s="55"/>
      <c r="AF856" s="55"/>
      <c r="AG856" s="55"/>
      <c r="AH856" s="55"/>
      <c r="AI856" s="55"/>
      <c r="AJ856" s="55"/>
      <c r="AK856" s="55"/>
      <c r="AL856" s="55"/>
      <c r="AM856" s="55"/>
      <c r="AN856" s="55"/>
      <c r="AO856" s="55"/>
      <c r="AP856" s="55"/>
      <c r="AQ856" s="55"/>
      <c r="AR856" s="55"/>
      <c r="AS856" s="55"/>
      <c r="AT856" s="55"/>
      <c r="AU856" s="55"/>
      <c r="AV856" s="55"/>
    </row>
    <row r="857" spans="5:48" ht="15.75" customHeight="1" x14ac:dyDescent="0.15"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  <c r="AF857" s="55"/>
      <c r="AG857" s="55"/>
      <c r="AH857" s="55"/>
      <c r="AI857" s="55"/>
      <c r="AJ857" s="55"/>
      <c r="AK857" s="55"/>
      <c r="AL857" s="55"/>
      <c r="AM857" s="55"/>
      <c r="AN857" s="55"/>
      <c r="AO857" s="55"/>
      <c r="AP857" s="55"/>
      <c r="AQ857" s="55"/>
      <c r="AR857" s="55"/>
      <c r="AS857" s="55"/>
      <c r="AT857" s="55"/>
      <c r="AU857" s="55"/>
      <c r="AV857" s="55"/>
    </row>
    <row r="858" spans="5:48" ht="15.75" customHeight="1" x14ac:dyDescent="0.15"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5"/>
      <c r="AE858" s="55"/>
      <c r="AF858" s="55"/>
      <c r="AG858" s="55"/>
      <c r="AH858" s="55"/>
      <c r="AI858" s="55"/>
      <c r="AJ858" s="55"/>
      <c r="AK858" s="55"/>
      <c r="AL858" s="55"/>
      <c r="AM858" s="55"/>
      <c r="AN858" s="55"/>
      <c r="AO858" s="55"/>
      <c r="AP858" s="55"/>
      <c r="AQ858" s="55"/>
      <c r="AR858" s="55"/>
      <c r="AS858" s="55"/>
      <c r="AT858" s="55"/>
      <c r="AU858" s="55"/>
      <c r="AV858" s="55"/>
    </row>
    <row r="859" spans="5:48" ht="15.75" customHeight="1" x14ac:dyDescent="0.15"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  <c r="AD859" s="55"/>
      <c r="AE859" s="55"/>
      <c r="AF859" s="55"/>
      <c r="AG859" s="55"/>
      <c r="AH859" s="55"/>
      <c r="AI859" s="55"/>
      <c r="AJ859" s="55"/>
      <c r="AK859" s="55"/>
      <c r="AL859" s="55"/>
      <c r="AM859" s="55"/>
      <c r="AN859" s="55"/>
      <c r="AO859" s="55"/>
      <c r="AP859" s="55"/>
      <c r="AQ859" s="55"/>
      <c r="AR859" s="55"/>
      <c r="AS859" s="55"/>
      <c r="AT859" s="55"/>
      <c r="AU859" s="55"/>
      <c r="AV859" s="55"/>
    </row>
    <row r="860" spans="5:48" ht="15.75" customHeight="1" x14ac:dyDescent="0.15"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5"/>
      <c r="AE860" s="55"/>
      <c r="AF860" s="55"/>
      <c r="AG860" s="55"/>
      <c r="AH860" s="55"/>
      <c r="AI860" s="55"/>
      <c r="AJ860" s="55"/>
      <c r="AK860" s="55"/>
      <c r="AL860" s="55"/>
      <c r="AM860" s="55"/>
      <c r="AN860" s="55"/>
      <c r="AO860" s="55"/>
      <c r="AP860" s="55"/>
      <c r="AQ860" s="55"/>
      <c r="AR860" s="55"/>
      <c r="AS860" s="55"/>
      <c r="AT860" s="55"/>
      <c r="AU860" s="55"/>
      <c r="AV860" s="55"/>
    </row>
    <row r="861" spans="5:48" ht="15.75" customHeight="1" x14ac:dyDescent="0.15"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5"/>
      <c r="AE861" s="55"/>
      <c r="AF861" s="55"/>
      <c r="AG861" s="55"/>
      <c r="AH861" s="55"/>
      <c r="AI861" s="55"/>
      <c r="AJ861" s="55"/>
      <c r="AK861" s="55"/>
      <c r="AL861" s="55"/>
      <c r="AM861" s="55"/>
      <c r="AN861" s="55"/>
      <c r="AO861" s="55"/>
      <c r="AP861" s="55"/>
      <c r="AQ861" s="55"/>
      <c r="AR861" s="55"/>
      <c r="AS861" s="55"/>
      <c r="AT861" s="55"/>
      <c r="AU861" s="55"/>
      <c r="AV861" s="55"/>
    </row>
    <row r="862" spans="5:48" ht="15.75" customHeight="1" x14ac:dyDescent="0.15"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  <c r="AF862" s="55"/>
      <c r="AG862" s="55"/>
      <c r="AH862" s="55"/>
      <c r="AI862" s="55"/>
      <c r="AJ862" s="55"/>
      <c r="AK862" s="55"/>
      <c r="AL862" s="55"/>
      <c r="AM862" s="55"/>
      <c r="AN862" s="55"/>
      <c r="AO862" s="55"/>
      <c r="AP862" s="55"/>
      <c r="AQ862" s="55"/>
      <c r="AR862" s="55"/>
      <c r="AS862" s="55"/>
      <c r="AT862" s="55"/>
      <c r="AU862" s="55"/>
      <c r="AV862" s="55"/>
    </row>
    <row r="863" spans="5:48" ht="15.75" customHeight="1" x14ac:dyDescent="0.15"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5"/>
      <c r="AE863" s="55"/>
      <c r="AF863" s="55"/>
      <c r="AG863" s="55"/>
      <c r="AH863" s="55"/>
      <c r="AI863" s="55"/>
      <c r="AJ863" s="55"/>
      <c r="AK863" s="55"/>
      <c r="AL863" s="55"/>
      <c r="AM863" s="55"/>
      <c r="AN863" s="55"/>
      <c r="AO863" s="55"/>
      <c r="AP863" s="55"/>
      <c r="AQ863" s="55"/>
      <c r="AR863" s="55"/>
      <c r="AS863" s="55"/>
      <c r="AT863" s="55"/>
      <c r="AU863" s="55"/>
      <c r="AV863" s="55"/>
    </row>
    <row r="864" spans="5:48" ht="15.75" customHeight="1" x14ac:dyDescent="0.15"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  <c r="AD864" s="55"/>
      <c r="AE864" s="55"/>
      <c r="AF864" s="55"/>
      <c r="AG864" s="55"/>
      <c r="AH864" s="55"/>
      <c r="AI864" s="55"/>
      <c r="AJ864" s="55"/>
      <c r="AK864" s="55"/>
      <c r="AL864" s="55"/>
      <c r="AM864" s="55"/>
      <c r="AN864" s="55"/>
      <c r="AO864" s="55"/>
      <c r="AP864" s="55"/>
      <c r="AQ864" s="55"/>
      <c r="AR864" s="55"/>
      <c r="AS864" s="55"/>
      <c r="AT864" s="55"/>
      <c r="AU864" s="55"/>
      <c r="AV864" s="55"/>
    </row>
    <row r="865" spans="5:48" ht="15.75" customHeight="1" x14ac:dyDescent="0.15"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5"/>
      <c r="AE865" s="55"/>
      <c r="AF865" s="55"/>
      <c r="AG865" s="55"/>
      <c r="AH865" s="55"/>
      <c r="AI865" s="55"/>
      <c r="AJ865" s="55"/>
      <c r="AK865" s="55"/>
      <c r="AL865" s="55"/>
      <c r="AM865" s="55"/>
      <c r="AN865" s="55"/>
      <c r="AO865" s="55"/>
      <c r="AP865" s="55"/>
      <c r="AQ865" s="55"/>
      <c r="AR865" s="55"/>
      <c r="AS865" s="55"/>
      <c r="AT865" s="55"/>
      <c r="AU865" s="55"/>
      <c r="AV865" s="55"/>
    </row>
    <row r="866" spans="5:48" ht="15.75" customHeight="1" x14ac:dyDescent="0.15"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5"/>
      <c r="AE866" s="55"/>
      <c r="AF866" s="55"/>
      <c r="AG866" s="55"/>
      <c r="AH866" s="55"/>
      <c r="AI866" s="55"/>
      <c r="AJ866" s="55"/>
      <c r="AK866" s="55"/>
      <c r="AL866" s="55"/>
      <c r="AM866" s="55"/>
      <c r="AN866" s="55"/>
      <c r="AO866" s="55"/>
      <c r="AP866" s="55"/>
      <c r="AQ866" s="55"/>
      <c r="AR866" s="55"/>
      <c r="AS866" s="55"/>
      <c r="AT866" s="55"/>
      <c r="AU866" s="55"/>
      <c r="AV866" s="55"/>
    </row>
    <row r="867" spans="5:48" ht="15.75" customHeight="1" x14ac:dyDescent="0.15"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  <c r="AF867" s="55"/>
      <c r="AG867" s="55"/>
      <c r="AH867" s="55"/>
      <c r="AI867" s="55"/>
      <c r="AJ867" s="55"/>
      <c r="AK867" s="55"/>
      <c r="AL867" s="55"/>
      <c r="AM867" s="55"/>
      <c r="AN867" s="55"/>
      <c r="AO867" s="55"/>
      <c r="AP867" s="55"/>
      <c r="AQ867" s="55"/>
      <c r="AR867" s="55"/>
      <c r="AS867" s="55"/>
      <c r="AT867" s="55"/>
      <c r="AU867" s="55"/>
      <c r="AV867" s="55"/>
    </row>
    <row r="868" spans="5:48" ht="15.75" customHeight="1" x14ac:dyDescent="0.15"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  <c r="AF868" s="55"/>
      <c r="AG868" s="55"/>
      <c r="AH868" s="55"/>
      <c r="AI868" s="55"/>
      <c r="AJ868" s="55"/>
      <c r="AK868" s="55"/>
      <c r="AL868" s="55"/>
      <c r="AM868" s="55"/>
      <c r="AN868" s="55"/>
      <c r="AO868" s="55"/>
      <c r="AP868" s="55"/>
      <c r="AQ868" s="55"/>
      <c r="AR868" s="55"/>
      <c r="AS868" s="55"/>
      <c r="AT868" s="55"/>
      <c r="AU868" s="55"/>
      <c r="AV868" s="55"/>
    </row>
    <row r="869" spans="5:48" ht="15.75" customHeight="1" x14ac:dyDescent="0.15"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  <c r="AF869" s="55"/>
      <c r="AG869" s="55"/>
      <c r="AH869" s="55"/>
      <c r="AI869" s="55"/>
      <c r="AJ869" s="55"/>
      <c r="AK869" s="55"/>
      <c r="AL869" s="55"/>
      <c r="AM869" s="55"/>
      <c r="AN869" s="55"/>
      <c r="AO869" s="55"/>
      <c r="AP869" s="55"/>
      <c r="AQ869" s="55"/>
      <c r="AR869" s="55"/>
      <c r="AS869" s="55"/>
      <c r="AT869" s="55"/>
      <c r="AU869" s="55"/>
      <c r="AV869" s="55"/>
    </row>
    <row r="870" spans="5:48" ht="15.75" customHeight="1" x14ac:dyDescent="0.15"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  <c r="AF870" s="55"/>
      <c r="AG870" s="55"/>
      <c r="AH870" s="55"/>
      <c r="AI870" s="55"/>
      <c r="AJ870" s="55"/>
      <c r="AK870" s="55"/>
      <c r="AL870" s="55"/>
      <c r="AM870" s="55"/>
      <c r="AN870" s="55"/>
      <c r="AO870" s="55"/>
      <c r="AP870" s="55"/>
      <c r="AQ870" s="55"/>
      <c r="AR870" s="55"/>
      <c r="AS870" s="55"/>
      <c r="AT870" s="55"/>
      <c r="AU870" s="55"/>
      <c r="AV870" s="55"/>
    </row>
    <row r="871" spans="5:48" ht="15.75" customHeight="1" x14ac:dyDescent="0.15"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  <c r="AF871" s="55"/>
      <c r="AG871" s="55"/>
      <c r="AH871" s="55"/>
      <c r="AI871" s="55"/>
      <c r="AJ871" s="55"/>
      <c r="AK871" s="55"/>
      <c r="AL871" s="55"/>
      <c r="AM871" s="55"/>
      <c r="AN871" s="55"/>
      <c r="AO871" s="55"/>
      <c r="AP871" s="55"/>
      <c r="AQ871" s="55"/>
      <c r="AR871" s="55"/>
      <c r="AS871" s="55"/>
      <c r="AT871" s="55"/>
      <c r="AU871" s="55"/>
      <c r="AV871" s="55"/>
    </row>
    <row r="872" spans="5:48" ht="15.75" customHeight="1" x14ac:dyDescent="0.15"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  <c r="AF872" s="55"/>
      <c r="AG872" s="55"/>
      <c r="AH872" s="55"/>
      <c r="AI872" s="55"/>
      <c r="AJ872" s="55"/>
      <c r="AK872" s="55"/>
      <c r="AL872" s="55"/>
      <c r="AM872" s="55"/>
      <c r="AN872" s="55"/>
      <c r="AO872" s="55"/>
      <c r="AP872" s="55"/>
      <c r="AQ872" s="55"/>
      <c r="AR872" s="55"/>
      <c r="AS872" s="55"/>
      <c r="AT872" s="55"/>
      <c r="AU872" s="55"/>
      <c r="AV872" s="55"/>
    </row>
    <row r="873" spans="5:48" ht="15.75" customHeight="1" x14ac:dyDescent="0.15"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  <c r="AF873" s="55"/>
      <c r="AG873" s="55"/>
      <c r="AH873" s="55"/>
      <c r="AI873" s="55"/>
      <c r="AJ873" s="55"/>
      <c r="AK873" s="55"/>
      <c r="AL873" s="55"/>
      <c r="AM873" s="55"/>
      <c r="AN873" s="55"/>
      <c r="AO873" s="55"/>
      <c r="AP873" s="55"/>
      <c r="AQ873" s="55"/>
      <c r="AR873" s="55"/>
      <c r="AS873" s="55"/>
      <c r="AT873" s="55"/>
      <c r="AU873" s="55"/>
      <c r="AV873" s="55"/>
    </row>
    <row r="874" spans="5:48" ht="15.75" customHeight="1" x14ac:dyDescent="0.15"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  <c r="AF874" s="55"/>
      <c r="AG874" s="55"/>
      <c r="AH874" s="55"/>
      <c r="AI874" s="55"/>
      <c r="AJ874" s="55"/>
      <c r="AK874" s="55"/>
      <c r="AL874" s="55"/>
      <c r="AM874" s="55"/>
      <c r="AN874" s="55"/>
      <c r="AO874" s="55"/>
      <c r="AP874" s="55"/>
      <c r="AQ874" s="55"/>
      <c r="AR874" s="55"/>
      <c r="AS874" s="55"/>
      <c r="AT874" s="55"/>
      <c r="AU874" s="55"/>
      <c r="AV874" s="55"/>
    </row>
    <row r="875" spans="5:48" ht="15.75" customHeight="1" x14ac:dyDescent="0.15"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  <c r="AF875" s="55"/>
      <c r="AG875" s="55"/>
      <c r="AH875" s="55"/>
      <c r="AI875" s="55"/>
      <c r="AJ875" s="55"/>
      <c r="AK875" s="55"/>
      <c r="AL875" s="55"/>
      <c r="AM875" s="55"/>
      <c r="AN875" s="55"/>
      <c r="AO875" s="55"/>
      <c r="AP875" s="55"/>
      <c r="AQ875" s="55"/>
      <c r="AR875" s="55"/>
      <c r="AS875" s="55"/>
      <c r="AT875" s="55"/>
      <c r="AU875" s="55"/>
      <c r="AV875" s="55"/>
    </row>
    <row r="876" spans="5:48" ht="15.75" customHeight="1" x14ac:dyDescent="0.15"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  <c r="AF876" s="55"/>
      <c r="AG876" s="55"/>
      <c r="AH876" s="55"/>
      <c r="AI876" s="55"/>
      <c r="AJ876" s="55"/>
      <c r="AK876" s="55"/>
      <c r="AL876" s="55"/>
      <c r="AM876" s="55"/>
      <c r="AN876" s="55"/>
      <c r="AO876" s="55"/>
      <c r="AP876" s="55"/>
      <c r="AQ876" s="55"/>
      <c r="AR876" s="55"/>
      <c r="AS876" s="55"/>
      <c r="AT876" s="55"/>
      <c r="AU876" s="55"/>
      <c r="AV876" s="55"/>
    </row>
    <row r="877" spans="5:48" ht="15.75" customHeight="1" x14ac:dyDescent="0.15"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  <c r="AF877" s="55"/>
      <c r="AG877" s="55"/>
      <c r="AH877" s="55"/>
      <c r="AI877" s="55"/>
      <c r="AJ877" s="55"/>
      <c r="AK877" s="55"/>
      <c r="AL877" s="55"/>
      <c r="AM877" s="55"/>
      <c r="AN877" s="55"/>
      <c r="AO877" s="55"/>
      <c r="AP877" s="55"/>
      <c r="AQ877" s="55"/>
      <c r="AR877" s="55"/>
      <c r="AS877" s="55"/>
      <c r="AT877" s="55"/>
      <c r="AU877" s="55"/>
      <c r="AV877" s="55"/>
    </row>
    <row r="878" spans="5:48" ht="15.75" customHeight="1" x14ac:dyDescent="0.15"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  <c r="AF878" s="55"/>
      <c r="AG878" s="55"/>
      <c r="AH878" s="55"/>
      <c r="AI878" s="55"/>
      <c r="AJ878" s="55"/>
      <c r="AK878" s="55"/>
      <c r="AL878" s="55"/>
      <c r="AM878" s="55"/>
      <c r="AN878" s="55"/>
      <c r="AO878" s="55"/>
      <c r="AP878" s="55"/>
      <c r="AQ878" s="55"/>
      <c r="AR878" s="55"/>
      <c r="AS878" s="55"/>
      <c r="AT878" s="55"/>
      <c r="AU878" s="55"/>
      <c r="AV878" s="55"/>
    </row>
    <row r="879" spans="5:48" ht="15.75" customHeight="1" x14ac:dyDescent="0.15"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  <c r="AD879" s="55"/>
      <c r="AE879" s="55"/>
      <c r="AF879" s="55"/>
      <c r="AG879" s="55"/>
      <c r="AH879" s="55"/>
      <c r="AI879" s="55"/>
      <c r="AJ879" s="55"/>
      <c r="AK879" s="55"/>
      <c r="AL879" s="55"/>
      <c r="AM879" s="55"/>
      <c r="AN879" s="55"/>
      <c r="AO879" s="55"/>
      <c r="AP879" s="55"/>
      <c r="AQ879" s="55"/>
      <c r="AR879" s="55"/>
      <c r="AS879" s="55"/>
      <c r="AT879" s="55"/>
      <c r="AU879" s="55"/>
      <c r="AV879" s="55"/>
    </row>
    <row r="880" spans="5:48" ht="15.75" customHeight="1" x14ac:dyDescent="0.15"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  <c r="AD880" s="55"/>
      <c r="AE880" s="55"/>
      <c r="AF880" s="55"/>
      <c r="AG880" s="55"/>
      <c r="AH880" s="55"/>
      <c r="AI880" s="55"/>
      <c r="AJ880" s="55"/>
      <c r="AK880" s="55"/>
      <c r="AL880" s="55"/>
      <c r="AM880" s="55"/>
      <c r="AN880" s="55"/>
      <c r="AO880" s="55"/>
      <c r="AP880" s="55"/>
      <c r="AQ880" s="55"/>
      <c r="AR880" s="55"/>
      <c r="AS880" s="55"/>
      <c r="AT880" s="55"/>
      <c r="AU880" s="55"/>
      <c r="AV880" s="55"/>
    </row>
    <row r="881" spans="5:48" ht="15.75" customHeight="1" x14ac:dyDescent="0.15"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  <c r="AC881" s="55"/>
      <c r="AD881" s="55"/>
      <c r="AE881" s="55"/>
      <c r="AF881" s="55"/>
      <c r="AG881" s="55"/>
      <c r="AH881" s="55"/>
      <c r="AI881" s="55"/>
      <c r="AJ881" s="55"/>
      <c r="AK881" s="55"/>
      <c r="AL881" s="55"/>
      <c r="AM881" s="55"/>
      <c r="AN881" s="55"/>
      <c r="AO881" s="55"/>
      <c r="AP881" s="55"/>
      <c r="AQ881" s="55"/>
      <c r="AR881" s="55"/>
      <c r="AS881" s="55"/>
      <c r="AT881" s="55"/>
      <c r="AU881" s="55"/>
      <c r="AV881" s="55"/>
    </row>
    <row r="882" spans="5:48" ht="15.75" customHeight="1" x14ac:dyDescent="0.15"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  <c r="AC882" s="55"/>
      <c r="AD882" s="55"/>
      <c r="AE882" s="55"/>
      <c r="AF882" s="55"/>
      <c r="AG882" s="55"/>
      <c r="AH882" s="55"/>
      <c r="AI882" s="55"/>
      <c r="AJ882" s="55"/>
      <c r="AK882" s="55"/>
      <c r="AL882" s="55"/>
      <c r="AM882" s="55"/>
      <c r="AN882" s="55"/>
      <c r="AO882" s="55"/>
      <c r="AP882" s="55"/>
      <c r="AQ882" s="55"/>
      <c r="AR882" s="55"/>
      <c r="AS882" s="55"/>
      <c r="AT882" s="55"/>
      <c r="AU882" s="55"/>
      <c r="AV882" s="55"/>
    </row>
    <row r="883" spans="5:48" ht="15.75" customHeight="1" x14ac:dyDescent="0.15"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  <c r="AC883" s="55"/>
      <c r="AD883" s="55"/>
      <c r="AE883" s="55"/>
      <c r="AF883" s="55"/>
      <c r="AG883" s="55"/>
      <c r="AH883" s="55"/>
      <c r="AI883" s="55"/>
      <c r="AJ883" s="55"/>
      <c r="AK883" s="55"/>
      <c r="AL883" s="55"/>
      <c r="AM883" s="55"/>
      <c r="AN883" s="55"/>
      <c r="AO883" s="55"/>
      <c r="AP883" s="55"/>
      <c r="AQ883" s="55"/>
      <c r="AR883" s="55"/>
      <c r="AS883" s="55"/>
      <c r="AT883" s="55"/>
      <c r="AU883" s="55"/>
      <c r="AV883" s="55"/>
    </row>
    <row r="884" spans="5:48" ht="15.75" customHeight="1" x14ac:dyDescent="0.15"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  <c r="AC884" s="55"/>
      <c r="AD884" s="55"/>
      <c r="AE884" s="55"/>
      <c r="AF884" s="55"/>
      <c r="AG884" s="55"/>
      <c r="AH884" s="55"/>
      <c r="AI884" s="55"/>
      <c r="AJ884" s="55"/>
      <c r="AK884" s="55"/>
      <c r="AL884" s="55"/>
      <c r="AM884" s="55"/>
      <c r="AN884" s="55"/>
      <c r="AO884" s="55"/>
      <c r="AP884" s="55"/>
      <c r="AQ884" s="55"/>
      <c r="AR884" s="55"/>
      <c r="AS884" s="55"/>
      <c r="AT884" s="55"/>
      <c r="AU884" s="55"/>
      <c r="AV884" s="55"/>
    </row>
    <row r="885" spans="5:48" ht="15.75" customHeight="1" x14ac:dyDescent="0.15"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  <c r="AC885" s="55"/>
      <c r="AD885" s="55"/>
      <c r="AE885" s="55"/>
      <c r="AF885" s="55"/>
      <c r="AG885" s="55"/>
      <c r="AH885" s="55"/>
      <c r="AI885" s="55"/>
      <c r="AJ885" s="55"/>
      <c r="AK885" s="55"/>
      <c r="AL885" s="55"/>
      <c r="AM885" s="55"/>
      <c r="AN885" s="55"/>
      <c r="AO885" s="55"/>
      <c r="AP885" s="55"/>
      <c r="AQ885" s="55"/>
      <c r="AR885" s="55"/>
      <c r="AS885" s="55"/>
      <c r="AT885" s="55"/>
      <c r="AU885" s="55"/>
      <c r="AV885" s="55"/>
    </row>
    <row r="886" spans="5:48" ht="15.75" customHeight="1" x14ac:dyDescent="0.15"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  <c r="AC886" s="55"/>
      <c r="AD886" s="55"/>
      <c r="AE886" s="55"/>
      <c r="AF886" s="55"/>
      <c r="AG886" s="55"/>
      <c r="AH886" s="55"/>
      <c r="AI886" s="55"/>
      <c r="AJ886" s="55"/>
      <c r="AK886" s="55"/>
      <c r="AL886" s="55"/>
      <c r="AM886" s="55"/>
      <c r="AN886" s="55"/>
      <c r="AO886" s="55"/>
      <c r="AP886" s="55"/>
      <c r="AQ886" s="55"/>
      <c r="AR886" s="55"/>
      <c r="AS886" s="55"/>
      <c r="AT886" s="55"/>
      <c r="AU886" s="55"/>
      <c r="AV886" s="55"/>
    </row>
    <row r="887" spans="5:48" ht="15.75" customHeight="1" x14ac:dyDescent="0.15"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  <c r="AF887" s="55"/>
      <c r="AG887" s="55"/>
      <c r="AH887" s="55"/>
      <c r="AI887" s="55"/>
      <c r="AJ887" s="55"/>
      <c r="AK887" s="55"/>
      <c r="AL887" s="55"/>
      <c r="AM887" s="55"/>
      <c r="AN887" s="55"/>
      <c r="AO887" s="55"/>
      <c r="AP887" s="55"/>
      <c r="AQ887" s="55"/>
      <c r="AR887" s="55"/>
      <c r="AS887" s="55"/>
      <c r="AT887" s="55"/>
      <c r="AU887" s="55"/>
      <c r="AV887" s="55"/>
    </row>
    <row r="888" spans="5:48" ht="15.75" customHeight="1" x14ac:dyDescent="0.15"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  <c r="AC888" s="55"/>
      <c r="AD888" s="55"/>
      <c r="AE888" s="55"/>
      <c r="AF888" s="55"/>
      <c r="AG888" s="55"/>
      <c r="AH888" s="55"/>
      <c r="AI888" s="55"/>
      <c r="AJ888" s="55"/>
      <c r="AK888" s="55"/>
      <c r="AL888" s="55"/>
      <c r="AM888" s="55"/>
      <c r="AN888" s="55"/>
      <c r="AO888" s="55"/>
      <c r="AP888" s="55"/>
      <c r="AQ888" s="55"/>
      <c r="AR888" s="55"/>
      <c r="AS888" s="55"/>
      <c r="AT888" s="55"/>
      <c r="AU888" s="55"/>
      <c r="AV888" s="55"/>
    </row>
    <row r="889" spans="5:48" ht="15.75" customHeight="1" x14ac:dyDescent="0.15"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  <c r="AC889" s="55"/>
      <c r="AD889" s="55"/>
      <c r="AE889" s="55"/>
      <c r="AF889" s="55"/>
      <c r="AG889" s="55"/>
      <c r="AH889" s="55"/>
      <c r="AI889" s="55"/>
      <c r="AJ889" s="55"/>
      <c r="AK889" s="55"/>
      <c r="AL889" s="55"/>
      <c r="AM889" s="55"/>
      <c r="AN889" s="55"/>
      <c r="AO889" s="55"/>
      <c r="AP889" s="55"/>
      <c r="AQ889" s="55"/>
      <c r="AR889" s="55"/>
      <c r="AS889" s="55"/>
      <c r="AT889" s="55"/>
      <c r="AU889" s="55"/>
      <c r="AV889" s="55"/>
    </row>
    <row r="890" spans="5:48" ht="15.75" customHeight="1" x14ac:dyDescent="0.15"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  <c r="AC890" s="55"/>
      <c r="AD890" s="55"/>
      <c r="AE890" s="55"/>
      <c r="AF890" s="55"/>
      <c r="AG890" s="55"/>
      <c r="AH890" s="55"/>
      <c r="AI890" s="55"/>
      <c r="AJ890" s="55"/>
      <c r="AK890" s="55"/>
      <c r="AL890" s="55"/>
      <c r="AM890" s="55"/>
      <c r="AN890" s="55"/>
      <c r="AO890" s="55"/>
      <c r="AP890" s="55"/>
      <c r="AQ890" s="55"/>
      <c r="AR890" s="55"/>
      <c r="AS890" s="55"/>
      <c r="AT890" s="55"/>
      <c r="AU890" s="55"/>
      <c r="AV890" s="55"/>
    </row>
    <row r="891" spans="5:48" ht="15.75" customHeight="1" x14ac:dyDescent="0.15"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  <c r="AG891" s="55"/>
      <c r="AH891" s="55"/>
      <c r="AI891" s="55"/>
      <c r="AJ891" s="55"/>
      <c r="AK891" s="55"/>
      <c r="AL891" s="55"/>
      <c r="AM891" s="55"/>
      <c r="AN891" s="55"/>
      <c r="AO891" s="55"/>
      <c r="AP891" s="55"/>
      <c r="AQ891" s="55"/>
      <c r="AR891" s="55"/>
      <c r="AS891" s="55"/>
      <c r="AT891" s="55"/>
      <c r="AU891" s="55"/>
      <c r="AV891" s="55"/>
    </row>
    <row r="892" spans="5:48" ht="15.75" customHeight="1" x14ac:dyDescent="0.15"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  <c r="AC892" s="55"/>
      <c r="AD892" s="55"/>
      <c r="AE892" s="55"/>
      <c r="AF892" s="55"/>
      <c r="AG892" s="55"/>
      <c r="AH892" s="55"/>
      <c r="AI892" s="55"/>
      <c r="AJ892" s="55"/>
      <c r="AK892" s="55"/>
      <c r="AL892" s="55"/>
      <c r="AM892" s="55"/>
      <c r="AN892" s="55"/>
      <c r="AO892" s="55"/>
      <c r="AP892" s="55"/>
      <c r="AQ892" s="55"/>
      <c r="AR892" s="55"/>
      <c r="AS892" s="55"/>
      <c r="AT892" s="55"/>
      <c r="AU892" s="55"/>
      <c r="AV892" s="55"/>
    </row>
    <row r="893" spans="5:48" ht="15.75" customHeight="1" x14ac:dyDescent="0.15"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  <c r="AC893" s="55"/>
      <c r="AD893" s="55"/>
      <c r="AE893" s="55"/>
      <c r="AF893" s="55"/>
      <c r="AG893" s="55"/>
      <c r="AH893" s="55"/>
      <c r="AI893" s="55"/>
      <c r="AJ893" s="55"/>
      <c r="AK893" s="55"/>
      <c r="AL893" s="55"/>
      <c r="AM893" s="55"/>
      <c r="AN893" s="55"/>
      <c r="AO893" s="55"/>
      <c r="AP893" s="55"/>
      <c r="AQ893" s="55"/>
      <c r="AR893" s="55"/>
      <c r="AS893" s="55"/>
      <c r="AT893" s="55"/>
      <c r="AU893" s="55"/>
      <c r="AV893" s="55"/>
    </row>
    <row r="894" spans="5:48" ht="15.75" customHeight="1" x14ac:dyDescent="0.15"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  <c r="AC894" s="55"/>
      <c r="AD894" s="55"/>
      <c r="AE894" s="55"/>
      <c r="AF894" s="55"/>
      <c r="AG894" s="55"/>
      <c r="AH894" s="55"/>
      <c r="AI894" s="55"/>
      <c r="AJ894" s="55"/>
      <c r="AK894" s="55"/>
      <c r="AL894" s="55"/>
      <c r="AM894" s="55"/>
      <c r="AN894" s="55"/>
      <c r="AO894" s="55"/>
      <c r="AP894" s="55"/>
      <c r="AQ894" s="55"/>
      <c r="AR894" s="55"/>
      <c r="AS894" s="55"/>
      <c r="AT894" s="55"/>
      <c r="AU894" s="55"/>
      <c r="AV894" s="55"/>
    </row>
    <row r="895" spans="5:48" ht="15.75" customHeight="1" x14ac:dyDescent="0.15"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  <c r="AC895" s="55"/>
      <c r="AD895" s="55"/>
      <c r="AE895" s="55"/>
      <c r="AF895" s="55"/>
      <c r="AG895" s="55"/>
      <c r="AH895" s="55"/>
      <c r="AI895" s="55"/>
      <c r="AJ895" s="55"/>
      <c r="AK895" s="55"/>
      <c r="AL895" s="55"/>
      <c r="AM895" s="55"/>
      <c r="AN895" s="55"/>
      <c r="AO895" s="55"/>
      <c r="AP895" s="55"/>
      <c r="AQ895" s="55"/>
      <c r="AR895" s="55"/>
      <c r="AS895" s="55"/>
      <c r="AT895" s="55"/>
      <c r="AU895" s="55"/>
      <c r="AV895" s="55"/>
    </row>
    <row r="896" spans="5:48" ht="15.75" customHeight="1" x14ac:dyDescent="0.15"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  <c r="AC896" s="55"/>
      <c r="AD896" s="55"/>
      <c r="AE896" s="55"/>
      <c r="AF896" s="55"/>
      <c r="AG896" s="55"/>
      <c r="AH896" s="55"/>
      <c r="AI896" s="55"/>
      <c r="AJ896" s="55"/>
      <c r="AK896" s="55"/>
      <c r="AL896" s="55"/>
      <c r="AM896" s="55"/>
      <c r="AN896" s="55"/>
      <c r="AO896" s="55"/>
      <c r="AP896" s="55"/>
      <c r="AQ896" s="55"/>
      <c r="AR896" s="55"/>
      <c r="AS896" s="55"/>
      <c r="AT896" s="55"/>
      <c r="AU896" s="55"/>
      <c r="AV896" s="55"/>
    </row>
    <row r="897" spans="5:48" ht="15.75" customHeight="1" x14ac:dyDescent="0.15"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  <c r="AC897" s="55"/>
      <c r="AD897" s="55"/>
      <c r="AE897" s="55"/>
      <c r="AF897" s="55"/>
      <c r="AG897" s="55"/>
      <c r="AH897" s="55"/>
      <c r="AI897" s="55"/>
      <c r="AJ897" s="55"/>
      <c r="AK897" s="55"/>
      <c r="AL897" s="55"/>
      <c r="AM897" s="55"/>
      <c r="AN897" s="55"/>
      <c r="AO897" s="55"/>
      <c r="AP897" s="55"/>
      <c r="AQ897" s="55"/>
      <c r="AR897" s="55"/>
      <c r="AS897" s="55"/>
      <c r="AT897" s="55"/>
      <c r="AU897" s="55"/>
      <c r="AV897" s="55"/>
    </row>
    <row r="898" spans="5:48" ht="15.75" customHeight="1" x14ac:dyDescent="0.15"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  <c r="AC898" s="55"/>
      <c r="AD898" s="55"/>
      <c r="AE898" s="55"/>
      <c r="AF898" s="55"/>
      <c r="AG898" s="55"/>
      <c r="AH898" s="55"/>
      <c r="AI898" s="55"/>
      <c r="AJ898" s="55"/>
      <c r="AK898" s="55"/>
      <c r="AL898" s="55"/>
      <c r="AM898" s="55"/>
      <c r="AN898" s="55"/>
      <c r="AO898" s="55"/>
      <c r="AP898" s="55"/>
      <c r="AQ898" s="55"/>
      <c r="AR898" s="55"/>
      <c r="AS898" s="55"/>
      <c r="AT898" s="55"/>
      <c r="AU898" s="55"/>
      <c r="AV898" s="55"/>
    </row>
    <row r="899" spans="5:48" ht="15.75" customHeight="1" x14ac:dyDescent="0.15"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  <c r="AC899" s="55"/>
      <c r="AD899" s="55"/>
      <c r="AE899" s="55"/>
      <c r="AF899" s="55"/>
      <c r="AG899" s="55"/>
      <c r="AH899" s="55"/>
      <c r="AI899" s="55"/>
      <c r="AJ899" s="55"/>
      <c r="AK899" s="55"/>
      <c r="AL899" s="55"/>
      <c r="AM899" s="55"/>
      <c r="AN899" s="55"/>
      <c r="AO899" s="55"/>
      <c r="AP899" s="55"/>
      <c r="AQ899" s="55"/>
      <c r="AR899" s="55"/>
      <c r="AS899" s="55"/>
      <c r="AT899" s="55"/>
      <c r="AU899" s="55"/>
      <c r="AV899" s="55"/>
    </row>
    <row r="900" spans="5:48" ht="15.75" customHeight="1" x14ac:dyDescent="0.15"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  <c r="AC900" s="55"/>
      <c r="AD900" s="55"/>
      <c r="AE900" s="55"/>
      <c r="AF900" s="55"/>
      <c r="AG900" s="55"/>
      <c r="AH900" s="55"/>
      <c r="AI900" s="55"/>
      <c r="AJ900" s="55"/>
      <c r="AK900" s="55"/>
      <c r="AL900" s="55"/>
      <c r="AM900" s="55"/>
      <c r="AN900" s="55"/>
      <c r="AO900" s="55"/>
      <c r="AP900" s="55"/>
      <c r="AQ900" s="55"/>
      <c r="AR900" s="55"/>
      <c r="AS900" s="55"/>
      <c r="AT900" s="55"/>
      <c r="AU900" s="55"/>
      <c r="AV900" s="55"/>
    </row>
    <row r="901" spans="5:48" ht="15.75" customHeight="1" x14ac:dyDescent="0.15"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  <c r="AC901" s="55"/>
      <c r="AD901" s="55"/>
      <c r="AE901" s="55"/>
      <c r="AF901" s="55"/>
      <c r="AG901" s="55"/>
      <c r="AH901" s="55"/>
      <c r="AI901" s="55"/>
      <c r="AJ901" s="55"/>
      <c r="AK901" s="55"/>
      <c r="AL901" s="55"/>
      <c r="AM901" s="55"/>
      <c r="AN901" s="55"/>
      <c r="AO901" s="55"/>
      <c r="AP901" s="55"/>
      <c r="AQ901" s="55"/>
      <c r="AR901" s="55"/>
      <c r="AS901" s="55"/>
      <c r="AT901" s="55"/>
      <c r="AU901" s="55"/>
      <c r="AV901" s="55"/>
    </row>
    <row r="902" spans="5:48" ht="15.75" customHeight="1" x14ac:dyDescent="0.15"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  <c r="AC902" s="55"/>
      <c r="AD902" s="55"/>
      <c r="AE902" s="55"/>
      <c r="AF902" s="55"/>
      <c r="AG902" s="55"/>
      <c r="AH902" s="55"/>
      <c r="AI902" s="55"/>
      <c r="AJ902" s="55"/>
      <c r="AK902" s="55"/>
      <c r="AL902" s="55"/>
      <c r="AM902" s="55"/>
      <c r="AN902" s="55"/>
      <c r="AO902" s="55"/>
      <c r="AP902" s="55"/>
      <c r="AQ902" s="55"/>
      <c r="AR902" s="55"/>
      <c r="AS902" s="55"/>
      <c r="AT902" s="55"/>
      <c r="AU902" s="55"/>
      <c r="AV902" s="55"/>
    </row>
    <row r="903" spans="5:48" ht="15.75" customHeight="1" x14ac:dyDescent="0.15"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  <c r="AC903" s="55"/>
      <c r="AD903" s="55"/>
      <c r="AE903" s="55"/>
      <c r="AF903" s="55"/>
      <c r="AG903" s="55"/>
      <c r="AH903" s="55"/>
      <c r="AI903" s="55"/>
      <c r="AJ903" s="55"/>
      <c r="AK903" s="55"/>
      <c r="AL903" s="55"/>
      <c r="AM903" s="55"/>
      <c r="AN903" s="55"/>
      <c r="AO903" s="55"/>
      <c r="AP903" s="55"/>
      <c r="AQ903" s="55"/>
      <c r="AR903" s="55"/>
      <c r="AS903" s="55"/>
      <c r="AT903" s="55"/>
      <c r="AU903" s="55"/>
      <c r="AV903" s="55"/>
    </row>
    <row r="904" spans="5:48" ht="15.75" customHeight="1" x14ac:dyDescent="0.15"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  <c r="AC904" s="55"/>
      <c r="AD904" s="55"/>
      <c r="AE904" s="55"/>
      <c r="AF904" s="55"/>
      <c r="AG904" s="55"/>
      <c r="AH904" s="55"/>
      <c r="AI904" s="55"/>
      <c r="AJ904" s="55"/>
      <c r="AK904" s="55"/>
      <c r="AL904" s="55"/>
      <c r="AM904" s="55"/>
      <c r="AN904" s="55"/>
      <c r="AO904" s="55"/>
      <c r="AP904" s="55"/>
      <c r="AQ904" s="55"/>
      <c r="AR904" s="55"/>
      <c r="AS904" s="55"/>
      <c r="AT904" s="55"/>
      <c r="AU904" s="55"/>
      <c r="AV904" s="55"/>
    </row>
    <row r="905" spans="5:48" ht="15.75" customHeight="1" x14ac:dyDescent="0.15"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  <c r="AC905" s="55"/>
      <c r="AD905" s="55"/>
      <c r="AE905" s="55"/>
      <c r="AF905" s="55"/>
      <c r="AG905" s="55"/>
      <c r="AH905" s="55"/>
      <c r="AI905" s="55"/>
      <c r="AJ905" s="55"/>
      <c r="AK905" s="55"/>
      <c r="AL905" s="55"/>
      <c r="AM905" s="55"/>
      <c r="AN905" s="55"/>
      <c r="AO905" s="55"/>
      <c r="AP905" s="55"/>
      <c r="AQ905" s="55"/>
      <c r="AR905" s="55"/>
      <c r="AS905" s="55"/>
      <c r="AT905" s="55"/>
      <c r="AU905" s="55"/>
      <c r="AV905" s="55"/>
    </row>
    <row r="906" spans="5:48" ht="15.75" customHeight="1" x14ac:dyDescent="0.15"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  <c r="AC906" s="55"/>
      <c r="AD906" s="55"/>
      <c r="AE906" s="55"/>
      <c r="AF906" s="55"/>
      <c r="AG906" s="55"/>
      <c r="AH906" s="55"/>
      <c r="AI906" s="55"/>
      <c r="AJ906" s="55"/>
      <c r="AK906" s="55"/>
      <c r="AL906" s="55"/>
      <c r="AM906" s="55"/>
      <c r="AN906" s="55"/>
      <c r="AO906" s="55"/>
      <c r="AP906" s="55"/>
      <c r="AQ906" s="55"/>
      <c r="AR906" s="55"/>
      <c r="AS906" s="55"/>
      <c r="AT906" s="55"/>
      <c r="AU906" s="55"/>
      <c r="AV906" s="55"/>
    </row>
    <row r="907" spans="5:48" ht="15.75" customHeight="1" x14ac:dyDescent="0.15"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  <c r="AF907" s="55"/>
      <c r="AG907" s="55"/>
      <c r="AH907" s="55"/>
      <c r="AI907" s="55"/>
      <c r="AJ907" s="55"/>
      <c r="AK907" s="55"/>
      <c r="AL907" s="55"/>
      <c r="AM907" s="55"/>
      <c r="AN907" s="55"/>
      <c r="AO907" s="55"/>
      <c r="AP907" s="55"/>
      <c r="AQ907" s="55"/>
      <c r="AR907" s="55"/>
      <c r="AS907" s="55"/>
      <c r="AT907" s="55"/>
      <c r="AU907" s="55"/>
      <c r="AV907" s="55"/>
    </row>
    <row r="908" spans="5:48" ht="15.75" customHeight="1" x14ac:dyDescent="0.15"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  <c r="AC908" s="55"/>
      <c r="AD908" s="55"/>
      <c r="AE908" s="55"/>
      <c r="AF908" s="55"/>
      <c r="AG908" s="55"/>
      <c r="AH908" s="55"/>
      <c r="AI908" s="55"/>
      <c r="AJ908" s="55"/>
      <c r="AK908" s="55"/>
      <c r="AL908" s="55"/>
      <c r="AM908" s="55"/>
      <c r="AN908" s="55"/>
      <c r="AO908" s="55"/>
      <c r="AP908" s="55"/>
      <c r="AQ908" s="55"/>
      <c r="AR908" s="55"/>
      <c r="AS908" s="55"/>
      <c r="AT908" s="55"/>
      <c r="AU908" s="55"/>
      <c r="AV908" s="55"/>
    </row>
    <row r="909" spans="5:48" ht="15.75" customHeight="1" x14ac:dyDescent="0.15"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  <c r="AG909" s="55"/>
      <c r="AH909" s="55"/>
      <c r="AI909" s="55"/>
      <c r="AJ909" s="55"/>
      <c r="AK909" s="55"/>
      <c r="AL909" s="55"/>
      <c r="AM909" s="55"/>
      <c r="AN909" s="55"/>
      <c r="AO909" s="55"/>
      <c r="AP909" s="55"/>
      <c r="AQ909" s="55"/>
      <c r="AR909" s="55"/>
      <c r="AS909" s="55"/>
      <c r="AT909" s="55"/>
      <c r="AU909" s="55"/>
      <c r="AV909" s="55"/>
    </row>
    <row r="910" spans="5:48" ht="15.75" customHeight="1" x14ac:dyDescent="0.15"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  <c r="AG910" s="55"/>
      <c r="AH910" s="55"/>
      <c r="AI910" s="55"/>
      <c r="AJ910" s="55"/>
      <c r="AK910" s="55"/>
      <c r="AL910" s="55"/>
      <c r="AM910" s="55"/>
      <c r="AN910" s="55"/>
      <c r="AO910" s="55"/>
      <c r="AP910" s="55"/>
      <c r="AQ910" s="55"/>
      <c r="AR910" s="55"/>
      <c r="AS910" s="55"/>
      <c r="AT910" s="55"/>
      <c r="AU910" s="55"/>
      <c r="AV910" s="55"/>
    </row>
    <row r="911" spans="5:48" ht="15.75" customHeight="1" x14ac:dyDescent="0.15"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  <c r="AG911" s="55"/>
      <c r="AH911" s="55"/>
      <c r="AI911" s="55"/>
      <c r="AJ911" s="55"/>
      <c r="AK911" s="55"/>
      <c r="AL911" s="55"/>
      <c r="AM911" s="55"/>
      <c r="AN911" s="55"/>
      <c r="AO911" s="55"/>
      <c r="AP911" s="55"/>
      <c r="AQ911" s="55"/>
      <c r="AR911" s="55"/>
      <c r="AS911" s="55"/>
      <c r="AT911" s="55"/>
      <c r="AU911" s="55"/>
      <c r="AV911" s="55"/>
    </row>
    <row r="912" spans="5:48" ht="15.75" customHeight="1" x14ac:dyDescent="0.15"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  <c r="AF912" s="55"/>
      <c r="AG912" s="55"/>
      <c r="AH912" s="55"/>
      <c r="AI912" s="55"/>
      <c r="AJ912" s="55"/>
      <c r="AK912" s="55"/>
      <c r="AL912" s="55"/>
      <c r="AM912" s="55"/>
      <c r="AN912" s="55"/>
      <c r="AO912" s="55"/>
      <c r="AP912" s="55"/>
      <c r="AQ912" s="55"/>
      <c r="AR912" s="55"/>
      <c r="AS912" s="55"/>
      <c r="AT912" s="55"/>
      <c r="AU912" s="55"/>
      <c r="AV912" s="55"/>
    </row>
    <row r="913" spans="5:48" ht="15.75" customHeight="1" x14ac:dyDescent="0.15"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  <c r="AG913" s="55"/>
      <c r="AH913" s="55"/>
      <c r="AI913" s="55"/>
      <c r="AJ913" s="55"/>
      <c r="AK913" s="55"/>
      <c r="AL913" s="55"/>
      <c r="AM913" s="55"/>
      <c r="AN913" s="55"/>
      <c r="AO913" s="55"/>
      <c r="AP913" s="55"/>
      <c r="AQ913" s="55"/>
      <c r="AR913" s="55"/>
      <c r="AS913" s="55"/>
      <c r="AT913" s="55"/>
      <c r="AU913" s="55"/>
      <c r="AV913" s="55"/>
    </row>
    <row r="914" spans="5:48" ht="15.75" customHeight="1" x14ac:dyDescent="0.15"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  <c r="AF914" s="55"/>
      <c r="AG914" s="55"/>
      <c r="AH914" s="55"/>
      <c r="AI914" s="55"/>
      <c r="AJ914" s="55"/>
      <c r="AK914" s="55"/>
      <c r="AL914" s="55"/>
      <c r="AM914" s="55"/>
      <c r="AN914" s="55"/>
      <c r="AO914" s="55"/>
      <c r="AP914" s="55"/>
      <c r="AQ914" s="55"/>
      <c r="AR914" s="55"/>
      <c r="AS914" s="55"/>
      <c r="AT914" s="55"/>
      <c r="AU914" s="55"/>
      <c r="AV914" s="55"/>
    </row>
    <row r="915" spans="5:48" ht="15.75" customHeight="1" x14ac:dyDescent="0.15"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  <c r="AF915" s="55"/>
      <c r="AG915" s="55"/>
      <c r="AH915" s="55"/>
      <c r="AI915" s="55"/>
      <c r="AJ915" s="55"/>
      <c r="AK915" s="55"/>
      <c r="AL915" s="55"/>
      <c r="AM915" s="55"/>
      <c r="AN915" s="55"/>
      <c r="AO915" s="55"/>
      <c r="AP915" s="55"/>
      <c r="AQ915" s="55"/>
      <c r="AR915" s="55"/>
      <c r="AS915" s="55"/>
      <c r="AT915" s="55"/>
      <c r="AU915" s="55"/>
      <c r="AV915" s="55"/>
    </row>
    <row r="916" spans="5:48" ht="15.75" customHeight="1" x14ac:dyDescent="0.15"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  <c r="AF916" s="55"/>
      <c r="AG916" s="55"/>
      <c r="AH916" s="55"/>
      <c r="AI916" s="55"/>
      <c r="AJ916" s="55"/>
      <c r="AK916" s="55"/>
      <c r="AL916" s="55"/>
      <c r="AM916" s="55"/>
      <c r="AN916" s="55"/>
      <c r="AO916" s="55"/>
      <c r="AP916" s="55"/>
      <c r="AQ916" s="55"/>
      <c r="AR916" s="55"/>
      <c r="AS916" s="55"/>
      <c r="AT916" s="55"/>
      <c r="AU916" s="55"/>
      <c r="AV916" s="55"/>
    </row>
    <row r="917" spans="5:48" ht="15.75" customHeight="1" x14ac:dyDescent="0.15"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  <c r="AG917" s="55"/>
      <c r="AH917" s="55"/>
      <c r="AI917" s="55"/>
      <c r="AJ917" s="55"/>
      <c r="AK917" s="55"/>
      <c r="AL917" s="55"/>
      <c r="AM917" s="55"/>
      <c r="AN917" s="55"/>
      <c r="AO917" s="55"/>
      <c r="AP917" s="55"/>
      <c r="AQ917" s="55"/>
      <c r="AR917" s="55"/>
      <c r="AS917" s="55"/>
      <c r="AT917" s="55"/>
      <c r="AU917" s="55"/>
      <c r="AV917" s="55"/>
    </row>
    <row r="918" spans="5:48" ht="15.75" customHeight="1" x14ac:dyDescent="0.15"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  <c r="AG918" s="55"/>
      <c r="AH918" s="55"/>
      <c r="AI918" s="55"/>
      <c r="AJ918" s="55"/>
      <c r="AK918" s="55"/>
      <c r="AL918" s="55"/>
      <c r="AM918" s="55"/>
      <c r="AN918" s="55"/>
      <c r="AO918" s="55"/>
      <c r="AP918" s="55"/>
      <c r="AQ918" s="55"/>
      <c r="AR918" s="55"/>
      <c r="AS918" s="55"/>
      <c r="AT918" s="55"/>
      <c r="AU918" s="55"/>
      <c r="AV918" s="55"/>
    </row>
    <row r="919" spans="5:48" ht="15.75" customHeight="1" x14ac:dyDescent="0.15"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  <c r="AG919" s="55"/>
      <c r="AH919" s="55"/>
      <c r="AI919" s="55"/>
      <c r="AJ919" s="55"/>
      <c r="AK919" s="55"/>
      <c r="AL919" s="55"/>
      <c r="AM919" s="55"/>
      <c r="AN919" s="55"/>
      <c r="AO919" s="55"/>
      <c r="AP919" s="55"/>
      <c r="AQ919" s="55"/>
      <c r="AR919" s="55"/>
      <c r="AS919" s="55"/>
      <c r="AT919" s="55"/>
      <c r="AU919" s="55"/>
      <c r="AV919" s="55"/>
    </row>
    <row r="920" spans="5:48" ht="15.75" customHeight="1" x14ac:dyDescent="0.15"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  <c r="AG920" s="55"/>
      <c r="AH920" s="55"/>
      <c r="AI920" s="55"/>
      <c r="AJ920" s="55"/>
      <c r="AK920" s="55"/>
      <c r="AL920" s="55"/>
      <c r="AM920" s="55"/>
      <c r="AN920" s="55"/>
      <c r="AO920" s="55"/>
      <c r="AP920" s="55"/>
      <c r="AQ920" s="55"/>
      <c r="AR920" s="55"/>
      <c r="AS920" s="55"/>
      <c r="AT920" s="55"/>
      <c r="AU920" s="55"/>
      <c r="AV920" s="55"/>
    </row>
    <row r="921" spans="5:48" ht="15.75" customHeight="1" x14ac:dyDescent="0.15"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  <c r="AG921" s="55"/>
      <c r="AH921" s="55"/>
      <c r="AI921" s="55"/>
      <c r="AJ921" s="55"/>
      <c r="AK921" s="55"/>
      <c r="AL921" s="55"/>
      <c r="AM921" s="55"/>
      <c r="AN921" s="55"/>
      <c r="AO921" s="55"/>
      <c r="AP921" s="55"/>
      <c r="AQ921" s="55"/>
      <c r="AR921" s="55"/>
      <c r="AS921" s="55"/>
      <c r="AT921" s="55"/>
      <c r="AU921" s="55"/>
      <c r="AV921" s="55"/>
    </row>
    <row r="922" spans="5:48" ht="15.75" customHeight="1" x14ac:dyDescent="0.15"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  <c r="AG922" s="55"/>
      <c r="AH922" s="55"/>
      <c r="AI922" s="55"/>
      <c r="AJ922" s="55"/>
      <c r="AK922" s="55"/>
      <c r="AL922" s="55"/>
      <c r="AM922" s="55"/>
      <c r="AN922" s="55"/>
      <c r="AO922" s="55"/>
      <c r="AP922" s="55"/>
      <c r="AQ922" s="55"/>
      <c r="AR922" s="55"/>
      <c r="AS922" s="55"/>
      <c r="AT922" s="55"/>
      <c r="AU922" s="55"/>
      <c r="AV922" s="55"/>
    </row>
    <row r="923" spans="5:48" ht="15.75" customHeight="1" x14ac:dyDescent="0.15"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  <c r="AG923" s="55"/>
      <c r="AH923" s="55"/>
      <c r="AI923" s="55"/>
      <c r="AJ923" s="55"/>
      <c r="AK923" s="55"/>
      <c r="AL923" s="55"/>
      <c r="AM923" s="55"/>
      <c r="AN923" s="55"/>
      <c r="AO923" s="55"/>
      <c r="AP923" s="55"/>
      <c r="AQ923" s="55"/>
      <c r="AR923" s="55"/>
      <c r="AS923" s="55"/>
      <c r="AT923" s="55"/>
      <c r="AU923" s="55"/>
      <c r="AV923" s="55"/>
    </row>
    <row r="924" spans="5:48" ht="15.75" customHeight="1" x14ac:dyDescent="0.15"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  <c r="AG924" s="55"/>
      <c r="AH924" s="55"/>
      <c r="AI924" s="55"/>
      <c r="AJ924" s="55"/>
      <c r="AK924" s="55"/>
      <c r="AL924" s="55"/>
      <c r="AM924" s="55"/>
      <c r="AN924" s="55"/>
      <c r="AO924" s="55"/>
      <c r="AP924" s="55"/>
      <c r="AQ924" s="55"/>
      <c r="AR924" s="55"/>
      <c r="AS924" s="55"/>
      <c r="AT924" s="55"/>
      <c r="AU924" s="55"/>
      <c r="AV924" s="55"/>
    </row>
    <row r="925" spans="5:48" ht="15.75" customHeight="1" x14ac:dyDescent="0.15"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  <c r="AG925" s="55"/>
      <c r="AH925" s="55"/>
      <c r="AI925" s="55"/>
      <c r="AJ925" s="55"/>
      <c r="AK925" s="55"/>
      <c r="AL925" s="55"/>
      <c r="AM925" s="55"/>
      <c r="AN925" s="55"/>
      <c r="AO925" s="55"/>
      <c r="AP925" s="55"/>
      <c r="AQ925" s="55"/>
      <c r="AR925" s="55"/>
      <c r="AS925" s="55"/>
      <c r="AT925" s="55"/>
      <c r="AU925" s="55"/>
      <c r="AV925" s="55"/>
    </row>
    <row r="926" spans="5:48" ht="15.75" customHeight="1" x14ac:dyDescent="0.15"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  <c r="AG926" s="55"/>
      <c r="AH926" s="55"/>
      <c r="AI926" s="55"/>
      <c r="AJ926" s="55"/>
      <c r="AK926" s="55"/>
      <c r="AL926" s="55"/>
      <c r="AM926" s="55"/>
      <c r="AN926" s="55"/>
      <c r="AO926" s="55"/>
      <c r="AP926" s="55"/>
      <c r="AQ926" s="55"/>
      <c r="AR926" s="55"/>
      <c r="AS926" s="55"/>
      <c r="AT926" s="55"/>
      <c r="AU926" s="55"/>
      <c r="AV926" s="55"/>
    </row>
    <row r="927" spans="5:48" ht="15.75" customHeight="1" x14ac:dyDescent="0.15"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  <c r="AG927" s="55"/>
      <c r="AH927" s="55"/>
      <c r="AI927" s="55"/>
      <c r="AJ927" s="55"/>
      <c r="AK927" s="55"/>
      <c r="AL927" s="55"/>
      <c r="AM927" s="55"/>
      <c r="AN927" s="55"/>
      <c r="AO927" s="55"/>
      <c r="AP927" s="55"/>
      <c r="AQ927" s="55"/>
      <c r="AR927" s="55"/>
      <c r="AS927" s="55"/>
      <c r="AT927" s="55"/>
      <c r="AU927" s="55"/>
      <c r="AV927" s="55"/>
    </row>
    <row r="928" spans="5:48" ht="15.75" customHeight="1" x14ac:dyDescent="0.15"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  <c r="AG928" s="55"/>
      <c r="AH928" s="55"/>
      <c r="AI928" s="55"/>
      <c r="AJ928" s="55"/>
      <c r="AK928" s="55"/>
      <c r="AL928" s="55"/>
      <c r="AM928" s="55"/>
      <c r="AN928" s="55"/>
      <c r="AO928" s="55"/>
      <c r="AP928" s="55"/>
      <c r="AQ928" s="55"/>
      <c r="AR928" s="55"/>
      <c r="AS928" s="55"/>
      <c r="AT928" s="55"/>
      <c r="AU928" s="55"/>
      <c r="AV928" s="55"/>
    </row>
    <row r="929" spans="5:48" ht="15.75" customHeight="1" x14ac:dyDescent="0.15"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  <c r="AC929" s="55"/>
      <c r="AD929" s="55"/>
      <c r="AE929" s="55"/>
      <c r="AF929" s="55"/>
      <c r="AG929" s="55"/>
      <c r="AH929" s="55"/>
      <c r="AI929" s="55"/>
      <c r="AJ929" s="55"/>
      <c r="AK929" s="55"/>
      <c r="AL929" s="55"/>
      <c r="AM929" s="55"/>
      <c r="AN929" s="55"/>
      <c r="AO929" s="55"/>
      <c r="AP929" s="55"/>
      <c r="AQ929" s="55"/>
      <c r="AR929" s="55"/>
      <c r="AS929" s="55"/>
      <c r="AT929" s="55"/>
      <c r="AU929" s="55"/>
      <c r="AV929" s="55"/>
    </row>
    <row r="930" spans="5:48" ht="15.75" customHeight="1" x14ac:dyDescent="0.15"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  <c r="AC930" s="55"/>
      <c r="AD930" s="55"/>
      <c r="AE930" s="55"/>
      <c r="AF930" s="55"/>
      <c r="AG930" s="55"/>
      <c r="AH930" s="55"/>
      <c r="AI930" s="55"/>
      <c r="AJ930" s="55"/>
      <c r="AK930" s="55"/>
      <c r="AL930" s="55"/>
      <c r="AM930" s="55"/>
      <c r="AN930" s="55"/>
      <c r="AO930" s="55"/>
      <c r="AP930" s="55"/>
      <c r="AQ930" s="55"/>
      <c r="AR930" s="55"/>
      <c r="AS930" s="55"/>
      <c r="AT930" s="55"/>
      <c r="AU930" s="55"/>
      <c r="AV930" s="55"/>
    </row>
    <row r="931" spans="5:48" ht="15.75" customHeight="1" x14ac:dyDescent="0.15"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  <c r="AC931" s="55"/>
      <c r="AD931" s="55"/>
      <c r="AE931" s="55"/>
      <c r="AF931" s="55"/>
      <c r="AG931" s="55"/>
      <c r="AH931" s="55"/>
      <c r="AI931" s="55"/>
      <c r="AJ931" s="55"/>
      <c r="AK931" s="55"/>
      <c r="AL931" s="55"/>
      <c r="AM931" s="55"/>
      <c r="AN931" s="55"/>
      <c r="AO931" s="55"/>
      <c r="AP931" s="55"/>
      <c r="AQ931" s="55"/>
      <c r="AR931" s="55"/>
      <c r="AS931" s="55"/>
      <c r="AT931" s="55"/>
      <c r="AU931" s="55"/>
      <c r="AV931" s="55"/>
    </row>
    <row r="932" spans="5:48" ht="15.75" customHeight="1" x14ac:dyDescent="0.15"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  <c r="AC932" s="55"/>
      <c r="AD932" s="55"/>
      <c r="AE932" s="55"/>
      <c r="AF932" s="55"/>
      <c r="AG932" s="55"/>
      <c r="AH932" s="55"/>
      <c r="AI932" s="55"/>
      <c r="AJ932" s="55"/>
      <c r="AK932" s="55"/>
      <c r="AL932" s="55"/>
      <c r="AM932" s="55"/>
      <c r="AN932" s="55"/>
      <c r="AO932" s="55"/>
      <c r="AP932" s="55"/>
      <c r="AQ932" s="55"/>
      <c r="AR932" s="55"/>
      <c r="AS932" s="55"/>
      <c r="AT932" s="55"/>
      <c r="AU932" s="55"/>
      <c r="AV932" s="55"/>
    </row>
    <row r="933" spans="5:48" ht="15.75" customHeight="1" x14ac:dyDescent="0.15"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  <c r="AC933" s="55"/>
      <c r="AD933" s="55"/>
      <c r="AE933" s="55"/>
      <c r="AF933" s="55"/>
      <c r="AG933" s="55"/>
      <c r="AH933" s="55"/>
      <c r="AI933" s="55"/>
      <c r="AJ933" s="55"/>
      <c r="AK933" s="55"/>
      <c r="AL933" s="55"/>
      <c r="AM933" s="55"/>
      <c r="AN933" s="55"/>
      <c r="AO933" s="55"/>
      <c r="AP933" s="55"/>
      <c r="AQ933" s="55"/>
      <c r="AR933" s="55"/>
      <c r="AS933" s="55"/>
      <c r="AT933" s="55"/>
      <c r="AU933" s="55"/>
      <c r="AV933" s="55"/>
    </row>
    <row r="934" spans="5:48" ht="15.75" customHeight="1" x14ac:dyDescent="0.15"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  <c r="AC934" s="55"/>
      <c r="AD934" s="55"/>
      <c r="AE934" s="55"/>
      <c r="AF934" s="55"/>
      <c r="AG934" s="55"/>
      <c r="AH934" s="55"/>
      <c r="AI934" s="55"/>
      <c r="AJ934" s="55"/>
      <c r="AK934" s="55"/>
      <c r="AL934" s="55"/>
      <c r="AM934" s="55"/>
      <c r="AN934" s="55"/>
      <c r="AO934" s="55"/>
      <c r="AP934" s="55"/>
      <c r="AQ934" s="55"/>
      <c r="AR934" s="55"/>
      <c r="AS934" s="55"/>
      <c r="AT934" s="55"/>
      <c r="AU934" s="55"/>
      <c r="AV934" s="55"/>
    </row>
    <row r="935" spans="5:48" ht="15.75" customHeight="1" x14ac:dyDescent="0.15"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  <c r="AC935" s="55"/>
      <c r="AD935" s="55"/>
      <c r="AE935" s="55"/>
      <c r="AF935" s="55"/>
      <c r="AG935" s="55"/>
      <c r="AH935" s="55"/>
      <c r="AI935" s="55"/>
      <c r="AJ935" s="55"/>
      <c r="AK935" s="55"/>
      <c r="AL935" s="55"/>
      <c r="AM935" s="55"/>
      <c r="AN935" s="55"/>
      <c r="AO935" s="55"/>
      <c r="AP935" s="55"/>
      <c r="AQ935" s="55"/>
      <c r="AR935" s="55"/>
      <c r="AS935" s="55"/>
      <c r="AT935" s="55"/>
      <c r="AU935" s="55"/>
      <c r="AV935" s="55"/>
    </row>
    <row r="936" spans="5:48" ht="15.75" customHeight="1" x14ac:dyDescent="0.15"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  <c r="AC936" s="55"/>
      <c r="AD936" s="55"/>
      <c r="AE936" s="55"/>
      <c r="AF936" s="55"/>
      <c r="AG936" s="55"/>
      <c r="AH936" s="55"/>
      <c r="AI936" s="55"/>
      <c r="AJ936" s="55"/>
      <c r="AK936" s="55"/>
      <c r="AL936" s="55"/>
      <c r="AM936" s="55"/>
      <c r="AN936" s="55"/>
      <c r="AO936" s="55"/>
      <c r="AP936" s="55"/>
      <c r="AQ936" s="55"/>
      <c r="AR936" s="55"/>
      <c r="AS936" s="55"/>
      <c r="AT936" s="55"/>
      <c r="AU936" s="55"/>
      <c r="AV936" s="55"/>
    </row>
    <row r="937" spans="5:48" ht="15.75" customHeight="1" x14ac:dyDescent="0.15"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  <c r="AC937" s="55"/>
      <c r="AD937" s="55"/>
      <c r="AE937" s="55"/>
      <c r="AF937" s="55"/>
      <c r="AG937" s="55"/>
      <c r="AH937" s="55"/>
      <c r="AI937" s="55"/>
      <c r="AJ937" s="55"/>
      <c r="AK937" s="55"/>
      <c r="AL937" s="55"/>
      <c r="AM937" s="55"/>
      <c r="AN937" s="55"/>
      <c r="AO937" s="55"/>
      <c r="AP937" s="55"/>
      <c r="AQ937" s="55"/>
      <c r="AR937" s="55"/>
      <c r="AS937" s="55"/>
      <c r="AT937" s="55"/>
      <c r="AU937" s="55"/>
      <c r="AV937" s="55"/>
    </row>
    <row r="938" spans="5:48" ht="15.75" customHeight="1" x14ac:dyDescent="0.15"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  <c r="AC938" s="55"/>
      <c r="AD938" s="55"/>
      <c r="AE938" s="55"/>
      <c r="AF938" s="55"/>
      <c r="AG938" s="55"/>
      <c r="AH938" s="55"/>
      <c r="AI938" s="55"/>
      <c r="AJ938" s="55"/>
      <c r="AK938" s="55"/>
      <c r="AL938" s="55"/>
      <c r="AM938" s="55"/>
      <c r="AN938" s="55"/>
      <c r="AO938" s="55"/>
      <c r="AP938" s="55"/>
      <c r="AQ938" s="55"/>
      <c r="AR938" s="55"/>
      <c r="AS938" s="55"/>
      <c r="AT938" s="55"/>
      <c r="AU938" s="55"/>
      <c r="AV938" s="55"/>
    </row>
    <row r="939" spans="5:48" ht="15.75" customHeight="1" x14ac:dyDescent="0.15"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  <c r="AC939" s="55"/>
      <c r="AD939" s="55"/>
      <c r="AE939" s="55"/>
      <c r="AF939" s="55"/>
      <c r="AG939" s="55"/>
      <c r="AH939" s="55"/>
      <c r="AI939" s="55"/>
      <c r="AJ939" s="55"/>
      <c r="AK939" s="55"/>
      <c r="AL939" s="55"/>
      <c r="AM939" s="55"/>
      <c r="AN939" s="55"/>
      <c r="AO939" s="55"/>
      <c r="AP939" s="55"/>
      <c r="AQ939" s="55"/>
      <c r="AR939" s="55"/>
      <c r="AS939" s="55"/>
      <c r="AT939" s="55"/>
      <c r="AU939" s="55"/>
      <c r="AV939" s="55"/>
    </row>
    <row r="940" spans="5:48" ht="15.75" customHeight="1" x14ac:dyDescent="0.15"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  <c r="AC940" s="55"/>
      <c r="AD940" s="55"/>
      <c r="AE940" s="55"/>
      <c r="AF940" s="55"/>
      <c r="AG940" s="55"/>
      <c r="AH940" s="55"/>
      <c r="AI940" s="55"/>
      <c r="AJ940" s="55"/>
      <c r="AK940" s="55"/>
      <c r="AL940" s="55"/>
      <c r="AM940" s="55"/>
      <c r="AN940" s="55"/>
      <c r="AO940" s="55"/>
      <c r="AP940" s="55"/>
      <c r="AQ940" s="55"/>
      <c r="AR940" s="55"/>
      <c r="AS940" s="55"/>
      <c r="AT940" s="55"/>
      <c r="AU940" s="55"/>
      <c r="AV940" s="55"/>
    </row>
    <row r="941" spans="5:48" ht="15.75" customHeight="1" x14ac:dyDescent="0.15"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  <c r="AC941" s="55"/>
      <c r="AD941" s="55"/>
      <c r="AE941" s="55"/>
      <c r="AF941" s="55"/>
      <c r="AG941" s="55"/>
      <c r="AH941" s="55"/>
      <c r="AI941" s="55"/>
      <c r="AJ941" s="55"/>
      <c r="AK941" s="55"/>
      <c r="AL941" s="55"/>
      <c r="AM941" s="55"/>
      <c r="AN941" s="55"/>
      <c r="AO941" s="55"/>
      <c r="AP941" s="55"/>
      <c r="AQ941" s="55"/>
      <c r="AR941" s="55"/>
      <c r="AS941" s="55"/>
      <c r="AT941" s="55"/>
      <c r="AU941" s="55"/>
      <c r="AV941" s="55"/>
    </row>
    <row r="942" spans="5:48" ht="15.75" customHeight="1" x14ac:dyDescent="0.15"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  <c r="AC942" s="55"/>
      <c r="AD942" s="55"/>
      <c r="AE942" s="55"/>
      <c r="AF942" s="55"/>
      <c r="AG942" s="55"/>
      <c r="AH942" s="55"/>
      <c r="AI942" s="55"/>
      <c r="AJ942" s="55"/>
      <c r="AK942" s="55"/>
      <c r="AL942" s="55"/>
      <c r="AM942" s="55"/>
      <c r="AN942" s="55"/>
      <c r="AO942" s="55"/>
      <c r="AP942" s="55"/>
      <c r="AQ942" s="55"/>
      <c r="AR942" s="55"/>
      <c r="AS942" s="55"/>
      <c r="AT942" s="55"/>
      <c r="AU942" s="55"/>
      <c r="AV942" s="55"/>
    </row>
    <row r="943" spans="5:48" ht="15.75" customHeight="1" x14ac:dyDescent="0.15"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  <c r="AF943" s="55"/>
      <c r="AG943" s="55"/>
      <c r="AH943" s="55"/>
      <c r="AI943" s="55"/>
      <c r="AJ943" s="55"/>
      <c r="AK943" s="55"/>
      <c r="AL943" s="55"/>
      <c r="AM943" s="55"/>
      <c r="AN943" s="55"/>
      <c r="AO943" s="55"/>
      <c r="AP943" s="55"/>
      <c r="AQ943" s="55"/>
      <c r="AR943" s="55"/>
      <c r="AS943" s="55"/>
      <c r="AT943" s="55"/>
      <c r="AU943" s="55"/>
      <c r="AV943" s="55"/>
    </row>
    <row r="944" spans="5:48" ht="15.75" customHeight="1" x14ac:dyDescent="0.15"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  <c r="AG944" s="55"/>
      <c r="AH944" s="55"/>
      <c r="AI944" s="55"/>
      <c r="AJ944" s="55"/>
      <c r="AK944" s="55"/>
      <c r="AL944" s="55"/>
      <c r="AM944" s="55"/>
      <c r="AN944" s="55"/>
      <c r="AO944" s="55"/>
      <c r="AP944" s="55"/>
      <c r="AQ944" s="55"/>
      <c r="AR944" s="55"/>
      <c r="AS944" s="55"/>
      <c r="AT944" s="55"/>
      <c r="AU944" s="55"/>
      <c r="AV944" s="55"/>
    </row>
    <row r="945" spans="5:48" ht="15.75" customHeight="1" x14ac:dyDescent="0.15"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  <c r="AG945" s="55"/>
      <c r="AH945" s="55"/>
      <c r="AI945" s="55"/>
      <c r="AJ945" s="55"/>
      <c r="AK945" s="55"/>
      <c r="AL945" s="55"/>
      <c r="AM945" s="55"/>
      <c r="AN945" s="55"/>
      <c r="AO945" s="55"/>
      <c r="AP945" s="55"/>
      <c r="AQ945" s="55"/>
      <c r="AR945" s="55"/>
      <c r="AS945" s="55"/>
      <c r="AT945" s="55"/>
      <c r="AU945" s="55"/>
      <c r="AV945" s="55"/>
    </row>
    <row r="946" spans="5:48" ht="15.75" customHeight="1" x14ac:dyDescent="0.15"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  <c r="AH946" s="55"/>
      <c r="AI946" s="55"/>
      <c r="AJ946" s="55"/>
      <c r="AK946" s="55"/>
      <c r="AL946" s="55"/>
      <c r="AM946" s="55"/>
      <c r="AN946" s="55"/>
      <c r="AO946" s="55"/>
      <c r="AP946" s="55"/>
      <c r="AQ946" s="55"/>
      <c r="AR946" s="55"/>
      <c r="AS946" s="55"/>
      <c r="AT946" s="55"/>
      <c r="AU946" s="55"/>
      <c r="AV946" s="55"/>
    </row>
    <row r="947" spans="5:48" ht="15.75" customHeight="1" x14ac:dyDescent="0.15"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  <c r="AH947" s="55"/>
      <c r="AI947" s="55"/>
      <c r="AJ947" s="55"/>
      <c r="AK947" s="55"/>
      <c r="AL947" s="55"/>
      <c r="AM947" s="55"/>
      <c r="AN947" s="55"/>
      <c r="AO947" s="55"/>
      <c r="AP947" s="55"/>
      <c r="AQ947" s="55"/>
      <c r="AR947" s="55"/>
      <c r="AS947" s="55"/>
      <c r="AT947" s="55"/>
      <c r="AU947" s="55"/>
      <c r="AV947" s="55"/>
    </row>
    <row r="948" spans="5:48" ht="15.75" customHeight="1" x14ac:dyDescent="0.15"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  <c r="AH948" s="55"/>
      <c r="AI948" s="55"/>
      <c r="AJ948" s="55"/>
      <c r="AK948" s="55"/>
      <c r="AL948" s="55"/>
      <c r="AM948" s="55"/>
      <c r="AN948" s="55"/>
      <c r="AO948" s="55"/>
      <c r="AP948" s="55"/>
      <c r="AQ948" s="55"/>
      <c r="AR948" s="55"/>
      <c r="AS948" s="55"/>
      <c r="AT948" s="55"/>
      <c r="AU948" s="55"/>
      <c r="AV948" s="55"/>
    </row>
    <row r="949" spans="5:48" ht="15.75" customHeight="1" x14ac:dyDescent="0.15"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  <c r="AG949" s="55"/>
      <c r="AH949" s="55"/>
      <c r="AI949" s="55"/>
      <c r="AJ949" s="55"/>
      <c r="AK949" s="55"/>
      <c r="AL949" s="55"/>
      <c r="AM949" s="55"/>
      <c r="AN949" s="55"/>
      <c r="AO949" s="55"/>
      <c r="AP949" s="55"/>
      <c r="AQ949" s="55"/>
      <c r="AR949" s="55"/>
      <c r="AS949" s="55"/>
      <c r="AT949" s="55"/>
      <c r="AU949" s="55"/>
      <c r="AV949" s="55"/>
    </row>
    <row r="950" spans="5:48" ht="15.75" customHeight="1" x14ac:dyDescent="0.15"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  <c r="AG950" s="55"/>
      <c r="AH950" s="55"/>
      <c r="AI950" s="55"/>
      <c r="AJ950" s="55"/>
      <c r="AK950" s="55"/>
      <c r="AL950" s="55"/>
      <c r="AM950" s="55"/>
      <c r="AN950" s="55"/>
      <c r="AO950" s="55"/>
      <c r="AP950" s="55"/>
      <c r="AQ950" s="55"/>
      <c r="AR950" s="55"/>
      <c r="AS950" s="55"/>
      <c r="AT950" s="55"/>
      <c r="AU950" s="55"/>
      <c r="AV950" s="55"/>
    </row>
    <row r="951" spans="5:48" ht="15.75" customHeight="1" x14ac:dyDescent="0.15"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  <c r="AG951" s="55"/>
      <c r="AH951" s="55"/>
      <c r="AI951" s="55"/>
      <c r="AJ951" s="55"/>
      <c r="AK951" s="55"/>
      <c r="AL951" s="55"/>
      <c r="AM951" s="55"/>
      <c r="AN951" s="55"/>
      <c r="AO951" s="55"/>
      <c r="AP951" s="55"/>
      <c r="AQ951" s="55"/>
      <c r="AR951" s="55"/>
      <c r="AS951" s="55"/>
      <c r="AT951" s="55"/>
      <c r="AU951" s="55"/>
      <c r="AV951" s="55"/>
    </row>
    <row r="952" spans="5:48" ht="15.75" customHeight="1" x14ac:dyDescent="0.15"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  <c r="AG952" s="55"/>
      <c r="AH952" s="55"/>
      <c r="AI952" s="55"/>
      <c r="AJ952" s="55"/>
      <c r="AK952" s="55"/>
      <c r="AL952" s="55"/>
      <c r="AM952" s="55"/>
      <c r="AN952" s="55"/>
      <c r="AO952" s="55"/>
      <c r="AP952" s="55"/>
      <c r="AQ952" s="55"/>
      <c r="AR952" s="55"/>
      <c r="AS952" s="55"/>
      <c r="AT952" s="55"/>
      <c r="AU952" s="55"/>
      <c r="AV952" s="55"/>
    </row>
    <row r="953" spans="5:48" ht="15.75" customHeight="1" x14ac:dyDescent="0.15"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  <c r="AH953" s="55"/>
      <c r="AI953" s="55"/>
      <c r="AJ953" s="55"/>
      <c r="AK953" s="55"/>
      <c r="AL953" s="55"/>
      <c r="AM953" s="55"/>
      <c r="AN953" s="55"/>
      <c r="AO953" s="55"/>
      <c r="AP953" s="55"/>
      <c r="AQ953" s="55"/>
      <c r="AR953" s="55"/>
      <c r="AS953" s="55"/>
      <c r="AT953" s="55"/>
      <c r="AU953" s="55"/>
      <c r="AV953" s="55"/>
    </row>
    <row r="954" spans="5:48" ht="15.75" customHeight="1" x14ac:dyDescent="0.15"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  <c r="AG954" s="55"/>
      <c r="AH954" s="55"/>
      <c r="AI954" s="55"/>
      <c r="AJ954" s="55"/>
      <c r="AK954" s="55"/>
      <c r="AL954" s="55"/>
      <c r="AM954" s="55"/>
      <c r="AN954" s="55"/>
      <c r="AO954" s="55"/>
      <c r="AP954" s="55"/>
      <c r="AQ954" s="55"/>
      <c r="AR954" s="55"/>
      <c r="AS954" s="55"/>
      <c r="AT954" s="55"/>
      <c r="AU954" s="55"/>
      <c r="AV954" s="55"/>
    </row>
    <row r="955" spans="5:48" ht="15.75" customHeight="1" x14ac:dyDescent="0.15"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  <c r="AG955" s="55"/>
      <c r="AH955" s="55"/>
      <c r="AI955" s="55"/>
      <c r="AJ955" s="55"/>
      <c r="AK955" s="55"/>
      <c r="AL955" s="55"/>
      <c r="AM955" s="55"/>
      <c r="AN955" s="55"/>
      <c r="AO955" s="55"/>
      <c r="AP955" s="55"/>
      <c r="AQ955" s="55"/>
      <c r="AR955" s="55"/>
      <c r="AS955" s="55"/>
      <c r="AT955" s="55"/>
      <c r="AU955" s="55"/>
      <c r="AV955" s="55"/>
    </row>
    <row r="956" spans="5:48" ht="15.75" customHeight="1" x14ac:dyDescent="0.15"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  <c r="AG956" s="55"/>
      <c r="AH956" s="55"/>
      <c r="AI956" s="55"/>
      <c r="AJ956" s="55"/>
      <c r="AK956" s="55"/>
      <c r="AL956" s="55"/>
      <c r="AM956" s="55"/>
      <c r="AN956" s="55"/>
      <c r="AO956" s="55"/>
      <c r="AP956" s="55"/>
      <c r="AQ956" s="55"/>
      <c r="AR956" s="55"/>
      <c r="AS956" s="55"/>
      <c r="AT956" s="55"/>
      <c r="AU956" s="55"/>
      <c r="AV956" s="55"/>
    </row>
    <row r="957" spans="5:48" ht="15.75" customHeight="1" x14ac:dyDescent="0.15"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  <c r="AG957" s="55"/>
      <c r="AH957" s="55"/>
      <c r="AI957" s="55"/>
      <c r="AJ957" s="55"/>
      <c r="AK957" s="55"/>
      <c r="AL957" s="55"/>
      <c r="AM957" s="55"/>
      <c r="AN957" s="55"/>
      <c r="AO957" s="55"/>
      <c r="AP957" s="55"/>
      <c r="AQ957" s="55"/>
      <c r="AR957" s="55"/>
      <c r="AS957" s="55"/>
      <c r="AT957" s="55"/>
      <c r="AU957" s="55"/>
      <c r="AV957" s="55"/>
    </row>
    <row r="958" spans="5:48" ht="15.75" customHeight="1" x14ac:dyDescent="0.15"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  <c r="AH958" s="55"/>
      <c r="AI958" s="55"/>
      <c r="AJ958" s="55"/>
      <c r="AK958" s="55"/>
      <c r="AL958" s="55"/>
      <c r="AM958" s="55"/>
      <c r="AN958" s="55"/>
      <c r="AO958" s="55"/>
      <c r="AP958" s="55"/>
      <c r="AQ958" s="55"/>
      <c r="AR958" s="55"/>
      <c r="AS958" s="55"/>
      <c r="AT958" s="55"/>
      <c r="AU958" s="55"/>
      <c r="AV958" s="55"/>
    </row>
    <row r="959" spans="5:48" ht="15.75" customHeight="1" x14ac:dyDescent="0.15"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  <c r="AH959" s="55"/>
      <c r="AI959" s="55"/>
      <c r="AJ959" s="55"/>
      <c r="AK959" s="55"/>
      <c r="AL959" s="55"/>
      <c r="AM959" s="55"/>
      <c r="AN959" s="55"/>
      <c r="AO959" s="55"/>
      <c r="AP959" s="55"/>
      <c r="AQ959" s="55"/>
      <c r="AR959" s="55"/>
      <c r="AS959" s="55"/>
      <c r="AT959" s="55"/>
      <c r="AU959" s="55"/>
      <c r="AV959" s="55"/>
    </row>
    <row r="960" spans="5:48" ht="15.75" customHeight="1" x14ac:dyDescent="0.15"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  <c r="AG960" s="55"/>
      <c r="AH960" s="55"/>
      <c r="AI960" s="55"/>
      <c r="AJ960" s="55"/>
      <c r="AK960" s="55"/>
      <c r="AL960" s="55"/>
      <c r="AM960" s="55"/>
      <c r="AN960" s="55"/>
      <c r="AO960" s="55"/>
      <c r="AP960" s="55"/>
      <c r="AQ960" s="55"/>
      <c r="AR960" s="55"/>
      <c r="AS960" s="55"/>
      <c r="AT960" s="55"/>
      <c r="AU960" s="55"/>
      <c r="AV960" s="55"/>
    </row>
    <row r="961" spans="5:48" ht="15.75" customHeight="1" x14ac:dyDescent="0.15"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  <c r="AG961" s="55"/>
      <c r="AH961" s="55"/>
      <c r="AI961" s="55"/>
      <c r="AJ961" s="55"/>
      <c r="AK961" s="55"/>
      <c r="AL961" s="55"/>
      <c r="AM961" s="55"/>
      <c r="AN961" s="55"/>
      <c r="AO961" s="55"/>
      <c r="AP961" s="55"/>
      <c r="AQ961" s="55"/>
      <c r="AR961" s="55"/>
      <c r="AS961" s="55"/>
      <c r="AT961" s="55"/>
      <c r="AU961" s="55"/>
      <c r="AV961" s="55"/>
    </row>
    <row r="962" spans="5:48" ht="15.75" customHeight="1" x14ac:dyDescent="0.15"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  <c r="AG962" s="55"/>
      <c r="AH962" s="55"/>
      <c r="AI962" s="55"/>
      <c r="AJ962" s="55"/>
      <c r="AK962" s="55"/>
      <c r="AL962" s="55"/>
      <c r="AM962" s="55"/>
      <c r="AN962" s="55"/>
      <c r="AO962" s="55"/>
      <c r="AP962" s="55"/>
      <c r="AQ962" s="55"/>
      <c r="AR962" s="55"/>
      <c r="AS962" s="55"/>
      <c r="AT962" s="55"/>
      <c r="AU962" s="55"/>
      <c r="AV962" s="55"/>
    </row>
    <row r="963" spans="5:48" ht="15.75" customHeight="1" x14ac:dyDescent="0.15"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  <c r="AG963" s="55"/>
      <c r="AH963" s="55"/>
      <c r="AI963" s="55"/>
      <c r="AJ963" s="55"/>
      <c r="AK963" s="55"/>
      <c r="AL963" s="55"/>
      <c r="AM963" s="55"/>
      <c r="AN963" s="55"/>
      <c r="AO963" s="55"/>
      <c r="AP963" s="55"/>
      <c r="AQ963" s="55"/>
      <c r="AR963" s="55"/>
      <c r="AS963" s="55"/>
      <c r="AT963" s="55"/>
      <c r="AU963" s="55"/>
      <c r="AV963" s="55"/>
    </row>
    <row r="964" spans="5:48" ht="15.75" customHeight="1" x14ac:dyDescent="0.15"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  <c r="AG964" s="55"/>
      <c r="AH964" s="55"/>
      <c r="AI964" s="55"/>
      <c r="AJ964" s="55"/>
      <c r="AK964" s="55"/>
      <c r="AL964" s="55"/>
      <c r="AM964" s="55"/>
      <c r="AN964" s="55"/>
      <c r="AO964" s="55"/>
      <c r="AP964" s="55"/>
      <c r="AQ964" s="55"/>
      <c r="AR964" s="55"/>
      <c r="AS964" s="55"/>
      <c r="AT964" s="55"/>
      <c r="AU964" s="55"/>
      <c r="AV964" s="55"/>
    </row>
    <row r="965" spans="5:48" ht="15.75" customHeight="1" x14ac:dyDescent="0.15"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  <c r="AG965" s="55"/>
      <c r="AH965" s="55"/>
      <c r="AI965" s="55"/>
      <c r="AJ965" s="55"/>
      <c r="AK965" s="55"/>
      <c r="AL965" s="55"/>
      <c r="AM965" s="55"/>
      <c r="AN965" s="55"/>
      <c r="AO965" s="55"/>
      <c r="AP965" s="55"/>
      <c r="AQ965" s="55"/>
      <c r="AR965" s="55"/>
      <c r="AS965" s="55"/>
      <c r="AT965" s="55"/>
      <c r="AU965" s="55"/>
      <c r="AV965" s="55"/>
    </row>
    <row r="966" spans="5:48" ht="15.75" customHeight="1" x14ac:dyDescent="0.15"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  <c r="AG966" s="55"/>
      <c r="AH966" s="55"/>
      <c r="AI966" s="55"/>
      <c r="AJ966" s="55"/>
      <c r="AK966" s="55"/>
      <c r="AL966" s="55"/>
      <c r="AM966" s="55"/>
      <c r="AN966" s="55"/>
      <c r="AO966" s="55"/>
      <c r="AP966" s="55"/>
      <c r="AQ966" s="55"/>
      <c r="AR966" s="55"/>
      <c r="AS966" s="55"/>
      <c r="AT966" s="55"/>
      <c r="AU966" s="55"/>
      <c r="AV966" s="55"/>
    </row>
    <row r="967" spans="5:48" ht="15.75" customHeight="1" x14ac:dyDescent="0.15"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  <c r="AG967" s="55"/>
      <c r="AH967" s="55"/>
      <c r="AI967" s="55"/>
      <c r="AJ967" s="55"/>
      <c r="AK967" s="55"/>
      <c r="AL967" s="55"/>
      <c r="AM967" s="55"/>
      <c r="AN967" s="55"/>
      <c r="AO967" s="55"/>
      <c r="AP967" s="55"/>
      <c r="AQ967" s="55"/>
      <c r="AR967" s="55"/>
      <c r="AS967" s="55"/>
      <c r="AT967" s="55"/>
      <c r="AU967" s="55"/>
      <c r="AV967" s="55"/>
    </row>
    <row r="968" spans="5:48" ht="15.75" customHeight="1" x14ac:dyDescent="0.15"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  <c r="AG968" s="55"/>
      <c r="AH968" s="55"/>
      <c r="AI968" s="55"/>
      <c r="AJ968" s="55"/>
      <c r="AK968" s="55"/>
      <c r="AL968" s="55"/>
      <c r="AM968" s="55"/>
      <c r="AN968" s="55"/>
      <c r="AO968" s="55"/>
      <c r="AP968" s="55"/>
      <c r="AQ968" s="55"/>
      <c r="AR968" s="55"/>
      <c r="AS968" s="55"/>
      <c r="AT968" s="55"/>
      <c r="AU968" s="55"/>
      <c r="AV968" s="55"/>
    </row>
    <row r="969" spans="5:48" ht="15.75" customHeight="1" x14ac:dyDescent="0.15"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  <c r="AG969" s="55"/>
      <c r="AH969" s="55"/>
      <c r="AI969" s="55"/>
      <c r="AJ969" s="55"/>
      <c r="AK969" s="55"/>
      <c r="AL969" s="55"/>
      <c r="AM969" s="55"/>
      <c r="AN969" s="55"/>
      <c r="AO969" s="55"/>
      <c r="AP969" s="55"/>
      <c r="AQ969" s="55"/>
      <c r="AR969" s="55"/>
      <c r="AS969" s="55"/>
      <c r="AT969" s="55"/>
      <c r="AU969" s="55"/>
      <c r="AV969" s="55"/>
    </row>
    <row r="970" spans="5:48" ht="15.75" customHeight="1" x14ac:dyDescent="0.15"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  <c r="AG970" s="55"/>
      <c r="AH970" s="55"/>
      <c r="AI970" s="55"/>
      <c r="AJ970" s="55"/>
      <c r="AK970" s="55"/>
      <c r="AL970" s="55"/>
      <c r="AM970" s="55"/>
      <c r="AN970" s="55"/>
      <c r="AO970" s="55"/>
      <c r="AP970" s="55"/>
      <c r="AQ970" s="55"/>
      <c r="AR970" s="55"/>
      <c r="AS970" s="55"/>
      <c r="AT970" s="55"/>
      <c r="AU970" s="55"/>
      <c r="AV970" s="55"/>
    </row>
    <row r="971" spans="5:48" ht="15.75" customHeight="1" x14ac:dyDescent="0.15"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  <c r="AG971" s="55"/>
      <c r="AH971" s="55"/>
      <c r="AI971" s="55"/>
      <c r="AJ971" s="55"/>
      <c r="AK971" s="55"/>
      <c r="AL971" s="55"/>
      <c r="AM971" s="55"/>
      <c r="AN971" s="55"/>
      <c r="AO971" s="55"/>
      <c r="AP971" s="55"/>
      <c r="AQ971" s="55"/>
      <c r="AR971" s="55"/>
      <c r="AS971" s="55"/>
      <c r="AT971" s="55"/>
      <c r="AU971" s="55"/>
      <c r="AV971" s="55"/>
    </row>
    <row r="972" spans="5:48" ht="15.75" customHeight="1" x14ac:dyDescent="0.15"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  <c r="AG972" s="55"/>
      <c r="AH972" s="55"/>
      <c r="AI972" s="55"/>
      <c r="AJ972" s="55"/>
      <c r="AK972" s="55"/>
      <c r="AL972" s="55"/>
      <c r="AM972" s="55"/>
      <c r="AN972" s="55"/>
      <c r="AO972" s="55"/>
      <c r="AP972" s="55"/>
      <c r="AQ972" s="55"/>
      <c r="AR972" s="55"/>
      <c r="AS972" s="55"/>
      <c r="AT972" s="55"/>
      <c r="AU972" s="55"/>
      <c r="AV972" s="55"/>
    </row>
    <row r="973" spans="5:48" ht="15.75" customHeight="1" x14ac:dyDescent="0.15"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  <c r="AG973" s="55"/>
      <c r="AH973" s="55"/>
      <c r="AI973" s="55"/>
      <c r="AJ973" s="55"/>
      <c r="AK973" s="55"/>
      <c r="AL973" s="55"/>
      <c r="AM973" s="55"/>
      <c r="AN973" s="55"/>
      <c r="AO973" s="55"/>
      <c r="AP973" s="55"/>
      <c r="AQ973" s="55"/>
      <c r="AR973" s="55"/>
      <c r="AS973" s="55"/>
      <c r="AT973" s="55"/>
      <c r="AU973" s="55"/>
      <c r="AV973" s="55"/>
    </row>
    <row r="974" spans="5:48" ht="15.75" customHeight="1" x14ac:dyDescent="0.15"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  <c r="AG974" s="55"/>
      <c r="AH974" s="55"/>
      <c r="AI974" s="55"/>
      <c r="AJ974" s="55"/>
      <c r="AK974" s="55"/>
      <c r="AL974" s="55"/>
      <c r="AM974" s="55"/>
      <c r="AN974" s="55"/>
      <c r="AO974" s="55"/>
      <c r="AP974" s="55"/>
      <c r="AQ974" s="55"/>
      <c r="AR974" s="55"/>
      <c r="AS974" s="55"/>
      <c r="AT974" s="55"/>
      <c r="AU974" s="55"/>
      <c r="AV974" s="55"/>
    </row>
    <row r="975" spans="5:48" ht="15.75" customHeight="1" x14ac:dyDescent="0.15"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  <c r="AG975" s="55"/>
      <c r="AH975" s="55"/>
      <c r="AI975" s="55"/>
      <c r="AJ975" s="55"/>
      <c r="AK975" s="55"/>
      <c r="AL975" s="55"/>
      <c r="AM975" s="55"/>
      <c r="AN975" s="55"/>
      <c r="AO975" s="55"/>
      <c r="AP975" s="55"/>
      <c r="AQ975" s="55"/>
      <c r="AR975" s="55"/>
      <c r="AS975" s="55"/>
      <c r="AT975" s="55"/>
      <c r="AU975" s="55"/>
      <c r="AV975" s="55"/>
    </row>
    <row r="976" spans="5:48" ht="15.75" customHeight="1" x14ac:dyDescent="0.15"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  <c r="AG976" s="55"/>
      <c r="AH976" s="55"/>
      <c r="AI976" s="55"/>
      <c r="AJ976" s="55"/>
      <c r="AK976" s="55"/>
      <c r="AL976" s="55"/>
      <c r="AM976" s="55"/>
      <c r="AN976" s="55"/>
      <c r="AO976" s="55"/>
      <c r="AP976" s="55"/>
      <c r="AQ976" s="55"/>
      <c r="AR976" s="55"/>
      <c r="AS976" s="55"/>
      <c r="AT976" s="55"/>
      <c r="AU976" s="55"/>
      <c r="AV976" s="55"/>
    </row>
    <row r="977" spans="5:48" ht="15.75" customHeight="1" x14ac:dyDescent="0.15"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  <c r="AG977" s="55"/>
      <c r="AH977" s="55"/>
      <c r="AI977" s="55"/>
      <c r="AJ977" s="55"/>
      <c r="AK977" s="55"/>
      <c r="AL977" s="55"/>
      <c r="AM977" s="55"/>
      <c r="AN977" s="55"/>
      <c r="AO977" s="55"/>
      <c r="AP977" s="55"/>
      <c r="AQ977" s="55"/>
      <c r="AR977" s="55"/>
      <c r="AS977" s="55"/>
      <c r="AT977" s="55"/>
      <c r="AU977" s="55"/>
      <c r="AV977" s="55"/>
    </row>
    <row r="978" spans="5:48" ht="15.75" customHeight="1" x14ac:dyDescent="0.15"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  <c r="AG978" s="55"/>
      <c r="AH978" s="55"/>
      <c r="AI978" s="55"/>
      <c r="AJ978" s="55"/>
      <c r="AK978" s="55"/>
      <c r="AL978" s="55"/>
      <c r="AM978" s="55"/>
      <c r="AN978" s="55"/>
      <c r="AO978" s="55"/>
      <c r="AP978" s="55"/>
      <c r="AQ978" s="55"/>
      <c r="AR978" s="55"/>
      <c r="AS978" s="55"/>
      <c r="AT978" s="55"/>
      <c r="AU978" s="55"/>
      <c r="AV978" s="55"/>
    </row>
    <row r="979" spans="5:48" ht="15.75" customHeight="1" x14ac:dyDescent="0.15"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  <c r="AG979" s="55"/>
      <c r="AH979" s="55"/>
      <c r="AI979" s="55"/>
      <c r="AJ979" s="55"/>
      <c r="AK979" s="55"/>
      <c r="AL979" s="55"/>
      <c r="AM979" s="55"/>
      <c r="AN979" s="55"/>
      <c r="AO979" s="55"/>
      <c r="AP979" s="55"/>
      <c r="AQ979" s="55"/>
      <c r="AR979" s="55"/>
      <c r="AS979" s="55"/>
      <c r="AT979" s="55"/>
      <c r="AU979" s="55"/>
      <c r="AV979" s="55"/>
    </row>
    <row r="980" spans="5:48" ht="15.75" customHeight="1" x14ac:dyDescent="0.15"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  <c r="AH980" s="55"/>
      <c r="AI980" s="55"/>
      <c r="AJ980" s="55"/>
      <c r="AK980" s="55"/>
      <c r="AL980" s="55"/>
      <c r="AM980" s="55"/>
      <c r="AN980" s="55"/>
      <c r="AO980" s="55"/>
      <c r="AP980" s="55"/>
      <c r="AQ980" s="55"/>
      <c r="AR980" s="55"/>
      <c r="AS980" s="55"/>
      <c r="AT980" s="55"/>
      <c r="AU980" s="55"/>
      <c r="AV980" s="55"/>
    </row>
    <row r="981" spans="5:48" ht="15.75" customHeight="1" x14ac:dyDescent="0.15"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  <c r="AG981" s="55"/>
      <c r="AH981" s="55"/>
      <c r="AI981" s="55"/>
      <c r="AJ981" s="55"/>
      <c r="AK981" s="55"/>
      <c r="AL981" s="55"/>
      <c r="AM981" s="55"/>
      <c r="AN981" s="55"/>
      <c r="AO981" s="55"/>
      <c r="AP981" s="55"/>
      <c r="AQ981" s="55"/>
      <c r="AR981" s="55"/>
      <c r="AS981" s="55"/>
      <c r="AT981" s="55"/>
      <c r="AU981" s="55"/>
      <c r="AV981" s="55"/>
    </row>
    <row r="982" spans="5:48" ht="15.75" customHeight="1" x14ac:dyDescent="0.15"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  <c r="AG982" s="55"/>
      <c r="AH982" s="55"/>
      <c r="AI982" s="55"/>
      <c r="AJ982" s="55"/>
      <c r="AK982" s="55"/>
      <c r="AL982" s="55"/>
      <c r="AM982" s="55"/>
      <c r="AN982" s="55"/>
      <c r="AO982" s="55"/>
      <c r="AP982" s="55"/>
      <c r="AQ982" s="55"/>
      <c r="AR982" s="55"/>
      <c r="AS982" s="55"/>
      <c r="AT982" s="55"/>
      <c r="AU982" s="55"/>
      <c r="AV982" s="55"/>
    </row>
    <row r="983" spans="5:48" ht="15.75" customHeight="1" x14ac:dyDescent="0.15"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  <c r="AG983" s="55"/>
      <c r="AH983" s="55"/>
      <c r="AI983" s="55"/>
      <c r="AJ983" s="55"/>
      <c r="AK983" s="55"/>
      <c r="AL983" s="55"/>
      <c r="AM983" s="55"/>
      <c r="AN983" s="55"/>
      <c r="AO983" s="55"/>
      <c r="AP983" s="55"/>
      <c r="AQ983" s="55"/>
      <c r="AR983" s="55"/>
      <c r="AS983" s="55"/>
      <c r="AT983" s="55"/>
      <c r="AU983" s="55"/>
      <c r="AV983" s="55"/>
    </row>
    <row r="984" spans="5:48" ht="15.75" customHeight="1" x14ac:dyDescent="0.15"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  <c r="AG984" s="55"/>
      <c r="AH984" s="55"/>
      <c r="AI984" s="55"/>
      <c r="AJ984" s="55"/>
      <c r="AK984" s="55"/>
      <c r="AL984" s="55"/>
      <c r="AM984" s="55"/>
      <c r="AN984" s="55"/>
      <c r="AO984" s="55"/>
      <c r="AP984" s="55"/>
      <c r="AQ984" s="55"/>
      <c r="AR984" s="55"/>
      <c r="AS984" s="55"/>
      <c r="AT984" s="55"/>
      <c r="AU984" s="55"/>
      <c r="AV984" s="55"/>
    </row>
    <row r="985" spans="5:48" ht="15.75" customHeight="1" x14ac:dyDescent="0.15"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  <c r="AG985" s="55"/>
      <c r="AH985" s="55"/>
      <c r="AI985" s="55"/>
      <c r="AJ985" s="55"/>
      <c r="AK985" s="55"/>
      <c r="AL985" s="55"/>
      <c r="AM985" s="55"/>
      <c r="AN985" s="55"/>
      <c r="AO985" s="55"/>
      <c r="AP985" s="55"/>
      <c r="AQ985" s="55"/>
      <c r="AR985" s="55"/>
      <c r="AS985" s="55"/>
      <c r="AT985" s="55"/>
      <c r="AU985" s="55"/>
      <c r="AV985" s="55"/>
    </row>
    <row r="986" spans="5:48" ht="15.75" customHeight="1" x14ac:dyDescent="0.15"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  <c r="AG986" s="55"/>
      <c r="AH986" s="55"/>
      <c r="AI986" s="55"/>
      <c r="AJ986" s="55"/>
      <c r="AK986" s="55"/>
      <c r="AL986" s="55"/>
      <c r="AM986" s="55"/>
      <c r="AN986" s="55"/>
      <c r="AO986" s="55"/>
      <c r="AP986" s="55"/>
      <c r="AQ986" s="55"/>
      <c r="AR986" s="55"/>
      <c r="AS986" s="55"/>
      <c r="AT986" s="55"/>
      <c r="AU986" s="55"/>
      <c r="AV986" s="55"/>
    </row>
    <row r="987" spans="5:48" ht="15.75" customHeight="1" x14ac:dyDescent="0.15"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  <c r="AH987" s="55"/>
      <c r="AI987" s="55"/>
      <c r="AJ987" s="55"/>
      <c r="AK987" s="55"/>
      <c r="AL987" s="55"/>
      <c r="AM987" s="55"/>
      <c r="AN987" s="55"/>
      <c r="AO987" s="55"/>
      <c r="AP987" s="55"/>
      <c r="AQ987" s="55"/>
      <c r="AR987" s="55"/>
      <c r="AS987" s="55"/>
      <c r="AT987" s="55"/>
      <c r="AU987" s="55"/>
      <c r="AV987" s="55"/>
    </row>
    <row r="988" spans="5:48" ht="15.75" customHeight="1" x14ac:dyDescent="0.15"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  <c r="AG988" s="55"/>
      <c r="AH988" s="55"/>
      <c r="AI988" s="55"/>
      <c r="AJ988" s="55"/>
      <c r="AK988" s="55"/>
      <c r="AL988" s="55"/>
      <c r="AM988" s="55"/>
      <c r="AN988" s="55"/>
      <c r="AO988" s="55"/>
      <c r="AP988" s="55"/>
      <c r="AQ988" s="55"/>
      <c r="AR988" s="55"/>
      <c r="AS988" s="55"/>
      <c r="AT988" s="55"/>
      <c r="AU988" s="55"/>
      <c r="AV988" s="55"/>
    </row>
    <row r="989" spans="5:48" ht="15.75" customHeight="1" x14ac:dyDescent="0.15"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  <c r="AG989" s="55"/>
      <c r="AH989" s="55"/>
      <c r="AI989" s="55"/>
      <c r="AJ989" s="55"/>
      <c r="AK989" s="55"/>
      <c r="AL989" s="55"/>
      <c r="AM989" s="55"/>
      <c r="AN989" s="55"/>
      <c r="AO989" s="55"/>
      <c r="AP989" s="55"/>
      <c r="AQ989" s="55"/>
      <c r="AR989" s="55"/>
      <c r="AS989" s="55"/>
      <c r="AT989" s="55"/>
      <c r="AU989" s="55"/>
      <c r="AV989" s="55"/>
    </row>
    <row r="990" spans="5:48" ht="15.75" customHeight="1" x14ac:dyDescent="0.15"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  <c r="AF990" s="55"/>
      <c r="AG990" s="55"/>
      <c r="AH990" s="55"/>
      <c r="AI990" s="55"/>
      <c r="AJ990" s="55"/>
      <c r="AK990" s="55"/>
      <c r="AL990" s="55"/>
      <c r="AM990" s="55"/>
      <c r="AN990" s="55"/>
      <c r="AO990" s="55"/>
      <c r="AP990" s="55"/>
      <c r="AQ990" s="55"/>
      <c r="AR990" s="55"/>
      <c r="AS990" s="55"/>
      <c r="AT990" s="55"/>
      <c r="AU990" s="55"/>
      <c r="AV990" s="55"/>
    </row>
    <row r="991" spans="5:48" ht="15.75" customHeight="1" x14ac:dyDescent="0.15"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  <c r="AF991" s="55"/>
      <c r="AG991" s="55"/>
      <c r="AH991" s="55"/>
      <c r="AI991" s="55"/>
      <c r="AJ991" s="55"/>
      <c r="AK991" s="55"/>
      <c r="AL991" s="55"/>
      <c r="AM991" s="55"/>
      <c r="AN991" s="55"/>
      <c r="AO991" s="55"/>
      <c r="AP991" s="55"/>
      <c r="AQ991" s="55"/>
      <c r="AR991" s="55"/>
      <c r="AS991" s="55"/>
      <c r="AT991" s="55"/>
      <c r="AU991" s="55"/>
      <c r="AV991" s="55"/>
    </row>
    <row r="992" spans="5:48" ht="15.75" customHeight="1" x14ac:dyDescent="0.15"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  <c r="AF992" s="55"/>
      <c r="AG992" s="55"/>
      <c r="AH992" s="55"/>
      <c r="AI992" s="55"/>
      <c r="AJ992" s="55"/>
      <c r="AK992" s="55"/>
      <c r="AL992" s="55"/>
      <c r="AM992" s="55"/>
      <c r="AN992" s="55"/>
      <c r="AO992" s="55"/>
      <c r="AP992" s="55"/>
      <c r="AQ992" s="55"/>
      <c r="AR992" s="55"/>
      <c r="AS992" s="55"/>
      <c r="AT992" s="55"/>
      <c r="AU992" s="55"/>
      <c r="AV992" s="55"/>
    </row>
    <row r="993" spans="5:48" ht="15.75" customHeight="1" x14ac:dyDescent="0.15"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  <c r="AF993" s="55"/>
      <c r="AG993" s="55"/>
      <c r="AH993" s="55"/>
      <c r="AI993" s="55"/>
      <c r="AJ993" s="55"/>
      <c r="AK993" s="55"/>
      <c r="AL993" s="55"/>
      <c r="AM993" s="55"/>
      <c r="AN993" s="55"/>
      <c r="AO993" s="55"/>
      <c r="AP993" s="55"/>
      <c r="AQ993" s="55"/>
      <c r="AR993" s="55"/>
      <c r="AS993" s="55"/>
      <c r="AT993" s="55"/>
      <c r="AU993" s="55"/>
      <c r="AV993" s="55"/>
    </row>
    <row r="994" spans="5:48" ht="15.75" customHeight="1" x14ac:dyDescent="0.15"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  <c r="AF994" s="55"/>
      <c r="AG994" s="55"/>
      <c r="AH994" s="55"/>
      <c r="AI994" s="55"/>
      <c r="AJ994" s="55"/>
      <c r="AK994" s="55"/>
      <c r="AL994" s="55"/>
      <c r="AM994" s="55"/>
      <c r="AN994" s="55"/>
      <c r="AO994" s="55"/>
      <c r="AP994" s="55"/>
      <c r="AQ994" s="55"/>
      <c r="AR994" s="55"/>
      <c r="AS994" s="55"/>
      <c r="AT994" s="55"/>
      <c r="AU994" s="55"/>
      <c r="AV994" s="55"/>
    </row>
    <row r="995" spans="5:48" ht="15.75" customHeight="1" x14ac:dyDescent="0.15"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  <c r="AF995" s="55"/>
      <c r="AG995" s="55"/>
      <c r="AH995" s="55"/>
      <c r="AI995" s="55"/>
      <c r="AJ995" s="55"/>
      <c r="AK995" s="55"/>
      <c r="AL995" s="55"/>
      <c r="AM995" s="55"/>
      <c r="AN995" s="55"/>
      <c r="AO995" s="55"/>
      <c r="AP995" s="55"/>
      <c r="AQ995" s="55"/>
      <c r="AR995" s="55"/>
      <c r="AS995" s="55"/>
      <c r="AT995" s="55"/>
      <c r="AU995" s="55"/>
      <c r="AV995" s="55"/>
    </row>
    <row r="996" spans="5:48" ht="15.75" customHeight="1" x14ac:dyDescent="0.15"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  <c r="AC996" s="55"/>
      <c r="AD996" s="55"/>
      <c r="AE996" s="55"/>
      <c r="AF996" s="55"/>
      <c r="AG996" s="55"/>
      <c r="AH996" s="55"/>
      <c r="AI996" s="55"/>
      <c r="AJ996" s="55"/>
      <c r="AK996" s="55"/>
      <c r="AL996" s="55"/>
      <c r="AM996" s="55"/>
      <c r="AN996" s="55"/>
      <c r="AO996" s="55"/>
      <c r="AP996" s="55"/>
      <c r="AQ996" s="55"/>
      <c r="AR996" s="55"/>
      <c r="AS996" s="55"/>
      <c r="AT996" s="55"/>
      <c r="AU996" s="55"/>
      <c r="AV996" s="55"/>
    </row>
    <row r="997" spans="5:48" ht="15.75" customHeight="1" x14ac:dyDescent="0.15"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  <c r="AD997" s="55"/>
      <c r="AE997" s="55"/>
      <c r="AF997" s="55"/>
      <c r="AG997" s="55"/>
      <c r="AH997" s="55"/>
      <c r="AI997" s="55"/>
      <c r="AJ997" s="55"/>
      <c r="AK997" s="55"/>
      <c r="AL997" s="55"/>
      <c r="AM997" s="55"/>
      <c r="AN997" s="55"/>
      <c r="AO997" s="55"/>
      <c r="AP997" s="55"/>
      <c r="AQ997" s="55"/>
      <c r="AR997" s="55"/>
      <c r="AS997" s="55"/>
      <c r="AT997" s="55"/>
      <c r="AU997" s="55"/>
      <c r="AV997" s="55"/>
    </row>
    <row r="998" spans="5:48" ht="15.75" customHeight="1" x14ac:dyDescent="0.15"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  <c r="AC998" s="55"/>
      <c r="AD998" s="55"/>
      <c r="AE998" s="55"/>
      <c r="AF998" s="55"/>
      <c r="AG998" s="55"/>
      <c r="AH998" s="55"/>
      <c r="AI998" s="55"/>
      <c r="AJ998" s="55"/>
      <c r="AK998" s="55"/>
      <c r="AL998" s="55"/>
      <c r="AM998" s="55"/>
      <c r="AN998" s="55"/>
      <c r="AO998" s="55"/>
      <c r="AP998" s="55"/>
      <c r="AQ998" s="55"/>
      <c r="AR998" s="55"/>
      <c r="AS998" s="55"/>
      <c r="AT998" s="55"/>
      <c r="AU998" s="55"/>
      <c r="AV998" s="55"/>
    </row>
    <row r="999" spans="5:48" ht="15.75" customHeight="1" x14ac:dyDescent="0.15"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  <c r="AC999" s="55"/>
      <c r="AD999" s="55"/>
      <c r="AE999" s="55"/>
      <c r="AF999" s="55"/>
      <c r="AG999" s="55"/>
      <c r="AH999" s="55"/>
      <c r="AI999" s="55"/>
      <c r="AJ999" s="55"/>
      <c r="AK999" s="55"/>
      <c r="AL999" s="55"/>
      <c r="AM999" s="55"/>
      <c r="AN999" s="55"/>
      <c r="AO999" s="55"/>
      <c r="AP999" s="55"/>
      <c r="AQ999" s="55"/>
      <c r="AR999" s="55"/>
      <c r="AS999" s="55"/>
      <c r="AT999" s="55"/>
      <c r="AU999" s="55"/>
      <c r="AV999" s="55"/>
    </row>
    <row r="1000" spans="5:48" ht="15.75" customHeight="1" x14ac:dyDescent="0.15"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  <c r="AC1000" s="55"/>
      <c r="AD1000" s="55"/>
      <c r="AE1000" s="55"/>
      <c r="AF1000" s="55"/>
      <c r="AG1000" s="55"/>
      <c r="AH1000" s="55"/>
      <c r="AI1000" s="55"/>
      <c r="AJ1000" s="55"/>
      <c r="AK1000" s="55"/>
      <c r="AL1000" s="55"/>
      <c r="AM1000" s="55"/>
      <c r="AN1000" s="55"/>
      <c r="AO1000" s="55"/>
      <c r="AP1000" s="55"/>
      <c r="AQ1000" s="55"/>
      <c r="AR1000" s="55"/>
      <c r="AS1000" s="55"/>
      <c r="AT1000" s="55"/>
      <c r="AU1000" s="55"/>
      <c r="AV1000" s="55"/>
    </row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968"/>
  <sheetViews>
    <sheetView showGridLines="0" workbookViewId="0"/>
  </sheetViews>
  <sheetFormatPr baseColWidth="10" defaultColWidth="12.6640625" defaultRowHeight="15" customHeight="1" x14ac:dyDescent="0.15"/>
  <cols>
    <col min="1" max="1" width="8.83203125" customWidth="1"/>
    <col min="2" max="2" width="19.83203125" customWidth="1"/>
    <col min="3" max="3" width="15.6640625" customWidth="1"/>
    <col min="4" max="4" width="11.6640625" customWidth="1"/>
    <col min="5" max="5" width="8.1640625" customWidth="1"/>
    <col min="6" max="7" width="8.5" customWidth="1"/>
    <col min="8" max="26" width="8.83203125" customWidth="1"/>
  </cols>
  <sheetData>
    <row r="1" spans="2:7" ht="12" customHeight="1" x14ac:dyDescent="0.15">
      <c r="B1" s="71"/>
      <c r="C1" s="72"/>
      <c r="D1" s="72"/>
      <c r="E1" s="72"/>
      <c r="F1" s="72"/>
      <c r="G1" s="73"/>
    </row>
    <row r="2" spans="2:7" ht="12" customHeight="1" x14ac:dyDescent="0.15">
      <c r="B2" s="74" t="s">
        <v>255</v>
      </c>
      <c r="C2" s="75" t="s">
        <v>256</v>
      </c>
      <c r="D2" s="75" t="s">
        <v>257</v>
      </c>
      <c r="E2" s="75" t="s">
        <v>258</v>
      </c>
      <c r="F2" s="75" t="s">
        <v>259</v>
      </c>
      <c r="G2" s="76" t="s">
        <v>260</v>
      </c>
    </row>
    <row r="3" spans="2:7" ht="12" customHeight="1" x14ac:dyDescent="0.15">
      <c r="B3" s="74" t="s">
        <v>261</v>
      </c>
      <c r="C3" s="77" t="s">
        <v>262</v>
      </c>
      <c r="D3" s="77" t="s">
        <v>263</v>
      </c>
      <c r="E3" s="77" t="s">
        <v>264</v>
      </c>
      <c r="F3" s="77" t="s">
        <v>265</v>
      </c>
      <c r="G3" s="77" t="s">
        <v>266</v>
      </c>
    </row>
    <row r="4" spans="2:7" ht="12" customHeight="1" x14ac:dyDescent="0.15">
      <c r="B4" s="74" t="s">
        <v>267</v>
      </c>
      <c r="C4" s="77" t="s">
        <v>268</v>
      </c>
      <c r="D4" s="77" t="s">
        <v>263</v>
      </c>
      <c r="E4" s="77" t="s">
        <v>264</v>
      </c>
      <c r="F4" s="77" t="s">
        <v>269</v>
      </c>
      <c r="G4" s="77" t="s">
        <v>266</v>
      </c>
    </row>
    <row r="5" spans="2:7" ht="12" customHeight="1" x14ac:dyDescent="0.15">
      <c r="B5" s="74" t="s">
        <v>270</v>
      </c>
      <c r="C5" s="77" t="s">
        <v>271</v>
      </c>
      <c r="D5" s="77" t="s">
        <v>263</v>
      </c>
      <c r="E5" s="77" t="s">
        <v>264</v>
      </c>
      <c r="F5" s="77" t="s">
        <v>272</v>
      </c>
      <c r="G5" s="77" t="s">
        <v>266</v>
      </c>
    </row>
    <row r="6" spans="2:7" ht="12" customHeight="1" x14ac:dyDescent="0.15">
      <c r="B6" s="74" t="s">
        <v>273</v>
      </c>
      <c r="C6" s="77" t="s">
        <v>274</v>
      </c>
      <c r="D6" s="77" t="s">
        <v>263</v>
      </c>
      <c r="E6" s="77" t="s">
        <v>264</v>
      </c>
      <c r="F6" s="77" t="s">
        <v>275</v>
      </c>
      <c r="G6" s="77" t="s">
        <v>276</v>
      </c>
    </row>
    <row r="7" spans="2:7" ht="12" customHeight="1" x14ac:dyDescent="0.15">
      <c r="B7" s="74" t="s">
        <v>277</v>
      </c>
      <c r="C7" s="77" t="s">
        <v>278</v>
      </c>
      <c r="D7" s="77" t="s">
        <v>59</v>
      </c>
      <c r="E7" s="77" t="s">
        <v>264</v>
      </c>
      <c r="F7" s="77" t="s">
        <v>279</v>
      </c>
      <c r="G7" s="77" t="s">
        <v>266</v>
      </c>
    </row>
    <row r="8" spans="2:7" ht="12" customHeight="1" x14ac:dyDescent="0.15">
      <c r="B8" s="74" t="s">
        <v>280</v>
      </c>
      <c r="C8" s="77" t="s">
        <v>281</v>
      </c>
      <c r="D8" s="77" t="s">
        <v>263</v>
      </c>
      <c r="E8" s="77">
        <v>48</v>
      </c>
      <c r="F8" s="77" t="s">
        <v>272</v>
      </c>
      <c r="G8" s="77" t="s">
        <v>266</v>
      </c>
    </row>
    <row r="9" spans="2:7" ht="12" customHeight="1" x14ac:dyDescent="0.15">
      <c r="B9" s="74" t="s">
        <v>282</v>
      </c>
      <c r="C9" s="77" t="s">
        <v>283</v>
      </c>
      <c r="D9" s="77" t="s">
        <v>263</v>
      </c>
      <c r="E9" s="77">
        <v>672</v>
      </c>
      <c r="F9" s="77" t="s">
        <v>284</v>
      </c>
      <c r="G9" s="77" t="s">
        <v>266</v>
      </c>
    </row>
    <row r="10" spans="2:7" ht="12" customHeight="1" x14ac:dyDescent="0.15">
      <c r="B10" s="74" t="s">
        <v>285</v>
      </c>
      <c r="C10" s="77" t="s">
        <v>283</v>
      </c>
      <c r="D10" s="77" t="s">
        <v>263</v>
      </c>
      <c r="E10" s="77">
        <v>672</v>
      </c>
      <c r="F10" s="77" t="s">
        <v>284</v>
      </c>
      <c r="G10" s="77" t="s">
        <v>266</v>
      </c>
    </row>
    <row r="11" spans="2:7" ht="12" customHeight="1" x14ac:dyDescent="0.15">
      <c r="B11" s="74" t="s">
        <v>286</v>
      </c>
      <c r="C11" s="77" t="s">
        <v>287</v>
      </c>
      <c r="D11" s="77" t="s">
        <v>288</v>
      </c>
      <c r="E11" s="77">
        <v>24</v>
      </c>
      <c r="F11" s="77" t="s">
        <v>264</v>
      </c>
      <c r="G11" s="77" t="s">
        <v>266</v>
      </c>
    </row>
    <row r="12" spans="2:7" ht="12" customHeight="1" x14ac:dyDescent="0.15">
      <c r="B12" s="74" t="s">
        <v>289</v>
      </c>
      <c r="C12" s="77" t="s">
        <v>290</v>
      </c>
      <c r="D12" s="77" t="s">
        <v>288</v>
      </c>
      <c r="E12" s="77" t="s">
        <v>291</v>
      </c>
      <c r="F12" s="77" t="s">
        <v>264</v>
      </c>
      <c r="G12" s="77" t="s">
        <v>292</v>
      </c>
    </row>
    <row r="13" spans="2:7" ht="12" customHeight="1" x14ac:dyDescent="0.15">
      <c r="B13" s="74" t="s">
        <v>293</v>
      </c>
      <c r="C13" s="77" t="s">
        <v>294</v>
      </c>
      <c r="D13" s="77" t="s">
        <v>288</v>
      </c>
      <c r="E13" s="77">
        <v>48</v>
      </c>
      <c r="F13" s="77" t="s">
        <v>279</v>
      </c>
      <c r="G13" s="77" t="s">
        <v>266</v>
      </c>
    </row>
    <row r="14" spans="2:7" ht="12" customHeight="1" x14ac:dyDescent="0.15">
      <c r="B14" s="74" t="s">
        <v>295</v>
      </c>
      <c r="C14" s="77" t="s">
        <v>296</v>
      </c>
      <c r="D14" s="77" t="s">
        <v>288</v>
      </c>
      <c r="E14" s="77">
        <v>48</v>
      </c>
      <c r="F14" s="77" t="s">
        <v>297</v>
      </c>
      <c r="G14" s="77" t="s">
        <v>266</v>
      </c>
    </row>
    <row r="15" spans="2:7" ht="12" customHeight="1" x14ac:dyDescent="0.15">
      <c r="B15" s="74" t="s">
        <v>298</v>
      </c>
      <c r="C15" s="77" t="s">
        <v>299</v>
      </c>
      <c r="D15" s="77" t="s">
        <v>288</v>
      </c>
      <c r="E15" s="77">
        <v>48</v>
      </c>
      <c r="F15" s="77" t="s">
        <v>300</v>
      </c>
      <c r="G15" s="77" t="s">
        <v>266</v>
      </c>
    </row>
    <row r="16" spans="2:7" ht="12" customHeight="1" x14ac:dyDescent="0.15">
      <c r="B16" s="74" t="s">
        <v>301</v>
      </c>
      <c r="C16" s="77" t="s">
        <v>302</v>
      </c>
      <c r="D16" s="77" t="s">
        <v>288</v>
      </c>
      <c r="E16" s="77">
        <v>672</v>
      </c>
      <c r="F16" s="77" t="s">
        <v>303</v>
      </c>
      <c r="G16" s="77" t="s">
        <v>266</v>
      </c>
    </row>
    <row r="17" spans="2:7" ht="12" customHeight="1" x14ac:dyDescent="0.15">
      <c r="B17" s="74" t="s">
        <v>246</v>
      </c>
      <c r="C17" s="77" t="s">
        <v>304</v>
      </c>
      <c r="D17" s="77" t="s">
        <v>288</v>
      </c>
      <c r="E17" s="77">
        <v>672</v>
      </c>
      <c r="F17" s="77" t="s">
        <v>305</v>
      </c>
      <c r="G17" s="77" t="s">
        <v>266</v>
      </c>
    </row>
    <row r="18" spans="2:7" ht="12" customHeight="1" x14ac:dyDescent="0.15">
      <c r="B18" s="74" t="s">
        <v>306</v>
      </c>
      <c r="C18" s="77" t="s">
        <v>307</v>
      </c>
      <c r="D18" s="77" t="s">
        <v>288</v>
      </c>
      <c r="E18" s="77">
        <v>672</v>
      </c>
      <c r="F18" s="77" t="s">
        <v>303</v>
      </c>
      <c r="G18" s="77" t="s">
        <v>266</v>
      </c>
    </row>
    <row r="19" spans="2:7" ht="12" customHeight="1" x14ac:dyDescent="0.15">
      <c r="B19" s="54"/>
    </row>
    <row r="20" spans="2:7" ht="12" customHeight="1" x14ac:dyDescent="0.15"/>
    <row r="21" spans="2:7" ht="12" customHeight="1" x14ac:dyDescent="0.15"/>
    <row r="22" spans="2:7" ht="12" customHeight="1" x14ac:dyDescent="0.15"/>
    <row r="23" spans="2:7" ht="12" customHeight="1" x14ac:dyDescent="0.15"/>
    <row r="24" spans="2:7" ht="12" customHeight="1" x14ac:dyDescent="0.15"/>
    <row r="25" spans="2:7" ht="12" customHeight="1" x14ac:dyDescent="0.15"/>
    <row r="26" spans="2:7" ht="12" customHeight="1" x14ac:dyDescent="0.15"/>
    <row r="27" spans="2:7" ht="12" customHeight="1" x14ac:dyDescent="0.15"/>
    <row r="28" spans="2:7" ht="12" customHeight="1" x14ac:dyDescent="0.15"/>
    <row r="29" spans="2:7" ht="12" customHeight="1" x14ac:dyDescent="0.15"/>
    <row r="30" spans="2:7" ht="12" customHeight="1" x14ac:dyDescent="0.15"/>
    <row r="31" spans="2:7" ht="12" customHeight="1" x14ac:dyDescent="0.15"/>
    <row r="32" spans="2:7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F1000"/>
  <sheetViews>
    <sheetView workbookViewId="0"/>
  </sheetViews>
  <sheetFormatPr baseColWidth="10" defaultColWidth="12.6640625" defaultRowHeight="15" customHeight="1" x14ac:dyDescent="0.15"/>
  <cols>
    <col min="1" max="1" width="27.1640625" customWidth="1"/>
    <col min="3" max="3" width="16.83203125" customWidth="1"/>
    <col min="4" max="4" width="19.33203125" customWidth="1"/>
    <col min="7" max="7" width="14.33203125" customWidth="1"/>
  </cols>
  <sheetData>
    <row r="1" spans="1:32" ht="15.75" customHeight="1" x14ac:dyDescent="0.2">
      <c r="A1" s="78" t="s">
        <v>1</v>
      </c>
      <c r="B1" s="79" t="s">
        <v>3</v>
      </c>
      <c r="C1" s="79" t="s">
        <v>6</v>
      </c>
      <c r="D1" s="79" t="s">
        <v>7</v>
      </c>
      <c r="E1" s="79" t="s">
        <v>12</v>
      </c>
      <c r="F1" s="79" t="s">
        <v>251</v>
      </c>
      <c r="G1" s="80" t="s">
        <v>252</v>
      </c>
      <c r="H1" s="28"/>
      <c r="I1" s="28" t="s">
        <v>308</v>
      </c>
      <c r="J1" s="28" t="s">
        <v>249</v>
      </c>
      <c r="K1" s="28" t="s">
        <v>309</v>
      </c>
      <c r="L1" s="28" t="s">
        <v>310</v>
      </c>
      <c r="M1" s="28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</row>
    <row r="2" spans="1:32" ht="15.75" customHeight="1" x14ac:dyDescent="0.2">
      <c r="A2" s="82" t="s">
        <v>149</v>
      </c>
      <c r="B2" s="83" t="s">
        <v>55</v>
      </c>
      <c r="C2" s="83">
        <v>17.936900000000001</v>
      </c>
      <c r="D2" s="83">
        <v>-66.873800000000003</v>
      </c>
      <c r="E2" s="84"/>
      <c r="F2" s="85"/>
      <c r="G2" s="86"/>
      <c r="H2" s="64"/>
      <c r="I2" s="87"/>
      <c r="J2" s="54"/>
      <c r="K2" s="88"/>
      <c r="L2" s="88"/>
      <c r="O2" s="89"/>
      <c r="P2" s="90"/>
      <c r="Q2" s="90"/>
      <c r="R2" s="89"/>
      <c r="S2" s="89"/>
      <c r="T2" s="90"/>
      <c r="U2" s="90"/>
      <c r="V2" s="90"/>
      <c r="W2" s="91"/>
      <c r="X2" s="91"/>
      <c r="Y2" s="91"/>
      <c r="Z2" s="91"/>
      <c r="AA2" s="91"/>
      <c r="AB2" s="91"/>
      <c r="AC2" s="91"/>
      <c r="AD2" s="91"/>
      <c r="AE2" s="91"/>
      <c r="AF2" s="91"/>
    </row>
    <row r="3" spans="1:32" ht="15.75" customHeight="1" x14ac:dyDescent="0.2">
      <c r="A3" s="78" t="s">
        <v>154</v>
      </c>
      <c r="B3" s="79" t="s">
        <v>62</v>
      </c>
      <c r="C3" s="79">
        <v>18.382000000000001</v>
      </c>
      <c r="D3" s="79">
        <v>-67.488299999999995</v>
      </c>
      <c r="E3" s="92"/>
      <c r="F3" s="93"/>
      <c r="G3" s="87"/>
      <c r="H3" s="64"/>
      <c r="I3" s="87"/>
      <c r="J3" s="54"/>
      <c r="K3" s="64"/>
      <c r="L3" s="64"/>
      <c r="O3" s="90"/>
      <c r="P3" s="90"/>
      <c r="Q3" s="90"/>
      <c r="R3" s="90"/>
      <c r="S3" s="90"/>
      <c r="T3" s="90"/>
      <c r="U3" s="90"/>
      <c r="V3" s="90"/>
      <c r="W3" s="94"/>
      <c r="X3" s="94"/>
      <c r="Y3" s="94"/>
      <c r="Z3" s="94"/>
      <c r="AA3" s="94"/>
      <c r="AB3" s="94"/>
      <c r="AC3" s="94"/>
      <c r="AD3" s="94"/>
      <c r="AE3" s="94"/>
      <c r="AF3" s="94"/>
    </row>
    <row r="4" spans="1:32" ht="15.75" customHeight="1" x14ac:dyDescent="0.2">
      <c r="A4" s="78" t="s">
        <v>159</v>
      </c>
      <c r="B4" s="79" t="s">
        <v>66</v>
      </c>
      <c r="C4" s="79">
        <v>18.38158</v>
      </c>
      <c r="D4" s="79">
        <v>-67.488600000000005</v>
      </c>
      <c r="E4" s="92"/>
      <c r="F4" s="93"/>
      <c r="G4" s="87"/>
      <c r="H4" s="64"/>
      <c r="I4" s="86"/>
      <c r="J4" s="54"/>
      <c r="O4" s="90"/>
      <c r="P4" s="90"/>
      <c r="Q4" s="90"/>
      <c r="R4" s="90"/>
      <c r="S4" s="90"/>
      <c r="T4" s="90"/>
      <c r="U4" s="90"/>
      <c r="V4" s="90"/>
      <c r="W4" s="94"/>
      <c r="X4" s="94"/>
      <c r="Y4" s="94"/>
      <c r="Z4" s="94"/>
      <c r="AA4" s="94"/>
      <c r="AB4" s="94"/>
      <c r="AC4" s="94"/>
      <c r="AD4" s="94"/>
      <c r="AE4" s="94"/>
      <c r="AF4" s="94"/>
    </row>
    <row r="5" spans="1:32" ht="15.75" customHeight="1" x14ac:dyDescent="0.2">
      <c r="A5" s="82" t="s">
        <v>160</v>
      </c>
      <c r="B5" s="83" t="s">
        <v>68</v>
      </c>
      <c r="C5" s="83">
        <v>17.888269999999999</v>
      </c>
      <c r="D5" s="83">
        <v>-66.997799999999998</v>
      </c>
      <c r="E5" s="84"/>
      <c r="F5" s="85"/>
      <c r="G5" s="86"/>
      <c r="H5" s="64"/>
      <c r="I5" s="86"/>
      <c r="J5" s="54"/>
      <c r="O5" s="90"/>
      <c r="P5" s="90"/>
      <c r="Q5" s="90"/>
      <c r="R5" s="90"/>
      <c r="S5" s="90"/>
      <c r="T5" s="90"/>
      <c r="U5" s="90"/>
      <c r="V5" s="90"/>
      <c r="W5" s="94"/>
      <c r="X5" s="94"/>
      <c r="Y5" s="94"/>
      <c r="Z5" s="94"/>
      <c r="AA5" s="94"/>
      <c r="AB5" s="94"/>
      <c r="AC5" s="94"/>
      <c r="AD5" s="94"/>
      <c r="AE5" s="94"/>
      <c r="AF5" s="94"/>
    </row>
    <row r="6" spans="1:32" ht="15.75" customHeight="1" x14ac:dyDescent="0.2">
      <c r="A6" s="78" t="s">
        <v>163</v>
      </c>
      <c r="B6" s="79" t="s">
        <v>69</v>
      </c>
      <c r="C6" s="79">
        <v>18.385439999999999</v>
      </c>
      <c r="D6" s="79">
        <v>-65.6297</v>
      </c>
      <c r="E6" s="92"/>
      <c r="F6" s="93"/>
      <c r="G6" s="87"/>
      <c r="H6" s="64"/>
      <c r="I6" s="86"/>
      <c r="J6" s="54"/>
      <c r="O6" s="90"/>
      <c r="P6" s="90"/>
      <c r="Q6" s="90"/>
      <c r="R6" s="90"/>
      <c r="S6" s="90"/>
      <c r="T6" s="90"/>
      <c r="U6" s="90"/>
      <c r="V6" s="90"/>
      <c r="W6" s="91"/>
      <c r="X6" s="91"/>
      <c r="Y6" s="91"/>
      <c r="Z6" s="91"/>
      <c r="AA6" s="91"/>
      <c r="AB6" s="91"/>
      <c r="AC6" s="91"/>
      <c r="AD6" s="91"/>
      <c r="AE6" s="91"/>
      <c r="AF6" s="91"/>
    </row>
    <row r="7" spans="1:32" ht="15.75" customHeight="1" x14ac:dyDescent="0.2">
      <c r="A7" s="78" t="s">
        <v>168</v>
      </c>
      <c r="B7" s="79" t="s">
        <v>73</v>
      </c>
      <c r="C7" s="79">
        <v>18.089639999999999</v>
      </c>
      <c r="D7" s="79">
        <v>-65.590100000000007</v>
      </c>
      <c r="E7" s="92"/>
      <c r="F7" s="93"/>
      <c r="G7" s="87"/>
      <c r="H7" s="64"/>
      <c r="I7" s="87"/>
      <c r="J7" s="54"/>
      <c r="O7" s="90"/>
      <c r="P7" s="90"/>
      <c r="Q7" s="90"/>
      <c r="R7" s="90"/>
      <c r="S7" s="90"/>
      <c r="T7" s="90"/>
      <c r="U7" s="90"/>
      <c r="V7" s="90"/>
      <c r="W7" s="91"/>
      <c r="X7" s="91"/>
      <c r="Y7" s="91"/>
      <c r="Z7" s="91"/>
      <c r="AA7" s="91"/>
      <c r="AB7" s="91"/>
      <c r="AC7" s="91"/>
      <c r="AD7" s="91"/>
      <c r="AE7" s="91"/>
      <c r="AF7" s="91"/>
    </row>
    <row r="8" spans="1:32" ht="15.75" customHeight="1" x14ac:dyDescent="0.2">
      <c r="A8" s="78" t="s">
        <v>173</v>
      </c>
      <c r="B8" s="79" t="s">
        <v>75</v>
      </c>
      <c r="C8" s="79">
        <v>18.377469999999999</v>
      </c>
      <c r="D8" s="79">
        <v>-67.483999999999995</v>
      </c>
      <c r="E8" s="92"/>
      <c r="F8" s="93"/>
      <c r="G8" s="87"/>
      <c r="H8" s="64"/>
      <c r="I8" s="87"/>
      <c r="J8" s="54"/>
      <c r="O8" s="90"/>
      <c r="P8" s="90"/>
      <c r="Q8" s="90"/>
      <c r="R8" s="90"/>
      <c r="S8" s="90"/>
      <c r="T8" s="90"/>
      <c r="U8" s="90"/>
      <c r="V8" s="90"/>
      <c r="W8" s="94"/>
      <c r="X8" s="94"/>
      <c r="Y8" s="94"/>
      <c r="Z8" s="94"/>
      <c r="AA8" s="94"/>
      <c r="AB8" s="94"/>
      <c r="AC8" s="94"/>
      <c r="AD8" s="94"/>
      <c r="AE8" s="94"/>
      <c r="AF8" s="94"/>
    </row>
    <row r="9" spans="1:32" ht="15.75" customHeight="1" x14ac:dyDescent="0.2">
      <c r="A9" s="82" t="s">
        <v>174</v>
      </c>
      <c r="B9" s="83" t="s">
        <v>80</v>
      </c>
      <c r="C9" s="83">
        <v>17.915330000000001</v>
      </c>
      <c r="D9" s="83">
        <v>-66.214100000000002</v>
      </c>
      <c r="E9" s="84"/>
      <c r="F9" s="85"/>
      <c r="G9" s="86"/>
      <c r="H9" s="64"/>
      <c r="I9" s="87"/>
      <c r="J9" s="54"/>
      <c r="O9" s="90"/>
      <c r="P9" s="90"/>
      <c r="Q9" s="90"/>
      <c r="R9" s="90"/>
      <c r="S9" s="90"/>
      <c r="T9" s="90"/>
      <c r="U9" s="90"/>
      <c r="V9" s="90"/>
      <c r="W9" s="94"/>
      <c r="X9" s="94"/>
      <c r="Y9" s="94"/>
      <c r="Z9" s="94"/>
      <c r="AA9" s="94"/>
      <c r="AB9" s="94"/>
      <c r="AC9" s="94"/>
      <c r="AD9" s="94"/>
      <c r="AE9" s="94"/>
      <c r="AF9" s="94"/>
    </row>
    <row r="10" spans="1:32" ht="15.75" customHeight="1" x14ac:dyDescent="0.2">
      <c r="A10" s="82" t="s">
        <v>179</v>
      </c>
      <c r="B10" s="83" t="s">
        <v>83</v>
      </c>
      <c r="C10" s="83">
        <v>17.895019999999999</v>
      </c>
      <c r="D10" s="83">
        <v>-66.528400000000005</v>
      </c>
      <c r="E10" s="84"/>
      <c r="F10" s="85"/>
      <c r="G10" s="86"/>
      <c r="H10" s="64"/>
      <c r="O10" s="90"/>
      <c r="P10" s="90"/>
      <c r="Q10" s="90"/>
      <c r="R10" s="90"/>
      <c r="S10" s="90"/>
      <c r="T10" s="90"/>
      <c r="U10" s="90"/>
      <c r="V10" s="90"/>
      <c r="W10" s="94"/>
      <c r="X10" s="94"/>
      <c r="Y10" s="94"/>
      <c r="Z10" s="94"/>
      <c r="AA10" s="94"/>
      <c r="AB10" s="94"/>
      <c r="AC10" s="94"/>
      <c r="AD10" s="94"/>
      <c r="AE10" s="94"/>
      <c r="AF10" s="94"/>
    </row>
    <row r="11" spans="1:32" ht="15.75" customHeight="1" x14ac:dyDescent="0.2">
      <c r="A11" s="82" t="s">
        <v>311</v>
      </c>
      <c r="B11" s="83" t="s">
        <v>85</v>
      </c>
      <c r="C11" s="83">
        <v>18.489550000000001</v>
      </c>
      <c r="D11" s="83">
        <v>-66.373599999999996</v>
      </c>
      <c r="E11" s="84"/>
      <c r="F11" s="85"/>
      <c r="G11" s="86"/>
      <c r="H11" s="64"/>
      <c r="O11" s="90"/>
      <c r="P11" s="90"/>
      <c r="Q11" s="90"/>
      <c r="R11" s="90"/>
      <c r="S11" s="90"/>
      <c r="T11" s="90"/>
      <c r="U11" s="90"/>
      <c r="V11" s="90"/>
      <c r="W11" s="94"/>
      <c r="X11" s="94"/>
      <c r="Y11" s="94"/>
      <c r="Z11" s="94"/>
      <c r="AA11" s="94"/>
      <c r="AB11" s="94"/>
      <c r="AC11" s="94"/>
      <c r="AD11" s="94"/>
      <c r="AE11" s="94"/>
      <c r="AF11" s="94"/>
    </row>
    <row r="12" spans="1:32" ht="15.75" customHeight="1" x14ac:dyDescent="0.2">
      <c r="A12" s="82" t="s">
        <v>186</v>
      </c>
      <c r="B12" s="83" t="s">
        <v>90</v>
      </c>
      <c r="C12" s="83">
        <v>17.936199999999999</v>
      </c>
      <c r="D12" s="83">
        <v>-66.888400000000004</v>
      </c>
      <c r="E12" s="84"/>
      <c r="F12" s="85"/>
      <c r="G12" s="86"/>
      <c r="H12" s="64"/>
      <c r="O12" s="90"/>
      <c r="P12" s="90"/>
      <c r="Q12" s="90"/>
      <c r="R12" s="90"/>
      <c r="S12" s="90"/>
      <c r="T12" s="90"/>
      <c r="U12" s="90"/>
      <c r="V12" s="90"/>
      <c r="W12" s="94"/>
      <c r="X12" s="94"/>
      <c r="Y12" s="94"/>
      <c r="Z12" s="94"/>
      <c r="AA12" s="94"/>
      <c r="AB12" s="94"/>
      <c r="AC12" s="94"/>
      <c r="AD12" s="94"/>
      <c r="AE12" s="94"/>
      <c r="AF12" s="94"/>
    </row>
    <row r="13" spans="1:32" ht="15.75" customHeight="1" x14ac:dyDescent="0.2">
      <c r="A13" s="78" t="s">
        <v>187</v>
      </c>
      <c r="B13" s="79" t="s">
        <v>92</v>
      </c>
      <c r="C13" s="79">
        <v>18.32779</v>
      </c>
      <c r="D13" s="79">
        <v>-65.331999999999994</v>
      </c>
      <c r="E13" s="92"/>
      <c r="F13" s="93"/>
      <c r="G13" s="87"/>
      <c r="H13" s="64"/>
      <c r="O13" s="90"/>
      <c r="P13" s="90"/>
      <c r="Q13" s="90"/>
      <c r="R13" s="90"/>
      <c r="S13" s="90"/>
      <c r="T13" s="90"/>
      <c r="U13" s="90"/>
      <c r="V13" s="90"/>
      <c r="W13" s="91"/>
      <c r="X13" s="91"/>
      <c r="Y13" s="91"/>
      <c r="Z13" s="91"/>
      <c r="AA13" s="91"/>
      <c r="AB13" s="91"/>
      <c r="AC13" s="91"/>
      <c r="AD13" s="91"/>
      <c r="AE13" s="91"/>
      <c r="AF13" s="91"/>
    </row>
    <row r="14" spans="1:32" ht="15.75" customHeight="1" x14ac:dyDescent="0.2">
      <c r="A14" s="78" t="s">
        <v>190</v>
      </c>
      <c r="B14" s="79" t="s">
        <v>93</v>
      </c>
      <c r="C14" s="79">
        <v>18.275870000000001</v>
      </c>
      <c r="D14" s="79">
        <v>-65.277299999999997</v>
      </c>
      <c r="E14" s="92"/>
      <c r="F14" s="93"/>
      <c r="G14" s="87"/>
      <c r="H14" s="64"/>
      <c r="O14" s="90"/>
      <c r="P14" s="90"/>
      <c r="Q14" s="90"/>
      <c r="R14" s="90"/>
      <c r="S14" s="90"/>
      <c r="T14" s="90"/>
      <c r="U14" s="90"/>
      <c r="V14" s="90"/>
      <c r="W14" s="94"/>
      <c r="X14" s="94"/>
      <c r="Y14" s="94"/>
      <c r="Z14" s="94"/>
      <c r="AA14" s="94"/>
      <c r="AB14" s="94"/>
      <c r="AC14" s="94"/>
      <c r="AD14" s="94"/>
      <c r="AE14" s="94"/>
      <c r="AF14" s="94"/>
    </row>
    <row r="15" spans="1:32" ht="15.75" customHeight="1" x14ac:dyDescent="0.2">
      <c r="A15" s="82" t="s">
        <v>191</v>
      </c>
      <c r="B15" s="83" t="s">
        <v>96</v>
      </c>
      <c r="C15" s="83">
        <v>17.904</v>
      </c>
      <c r="D15" s="83">
        <v>-66.608599999999996</v>
      </c>
      <c r="E15" s="84"/>
      <c r="F15" s="85"/>
      <c r="G15" s="86"/>
      <c r="H15" s="64"/>
      <c r="O15" s="90"/>
      <c r="P15" s="90"/>
      <c r="Q15" s="90"/>
      <c r="R15" s="90"/>
      <c r="S15" s="90"/>
      <c r="T15" s="90"/>
      <c r="U15" s="90"/>
      <c r="V15" s="90"/>
      <c r="W15" s="94"/>
      <c r="X15" s="94"/>
      <c r="Y15" s="94"/>
      <c r="Z15" s="94"/>
      <c r="AA15" s="94"/>
      <c r="AB15" s="94"/>
      <c r="AC15" s="94"/>
      <c r="AD15" s="94"/>
      <c r="AE15" s="94"/>
      <c r="AF15" s="94"/>
    </row>
    <row r="16" spans="1:32" ht="15.75" customHeight="1" x14ac:dyDescent="0.2">
      <c r="A16" s="78" t="s">
        <v>192</v>
      </c>
      <c r="B16" s="79" t="s">
        <v>97</v>
      </c>
      <c r="C16" s="79">
        <v>18.360330000000001</v>
      </c>
      <c r="D16" s="79">
        <v>-65.530900000000003</v>
      </c>
      <c r="E16" s="92"/>
      <c r="F16" s="93"/>
      <c r="G16" s="87"/>
      <c r="H16" s="64"/>
      <c r="O16" s="90"/>
      <c r="P16" s="90"/>
      <c r="Q16" s="90"/>
      <c r="R16" s="90"/>
      <c r="S16" s="90"/>
      <c r="T16" s="90"/>
      <c r="U16" s="90"/>
      <c r="V16" s="90"/>
      <c r="W16" s="94"/>
      <c r="X16" s="94"/>
      <c r="Y16" s="94"/>
      <c r="Z16" s="94"/>
      <c r="AA16" s="94"/>
      <c r="AB16" s="94"/>
      <c r="AC16" s="94"/>
      <c r="AD16" s="94"/>
      <c r="AE16" s="94"/>
      <c r="AF16" s="94"/>
    </row>
    <row r="17" spans="1:32" ht="15.75" customHeight="1" x14ac:dyDescent="0.2">
      <c r="A17" s="82" t="s">
        <v>193</v>
      </c>
      <c r="B17" s="83" t="s">
        <v>99</v>
      </c>
      <c r="C17" s="83">
        <v>18.462219999999999</v>
      </c>
      <c r="D17" s="83">
        <v>-66.051699999999997</v>
      </c>
      <c r="E17" s="84"/>
      <c r="F17" s="85"/>
      <c r="G17" s="86"/>
      <c r="H17" s="64"/>
      <c r="O17" s="90"/>
      <c r="P17" s="90"/>
      <c r="Q17" s="90"/>
      <c r="R17" s="90"/>
      <c r="S17" s="90"/>
      <c r="T17" s="90"/>
      <c r="U17" s="90"/>
      <c r="V17" s="90"/>
      <c r="W17" s="91"/>
      <c r="X17" s="91"/>
      <c r="Y17" s="91"/>
      <c r="Z17" s="91"/>
      <c r="AA17" s="91"/>
      <c r="AB17" s="91"/>
      <c r="AC17" s="91"/>
      <c r="AD17" s="91"/>
      <c r="AE17" s="91"/>
      <c r="AF17" s="91"/>
    </row>
    <row r="18" spans="1:32" ht="15.75" customHeight="1" x14ac:dyDescent="0.2">
      <c r="A18" s="78" t="s">
        <v>195</v>
      </c>
      <c r="B18" s="79" t="s">
        <v>101</v>
      </c>
      <c r="C18" s="79">
        <v>18.080570000000002</v>
      </c>
      <c r="D18" s="79">
        <v>-65.487899999999996</v>
      </c>
      <c r="E18" s="92"/>
      <c r="F18" s="93"/>
      <c r="G18" s="87"/>
      <c r="H18" s="64"/>
      <c r="O18" s="90"/>
      <c r="P18" s="90"/>
      <c r="Q18" s="90"/>
      <c r="R18" s="90"/>
      <c r="S18" s="90"/>
      <c r="T18" s="90"/>
      <c r="U18" s="90"/>
      <c r="V18" s="90"/>
      <c r="W18" s="94"/>
      <c r="X18" s="94"/>
      <c r="Y18" s="94"/>
      <c r="Z18" s="94"/>
      <c r="AA18" s="94"/>
      <c r="AB18" s="94"/>
      <c r="AC18" s="94"/>
      <c r="AD18" s="94"/>
      <c r="AE18" s="94"/>
      <c r="AF18" s="94"/>
    </row>
    <row r="19" spans="1:32" ht="15.75" customHeight="1" x14ac:dyDescent="0.2">
      <c r="A19" s="82" t="s">
        <v>196</v>
      </c>
      <c r="B19" s="83" t="s">
        <v>103</v>
      </c>
      <c r="C19" s="83">
        <v>17.897600000000001</v>
      </c>
      <c r="D19" s="83">
        <v>-66.959900000000005</v>
      </c>
      <c r="E19" s="84"/>
      <c r="F19" s="85"/>
      <c r="G19" s="86"/>
      <c r="H19" s="64"/>
      <c r="O19" s="90"/>
      <c r="P19" s="90"/>
      <c r="Q19" s="90"/>
      <c r="R19" s="90"/>
      <c r="S19" s="90"/>
      <c r="T19" s="90"/>
      <c r="U19" s="90"/>
      <c r="V19" s="90"/>
      <c r="W19" s="91"/>
      <c r="X19" s="91"/>
      <c r="Y19" s="91"/>
      <c r="Z19" s="91"/>
      <c r="AA19" s="91"/>
      <c r="AB19" s="91"/>
      <c r="AC19" s="91"/>
      <c r="AD19" s="91"/>
      <c r="AE19" s="91"/>
      <c r="AF19" s="91"/>
    </row>
    <row r="20" spans="1:32" ht="15.75" customHeight="1" x14ac:dyDescent="0.2">
      <c r="A20" s="82" t="s">
        <v>197</v>
      </c>
      <c r="B20" s="83" t="s">
        <v>104</v>
      </c>
      <c r="C20" s="83">
        <v>18.0017</v>
      </c>
      <c r="D20" s="83">
        <v>-67.329899999999995</v>
      </c>
      <c r="E20" s="84"/>
      <c r="F20" s="85"/>
      <c r="G20" s="86"/>
      <c r="H20" s="64"/>
      <c r="O20" s="90"/>
      <c r="P20" s="90"/>
      <c r="Q20" s="90"/>
      <c r="R20" s="90"/>
      <c r="S20" s="90"/>
      <c r="T20" s="90"/>
      <c r="U20" s="90"/>
      <c r="V20" s="90"/>
      <c r="W20" s="91"/>
      <c r="X20" s="91"/>
      <c r="Y20" s="91"/>
      <c r="Z20" s="91"/>
      <c r="AA20" s="91"/>
      <c r="AB20" s="91"/>
      <c r="AC20" s="91"/>
      <c r="AD20" s="91"/>
      <c r="AE20" s="91"/>
      <c r="AF20" s="91"/>
    </row>
    <row r="21" spans="1:32" ht="15.75" customHeight="1" x14ac:dyDescent="0.2">
      <c r="A21" s="82" t="s">
        <v>201</v>
      </c>
      <c r="B21" s="83" t="s">
        <v>107</v>
      </c>
      <c r="C21" s="83">
        <v>18.17202</v>
      </c>
      <c r="D21" s="83">
        <v>-67.253</v>
      </c>
      <c r="E21" s="84"/>
      <c r="F21" s="85"/>
      <c r="G21" s="86"/>
      <c r="H21" s="64"/>
      <c r="O21" s="90"/>
      <c r="P21" s="90"/>
      <c r="Q21" s="90"/>
      <c r="R21" s="90"/>
      <c r="S21" s="90"/>
      <c r="T21" s="90"/>
      <c r="U21" s="90"/>
      <c r="V21" s="90"/>
      <c r="W21" s="94"/>
      <c r="X21" s="94"/>
      <c r="Y21" s="94"/>
      <c r="Z21" s="94"/>
      <c r="AA21" s="94"/>
      <c r="AB21" s="94"/>
      <c r="AC21" s="94"/>
      <c r="AD21" s="94"/>
      <c r="AE21" s="94"/>
      <c r="AF21" s="94"/>
    </row>
    <row r="22" spans="1:32" ht="15.75" customHeight="1" x14ac:dyDescent="0.2">
      <c r="A22" s="78" t="s">
        <v>204</v>
      </c>
      <c r="B22" s="79" t="s">
        <v>111</v>
      </c>
      <c r="C22" s="79">
        <v>18.304929999999999</v>
      </c>
      <c r="D22" s="79">
        <v>-65.327699999999993</v>
      </c>
      <c r="E22" s="92"/>
      <c r="F22" s="93"/>
      <c r="G22" s="87"/>
      <c r="H22" s="64"/>
      <c r="O22" s="90"/>
      <c r="P22" s="90"/>
      <c r="Q22" s="90"/>
      <c r="R22" s="90"/>
      <c r="S22" s="90"/>
      <c r="T22" s="90"/>
      <c r="U22" s="90"/>
      <c r="V22" s="90"/>
      <c r="W22" s="91"/>
      <c r="X22" s="91"/>
      <c r="Y22" s="91"/>
      <c r="Z22" s="91"/>
      <c r="AA22" s="91"/>
      <c r="AB22" s="91"/>
      <c r="AC22" s="91"/>
      <c r="AD22" s="91"/>
      <c r="AE22" s="91"/>
      <c r="AF22" s="91"/>
    </row>
    <row r="23" spans="1:32" ht="15.75" customHeight="1" x14ac:dyDescent="0.2">
      <c r="A23" s="82" t="s">
        <v>205</v>
      </c>
      <c r="B23" s="83" t="s">
        <v>113</v>
      </c>
      <c r="C23" s="83">
        <v>18.233529999999998</v>
      </c>
      <c r="D23" s="83">
        <v>-67.200599999999994</v>
      </c>
      <c r="E23" s="84"/>
      <c r="F23" s="85"/>
      <c r="G23" s="86"/>
      <c r="H23" s="64"/>
      <c r="O23" s="90"/>
      <c r="P23" s="90"/>
      <c r="Q23" s="90"/>
      <c r="R23" s="90"/>
      <c r="S23" s="90"/>
      <c r="T23" s="90"/>
      <c r="U23" s="90"/>
      <c r="V23" s="90"/>
      <c r="W23" s="94"/>
      <c r="X23" s="94"/>
      <c r="Y23" s="94"/>
      <c r="Z23" s="94"/>
      <c r="AA23" s="94"/>
      <c r="AB23" s="94"/>
      <c r="AC23" s="94"/>
      <c r="AD23" s="94"/>
      <c r="AE23" s="94"/>
      <c r="AF23" s="94"/>
    </row>
    <row r="24" spans="1:32" ht="15.75" customHeight="1" x14ac:dyDescent="0.2">
      <c r="A24" s="82" t="s">
        <v>206</v>
      </c>
      <c r="B24" s="83" t="s">
        <v>114</v>
      </c>
      <c r="C24" s="83">
        <v>18.233499999999999</v>
      </c>
      <c r="D24" s="83">
        <v>-67.200900000000004</v>
      </c>
      <c r="E24" s="84"/>
      <c r="F24" s="85"/>
      <c r="G24" s="86"/>
      <c r="H24" s="64"/>
      <c r="O24" s="95"/>
      <c r="P24" s="95"/>
      <c r="Q24" s="95"/>
      <c r="R24" s="95"/>
      <c r="S24" s="95"/>
      <c r="T24" s="95"/>
      <c r="U24" s="95"/>
      <c r="V24" s="95"/>
      <c r="W24" s="96"/>
      <c r="X24" s="96"/>
      <c r="Y24" s="96"/>
      <c r="Z24" s="96"/>
      <c r="AA24" s="96"/>
      <c r="AB24" s="96"/>
      <c r="AC24" s="96"/>
      <c r="AD24" s="96"/>
      <c r="AE24" s="96"/>
      <c r="AF24" s="96"/>
    </row>
    <row r="25" spans="1:32" ht="15.75" customHeight="1" x14ac:dyDescent="0.2">
      <c r="A25" s="82" t="s">
        <v>208</v>
      </c>
      <c r="B25" s="83" t="s">
        <v>116</v>
      </c>
      <c r="C25" s="83">
        <v>17.964880000000001</v>
      </c>
      <c r="D25" s="83">
        <v>-66.756500000000003</v>
      </c>
      <c r="E25" s="84"/>
      <c r="F25" s="85"/>
      <c r="G25" s="86"/>
      <c r="H25" s="64"/>
      <c r="O25" s="95"/>
      <c r="P25" s="95"/>
      <c r="Q25" s="95"/>
      <c r="R25" s="95"/>
      <c r="S25" s="95"/>
      <c r="T25" s="95"/>
      <c r="U25" s="95"/>
      <c r="V25" s="95"/>
      <c r="W25" s="96"/>
      <c r="X25" s="96"/>
      <c r="Y25" s="96"/>
      <c r="Z25" s="96"/>
      <c r="AA25" s="96"/>
      <c r="AB25" s="96"/>
      <c r="AC25" s="96"/>
      <c r="AD25" s="96"/>
      <c r="AE25" s="96"/>
      <c r="AF25" s="96"/>
    </row>
    <row r="26" spans="1:32" ht="15.75" customHeight="1" x14ac:dyDescent="0.2">
      <c r="A26" s="82" t="s">
        <v>210</v>
      </c>
      <c r="B26" s="83" t="s">
        <v>119</v>
      </c>
      <c r="C26" s="83">
        <v>17.960930000000001</v>
      </c>
      <c r="D26" s="83">
        <v>-66.752899999999997</v>
      </c>
      <c r="E26" s="84"/>
      <c r="F26" s="85"/>
      <c r="G26" s="86"/>
      <c r="H26" s="64"/>
      <c r="O26" s="95"/>
      <c r="P26" s="95"/>
      <c r="Q26" s="95"/>
      <c r="R26" s="95"/>
      <c r="S26" s="95"/>
      <c r="T26" s="95"/>
      <c r="U26" s="95"/>
      <c r="V26" s="95"/>
      <c r="W26" s="96"/>
      <c r="X26" s="96"/>
      <c r="Y26" s="96"/>
      <c r="Z26" s="96"/>
      <c r="AA26" s="96"/>
      <c r="AB26" s="96"/>
      <c r="AC26" s="96"/>
      <c r="AD26" s="96"/>
      <c r="AE26" s="96"/>
      <c r="AF26" s="96"/>
    </row>
    <row r="27" spans="1:32" ht="15.75" customHeight="1" x14ac:dyDescent="0.2">
      <c r="A27" s="82" t="s">
        <v>211</v>
      </c>
      <c r="B27" s="83" t="s">
        <v>121</v>
      </c>
      <c r="C27" s="83">
        <v>17.959530000000001</v>
      </c>
      <c r="D27" s="83">
        <v>-66.747</v>
      </c>
      <c r="E27" s="84"/>
      <c r="F27" s="85"/>
      <c r="G27" s="86"/>
      <c r="H27" s="64"/>
      <c r="O27" s="95"/>
      <c r="P27" s="95"/>
      <c r="Q27" s="95"/>
      <c r="R27" s="95"/>
      <c r="S27" s="95"/>
      <c r="T27" s="95"/>
      <c r="U27" s="95"/>
      <c r="V27" s="95"/>
      <c r="W27" s="96"/>
      <c r="X27" s="96"/>
      <c r="Y27" s="96"/>
      <c r="Z27" s="96"/>
      <c r="AA27" s="96"/>
      <c r="AB27" s="96"/>
      <c r="AC27" s="96"/>
      <c r="AD27" s="96"/>
      <c r="AE27" s="96"/>
      <c r="AF27" s="96"/>
    </row>
    <row r="28" spans="1:32" ht="15.75" customHeight="1" x14ac:dyDescent="0.2">
      <c r="A28" s="82" t="s">
        <v>212</v>
      </c>
      <c r="B28" s="83" t="s">
        <v>122</v>
      </c>
      <c r="C28" s="83">
        <v>17.93937</v>
      </c>
      <c r="D28" s="83">
        <v>-67.050700000000006</v>
      </c>
      <c r="E28" s="84"/>
      <c r="F28" s="85"/>
      <c r="G28" s="86"/>
      <c r="H28" s="64"/>
      <c r="O28" s="95"/>
      <c r="P28" s="95"/>
      <c r="Q28" s="95"/>
      <c r="R28" s="95"/>
      <c r="S28" s="95"/>
      <c r="T28" s="95"/>
      <c r="U28" s="95"/>
      <c r="V28" s="95"/>
      <c r="W28" s="81"/>
      <c r="X28" s="81"/>
      <c r="Y28" s="81"/>
      <c r="Z28" s="81"/>
      <c r="AA28" s="81"/>
      <c r="AB28" s="81"/>
      <c r="AC28" s="81"/>
      <c r="AD28" s="81"/>
      <c r="AE28" s="81"/>
      <c r="AF28" s="81"/>
    </row>
    <row r="29" spans="1:32" ht="15.75" customHeight="1" x14ac:dyDescent="0.2">
      <c r="A29" s="82" t="s">
        <v>213</v>
      </c>
      <c r="B29" s="83" t="s">
        <v>123</v>
      </c>
      <c r="C29" s="83">
        <v>17.934719999999999</v>
      </c>
      <c r="D29" s="83">
        <v>-67.048500000000004</v>
      </c>
      <c r="E29" s="84"/>
      <c r="F29" s="85"/>
      <c r="G29" s="86"/>
      <c r="H29" s="64"/>
      <c r="O29" s="95"/>
      <c r="P29" s="95"/>
      <c r="Q29" s="95"/>
      <c r="R29" s="95"/>
      <c r="S29" s="95"/>
      <c r="T29" s="95"/>
      <c r="U29" s="95"/>
      <c r="V29" s="95"/>
      <c r="W29" s="96"/>
      <c r="X29" s="96"/>
      <c r="Y29" s="96"/>
      <c r="Z29" s="96"/>
      <c r="AA29" s="96"/>
      <c r="AB29" s="96"/>
      <c r="AC29" s="96"/>
      <c r="AD29" s="96"/>
      <c r="AE29" s="96"/>
      <c r="AF29" s="96"/>
    </row>
    <row r="30" spans="1:32" ht="15.75" customHeight="1" x14ac:dyDescent="0.2">
      <c r="A30" s="82" t="s">
        <v>214</v>
      </c>
      <c r="B30" s="83" t="s">
        <v>126</v>
      </c>
      <c r="C30" s="83">
        <v>18.14658</v>
      </c>
      <c r="D30" s="83">
        <v>-67.247600000000006</v>
      </c>
      <c r="E30" s="84"/>
      <c r="F30" s="85"/>
      <c r="G30" s="86"/>
      <c r="H30" s="64"/>
      <c r="O30" s="95"/>
      <c r="P30" s="95"/>
      <c r="Q30" s="95"/>
      <c r="R30" s="95"/>
      <c r="S30" s="95"/>
      <c r="T30" s="95"/>
      <c r="U30" s="95"/>
      <c r="V30" s="95"/>
      <c r="W30" s="81"/>
      <c r="X30" s="81"/>
      <c r="Y30" s="81"/>
      <c r="Z30" s="81"/>
      <c r="AA30" s="81"/>
      <c r="AB30" s="81"/>
      <c r="AC30" s="81"/>
      <c r="AD30" s="81"/>
      <c r="AE30" s="81"/>
      <c r="AF30" s="81"/>
    </row>
    <row r="31" spans="1:32" ht="15.75" customHeight="1" x14ac:dyDescent="0.2">
      <c r="A31" s="82" t="s">
        <v>215</v>
      </c>
      <c r="B31" s="83" t="s">
        <v>127</v>
      </c>
      <c r="C31" s="83">
        <v>18.146529999999998</v>
      </c>
      <c r="D31" s="83">
        <v>-67.248000000000005</v>
      </c>
      <c r="E31" s="84"/>
      <c r="F31" s="85"/>
      <c r="G31" s="86"/>
      <c r="H31" s="64"/>
      <c r="O31" s="95"/>
      <c r="P31" s="95"/>
      <c r="Q31" s="95"/>
      <c r="R31" s="95"/>
      <c r="S31" s="95"/>
      <c r="T31" s="95"/>
      <c r="U31" s="95"/>
      <c r="V31" s="95"/>
      <c r="W31" s="96"/>
      <c r="X31" s="96"/>
      <c r="Y31" s="96"/>
      <c r="Z31" s="96"/>
      <c r="AA31" s="96"/>
      <c r="AB31" s="96"/>
      <c r="AC31" s="96"/>
      <c r="AD31" s="96"/>
      <c r="AE31" s="96"/>
      <c r="AF31" s="96"/>
    </row>
    <row r="32" spans="1:32" ht="15.75" customHeight="1" x14ac:dyDescent="0.2">
      <c r="A32" s="78" t="s">
        <v>216</v>
      </c>
      <c r="B32" s="79" t="s">
        <v>128</v>
      </c>
      <c r="C32" s="79">
        <v>18.354659999999999</v>
      </c>
      <c r="D32" s="79">
        <v>-65.567099999999996</v>
      </c>
      <c r="E32" s="92"/>
      <c r="F32" s="93"/>
      <c r="G32" s="87"/>
      <c r="H32" s="64"/>
      <c r="O32" s="95"/>
      <c r="P32" s="95"/>
      <c r="Q32" s="95"/>
      <c r="R32" s="95"/>
      <c r="S32" s="95"/>
      <c r="T32" s="95"/>
      <c r="U32" s="95"/>
      <c r="V32" s="95"/>
      <c r="W32" s="96"/>
      <c r="X32" s="96"/>
      <c r="Y32" s="96"/>
      <c r="Z32" s="96"/>
      <c r="AA32" s="96"/>
      <c r="AB32" s="96"/>
      <c r="AC32" s="96"/>
      <c r="AD32" s="96"/>
      <c r="AE32" s="96"/>
      <c r="AF32" s="96"/>
    </row>
    <row r="33" spans="1:32" ht="15.75" customHeight="1" x14ac:dyDescent="0.2">
      <c r="A33" s="78" t="s">
        <v>217</v>
      </c>
      <c r="B33" s="79" t="s">
        <v>130</v>
      </c>
      <c r="C33" s="79">
        <v>18.335370000000001</v>
      </c>
      <c r="D33" s="79">
        <v>-65.565600000000003</v>
      </c>
      <c r="E33" s="92"/>
      <c r="F33" s="93"/>
      <c r="G33" s="87"/>
      <c r="H33" s="64"/>
      <c r="O33" s="95"/>
      <c r="P33" s="95"/>
      <c r="Q33" s="95"/>
      <c r="R33" s="95"/>
      <c r="S33" s="95"/>
      <c r="T33" s="95"/>
      <c r="U33" s="95"/>
      <c r="V33" s="95"/>
      <c r="W33" s="96"/>
      <c r="X33" s="96"/>
      <c r="Y33" s="96"/>
      <c r="Z33" s="96"/>
      <c r="AA33" s="96"/>
      <c r="AB33" s="96"/>
      <c r="AC33" s="96"/>
      <c r="AD33" s="96"/>
      <c r="AE33" s="96"/>
      <c r="AF33" s="96"/>
    </row>
    <row r="34" spans="1:32" ht="15.75" customHeight="1" x14ac:dyDescent="0.2">
      <c r="A34" s="82" t="s">
        <v>218</v>
      </c>
      <c r="B34" s="83" t="s">
        <v>132</v>
      </c>
      <c r="C34" s="83">
        <v>17.9346</v>
      </c>
      <c r="D34" s="83">
        <v>-66.302499999999995</v>
      </c>
      <c r="E34" s="84"/>
      <c r="F34" s="85"/>
      <c r="G34" s="86"/>
      <c r="H34" s="64"/>
      <c r="O34" s="95"/>
      <c r="P34" s="95"/>
      <c r="Q34" s="95"/>
      <c r="R34" s="95"/>
      <c r="S34" s="95"/>
      <c r="T34" s="95"/>
      <c r="U34" s="95"/>
      <c r="V34" s="95"/>
      <c r="W34" s="96"/>
      <c r="X34" s="96"/>
      <c r="Y34" s="96"/>
      <c r="Z34" s="96"/>
      <c r="AA34" s="96"/>
      <c r="AB34" s="96"/>
      <c r="AC34" s="96"/>
      <c r="AD34" s="96"/>
      <c r="AE34" s="96"/>
      <c r="AF34" s="96"/>
    </row>
    <row r="35" spans="1:32" ht="15.75" customHeight="1" x14ac:dyDescent="0.2">
      <c r="A35" s="82" t="s">
        <v>219</v>
      </c>
      <c r="B35" s="83" t="s">
        <v>133</v>
      </c>
      <c r="C35" s="83">
        <v>17.991160000000001</v>
      </c>
      <c r="D35" s="83">
        <v>-67.233199999999997</v>
      </c>
      <c r="E35" s="84"/>
      <c r="F35" s="85"/>
      <c r="G35" s="86"/>
      <c r="H35" s="64"/>
      <c r="O35" s="95"/>
      <c r="P35" s="95"/>
      <c r="Q35" s="95"/>
      <c r="R35" s="95"/>
      <c r="S35" s="95"/>
      <c r="T35" s="95"/>
      <c r="U35" s="95"/>
      <c r="V35" s="95"/>
      <c r="W35" s="96"/>
      <c r="X35" s="96"/>
      <c r="Y35" s="96"/>
      <c r="Z35" s="96"/>
      <c r="AA35" s="96"/>
      <c r="AB35" s="96"/>
      <c r="AC35" s="96"/>
      <c r="AD35" s="96"/>
      <c r="AE35" s="96"/>
      <c r="AF35" s="96"/>
    </row>
    <row r="36" spans="1:32" ht="15.75" customHeight="1" x14ac:dyDescent="0.2">
      <c r="A36" s="82" t="s">
        <v>220</v>
      </c>
      <c r="B36" s="83" t="s">
        <v>135</v>
      </c>
      <c r="C36" s="83">
        <v>18.189299999999999</v>
      </c>
      <c r="D36" s="83">
        <v>-67.191900000000004</v>
      </c>
      <c r="E36" s="84"/>
      <c r="F36" s="85"/>
      <c r="G36" s="86"/>
      <c r="H36" s="64"/>
      <c r="O36" s="95"/>
      <c r="P36" s="95"/>
      <c r="Q36" s="95"/>
      <c r="R36" s="95"/>
      <c r="S36" s="95"/>
      <c r="T36" s="95"/>
      <c r="U36" s="95"/>
      <c r="V36" s="95"/>
      <c r="W36" s="81"/>
      <c r="X36" s="81"/>
      <c r="Y36" s="81"/>
      <c r="Z36" s="81"/>
      <c r="AA36" s="81"/>
      <c r="AB36" s="81"/>
      <c r="AC36" s="81"/>
      <c r="AD36" s="81"/>
      <c r="AE36" s="81"/>
      <c r="AF36" s="81"/>
    </row>
    <row r="37" spans="1:32" ht="15.75" customHeight="1" x14ac:dyDescent="0.2">
      <c r="A37" s="78" t="s">
        <v>221</v>
      </c>
      <c r="B37" s="79" t="s">
        <v>136</v>
      </c>
      <c r="C37" s="79">
        <v>18.13869</v>
      </c>
      <c r="D37" s="79">
        <v>-65.197100000000006</v>
      </c>
      <c r="E37" s="92"/>
      <c r="F37" s="93"/>
      <c r="G37" s="87"/>
      <c r="H37" s="64"/>
      <c r="O37" s="95"/>
      <c r="P37" s="95"/>
      <c r="Q37" s="95"/>
      <c r="R37" s="95"/>
      <c r="S37" s="95"/>
      <c r="T37" s="95"/>
      <c r="U37" s="95"/>
      <c r="V37" s="95"/>
      <c r="W37" s="96"/>
      <c r="X37" s="96"/>
      <c r="Y37" s="96"/>
      <c r="Z37" s="96"/>
      <c r="AA37" s="96"/>
      <c r="AB37" s="96"/>
      <c r="AC37" s="96"/>
      <c r="AD37" s="96"/>
      <c r="AE37" s="96"/>
      <c r="AF37" s="96"/>
    </row>
    <row r="38" spans="1:32" ht="15.75" customHeight="1" x14ac:dyDescent="0.2">
      <c r="A38" s="82" t="s">
        <v>222</v>
      </c>
      <c r="B38" s="83" t="s">
        <v>138</v>
      </c>
      <c r="C38" s="83">
        <v>18.163039999999999</v>
      </c>
      <c r="D38" s="83">
        <v>-67.273700000000005</v>
      </c>
      <c r="E38" s="84"/>
      <c r="F38" s="85"/>
      <c r="G38" s="86"/>
      <c r="H38" s="64"/>
      <c r="O38" s="95"/>
      <c r="P38" s="95"/>
      <c r="Q38" s="95"/>
      <c r="R38" s="95"/>
      <c r="S38" s="95"/>
      <c r="T38" s="95"/>
      <c r="U38" s="95"/>
      <c r="V38" s="95"/>
      <c r="W38" s="96"/>
      <c r="X38" s="96"/>
      <c r="Y38" s="96"/>
      <c r="Z38" s="96"/>
      <c r="AA38" s="96"/>
      <c r="AB38" s="96"/>
      <c r="AC38" s="96"/>
      <c r="AD38" s="96"/>
      <c r="AE38" s="96"/>
      <c r="AF38" s="96"/>
    </row>
    <row r="39" spans="1:32" ht="15.75" customHeight="1" x14ac:dyDescent="0.2">
      <c r="A39" s="82" t="s">
        <v>224</v>
      </c>
      <c r="B39" s="83" t="s">
        <v>140</v>
      </c>
      <c r="C39" s="83">
        <v>18.16517</v>
      </c>
      <c r="D39" s="83">
        <v>-67.275199999999998</v>
      </c>
      <c r="E39" s="84"/>
      <c r="F39" s="85"/>
      <c r="G39" s="86"/>
      <c r="H39" s="64"/>
      <c r="O39" s="97"/>
      <c r="P39" s="95"/>
      <c r="Q39" s="95"/>
      <c r="R39" s="97"/>
      <c r="S39" s="97"/>
      <c r="T39" s="95"/>
      <c r="U39" s="95"/>
      <c r="V39" s="95"/>
      <c r="W39" s="96"/>
      <c r="X39" s="96"/>
      <c r="Y39" s="96"/>
      <c r="Z39" s="96"/>
      <c r="AA39" s="96"/>
      <c r="AB39" s="96"/>
      <c r="AC39" s="96"/>
      <c r="AD39" s="96"/>
      <c r="AE39" s="96"/>
      <c r="AF39" s="96"/>
    </row>
    <row r="40" spans="1:32" ht="15.75" customHeight="1" x14ac:dyDescent="0.2">
      <c r="A40" s="82" t="s">
        <v>225</v>
      </c>
      <c r="B40" s="83" t="s">
        <v>141</v>
      </c>
      <c r="C40" s="83">
        <v>18.166370000000001</v>
      </c>
      <c r="D40" s="83">
        <v>-67.276300000000006</v>
      </c>
      <c r="E40" s="84"/>
      <c r="F40" s="85"/>
      <c r="G40" s="86"/>
      <c r="H40" s="64"/>
      <c r="O40" s="95"/>
      <c r="P40" s="95"/>
      <c r="Q40" s="95"/>
      <c r="R40" s="95"/>
      <c r="S40" s="95"/>
      <c r="T40" s="95"/>
      <c r="U40" s="95"/>
      <c r="V40" s="95"/>
      <c r="W40" s="96"/>
      <c r="X40" s="96"/>
      <c r="Y40" s="96"/>
      <c r="Z40" s="96"/>
      <c r="AA40" s="96"/>
      <c r="AB40" s="96"/>
      <c r="AC40" s="96"/>
      <c r="AD40" s="96"/>
      <c r="AE40" s="96"/>
      <c r="AF40" s="96"/>
    </row>
    <row r="41" spans="1:32" ht="15.75" customHeight="1" x14ac:dyDescent="0.2">
      <c r="A41" s="78" t="s">
        <v>226</v>
      </c>
      <c r="B41" s="79" t="s">
        <v>143</v>
      </c>
      <c r="C41" s="79">
        <v>18.350719999999999</v>
      </c>
      <c r="D41" s="79">
        <v>-67.266900000000007</v>
      </c>
      <c r="E41" s="92"/>
      <c r="F41" s="93"/>
      <c r="G41" s="87"/>
      <c r="H41" s="64"/>
      <c r="O41" s="97"/>
      <c r="P41" s="97"/>
      <c r="Q41" s="97"/>
      <c r="R41" s="97"/>
      <c r="S41" s="97"/>
      <c r="T41" s="97"/>
      <c r="U41" s="97"/>
      <c r="V41" s="97"/>
      <c r="W41" s="96"/>
      <c r="X41" s="96"/>
      <c r="Y41" s="96"/>
      <c r="Z41" s="96"/>
      <c r="AA41" s="96"/>
      <c r="AB41" s="96"/>
      <c r="AC41" s="96"/>
      <c r="AD41" s="96"/>
      <c r="AE41" s="96"/>
      <c r="AF41" s="96"/>
    </row>
    <row r="42" spans="1:32" ht="15.75" customHeight="1" x14ac:dyDescent="0.2">
      <c r="A42" s="78" t="s">
        <v>228</v>
      </c>
      <c r="B42" s="79" t="s">
        <v>144</v>
      </c>
      <c r="C42" s="79">
        <v>18.34732</v>
      </c>
      <c r="D42" s="79">
        <v>-67.27</v>
      </c>
      <c r="E42" s="92"/>
      <c r="F42" s="93"/>
      <c r="G42" s="87"/>
      <c r="H42" s="64"/>
      <c r="O42" s="89"/>
      <c r="P42" s="89"/>
      <c r="Q42" s="89"/>
      <c r="R42" s="89"/>
      <c r="S42" s="89"/>
      <c r="T42" s="90"/>
      <c r="U42" s="90"/>
      <c r="V42" s="90"/>
      <c r="W42" s="91"/>
      <c r="X42" s="91"/>
      <c r="Y42" s="91"/>
      <c r="Z42" s="91"/>
      <c r="AA42" s="91"/>
      <c r="AB42" s="91"/>
      <c r="AC42" s="91"/>
      <c r="AD42" s="91"/>
      <c r="AE42" s="91"/>
      <c r="AF42" s="91"/>
    </row>
    <row r="43" spans="1:32" ht="15.75" customHeight="1" x14ac:dyDescent="0.2">
      <c r="A43" s="78" t="s">
        <v>229</v>
      </c>
      <c r="B43" s="79" t="s">
        <v>146</v>
      </c>
      <c r="C43" s="79">
        <v>18.346520000000002</v>
      </c>
      <c r="D43" s="79">
        <v>-67.271199999999993</v>
      </c>
      <c r="E43" s="92"/>
      <c r="F43" s="93"/>
      <c r="G43" s="87"/>
      <c r="H43" s="64"/>
      <c r="O43" s="89"/>
      <c r="P43" s="89"/>
      <c r="Q43" s="89"/>
      <c r="R43" s="89"/>
      <c r="S43" s="89"/>
      <c r="T43" s="89"/>
      <c r="U43" s="89"/>
      <c r="V43" s="89"/>
      <c r="W43" s="98"/>
      <c r="X43" s="98"/>
      <c r="Y43" s="98"/>
      <c r="Z43" s="98"/>
      <c r="AA43" s="98"/>
      <c r="AB43" s="98"/>
      <c r="AC43" s="98"/>
      <c r="AD43" s="98"/>
      <c r="AE43" s="98"/>
      <c r="AF43" s="98"/>
    </row>
    <row r="44" spans="1:32" ht="15.75" customHeight="1" x14ac:dyDescent="0.2">
      <c r="A44" s="78" t="s">
        <v>226</v>
      </c>
      <c r="B44" s="79" t="s">
        <v>143</v>
      </c>
      <c r="C44" s="79">
        <v>18.350719999999999</v>
      </c>
      <c r="D44" s="79">
        <v>-67.266900000000007</v>
      </c>
      <c r="E44" s="92"/>
      <c r="F44" s="93"/>
      <c r="G44" s="87"/>
      <c r="H44" s="64"/>
      <c r="O44" s="97"/>
      <c r="P44" s="97"/>
      <c r="Q44" s="97"/>
      <c r="R44" s="97"/>
      <c r="S44" s="97"/>
      <c r="T44" s="97"/>
      <c r="U44" s="97"/>
      <c r="V44" s="97"/>
      <c r="W44" s="96"/>
      <c r="X44" s="96"/>
      <c r="Y44" s="96"/>
      <c r="Z44" s="96"/>
      <c r="AA44" s="96"/>
      <c r="AB44" s="96"/>
      <c r="AC44" s="96"/>
      <c r="AD44" s="96"/>
      <c r="AE44" s="96"/>
      <c r="AF44" s="96"/>
    </row>
    <row r="45" spans="1:32" ht="15.75" customHeight="1" x14ac:dyDescent="0.2">
      <c r="A45" s="78" t="s">
        <v>228</v>
      </c>
      <c r="B45" s="79" t="s">
        <v>144</v>
      </c>
      <c r="C45" s="79">
        <v>18.34732</v>
      </c>
      <c r="D45" s="79">
        <v>-67.27</v>
      </c>
      <c r="E45" s="92"/>
      <c r="F45" s="93"/>
      <c r="G45" s="87"/>
      <c r="H45" s="64"/>
      <c r="O45" s="89"/>
      <c r="P45" s="89"/>
      <c r="Q45" s="89"/>
      <c r="R45" s="89"/>
      <c r="S45" s="89"/>
      <c r="T45" s="89"/>
      <c r="U45" s="89"/>
      <c r="V45" s="89"/>
      <c r="W45" s="98"/>
      <c r="X45" s="98"/>
      <c r="Y45" s="98"/>
      <c r="Z45" s="98"/>
      <c r="AA45" s="98"/>
      <c r="AB45" s="98"/>
      <c r="AC45" s="98"/>
      <c r="AD45" s="98"/>
      <c r="AE45" s="98"/>
      <c r="AF45" s="98"/>
    </row>
    <row r="46" spans="1:32" ht="15.75" customHeight="1" x14ac:dyDescent="0.2">
      <c r="A46" s="99" t="s">
        <v>229</v>
      </c>
      <c r="B46" s="100" t="s">
        <v>146</v>
      </c>
      <c r="C46" s="100">
        <v>18.346520000000002</v>
      </c>
      <c r="D46" s="100">
        <v>-67.271199999999993</v>
      </c>
      <c r="E46" s="101"/>
      <c r="F46" s="102"/>
      <c r="G46" s="87"/>
      <c r="H46" s="64"/>
      <c r="O46" s="89"/>
      <c r="P46" s="89"/>
      <c r="Q46" s="89"/>
      <c r="R46" s="89"/>
      <c r="S46" s="89"/>
      <c r="T46" s="89"/>
      <c r="U46" s="89"/>
      <c r="V46" s="89"/>
      <c r="W46" s="98"/>
      <c r="X46" s="98"/>
      <c r="Y46" s="98"/>
      <c r="Z46" s="98"/>
      <c r="AA46" s="98"/>
      <c r="AB46" s="98"/>
      <c r="AC46" s="98"/>
      <c r="AD46" s="98"/>
      <c r="AE46" s="98"/>
      <c r="AF46" s="98"/>
    </row>
    <row r="47" spans="1:32" ht="15.75" customHeight="1" x14ac:dyDescent="0.15">
      <c r="A47" s="142" t="s">
        <v>312</v>
      </c>
      <c r="B47" s="143"/>
      <c r="C47" s="143"/>
      <c r="D47" s="143"/>
      <c r="E47" s="143"/>
      <c r="F47" s="143"/>
      <c r="G47" s="144"/>
      <c r="H47" s="64"/>
      <c r="O47" s="89"/>
      <c r="P47" s="89"/>
      <c r="Q47" s="89"/>
      <c r="R47" s="89"/>
      <c r="S47" s="89"/>
      <c r="T47" s="89"/>
      <c r="U47" s="89"/>
      <c r="V47" s="89"/>
      <c r="W47" s="98"/>
      <c r="X47" s="98"/>
      <c r="Y47" s="98"/>
      <c r="Z47" s="98"/>
      <c r="AA47" s="98"/>
      <c r="AB47" s="98"/>
      <c r="AC47" s="98"/>
      <c r="AD47" s="98"/>
      <c r="AE47" s="98"/>
      <c r="AF47" s="98"/>
    </row>
    <row r="48" spans="1:32" ht="15.75" customHeight="1" x14ac:dyDescent="0.2">
      <c r="A48" s="103" t="s">
        <v>168</v>
      </c>
      <c r="B48" s="104" t="s">
        <v>313</v>
      </c>
      <c r="C48" s="104">
        <v>18.089639999999999</v>
      </c>
      <c r="D48" s="104">
        <v>-65.590100000000007</v>
      </c>
      <c r="E48" s="105"/>
      <c r="F48" s="106"/>
      <c r="G48" s="107"/>
      <c r="H48" s="64"/>
      <c r="O48" s="90"/>
      <c r="P48" s="90"/>
      <c r="Q48" s="90"/>
      <c r="R48" s="90"/>
      <c r="S48" s="90"/>
      <c r="T48" s="90"/>
      <c r="U48" s="90"/>
      <c r="V48" s="90"/>
      <c r="W48" s="94"/>
      <c r="X48" s="94"/>
      <c r="Y48" s="94"/>
      <c r="Z48" s="94"/>
      <c r="AA48" s="94"/>
      <c r="AB48" s="94"/>
      <c r="AC48" s="94"/>
      <c r="AD48" s="94"/>
      <c r="AE48" s="94"/>
      <c r="AF48" s="94"/>
    </row>
    <row r="49" spans="1:32" ht="15.75" customHeight="1" x14ac:dyDescent="0.2">
      <c r="A49" s="82" t="s">
        <v>311</v>
      </c>
      <c r="B49" s="83" t="s">
        <v>89</v>
      </c>
      <c r="C49" s="83">
        <v>18.489550000000001</v>
      </c>
      <c r="D49" s="83">
        <v>-66.373599999999996</v>
      </c>
      <c r="E49" s="84"/>
      <c r="F49" s="85"/>
      <c r="G49" s="86"/>
      <c r="H49" s="64"/>
      <c r="O49" s="90"/>
      <c r="P49" s="90"/>
      <c r="Q49" s="90"/>
      <c r="R49" s="90"/>
      <c r="S49" s="90"/>
      <c r="T49" s="90"/>
      <c r="U49" s="90"/>
      <c r="V49" s="90"/>
      <c r="W49" s="91"/>
      <c r="X49" s="91"/>
      <c r="Y49" s="91"/>
      <c r="Z49" s="91"/>
      <c r="AA49" s="91"/>
      <c r="AB49" s="91"/>
      <c r="AC49" s="91"/>
      <c r="AD49" s="91"/>
      <c r="AE49" s="91"/>
      <c r="AF49" s="91"/>
    </row>
    <row r="50" spans="1:32" ht="15.75" customHeight="1" x14ac:dyDescent="0.2">
      <c r="A50" s="82" t="s">
        <v>191</v>
      </c>
      <c r="B50" s="83" t="s">
        <v>314</v>
      </c>
      <c r="C50" s="83">
        <v>17.904</v>
      </c>
      <c r="D50" s="83">
        <v>-66.608599999999996</v>
      </c>
      <c r="E50" s="84"/>
      <c r="F50" s="85"/>
      <c r="G50" s="86"/>
      <c r="H50" s="64"/>
      <c r="O50" s="90"/>
      <c r="P50" s="90"/>
      <c r="Q50" s="90"/>
      <c r="R50" s="90"/>
      <c r="S50" s="90"/>
      <c r="T50" s="90"/>
      <c r="U50" s="90"/>
      <c r="V50" s="90"/>
      <c r="W50" s="94"/>
      <c r="X50" s="94"/>
      <c r="Y50" s="94"/>
      <c r="Z50" s="94"/>
      <c r="AA50" s="94"/>
      <c r="AB50" s="94"/>
      <c r="AC50" s="94"/>
      <c r="AD50" s="94"/>
      <c r="AE50" s="94"/>
      <c r="AF50" s="94"/>
    </row>
    <row r="51" spans="1:32" ht="15.75" customHeight="1" x14ac:dyDescent="0.2">
      <c r="A51" s="82" t="s">
        <v>193</v>
      </c>
      <c r="B51" s="83" t="s">
        <v>315</v>
      </c>
      <c r="C51" s="83">
        <v>18.462219999999999</v>
      </c>
      <c r="D51" s="83">
        <v>-66.051699999999997</v>
      </c>
      <c r="E51" s="84"/>
      <c r="F51" s="85"/>
      <c r="G51" s="86"/>
      <c r="H51" s="64"/>
      <c r="J51" s="95"/>
      <c r="O51" s="90"/>
      <c r="P51" s="90"/>
      <c r="Q51" s="90"/>
      <c r="R51" s="90"/>
      <c r="S51" s="90"/>
      <c r="T51" s="90"/>
      <c r="U51" s="90"/>
      <c r="V51" s="90"/>
      <c r="W51" s="94"/>
      <c r="X51" s="94"/>
      <c r="Y51" s="94"/>
      <c r="Z51" s="94"/>
      <c r="AA51" s="94"/>
      <c r="AB51" s="94"/>
      <c r="AC51" s="94"/>
      <c r="AD51" s="94"/>
      <c r="AE51" s="94"/>
      <c r="AF51" s="94"/>
    </row>
    <row r="52" spans="1:32" ht="15.75" customHeight="1" x14ac:dyDescent="0.2">
      <c r="A52" s="82" t="s">
        <v>218</v>
      </c>
      <c r="B52" s="83" t="s">
        <v>316</v>
      </c>
      <c r="C52" s="83">
        <v>17.9346</v>
      </c>
      <c r="D52" s="83">
        <v>-66.302499999999995</v>
      </c>
      <c r="E52" s="84"/>
      <c r="F52" s="85"/>
      <c r="G52" s="86"/>
      <c r="H52" s="95"/>
      <c r="I52" s="89"/>
      <c r="J52" s="89"/>
      <c r="K52" s="95"/>
      <c r="L52" s="95"/>
      <c r="M52" s="95"/>
      <c r="O52" s="95"/>
      <c r="P52" s="95"/>
      <c r="Q52" s="95"/>
      <c r="R52" s="95"/>
      <c r="S52" s="95"/>
      <c r="T52" s="95"/>
      <c r="U52" s="95"/>
      <c r="V52" s="95"/>
      <c r="W52" s="96"/>
      <c r="X52" s="96"/>
      <c r="Y52" s="96"/>
      <c r="Z52" s="96"/>
      <c r="AA52" s="96"/>
      <c r="AB52" s="96"/>
      <c r="AC52" s="96"/>
      <c r="AD52" s="96"/>
      <c r="AE52" s="96"/>
      <c r="AF52" s="96"/>
    </row>
    <row r="53" spans="1:32" ht="15.75" customHeight="1" x14ac:dyDescent="0.15">
      <c r="A53" s="108"/>
      <c r="B53" s="109"/>
      <c r="C53" s="110"/>
      <c r="D53" s="110"/>
      <c r="E53" s="110"/>
      <c r="F53" s="89"/>
      <c r="G53" s="89"/>
      <c r="H53" s="89"/>
      <c r="I53" s="111"/>
      <c r="J53" s="111"/>
      <c r="K53" s="89"/>
      <c r="L53" s="89"/>
      <c r="M53" s="89"/>
      <c r="O53" s="89"/>
      <c r="P53" s="89"/>
      <c r="Q53" s="89"/>
      <c r="R53" s="89"/>
      <c r="S53" s="89"/>
      <c r="T53" s="89"/>
      <c r="U53" s="89"/>
      <c r="V53" s="89"/>
      <c r="W53" s="98"/>
      <c r="X53" s="98"/>
      <c r="Y53" s="98"/>
      <c r="Z53" s="98"/>
      <c r="AA53" s="98"/>
      <c r="AB53" s="98"/>
      <c r="AC53" s="98"/>
      <c r="AD53" s="98"/>
      <c r="AE53" s="98"/>
      <c r="AF53" s="98"/>
    </row>
    <row r="54" spans="1:32" ht="15.75" customHeight="1" x14ac:dyDescent="0.15">
      <c r="A54" s="108"/>
      <c r="B54" s="109"/>
      <c r="C54" s="109"/>
      <c r="D54" s="109"/>
      <c r="E54" s="109"/>
      <c r="F54" s="111"/>
      <c r="G54" s="111"/>
      <c r="H54" s="111"/>
      <c r="I54" s="111"/>
      <c r="J54" s="111"/>
      <c r="K54" s="111"/>
      <c r="L54" s="111"/>
      <c r="M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</row>
    <row r="55" spans="1:32" ht="15.75" customHeight="1" x14ac:dyDescent="0.15">
      <c r="A55" s="108"/>
      <c r="B55" s="109"/>
      <c r="C55" s="109"/>
      <c r="D55" s="109"/>
      <c r="E55" s="109"/>
      <c r="F55" s="111"/>
      <c r="G55" s="111"/>
      <c r="H55" s="111"/>
      <c r="I55" s="111"/>
      <c r="J55" s="111"/>
      <c r="K55" s="111"/>
      <c r="L55" s="111"/>
      <c r="M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</row>
    <row r="56" spans="1:32" ht="15.75" customHeight="1" x14ac:dyDescent="0.15">
      <c r="A56" s="108"/>
      <c r="B56" s="109"/>
      <c r="C56" s="109"/>
      <c r="D56" s="109"/>
      <c r="E56" s="109"/>
      <c r="F56" s="111"/>
      <c r="G56" s="111"/>
      <c r="H56" s="111"/>
      <c r="I56" s="111"/>
      <c r="J56" s="111"/>
      <c r="K56" s="111"/>
      <c r="L56" s="111"/>
      <c r="M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</row>
    <row r="57" spans="1:32" ht="15.75" customHeight="1" x14ac:dyDescent="0.15">
      <c r="A57" s="108"/>
      <c r="B57" s="109"/>
      <c r="C57" s="109"/>
      <c r="D57" s="109"/>
      <c r="E57" s="109"/>
      <c r="F57" s="111"/>
      <c r="G57" s="111"/>
      <c r="H57" s="111"/>
      <c r="I57" s="89"/>
      <c r="J57" s="89"/>
      <c r="K57" s="111"/>
      <c r="L57" s="111"/>
      <c r="M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</row>
    <row r="58" spans="1:32" ht="15.75" customHeight="1" x14ac:dyDescent="0.15">
      <c r="A58" s="108"/>
      <c r="B58" s="109"/>
      <c r="C58" s="110"/>
      <c r="D58" s="110"/>
      <c r="E58" s="110"/>
      <c r="F58" s="89"/>
      <c r="G58" s="89"/>
      <c r="H58" s="89"/>
      <c r="I58" s="89"/>
      <c r="J58" s="89"/>
      <c r="K58" s="89"/>
      <c r="L58" s="89"/>
      <c r="M58" s="89"/>
      <c r="O58" s="89"/>
      <c r="P58" s="89"/>
      <c r="Q58" s="89"/>
      <c r="R58" s="89"/>
      <c r="S58" s="89"/>
      <c r="T58" s="89"/>
      <c r="U58" s="89"/>
      <c r="V58" s="89"/>
      <c r="W58" s="98"/>
      <c r="X58" s="98"/>
      <c r="Y58" s="98"/>
      <c r="Z58" s="98"/>
      <c r="AA58" s="98"/>
      <c r="AB58" s="98"/>
      <c r="AC58" s="98"/>
      <c r="AD58" s="98"/>
      <c r="AE58" s="98"/>
      <c r="AF58" s="98"/>
    </row>
    <row r="59" spans="1:32" ht="15.75" customHeight="1" x14ac:dyDescent="0.15">
      <c r="A59" s="108"/>
      <c r="B59" s="109"/>
      <c r="C59" s="110"/>
      <c r="D59" s="110"/>
      <c r="E59" s="110"/>
      <c r="F59" s="89"/>
      <c r="G59" s="89"/>
      <c r="H59" s="89"/>
      <c r="I59" s="89"/>
      <c r="J59" s="89"/>
      <c r="K59" s="89"/>
      <c r="L59" s="89"/>
      <c r="M59" s="89"/>
      <c r="O59" s="89"/>
      <c r="P59" s="89"/>
      <c r="Q59" s="89"/>
      <c r="R59" s="89"/>
      <c r="S59" s="89"/>
      <c r="T59" s="89"/>
      <c r="U59" s="89"/>
      <c r="V59" s="89"/>
      <c r="W59" s="98"/>
      <c r="X59" s="98"/>
      <c r="Y59" s="98"/>
      <c r="Z59" s="98"/>
      <c r="AA59" s="98"/>
      <c r="AB59" s="98"/>
      <c r="AC59" s="98"/>
      <c r="AD59" s="98"/>
      <c r="AE59" s="98"/>
      <c r="AF59" s="98"/>
    </row>
    <row r="60" spans="1:32" ht="15.75" customHeight="1" x14ac:dyDescent="0.15">
      <c r="A60" s="108"/>
      <c r="B60" s="109"/>
      <c r="C60" s="110"/>
      <c r="D60" s="110"/>
      <c r="E60" s="110"/>
      <c r="F60" s="89"/>
      <c r="G60" s="89"/>
      <c r="H60" s="89"/>
      <c r="I60" s="89"/>
      <c r="J60" s="89"/>
      <c r="K60" s="89"/>
      <c r="L60" s="89"/>
      <c r="M60" s="89"/>
      <c r="O60" s="89"/>
      <c r="P60" s="89"/>
      <c r="Q60" s="89"/>
      <c r="R60" s="89"/>
      <c r="S60" s="89"/>
      <c r="T60" s="89"/>
      <c r="U60" s="89"/>
      <c r="V60" s="89"/>
      <c r="W60" s="98"/>
      <c r="X60" s="98"/>
      <c r="Y60" s="98"/>
      <c r="Z60" s="98"/>
      <c r="AA60" s="98"/>
      <c r="AB60" s="98"/>
      <c r="AC60" s="98"/>
      <c r="AD60" s="98"/>
      <c r="AE60" s="98"/>
      <c r="AF60" s="98"/>
    </row>
    <row r="61" spans="1:32" ht="15.75" customHeight="1" x14ac:dyDescent="0.15">
      <c r="A61" s="108"/>
      <c r="B61" s="109"/>
      <c r="C61" s="110"/>
      <c r="D61" s="110"/>
      <c r="E61" s="110"/>
      <c r="F61" s="89"/>
      <c r="G61" s="89"/>
      <c r="H61" s="89"/>
      <c r="I61" s="89"/>
      <c r="J61" s="89"/>
      <c r="K61" s="89"/>
      <c r="L61" s="89"/>
      <c r="M61" s="89"/>
      <c r="O61" s="89"/>
      <c r="P61" s="89"/>
      <c r="Q61" s="89"/>
      <c r="R61" s="89"/>
      <c r="S61" s="89"/>
      <c r="T61" s="89"/>
      <c r="U61" s="89"/>
      <c r="V61" s="89"/>
      <c r="W61" s="98"/>
      <c r="X61" s="98"/>
      <c r="Y61" s="98"/>
      <c r="Z61" s="98"/>
      <c r="AA61" s="98"/>
      <c r="AB61" s="98"/>
      <c r="AC61" s="98"/>
      <c r="AD61" s="98"/>
      <c r="AE61" s="98"/>
      <c r="AF61" s="98"/>
    </row>
    <row r="62" spans="1:32" ht="15.75" customHeight="1" x14ac:dyDescent="0.15">
      <c r="A62" s="108"/>
      <c r="B62" s="109"/>
      <c r="C62" s="110"/>
      <c r="D62" s="110"/>
      <c r="E62" s="110"/>
      <c r="F62" s="89"/>
      <c r="G62" s="89"/>
      <c r="H62" s="89"/>
      <c r="I62" s="89"/>
      <c r="J62" s="89"/>
      <c r="K62" s="89"/>
      <c r="L62" s="89"/>
      <c r="M62" s="89"/>
      <c r="O62" s="89"/>
      <c r="P62" s="89"/>
      <c r="Q62" s="89"/>
      <c r="R62" s="89"/>
      <c r="S62" s="89"/>
      <c r="T62" s="89"/>
      <c r="U62" s="89"/>
      <c r="V62" s="89"/>
      <c r="W62" s="98"/>
      <c r="X62" s="98"/>
      <c r="Y62" s="98"/>
      <c r="Z62" s="98"/>
      <c r="AA62" s="98"/>
      <c r="AB62" s="98"/>
      <c r="AC62" s="98"/>
      <c r="AD62" s="98"/>
      <c r="AE62" s="98"/>
      <c r="AF62" s="98"/>
    </row>
    <row r="63" spans="1:32" ht="15.75" customHeight="1" x14ac:dyDescent="0.15">
      <c r="A63" s="108"/>
      <c r="B63" s="109"/>
      <c r="C63" s="110"/>
      <c r="D63" s="110"/>
      <c r="E63" s="110"/>
      <c r="F63" s="89"/>
      <c r="G63" s="89"/>
      <c r="H63" s="89"/>
      <c r="I63" s="89"/>
      <c r="J63" s="89"/>
      <c r="K63" s="89"/>
      <c r="L63" s="89"/>
      <c r="M63" s="89"/>
      <c r="O63" s="89"/>
      <c r="P63" s="89"/>
      <c r="Q63" s="89"/>
      <c r="R63" s="89"/>
      <c r="S63" s="89"/>
      <c r="T63" s="89"/>
      <c r="U63" s="89"/>
      <c r="V63" s="89"/>
      <c r="W63" s="98"/>
      <c r="X63" s="98"/>
      <c r="Y63" s="98"/>
      <c r="Z63" s="98"/>
      <c r="AA63" s="98"/>
      <c r="AB63" s="98"/>
      <c r="AC63" s="98"/>
      <c r="AD63" s="98"/>
      <c r="AE63" s="98"/>
      <c r="AF63" s="98"/>
    </row>
    <row r="64" spans="1:32" ht="15.75" customHeight="1" x14ac:dyDescent="0.15">
      <c r="A64" s="108"/>
      <c r="B64" s="109"/>
      <c r="C64" s="110"/>
      <c r="D64" s="110"/>
      <c r="E64" s="110"/>
      <c r="F64" s="89"/>
      <c r="G64" s="89"/>
      <c r="H64" s="89"/>
      <c r="I64" s="89"/>
      <c r="J64" s="89"/>
      <c r="K64" s="89"/>
      <c r="L64" s="89"/>
      <c r="M64" s="89"/>
      <c r="O64" s="89"/>
      <c r="P64" s="89"/>
      <c r="Q64" s="89"/>
      <c r="R64" s="89"/>
      <c r="S64" s="89"/>
      <c r="T64" s="89"/>
      <c r="U64" s="89"/>
      <c r="V64" s="89"/>
      <c r="W64" s="98"/>
      <c r="X64" s="98"/>
      <c r="Y64" s="98"/>
      <c r="Z64" s="98"/>
      <c r="AA64" s="98"/>
      <c r="AB64" s="98"/>
      <c r="AC64" s="98"/>
      <c r="AD64" s="98"/>
      <c r="AE64" s="98"/>
      <c r="AF64" s="98"/>
    </row>
    <row r="65" spans="1:32" ht="15.75" customHeight="1" x14ac:dyDescent="0.15">
      <c r="A65" s="108"/>
      <c r="B65" s="109"/>
      <c r="C65" s="110"/>
      <c r="D65" s="110"/>
      <c r="E65" s="110"/>
      <c r="F65" s="89"/>
      <c r="G65" s="89"/>
      <c r="H65" s="89"/>
      <c r="I65" s="89"/>
      <c r="J65" s="89"/>
      <c r="K65" s="89"/>
      <c r="L65" s="89"/>
      <c r="M65" s="89"/>
      <c r="O65" s="89"/>
      <c r="P65" s="89"/>
      <c r="Q65" s="89"/>
      <c r="R65" s="89"/>
      <c r="S65" s="89"/>
      <c r="T65" s="89"/>
      <c r="U65" s="89"/>
      <c r="V65" s="89"/>
      <c r="W65" s="98"/>
      <c r="X65" s="98"/>
      <c r="Y65" s="98"/>
      <c r="Z65" s="98"/>
      <c r="AA65" s="98"/>
      <c r="AB65" s="98"/>
      <c r="AC65" s="98"/>
      <c r="AD65" s="98"/>
      <c r="AE65" s="98"/>
      <c r="AF65" s="98"/>
    </row>
    <row r="66" spans="1:32" ht="15.75" customHeight="1" x14ac:dyDescent="0.15">
      <c r="A66" s="108"/>
      <c r="B66" s="109"/>
      <c r="C66" s="110"/>
      <c r="D66" s="110"/>
      <c r="E66" s="110"/>
      <c r="F66" s="89"/>
      <c r="G66" s="89"/>
      <c r="H66" s="89"/>
      <c r="I66" s="89"/>
      <c r="J66" s="89"/>
      <c r="K66" s="89"/>
      <c r="L66" s="89"/>
      <c r="M66" s="89"/>
      <c r="O66" s="89"/>
      <c r="P66" s="89"/>
      <c r="Q66" s="89"/>
      <c r="R66" s="89"/>
      <c r="S66" s="89"/>
      <c r="T66" s="89"/>
      <c r="U66" s="89"/>
      <c r="V66" s="89"/>
      <c r="W66" s="98"/>
      <c r="X66" s="98"/>
      <c r="Y66" s="98"/>
      <c r="Z66" s="98"/>
      <c r="AA66" s="98"/>
      <c r="AB66" s="98"/>
      <c r="AC66" s="98"/>
      <c r="AD66" s="98"/>
      <c r="AE66" s="98"/>
      <c r="AF66" s="98"/>
    </row>
    <row r="67" spans="1:32" ht="15.75" customHeight="1" x14ac:dyDescent="0.15">
      <c r="A67" s="108"/>
      <c r="B67" s="109"/>
      <c r="C67" s="110"/>
      <c r="D67" s="110"/>
      <c r="E67" s="110"/>
      <c r="F67" s="89"/>
      <c r="G67" s="89"/>
      <c r="H67" s="89"/>
      <c r="I67" s="89"/>
      <c r="J67" s="89"/>
      <c r="K67" s="89"/>
      <c r="L67" s="89"/>
      <c r="M67" s="89"/>
      <c r="O67" s="89"/>
      <c r="P67" s="89"/>
      <c r="Q67" s="89"/>
      <c r="R67" s="89"/>
      <c r="S67" s="89"/>
      <c r="T67" s="89"/>
      <c r="U67" s="89"/>
      <c r="V67" s="89"/>
      <c r="W67" s="98"/>
      <c r="X67" s="98"/>
      <c r="Y67" s="98"/>
      <c r="Z67" s="98"/>
      <c r="AA67" s="98"/>
      <c r="AB67" s="98"/>
      <c r="AC67" s="98"/>
      <c r="AD67" s="98"/>
      <c r="AE67" s="98"/>
      <c r="AF67" s="98"/>
    </row>
    <row r="68" spans="1:32" ht="15.75" customHeight="1" x14ac:dyDescent="0.15">
      <c r="A68" s="108"/>
      <c r="B68" s="109"/>
      <c r="C68" s="110"/>
      <c r="D68" s="110"/>
      <c r="E68" s="110"/>
      <c r="F68" s="89"/>
      <c r="G68" s="89"/>
      <c r="H68" s="89"/>
      <c r="I68" s="89"/>
      <c r="J68" s="89"/>
      <c r="K68" s="89"/>
      <c r="L68" s="89"/>
      <c r="M68" s="89"/>
      <c r="O68" s="89"/>
      <c r="P68" s="89"/>
      <c r="Q68" s="89"/>
      <c r="R68" s="89"/>
      <c r="S68" s="89"/>
      <c r="T68" s="89"/>
      <c r="U68" s="89"/>
      <c r="V68" s="89"/>
      <c r="W68" s="98"/>
      <c r="X68" s="98"/>
      <c r="Y68" s="98"/>
      <c r="Z68" s="98"/>
      <c r="AA68" s="98"/>
      <c r="AB68" s="98"/>
      <c r="AC68" s="98"/>
      <c r="AD68" s="98"/>
      <c r="AE68" s="98"/>
      <c r="AF68" s="98"/>
    </row>
    <row r="69" spans="1:32" ht="15.75" customHeight="1" x14ac:dyDescent="0.15">
      <c r="A69" s="108"/>
      <c r="B69" s="109"/>
      <c r="C69" s="110"/>
      <c r="D69" s="110"/>
      <c r="E69" s="110"/>
      <c r="F69" s="89"/>
      <c r="G69" s="89"/>
      <c r="H69" s="89"/>
      <c r="I69" s="89"/>
      <c r="J69" s="89"/>
      <c r="K69" s="89"/>
      <c r="L69" s="89"/>
      <c r="M69" s="89"/>
      <c r="O69" s="89"/>
      <c r="P69" s="89"/>
      <c r="Q69" s="89"/>
      <c r="R69" s="89"/>
      <c r="S69" s="89"/>
      <c r="T69" s="89"/>
      <c r="U69" s="89"/>
      <c r="V69" s="89"/>
      <c r="W69" s="98"/>
      <c r="X69" s="98"/>
      <c r="Y69" s="98"/>
      <c r="Z69" s="98"/>
      <c r="AA69" s="98"/>
      <c r="AB69" s="98"/>
      <c r="AC69" s="98"/>
      <c r="AD69" s="98"/>
      <c r="AE69" s="98"/>
      <c r="AF69" s="98"/>
    </row>
    <row r="70" spans="1:32" ht="15.75" customHeight="1" x14ac:dyDescent="0.15">
      <c r="A70" s="108"/>
      <c r="B70" s="109"/>
      <c r="C70" s="110"/>
      <c r="D70" s="110"/>
      <c r="E70" s="110"/>
      <c r="F70" s="89"/>
      <c r="G70" s="89"/>
      <c r="H70" s="89"/>
      <c r="I70" s="89"/>
      <c r="J70" s="89"/>
      <c r="K70" s="89"/>
      <c r="L70" s="89"/>
      <c r="M70" s="89"/>
      <c r="O70" s="89"/>
      <c r="P70" s="89"/>
      <c r="Q70" s="89"/>
      <c r="R70" s="89"/>
      <c r="S70" s="89"/>
      <c r="T70" s="89"/>
      <c r="U70" s="89"/>
      <c r="V70" s="89"/>
      <c r="W70" s="98"/>
      <c r="X70" s="98"/>
      <c r="Y70" s="98"/>
      <c r="Z70" s="98"/>
      <c r="AA70" s="98"/>
      <c r="AB70" s="98"/>
      <c r="AC70" s="98"/>
      <c r="AD70" s="98"/>
      <c r="AE70" s="98"/>
      <c r="AF70" s="98"/>
    </row>
    <row r="71" spans="1:32" ht="15.75" customHeight="1" x14ac:dyDescent="0.15">
      <c r="A71" s="108"/>
      <c r="B71" s="109"/>
      <c r="C71" s="110"/>
      <c r="D71" s="110"/>
      <c r="E71" s="110"/>
      <c r="F71" s="89"/>
      <c r="G71" s="89"/>
      <c r="H71" s="89"/>
      <c r="I71" s="89"/>
      <c r="J71" s="89"/>
      <c r="K71" s="89"/>
      <c r="L71" s="89"/>
      <c r="M71" s="89"/>
      <c r="O71" s="89"/>
      <c r="P71" s="89"/>
      <c r="Q71" s="89"/>
      <c r="R71" s="89"/>
      <c r="S71" s="89"/>
      <c r="T71" s="89"/>
      <c r="U71" s="89"/>
      <c r="V71" s="89"/>
      <c r="W71" s="98"/>
      <c r="X71" s="98"/>
      <c r="Y71" s="98"/>
      <c r="Z71" s="98"/>
      <c r="AA71" s="98"/>
      <c r="AB71" s="98"/>
      <c r="AC71" s="98"/>
      <c r="AD71" s="98"/>
      <c r="AE71" s="98"/>
      <c r="AF71" s="98"/>
    </row>
    <row r="72" spans="1:32" ht="15.75" customHeight="1" x14ac:dyDescent="0.15">
      <c r="A72" s="108"/>
      <c r="B72" s="109"/>
      <c r="C72" s="110"/>
      <c r="D72" s="110"/>
      <c r="E72" s="110"/>
      <c r="F72" s="89"/>
      <c r="G72" s="89"/>
      <c r="H72" s="89"/>
      <c r="I72" s="89"/>
      <c r="J72" s="89"/>
      <c r="K72" s="89"/>
      <c r="L72" s="89"/>
      <c r="M72" s="89"/>
      <c r="O72" s="89"/>
      <c r="P72" s="89"/>
      <c r="Q72" s="89"/>
      <c r="R72" s="89"/>
      <c r="S72" s="89"/>
      <c r="T72" s="89"/>
      <c r="U72" s="89"/>
      <c r="V72" s="89"/>
      <c r="W72" s="98"/>
      <c r="X72" s="98"/>
      <c r="Y72" s="98"/>
      <c r="Z72" s="98"/>
      <c r="AA72" s="98"/>
      <c r="AB72" s="98"/>
      <c r="AC72" s="98"/>
      <c r="AD72" s="98"/>
      <c r="AE72" s="98"/>
      <c r="AF72" s="98"/>
    </row>
    <row r="73" spans="1:32" ht="15.75" customHeight="1" x14ac:dyDescent="0.15">
      <c r="A73" s="108"/>
      <c r="B73" s="109"/>
      <c r="C73" s="110"/>
      <c r="D73" s="110"/>
      <c r="E73" s="110"/>
      <c r="F73" s="89"/>
      <c r="G73" s="89"/>
      <c r="H73" s="89"/>
      <c r="I73" s="89"/>
      <c r="J73" s="89"/>
      <c r="K73" s="89"/>
      <c r="L73" s="89"/>
      <c r="M73" s="89"/>
      <c r="O73" s="89"/>
      <c r="P73" s="89"/>
      <c r="Q73" s="89"/>
      <c r="R73" s="89"/>
      <c r="S73" s="89"/>
      <c r="T73" s="89"/>
      <c r="U73" s="89"/>
      <c r="V73" s="89"/>
      <c r="W73" s="98"/>
      <c r="X73" s="98"/>
      <c r="Y73" s="98"/>
      <c r="Z73" s="98"/>
      <c r="AA73" s="98"/>
      <c r="AB73" s="98"/>
      <c r="AC73" s="98"/>
      <c r="AD73" s="98"/>
      <c r="AE73" s="98"/>
      <c r="AF73" s="98"/>
    </row>
    <row r="74" spans="1:32" ht="15.75" customHeight="1" x14ac:dyDescent="0.15">
      <c r="A74" s="108"/>
      <c r="B74" s="109"/>
      <c r="C74" s="110"/>
      <c r="D74" s="110"/>
      <c r="E74" s="110"/>
      <c r="F74" s="89"/>
      <c r="G74" s="89"/>
      <c r="H74" s="89"/>
      <c r="I74" s="89"/>
      <c r="J74" s="89"/>
      <c r="K74" s="89"/>
      <c r="L74" s="89"/>
      <c r="M74" s="89"/>
      <c r="O74" s="89"/>
      <c r="P74" s="89"/>
      <c r="Q74" s="89"/>
      <c r="R74" s="89"/>
      <c r="S74" s="89"/>
      <c r="T74" s="89"/>
      <c r="U74" s="89"/>
      <c r="V74" s="89"/>
      <c r="W74" s="98"/>
      <c r="X74" s="98"/>
      <c r="Y74" s="98"/>
      <c r="Z74" s="98"/>
      <c r="AA74" s="98"/>
      <c r="AB74" s="98"/>
      <c r="AC74" s="98"/>
      <c r="AD74" s="98"/>
      <c r="AE74" s="98"/>
      <c r="AF74" s="98"/>
    </row>
    <row r="75" spans="1:32" ht="15.75" customHeight="1" x14ac:dyDescent="0.15">
      <c r="A75" s="108"/>
      <c r="B75" s="109"/>
      <c r="C75" s="110"/>
      <c r="D75" s="110"/>
      <c r="E75" s="110"/>
      <c r="F75" s="89"/>
      <c r="G75" s="89"/>
      <c r="H75" s="89"/>
      <c r="I75" s="89"/>
      <c r="J75" s="89"/>
      <c r="K75" s="89"/>
      <c r="L75" s="89"/>
      <c r="M75" s="89"/>
      <c r="O75" s="89"/>
      <c r="P75" s="89"/>
      <c r="Q75" s="89"/>
      <c r="R75" s="89"/>
      <c r="S75" s="89"/>
      <c r="T75" s="89"/>
      <c r="U75" s="89"/>
      <c r="V75" s="89"/>
      <c r="W75" s="98"/>
      <c r="X75" s="98"/>
      <c r="Y75" s="98"/>
      <c r="Z75" s="98"/>
      <c r="AA75" s="98"/>
      <c r="AB75" s="98"/>
      <c r="AC75" s="98"/>
      <c r="AD75" s="98"/>
      <c r="AE75" s="98"/>
      <c r="AF75" s="98"/>
    </row>
    <row r="76" spans="1:32" ht="15.75" customHeight="1" x14ac:dyDescent="0.15">
      <c r="A76" s="108"/>
      <c r="B76" s="109"/>
      <c r="C76" s="110"/>
      <c r="D76" s="110"/>
      <c r="E76" s="110"/>
      <c r="F76" s="89"/>
      <c r="G76" s="89"/>
      <c r="H76" s="89"/>
      <c r="I76" s="89"/>
      <c r="J76" s="89"/>
      <c r="K76" s="89"/>
      <c r="L76" s="89"/>
      <c r="M76" s="89"/>
      <c r="O76" s="89"/>
      <c r="P76" s="89"/>
      <c r="Q76" s="89"/>
      <c r="R76" s="89"/>
      <c r="S76" s="89"/>
      <c r="T76" s="89"/>
      <c r="U76" s="89"/>
      <c r="V76" s="89"/>
      <c r="W76" s="98"/>
      <c r="X76" s="98"/>
      <c r="Y76" s="98"/>
      <c r="Z76" s="98"/>
      <c r="AA76" s="98"/>
      <c r="AB76" s="98"/>
      <c r="AC76" s="98"/>
      <c r="AD76" s="98"/>
      <c r="AE76" s="98"/>
      <c r="AF76" s="98"/>
    </row>
    <row r="77" spans="1:32" ht="15.75" customHeight="1" x14ac:dyDescent="0.15">
      <c r="A77" s="108"/>
      <c r="B77" s="109"/>
      <c r="C77" s="110"/>
      <c r="D77" s="110"/>
      <c r="E77" s="110"/>
      <c r="F77" s="89"/>
      <c r="G77" s="89"/>
      <c r="H77" s="89"/>
      <c r="I77" s="89"/>
      <c r="J77" s="89"/>
      <c r="K77" s="89"/>
      <c r="L77" s="89"/>
      <c r="M77" s="89"/>
      <c r="O77" s="89"/>
      <c r="P77" s="89"/>
      <c r="Q77" s="89"/>
      <c r="R77" s="89"/>
      <c r="S77" s="89"/>
      <c r="T77" s="89"/>
      <c r="U77" s="89"/>
      <c r="V77" s="89"/>
      <c r="W77" s="98"/>
      <c r="X77" s="98"/>
      <c r="Y77" s="98"/>
      <c r="Z77" s="98"/>
      <c r="AA77" s="98"/>
      <c r="AB77" s="98"/>
      <c r="AC77" s="98"/>
      <c r="AD77" s="98"/>
      <c r="AE77" s="98"/>
      <c r="AF77" s="98"/>
    </row>
    <row r="78" spans="1:32" ht="15.75" customHeight="1" x14ac:dyDescent="0.15">
      <c r="A78" s="108"/>
      <c r="B78" s="109"/>
      <c r="C78" s="110"/>
      <c r="D78" s="110"/>
      <c r="E78" s="110"/>
      <c r="F78" s="89"/>
      <c r="G78" s="89"/>
      <c r="H78" s="89"/>
      <c r="I78" s="89"/>
      <c r="J78" s="89"/>
      <c r="K78" s="89"/>
      <c r="L78" s="89"/>
      <c r="M78" s="89"/>
      <c r="O78" s="89"/>
      <c r="P78" s="89"/>
      <c r="Q78" s="89"/>
      <c r="R78" s="89"/>
      <c r="S78" s="89"/>
      <c r="T78" s="89"/>
      <c r="U78" s="89"/>
      <c r="V78" s="89"/>
      <c r="W78" s="98"/>
      <c r="X78" s="98"/>
      <c r="Y78" s="98"/>
      <c r="Z78" s="98"/>
      <c r="AA78" s="98"/>
      <c r="AB78" s="98"/>
      <c r="AC78" s="98"/>
      <c r="AD78" s="98"/>
      <c r="AE78" s="98"/>
      <c r="AF78" s="98"/>
    </row>
    <row r="79" spans="1:32" ht="15.75" customHeight="1" x14ac:dyDescent="0.15">
      <c r="A79" s="108"/>
      <c r="B79" s="109"/>
      <c r="C79" s="110"/>
      <c r="D79" s="110"/>
      <c r="E79" s="110"/>
      <c r="F79" s="89"/>
      <c r="G79" s="89"/>
      <c r="H79" s="89"/>
      <c r="I79" s="89"/>
      <c r="J79" s="89"/>
      <c r="K79" s="89"/>
      <c r="L79" s="89"/>
      <c r="M79" s="89"/>
      <c r="O79" s="89"/>
      <c r="P79" s="89"/>
      <c r="Q79" s="89"/>
      <c r="R79" s="89"/>
      <c r="S79" s="89"/>
      <c r="T79" s="89"/>
      <c r="U79" s="89"/>
      <c r="V79" s="89"/>
      <c r="W79" s="98"/>
      <c r="X79" s="98"/>
      <c r="Y79" s="98"/>
      <c r="Z79" s="98"/>
      <c r="AA79" s="98"/>
      <c r="AB79" s="98"/>
      <c r="AC79" s="98"/>
      <c r="AD79" s="98"/>
      <c r="AE79" s="98"/>
      <c r="AF79" s="98"/>
    </row>
    <row r="80" spans="1:32" ht="15.75" customHeight="1" x14ac:dyDescent="0.15">
      <c r="A80" s="108"/>
      <c r="B80" s="109"/>
      <c r="C80" s="110"/>
      <c r="D80" s="110"/>
      <c r="E80" s="110"/>
      <c r="F80" s="89"/>
      <c r="G80" s="89"/>
      <c r="H80" s="89"/>
      <c r="I80" s="89"/>
      <c r="J80" s="89"/>
      <c r="K80" s="89"/>
      <c r="L80" s="89"/>
      <c r="M80" s="89"/>
      <c r="O80" s="89"/>
      <c r="P80" s="89"/>
      <c r="Q80" s="89"/>
      <c r="R80" s="89"/>
      <c r="S80" s="89"/>
      <c r="T80" s="89"/>
      <c r="U80" s="89"/>
      <c r="V80" s="89"/>
      <c r="W80" s="98"/>
      <c r="X80" s="98"/>
      <c r="Y80" s="98"/>
      <c r="Z80" s="98"/>
      <c r="AA80" s="98"/>
      <c r="AB80" s="98"/>
      <c r="AC80" s="98"/>
      <c r="AD80" s="98"/>
      <c r="AE80" s="98"/>
      <c r="AF80" s="98"/>
    </row>
    <row r="81" spans="1:32" ht="15.75" customHeight="1" x14ac:dyDescent="0.15">
      <c r="A81" s="108"/>
      <c r="B81" s="109"/>
      <c r="C81" s="110"/>
      <c r="D81" s="110"/>
      <c r="E81" s="110"/>
      <c r="F81" s="89"/>
      <c r="G81" s="89"/>
      <c r="H81" s="89"/>
      <c r="I81" s="89"/>
      <c r="J81" s="89"/>
      <c r="K81" s="89"/>
      <c r="L81" s="89"/>
      <c r="M81" s="89"/>
      <c r="O81" s="89"/>
      <c r="P81" s="89"/>
      <c r="Q81" s="89"/>
      <c r="R81" s="89"/>
      <c r="S81" s="89"/>
      <c r="T81" s="89"/>
      <c r="U81" s="89"/>
      <c r="V81" s="89"/>
      <c r="W81" s="98"/>
      <c r="X81" s="98"/>
      <c r="Y81" s="98"/>
      <c r="Z81" s="98"/>
      <c r="AA81" s="98"/>
      <c r="AB81" s="98"/>
      <c r="AC81" s="98"/>
      <c r="AD81" s="98"/>
      <c r="AE81" s="98"/>
      <c r="AF81" s="98"/>
    </row>
    <row r="82" spans="1:32" ht="15.75" customHeight="1" x14ac:dyDescent="0.15">
      <c r="A82" s="108"/>
      <c r="B82" s="109"/>
      <c r="C82" s="110"/>
      <c r="D82" s="110"/>
      <c r="E82" s="110"/>
      <c r="F82" s="89"/>
      <c r="G82" s="89"/>
      <c r="H82" s="89"/>
      <c r="I82" s="89"/>
      <c r="J82" s="89"/>
      <c r="K82" s="89"/>
      <c r="L82" s="89"/>
      <c r="M82" s="89"/>
      <c r="O82" s="89"/>
      <c r="P82" s="89"/>
      <c r="Q82" s="89"/>
      <c r="R82" s="89"/>
      <c r="S82" s="89"/>
      <c r="T82" s="89"/>
      <c r="U82" s="89"/>
      <c r="V82" s="89"/>
      <c r="W82" s="98"/>
      <c r="X82" s="98"/>
      <c r="Y82" s="98"/>
      <c r="Z82" s="98"/>
      <c r="AA82" s="98"/>
      <c r="AB82" s="98"/>
      <c r="AC82" s="98"/>
      <c r="AD82" s="98"/>
      <c r="AE82" s="98"/>
      <c r="AF82" s="98"/>
    </row>
    <row r="83" spans="1:32" ht="15.75" customHeight="1" x14ac:dyDescent="0.15">
      <c r="A83" s="108"/>
      <c r="B83" s="109"/>
      <c r="C83" s="110"/>
      <c r="D83" s="110"/>
      <c r="E83" s="110"/>
      <c r="F83" s="89"/>
      <c r="G83" s="89"/>
      <c r="H83" s="89"/>
      <c r="I83" s="89"/>
      <c r="J83" s="89"/>
      <c r="K83" s="89"/>
      <c r="L83" s="89"/>
      <c r="M83" s="89"/>
      <c r="O83" s="89"/>
      <c r="P83" s="89"/>
      <c r="Q83" s="89"/>
      <c r="R83" s="89"/>
      <c r="S83" s="89"/>
      <c r="T83" s="89"/>
      <c r="U83" s="89"/>
      <c r="V83" s="89"/>
      <c r="W83" s="98"/>
      <c r="X83" s="98"/>
      <c r="Y83" s="98"/>
      <c r="Z83" s="98"/>
      <c r="AA83" s="98"/>
      <c r="AB83" s="98"/>
      <c r="AC83" s="98"/>
      <c r="AD83" s="98"/>
      <c r="AE83" s="98"/>
      <c r="AF83" s="98"/>
    </row>
    <row r="84" spans="1:32" ht="15.75" customHeight="1" x14ac:dyDescent="0.15">
      <c r="A84" s="108"/>
      <c r="B84" s="109"/>
      <c r="C84" s="110"/>
      <c r="D84" s="110"/>
      <c r="E84" s="110"/>
      <c r="F84" s="89"/>
      <c r="G84" s="89"/>
      <c r="H84" s="89"/>
      <c r="I84" s="89"/>
      <c r="J84" s="89"/>
      <c r="K84" s="89"/>
      <c r="L84" s="89"/>
      <c r="M84" s="89"/>
      <c r="O84" s="89"/>
      <c r="P84" s="89"/>
      <c r="Q84" s="89"/>
      <c r="R84" s="89"/>
      <c r="S84" s="89"/>
      <c r="T84" s="89"/>
      <c r="U84" s="89"/>
      <c r="V84" s="89"/>
      <c r="W84" s="98"/>
      <c r="X84" s="98"/>
      <c r="Y84" s="98"/>
      <c r="Z84" s="98"/>
      <c r="AA84" s="98"/>
      <c r="AB84" s="98"/>
      <c r="AC84" s="98"/>
      <c r="AD84" s="98"/>
      <c r="AE84" s="98"/>
      <c r="AF84" s="98"/>
    </row>
    <row r="85" spans="1:32" ht="15.75" customHeight="1" x14ac:dyDescent="0.15">
      <c r="A85" s="108"/>
      <c r="B85" s="109"/>
      <c r="C85" s="110"/>
      <c r="D85" s="110"/>
      <c r="E85" s="110"/>
      <c r="F85" s="89"/>
      <c r="G85" s="89"/>
      <c r="H85" s="89"/>
      <c r="I85" s="89"/>
      <c r="J85" s="89"/>
      <c r="K85" s="89"/>
      <c r="L85" s="89"/>
      <c r="M85" s="89"/>
      <c r="O85" s="89"/>
      <c r="P85" s="89"/>
      <c r="Q85" s="89"/>
      <c r="R85" s="89"/>
      <c r="S85" s="89"/>
      <c r="T85" s="89"/>
      <c r="U85" s="89"/>
      <c r="V85" s="89"/>
      <c r="W85" s="98"/>
      <c r="X85" s="98"/>
      <c r="Y85" s="98"/>
      <c r="Z85" s="98"/>
      <c r="AA85" s="98"/>
      <c r="AB85" s="98"/>
      <c r="AC85" s="98"/>
      <c r="AD85" s="98"/>
      <c r="AE85" s="98"/>
      <c r="AF85" s="98"/>
    </row>
    <row r="86" spans="1:32" ht="15.75" customHeight="1" x14ac:dyDescent="0.15">
      <c r="A86" s="108"/>
      <c r="B86" s="109"/>
      <c r="C86" s="110"/>
      <c r="D86" s="110"/>
      <c r="E86" s="110"/>
      <c r="F86" s="89"/>
      <c r="G86" s="89"/>
      <c r="H86" s="89"/>
      <c r="I86" s="89"/>
      <c r="J86" s="89"/>
      <c r="K86" s="89"/>
      <c r="L86" s="89"/>
      <c r="M86" s="89"/>
      <c r="O86" s="89"/>
      <c r="P86" s="89"/>
      <c r="Q86" s="89"/>
      <c r="R86" s="89"/>
      <c r="S86" s="89"/>
      <c r="T86" s="89"/>
      <c r="U86" s="89"/>
      <c r="V86" s="89"/>
      <c r="W86" s="98"/>
      <c r="X86" s="98"/>
      <c r="Y86" s="98"/>
      <c r="Z86" s="98"/>
      <c r="AA86" s="98"/>
      <c r="AB86" s="98"/>
      <c r="AC86" s="98"/>
      <c r="AD86" s="98"/>
      <c r="AE86" s="98"/>
      <c r="AF86" s="98"/>
    </row>
    <row r="87" spans="1:32" ht="15.75" customHeight="1" x14ac:dyDescent="0.15">
      <c r="A87" s="108"/>
      <c r="B87" s="109"/>
      <c r="C87" s="110"/>
      <c r="D87" s="110"/>
      <c r="E87" s="110"/>
      <c r="F87" s="89"/>
      <c r="G87" s="89"/>
      <c r="H87" s="89"/>
      <c r="I87" s="89"/>
      <c r="J87" s="89"/>
      <c r="K87" s="89"/>
      <c r="L87" s="89"/>
      <c r="M87" s="89"/>
      <c r="O87" s="89"/>
      <c r="P87" s="89"/>
      <c r="Q87" s="89"/>
      <c r="R87" s="89"/>
      <c r="S87" s="89"/>
      <c r="T87" s="89"/>
      <c r="U87" s="89"/>
      <c r="V87" s="89"/>
      <c r="W87" s="98"/>
      <c r="X87" s="98"/>
      <c r="Y87" s="98"/>
      <c r="Z87" s="98"/>
      <c r="AA87" s="98"/>
      <c r="AB87" s="98"/>
      <c r="AC87" s="98"/>
      <c r="AD87" s="98"/>
      <c r="AE87" s="98"/>
      <c r="AF87" s="98"/>
    </row>
    <row r="88" spans="1:32" ht="15.75" customHeight="1" x14ac:dyDescent="0.15">
      <c r="A88" s="108"/>
      <c r="B88" s="109"/>
      <c r="C88" s="110"/>
      <c r="D88" s="110"/>
      <c r="E88" s="110"/>
      <c r="F88" s="89"/>
      <c r="G88" s="89"/>
      <c r="H88" s="89"/>
      <c r="I88" s="89"/>
      <c r="J88" s="89"/>
      <c r="K88" s="89"/>
      <c r="L88" s="89"/>
      <c r="M88" s="89"/>
      <c r="O88" s="89"/>
      <c r="P88" s="89"/>
      <c r="Q88" s="89"/>
      <c r="R88" s="89"/>
      <c r="S88" s="89"/>
      <c r="T88" s="89"/>
      <c r="U88" s="89"/>
      <c r="V88" s="89"/>
      <c r="W88" s="98"/>
      <c r="X88" s="98"/>
      <c r="Y88" s="98"/>
      <c r="Z88" s="98"/>
      <c r="AA88" s="98"/>
      <c r="AB88" s="98"/>
      <c r="AC88" s="98"/>
      <c r="AD88" s="98"/>
      <c r="AE88" s="98"/>
      <c r="AF88" s="98"/>
    </row>
    <row r="89" spans="1:32" ht="15.75" customHeight="1" x14ac:dyDescent="0.15">
      <c r="A89" s="108"/>
      <c r="B89" s="109"/>
      <c r="C89" s="110"/>
      <c r="D89" s="110"/>
      <c r="E89" s="110"/>
      <c r="F89" s="89"/>
      <c r="G89" s="89"/>
      <c r="H89" s="89"/>
      <c r="I89" s="89"/>
      <c r="J89" s="89"/>
      <c r="K89" s="89"/>
      <c r="L89" s="89"/>
      <c r="M89" s="89"/>
      <c r="O89" s="89"/>
      <c r="P89" s="89"/>
      <c r="Q89" s="89"/>
      <c r="R89" s="89"/>
      <c r="S89" s="89"/>
      <c r="T89" s="89"/>
      <c r="U89" s="89"/>
      <c r="V89" s="89"/>
      <c r="W89" s="98"/>
      <c r="X89" s="98"/>
      <c r="Y89" s="98"/>
      <c r="Z89" s="98"/>
      <c r="AA89" s="98"/>
      <c r="AB89" s="98"/>
      <c r="AC89" s="98"/>
      <c r="AD89" s="98"/>
      <c r="AE89" s="98"/>
      <c r="AF89" s="98"/>
    </row>
    <row r="90" spans="1:32" ht="15.75" customHeight="1" x14ac:dyDescent="0.15">
      <c r="A90" s="108"/>
      <c r="B90" s="109"/>
      <c r="C90" s="110"/>
      <c r="D90" s="110"/>
      <c r="E90" s="110"/>
      <c r="F90" s="89"/>
      <c r="G90" s="89"/>
      <c r="H90" s="89"/>
      <c r="I90" s="89"/>
      <c r="J90" s="89"/>
      <c r="K90" s="89"/>
      <c r="L90" s="89"/>
      <c r="M90" s="89"/>
      <c r="O90" s="89"/>
      <c r="P90" s="89"/>
      <c r="Q90" s="89"/>
      <c r="R90" s="89"/>
      <c r="S90" s="89"/>
      <c r="T90" s="89"/>
      <c r="U90" s="89"/>
      <c r="V90" s="89"/>
      <c r="W90" s="98"/>
      <c r="X90" s="98"/>
      <c r="Y90" s="98"/>
      <c r="Z90" s="98"/>
      <c r="AA90" s="98"/>
      <c r="AB90" s="98"/>
      <c r="AC90" s="98"/>
      <c r="AD90" s="98"/>
      <c r="AE90" s="98"/>
      <c r="AF90" s="98"/>
    </row>
    <row r="91" spans="1:32" ht="15.75" customHeight="1" x14ac:dyDescent="0.15">
      <c r="A91" s="108"/>
      <c r="B91" s="109"/>
      <c r="C91" s="110"/>
      <c r="D91" s="110"/>
      <c r="E91" s="110"/>
      <c r="F91" s="89"/>
      <c r="G91" s="89"/>
      <c r="H91" s="89"/>
      <c r="I91" s="89"/>
      <c r="J91" s="89"/>
      <c r="K91" s="89"/>
      <c r="L91" s="89"/>
      <c r="M91" s="89"/>
      <c r="O91" s="89"/>
      <c r="P91" s="89"/>
      <c r="Q91" s="89"/>
      <c r="R91" s="89"/>
      <c r="S91" s="89"/>
      <c r="T91" s="89"/>
      <c r="U91" s="89"/>
      <c r="V91" s="89"/>
      <c r="W91" s="98"/>
      <c r="X91" s="98"/>
      <c r="Y91" s="98"/>
      <c r="Z91" s="98"/>
      <c r="AA91" s="98"/>
      <c r="AB91" s="98"/>
      <c r="AC91" s="98"/>
      <c r="AD91" s="98"/>
      <c r="AE91" s="98"/>
      <c r="AF91" s="98"/>
    </row>
    <row r="92" spans="1:32" ht="15.75" customHeight="1" x14ac:dyDescent="0.15">
      <c r="A92" s="108"/>
      <c r="B92" s="109"/>
      <c r="C92" s="110"/>
      <c r="D92" s="110"/>
      <c r="E92" s="110"/>
      <c r="F92" s="89"/>
      <c r="G92" s="89"/>
      <c r="H92" s="89"/>
      <c r="I92" s="89"/>
      <c r="J92" s="89"/>
      <c r="K92" s="89"/>
      <c r="L92" s="89"/>
      <c r="M92" s="89"/>
      <c r="O92" s="89"/>
      <c r="P92" s="89"/>
      <c r="Q92" s="89"/>
      <c r="R92" s="89"/>
      <c r="S92" s="89"/>
      <c r="T92" s="89"/>
      <c r="U92" s="89"/>
      <c r="V92" s="89"/>
      <c r="W92" s="98"/>
      <c r="X92" s="98"/>
      <c r="Y92" s="98"/>
      <c r="Z92" s="98"/>
      <c r="AA92" s="98"/>
      <c r="AB92" s="98"/>
      <c r="AC92" s="98"/>
      <c r="AD92" s="98"/>
      <c r="AE92" s="98"/>
      <c r="AF92" s="98"/>
    </row>
    <row r="93" spans="1:32" ht="15.75" customHeight="1" x14ac:dyDescent="0.15">
      <c r="A93" s="108"/>
      <c r="B93" s="109"/>
      <c r="C93" s="110"/>
      <c r="D93" s="110"/>
      <c r="E93" s="110"/>
      <c r="F93" s="89"/>
      <c r="G93" s="89"/>
      <c r="H93" s="89"/>
      <c r="I93" s="89"/>
      <c r="J93" s="89"/>
      <c r="K93" s="89"/>
      <c r="L93" s="89"/>
      <c r="M93" s="89"/>
      <c r="O93" s="89"/>
      <c r="P93" s="89"/>
      <c r="Q93" s="89"/>
      <c r="R93" s="89"/>
      <c r="S93" s="89"/>
      <c r="T93" s="89"/>
      <c r="U93" s="89"/>
      <c r="V93" s="89"/>
      <c r="W93" s="98"/>
      <c r="X93" s="98"/>
      <c r="Y93" s="98"/>
      <c r="Z93" s="98"/>
      <c r="AA93" s="98"/>
      <c r="AB93" s="98"/>
      <c r="AC93" s="98"/>
      <c r="AD93" s="98"/>
      <c r="AE93" s="98"/>
      <c r="AF93" s="98"/>
    </row>
    <row r="94" spans="1:32" ht="15.75" customHeight="1" x14ac:dyDescent="0.15">
      <c r="A94" s="108"/>
      <c r="B94" s="109"/>
      <c r="C94" s="110"/>
      <c r="D94" s="110"/>
      <c r="E94" s="110"/>
      <c r="F94" s="89"/>
      <c r="G94" s="89"/>
      <c r="H94" s="89"/>
      <c r="I94" s="89"/>
      <c r="J94" s="89"/>
      <c r="K94" s="89"/>
      <c r="L94" s="89"/>
      <c r="M94" s="89"/>
      <c r="O94" s="89"/>
      <c r="P94" s="89"/>
      <c r="Q94" s="89"/>
      <c r="R94" s="89"/>
      <c r="S94" s="89"/>
      <c r="T94" s="89"/>
      <c r="U94" s="89"/>
      <c r="V94" s="89"/>
      <c r="W94" s="98"/>
      <c r="X94" s="98"/>
      <c r="Y94" s="98"/>
      <c r="Z94" s="98"/>
      <c r="AA94" s="98"/>
      <c r="AB94" s="98"/>
      <c r="AC94" s="98"/>
      <c r="AD94" s="98"/>
      <c r="AE94" s="98"/>
      <c r="AF94" s="98"/>
    </row>
    <row r="95" spans="1:32" ht="15.75" customHeight="1" x14ac:dyDescent="0.15">
      <c r="A95" s="108"/>
      <c r="B95" s="109"/>
      <c r="C95" s="110"/>
      <c r="D95" s="110"/>
      <c r="E95" s="110"/>
      <c r="F95" s="89"/>
      <c r="G95" s="89"/>
      <c r="H95" s="89"/>
      <c r="I95" s="89"/>
      <c r="J95" s="89"/>
      <c r="K95" s="89"/>
      <c r="L95" s="89"/>
      <c r="M95" s="89"/>
      <c r="O95" s="89"/>
      <c r="P95" s="89"/>
      <c r="Q95" s="89"/>
      <c r="R95" s="89"/>
      <c r="S95" s="89"/>
      <c r="T95" s="89"/>
      <c r="U95" s="89"/>
      <c r="V95" s="89"/>
      <c r="W95" s="98"/>
      <c r="X95" s="98"/>
      <c r="Y95" s="98"/>
      <c r="Z95" s="98"/>
      <c r="AA95" s="98"/>
      <c r="AB95" s="98"/>
      <c r="AC95" s="98"/>
      <c r="AD95" s="98"/>
      <c r="AE95" s="98"/>
      <c r="AF95" s="98"/>
    </row>
    <row r="96" spans="1:32" ht="15.75" customHeight="1" x14ac:dyDescent="0.15">
      <c r="A96" s="108"/>
      <c r="B96" s="109"/>
      <c r="C96" s="110"/>
      <c r="D96" s="110"/>
      <c r="E96" s="110"/>
      <c r="F96" s="89"/>
      <c r="G96" s="89"/>
      <c r="H96" s="89"/>
      <c r="I96" s="89"/>
      <c r="J96" s="89"/>
      <c r="K96" s="89"/>
      <c r="L96" s="89"/>
      <c r="M96" s="89"/>
      <c r="O96" s="89"/>
      <c r="P96" s="89"/>
      <c r="Q96" s="89"/>
      <c r="R96" s="89"/>
      <c r="S96" s="89"/>
      <c r="T96" s="89"/>
      <c r="U96" s="89"/>
      <c r="V96" s="89"/>
      <c r="W96" s="98"/>
      <c r="X96" s="98"/>
      <c r="Y96" s="98"/>
      <c r="Z96" s="98"/>
      <c r="AA96" s="98"/>
      <c r="AB96" s="98"/>
      <c r="AC96" s="98"/>
      <c r="AD96" s="98"/>
      <c r="AE96" s="98"/>
      <c r="AF96" s="98"/>
    </row>
    <row r="97" spans="1:32" ht="15.75" customHeight="1" x14ac:dyDescent="0.15">
      <c r="A97" s="108"/>
      <c r="B97" s="109"/>
      <c r="C97" s="110"/>
      <c r="D97" s="110"/>
      <c r="E97" s="110"/>
      <c r="F97" s="89"/>
      <c r="G97" s="89"/>
      <c r="H97" s="89"/>
      <c r="I97" s="89"/>
      <c r="J97" s="89"/>
      <c r="K97" s="89"/>
      <c r="L97" s="89"/>
      <c r="M97" s="89"/>
      <c r="O97" s="89"/>
      <c r="P97" s="89"/>
      <c r="Q97" s="89"/>
      <c r="R97" s="89"/>
      <c r="S97" s="89"/>
      <c r="T97" s="89"/>
      <c r="U97" s="89"/>
      <c r="V97" s="89"/>
      <c r="W97" s="98"/>
      <c r="X97" s="98"/>
      <c r="Y97" s="98"/>
      <c r="Z97" s="98"/>
      <c r="AA97" s="98"/>
      <c r="AB97" s="98"/>
      <c r="AC97" s="98"/>
      <c r="AD97" s="98"/>
      <c r="AE97" s="98"/>
      <c r="AF97" s="98"/>
    </row>
    <row r="98" spans="1:32" ht="15.75" customHeight="1" x14ac:dyDescent="0.15">
      <c r="A98" s="108"/>
      <c r="B98" s="109"/>
      <c r="C98" s="110"/>
      <c r="D98" s="110"/>
      <c r="E98" s="110"/>
      <c r="F98" s="89"/>
      <c r="G98" s="89"/>
      <c r="H98" s="89"/>
      <c r="I98" s="89"/>
      <c r="J98" s="89"/>
      <c r="K98" s="89"/>
      <c r="L98" s="89"/>
      <c r="M98" s="89"/>
      <c r="O98" s="89"/>
      <c r="P98" s="89"/>
      <c r="Q98" s="89"/>
      <c r="R98" s="89"/>
      <c r="S98" s="89"/>
      <c r="T98" s="89"/>
      <c r="U98" s="89"/>
      <c r="V98" s="89"/>
      <c r="W98" s="98"/>
      <c r="X98" s="98"/>
      <c r="Y98" s="98"/>
      <c r="Z98" s="98"/>
      <c r="AA98" s="98"/>
      <c r="AB98" s="98"/>
      <c r="AC98" s="98"/>
      <c r="AD98" s="98"/>
      <c r="AE98" s="98"/>
      <c r="AF98" s="98"/>
    </row>
    <row r="99" spans="1:32" ht="15.75" customHeight="1" x14ac:dyDescent="0.15">
      <c r="A99" s="108"/>
      <c r="B99" s="109"/>
      <c r="C99" s="110"/>
      <c r="D99" s="110"/>
      <c r="E99" s="110"/>
      <c r="F99" s="89"/>
      <c r="G99" s="89"/>
      <c r="H99" s="89"/>
      <c r="I99" s="111"/>
      <c r="J99" s="111"/>
      <c r="K99" s="89"/>
      <c r="L99" s="89"/>
      <c r="M99" s="89"/>
      <c r="O99" s="89"/>
      <c r="P99" s="89"/>
      <c r="Q99" s="89"/>
      <c r="R99" s="89"/>
      <c r="S99" s="89"/>
      <c r="T99" s="89"/>
      <c r="U99" s="89"/>
      <c r="V99" s="89"/>
      <c r="W99" s="98"/>
      <c r="X99" s="98"/>
      <c r="Y99" s="98"/>
      <c r="Z99" s="98"/>
      <c r="AA99" s="98"/>
      <c r="AB99" s="98"/>
      <c r="AC99" s="98"/>
      <c r="AD99" s="98"/>
      <c r="AE99" s="98"/>
      <c r="AF99" s="98"/>
    </row>
    <row r="100" spans="1:32" ht="15.75" customHeight="1" x14ac:dyDescent="0.15">
      <c r="A100" s="108"/>
      <c r="B100" s="109"/>
      <c r="C100" s="109"/>
      <c r="D100" s="109"/>
      <c r="E100" s="109"/>
      <c r="F100" s="111"/>
      <c r="G100" s="111"/>
      <c r="H100" s="111"/>
      <c r="I100" s="111"/>
      <c r="J100" s="111"/>
      <c r="K100" s="111"/>
      <c r="L100" s="111"/>
      <c r="M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1"/>
      <c r="AF100" s="111"/>
    </row>
    <row r="101" spans="1:32" ht="15.75" customHeight="1" x14ac:dyDescent="0.15">
      <c r="A101" s="108"/>
      <c r="B101" s="109"/>
      <c r="C101" s="109"/>
      <c r="D101" s="109"/>
      <c r="E101" s="109"/>
      <c r="F101" s="111"/>
      <c r="G101" s="111"/>
      <c r="H101" s="111"/>
      <c r="I101" s="111"/>
      <c r="J101" s="111"/>
      <c r="K101" s="111"/>
      <c r="L101" s="111"/>
      <c r="M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  <c r="AF101" s="111"/>
    </row>
    <row r="102" spans="1:32" ht="15.75" customHeight="1" x14ac:dyDescent="0.15">
      <c r="A102" s="108"/>
      <c r="B102" s="109"/>
      <c r="C102" s="109"/>
      <c r="D102" s="109"/>
      <c r="E102" s="109"/>
      <c r="F102" s="111"/>
      <c r="G102" s="111"/>
      <c r="H102" s="111"/>
      <c r="I102" s="111"/>
      <c r="J102" s="111"/>
      <c r="K102" s="111"/>
      <c r="L102" s="111"/>
      <c r="M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11"/>
      <c r="AF102" s="111"/>
    </row>
    <row r="103" spans="1:32" ht="15.75" customHeight="1" x14ac:dyDescent="0.15">
      <c r="A103" s="108"/>
      <c r="B103" s="109"/>
      <c r="C103" s="109"/>
      <c r="D103" s="109"/>
      <c r="E103" s="109"/>
      <c r="F103" s="111"/>
      <c r="G103" s="111"/>
      <c r="H103" s="111"/>
      <c r="I103" s="111"/>
      <c r="J103" s="111"/>
      <c r="K103" s="111"/>
      <c r="L103" s="111"/>
      <c r="M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  <c r="AE103" s="111"/>
      <c r="AF103" s="111"/>
    </row>
    <row r="104" spans="1:32" ht="15.75" customHeight="1" x14ac:dyDescent="0.15">
      <c r="A104" s="108"/>
      <c r="B104" s="109"/>
      <c r="C104" s="109"/>
      <c r="D104" s="109"/>
      <c r="E104" s="109"/>
      <c r="F104" s="111"/>
      <c r="G104" s="111"/>
      <c r="H104" s="111"/>
      <c r="I104" s="111"/>
      <c r="J104" s="111"/>
      <c r="K104" s="111"/>
      <c r="L104" s="111"/>
      <c r="M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  <c r="AE104" s="111"/>
      <c r="AF104" s="111"/>
    </row>
    <row r="105" spans="1:32" ht="15.75" customHeight="1" x14ac:dyDescent="0.15">
      <c r="A105" s="108"/>
      <c r="B105" s="109"/>
      <c r="C105" s="109"/>
      <c r="D105" s="109"/>
      <c r="E105" s="109"/>
      <c r="F105" s="111"/>
      <c r="G105" s="111"/>
      <c r="H105" s="111"/>
      <c r="I105" s="111"/>
      <c r="J105" s="111"/>
      <c r="K105" s="111"/>
      <c r="L105" s="111"/>
      <c r="M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  <c r="AF105" s="111"/>
    </row>
    <row r="106" spans="1:32" ht="15.75" customHeight="1" x14ac:dyDescent="0.15">
      <c r="A106" s="108"/>
      <c r="B106" s="109"/>
      <c r="C106" s="109"/>
      <c r="D106" s="109"/>
      <c r="E106" s="109"/>
      <c r="F106" s="111"/>
      <c r="G106" s="111"/>
      <c r="H106" s="111"/>
      <c r="I106" s="111"/>
      <c r="J106" s="111"/>
      <c r="K106" s="111"/>
      <c r="L106" s="111"/>
      <c r="M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  <c r="AE106" s="111"/>
      <c r="AF106" s="111"/>
    </row>
    <row r="107" spans="1:32" ht="15.75" customHeight="1" x14ac:dyDescent="0.15">
      <c r="A107" s="108"/>
      <c r="B107" s="109"/>
      <c r="C107" s="109"/>
      <c r="D107" s="109"/>
      <c r="E107" s="109"/>
      <c r="F107" s="111"/>
      <c r="G107" s="111"/>
      <c r="H107" s="111"/>
      <c r="I107" s="111"/>
      <c r="J107" s="111"/>
      <c r="K107" s="111"/>
      <c r="L107" s="111"/>
      <c r="M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  <c r="AE107" s="111"/>
      <c r="AF107" s="111"/>
    </row>
    <row r="108" spans="1:32" ht="15.75" customHeight="1" x14ac:dyDescent="0.15">
      <c r="A108" s="108"/>
      <c r="B108" s="109"/>
      <c r="C108" s="109"/>
      <c r="D108" s="109"/>
      <c r="E108" s="109"/>
      <c r="F108" s="111"/>
      <c r="G108" s="111"/>
      <c r="H108" s="111"/>
      <c r="I108" s="111"/>
      <c r="J108" s="111"/>
      <c r="K108" s="111"/>
      <c r="L108" s="111"/>
      <c r="M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  <c r="AE108" s="111"/>
      <c r="AF108" s="111"/>
    </row>
    <row r="109" spans="1:32" ht="15.75" customHeight="1" x14ac:dyDescent="0.15">
      <c r="A109" s="108"/>
      <c r="B109" s="109"/>
      <c r="C109" s="109"/>
      <c r="D109" s="109"/>
      <c r="E109" s="109"/>
      <c r="F109" s="111"/>
      <c r="G109" s="111"/>
      <c r="H109" s="111"/>
      <c r="I109" s="111"/>
      <c r="J109" s="111"/>
      <c r="K109" s="111"/>
      <c r="L109" s="111"/>
      <c r="M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  <c r="AF109" s="111"/>
    </row>
    <row r="110" spans="1:32" ht="15.75" customHeight="1" x14ac:dyDescent="0.15">
      <c r="A110" s="108"/>
      <c r="B110" s="109"/>
      <c r="C110" s="109"/>
      <c r="D110" s="109"/>
      <c r="E110" s="109"/>
      <c r="F110" s="111"/>
      <c r="G110" s="111"/>
      <c r="H110" s="111"/>
      <c r="I110" s="111"/>
      <c r="J110" s="111"/>
      <c r="K110" s="111"/>
      <c r="L110" s="111"/>
      <c r="M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</row>
    <row r="111" spans="1:32" ht="15.75" customHeight="1" x14ac:dyDescent="0.15">
      <c r="A111" s="108"/>
      <c r="B111" s="109"/>
      <c r="C111" s="109"/>
      <c r="D111" s="109"/>
      <c r="E111" s="109"/>
      <c r="F111" s="111"/>
      <c r="G111" s="111"/>
      <c r="H111" s="111"/>
      <c r="I111" s="111"/>
      <c r="J111" s="111"/>
      <c r="K111" s="111"/>
      <c r="L111" s="111"/>
      <c r="M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  <c r="AE111" s="111"/>
      <c r="AF111" s="111"/>
    </row>
    <row r="112" spans="1:32" ht="15.75" customHeight="1" x14ac:dyDescent="0.15">
      <c r="A112" s="108"/>
      <c r="B112" s="109"/>
      <c r="C112" s="109"/>
      <c r="D112" s="109"/>
      <c r="E112" s="109"/>
      <c r="F112" s="111"/>
      <c r="G112" s="111"/>
      <c r="H112" s="111"/>
      <c r="I112" s="111"/>
      <c r="J112" s="111"/>
      <c r="K112" s="111"/>
      <c r="L112" s="111"/>
      <c r="M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</row>
    <row r="113" spans="1:32" ht="15.75" customHeight="1" x14ac:dyDescent="0.15">
      <c r="A113" s="108"/>
      <c r="B113" s="109"/>
      <c r="C113" s="109"/>
      <c r="D113" s="109"/>
      <c r="E113" s="109"/>
      <c r="F113" s="111"/>
      <c r="G113" s="111"/>
      <c r="H113" s="111"/>
      <c r="I113" s="111"/>
      <c r="J113" s="111"/>
      <c r="K113" s="111"/>
      <c r="L113" s="111"/>
      <c r="M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</row>
    <row r="114" spans="1:32" ht="15.75" customHeight="1" x14ac:dyDescent="0.15">
      <c r="A114" s="108"/>
      <c r="B114" s="109"/>
      <c r="C114" s="109"/>
      <c r="D114" s="109"/>
      <c r="E114" s="109"/>
      <c r="F114" s="111"/>
      <c r="G114" s="111"/>
      <c r="H114" s="111"/>
      <c r="I114" s="111"/>
      <c r="J114" s="111"/>
      <c r="K114" s="111"/>
      <c r="L114" s="111"/>
      <c r="M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</row>
    <row r="115" spans="1:32" ht="15.75" customHeight="1" x14ac:dyDescent="0.15">
      <c r="A115" s="108"/>
      <c r="B115" s="109"/>
      <c r="C115" s="109"/>
      <c r="D115" s="109"/>
      <c r="E115" s="109"/>
      <c r="F115" s="111"/>
      <c r="G115" s="111"/>
      <c r="H115" s="111"/>
      <c r="I115" s="111"/>
      <c r="J115" s="111"/>
      <c r="K115" s="111"/>
      <c r="L115" s="111"/>
      <c r="M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</row>
    <row r="116" spans="1:32" ht="15.75" customHeight="1" x14ac:dyDescent="0.15">
      <c r="A116" s="108"/>
      <c r="B116" s="109"/>
      <c r="C116" s="109"/>
      <c r="D116" s="109"/>
      <c r="E116" s="109"/>
      <c r="F116" s="111"/>
      <c r="G116" s="111"/>
      <c r="H116" s="111"/>
      <c r="I116" s="111"/>
      <c r="J116" s="111"/>
      <c r="K116" s="111"/>
      <c r="L116" s="111"/>
      <c r="M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</row>
    <row r="117" spans="1:32" ht="15.75" customHeight="1" x14ac:dyDescent="0.15">
      <c r="A117" s="108"/>
      <c r="B117" s="109"/>
      <c r="C117" s="109"/>
      <c r="D117" s="109"/>
      <c r="E117" s="109"/>
      <c r="F117" s="111"/>
      <c r="G117" s="111"/>
      <c r="H117" s="111"/>
      <c r="I117" s="111"/>
      <c r="J117" s="111"/>
      <c r="K117" s="111"/>
      <c r="L117" s="111"/>
      <c r="M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1:32" ht="15.75" customHeight="1" x14ac:dyDescent="0.15">
      <c r="A118" s="108"/>
      <c r="B118" s="109"/>
      <c r="C118" s="109"/>
      <c r="D118" s="109"/>
      <c r="E118" s="109"/>
      <c r="F118" s="111"/>
      <c r="G118" s="111"/>
      <c r="H118" s="111"/>
      <c r="I118" s="111"/>
      <c r="J118" s="111"/>
      <c r="K118" s="111"/>
      <c r="L118" s="111"/>
      <c r="M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</row>
    <row r="119" spans="1:32" ht="15.75" customHeight="1" x14ac:dyDescent="0.15">
      <c r="A119" s="108"/>
      <c r="B119" s="109"/>
      <c r="C119" s="109"/>
      <c r="D119" s="109"/>
      <c r="E119" s="109"/>
      <c r="F119" s="111"/>
      <c r="G119" s="111"/>
      <c r="H119" s="111"/>
      <c r="I119" s="111"/>
      <c r="J119" s="111"/>
      <c r="K119" s="111"/>
      <c r="L119" s="111"/>
      <c r="M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</row>
    <row r="120" spans="1:32" ht="15.75" customHeight="1" x14ac:dyDescent="0.15">
      <c r="A120" s="108"/>
      <c r="B120" s="109"/>
      <c r="C120" s="109"/>
      <c r="D120" s="109"/>
      <c r="E120" s="109"/>
      <c r="F120" s="111"/>
      <c r="G120" s="111"/>
      <c r="H120" s="111"/>
      <c r="I120" s="111"/>
      <c r="J120" s="111"/>
      <c r="K120" s="111"/>
      <c r="L120" s="111"/>
      <c r="M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</row>
    <row r="121" spans="1:32" ht="15.75" customHeight="1" x14ac:dyDescent="0.15">
      <c r="A121" s="108"/>
      <c r="B121" s="109"/>
      <c r="C121" s="109"/>
      <c r="D121" s="109"/>
      <c r="E121" s="109"/>
      <c r="F121" s="111"/>
      <c r="G121" s="111"/>
      <c r="H121" s="111"/>
      <c r="I121" s="111"/>
      <c r="J121" s="111"/>
      <c r="K121" s="111"/>
      <c r="L121" s="111"/>
      <c r="M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</row>
    <row r="122" spans="1:32" ht="15.75" customHeight="1" x14ac:dyDescent="0.15">
      <c r="A122" s="108"/>
      <c r="B122" s="109"/>
      <c r="C122" s="109"/>
      <c r="D122" s="109"/>
      <c r="E122" s="109"/>
      <c r="F122" s="111"/>
      <c r="G122" s="111"/>
      <c r="H122" s="111"/>
      <c r="I122" s="111"/>
      <c r="J122" s="111"/>
      <c r="K122" s="111"/>
      <c r="L122" s="111"/>
      <c r="M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</row>
    <row r="123" spans="1:32" ht="15.75" customHeight="1" x14ac:dyDescent="0.15">
      <c r="A123" s="108"/>
      <c r="B123" s="109"/>
      <c r="C123" s="109"/>
      <c r="D123" s="109"/>
      <c r="E123" s="109"/>
      <c r="F123" s="111"/>
      <c r="G123" s="111"/>
      <c r="H123" s="111"/>
      <c r="I123" s="111"/>
      <c r="J123" s="111"/>
      <c r="K123" s="111"/>
      <c r="L123" s="111"/>
      <c r="M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</row>
    <row r="124" spans="1:32" ht="15.75" customHeight="1" x14ac:dyDescent="0.15">
      <c r="A124" s="108"/>
      <c r="B124" s="109"/>
      <c r="C124" s="109"/>
      <c r="D124" s="109"/>
      <c r="E124" s="109"/>
      <c r="F124" s="111"/>
      <c r="G124" s="111"/>
      <c r="H124" s="111"/>
      <c r="I124" s="111"/>
      <c r="J124" s="111"/>
      <c r="K124" s="111"/>
      <c r="L124" s="111"/>
      <c r="M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</row>
    <row r="125" spans="1:32" ht="15.75" customHeight="1" x14ac:dyDescent="0.15">
      <c r="A125" s="108"/>
      <c r="B125" s="109"/>
      <c r="C125" s="109"/>
      <c r="D125" s="109"/>
      <c r="E125" s="109"/>
      <c r="F125" s="111"/>
      <c r="G125" s="111"/>
      <c r="H125" s="111"/>
      <c r="I125" s="111"/>
      <c r="J125" s="111"/>
      <c r="K125" s="111"/>
      <c r="L125" s="111"/>
      <c r="M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</row>
    <row r="126" spans="1:32" ht="15.75" customHeight="1" x14ac:dyDescent="0.15">
      <c r="A126" s="108"/>
      <c r="B126" s="109"/>
      <c r="C126" s="109"/>
      <c r="D126" s="109"/>
      <c r="E126" s="109"/>
      <c r="F126" s="111"/>
      <c r="G126" s="111"/>
      <c r="H126" s="111"/>
      <c r="I126" s="111"/>
      <c r="J126" s="111"/>
      <c r="K126" s="111"/>
      <c r="L126" s="111"/>
      <c r="M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</row>
    <row r="127" spans="1:32" ht="15.75" customHeight="1" x14ac:dyDescent="0.15">
      <c r="A127" s="108"/>
      <c r="B127" s="109"/>
      <c r="C127" s="109"/>
      <c r="D127" s="109"/>
      <c r="E127" s="109"/>
      <c r="F127" s="111"/>
      <c r="G127" s="111"/>
      <c r="H127" s="111"/>
      <c r="I127" s="111"/>
      <c r="J127" s="111"/>
      <c r="K127" s="111"/>
      <c r="L127" s="111"/>
      <c r="M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</row>
    <row r="128" spans="1:32" ht="15.75" customHeight="1" x14ac:dyDescent="0.15">
      <c r="A128" s="108"/>
      <c r="B128" s="109"/>
      <c r="C128" s="109"/>
      <c r="D128" s="109"/>
      <c r="E128" s="109"/>
      <c r="F128" s="111"/>
      <c r="G128" s="111"/>
      <c r="H128" s="111"/>
      <c r="I128" s="111"/>
      <c r="J128" s="111"/>
      <c r="K128" s="111"/>
      <c r="L128" s="111"/>
      <c r="M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</row>
    <row r="129" spans="1:32" ht="15.75" customHeight="1" x14ac:dyDescent="0.15">
      <c r="A129" s="108"/>
      <c r="B129" s="109"/>
      <c r="C129" s="109"/>
      <c r="D129" s="109"/>
      <c r="E129" s="109"/>
      <c r="F129" s="111"/>
      <c r="G129" s="111"/>
      <c r="H129" s="111"/>
      <c r="I129" s="111"/>
      <c r="J129" s="111"/>
      <c r="K129" s="111"/>
      <c r="L129" s="111"/>
      <c r="M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</row>
    <row r="130" spans="1:32" ht="15.75" customHeight="1" x14ac:dyDescent="0.15">
      <c r="A130" s="108"/>
      <c r="B130" s="109"/>
      <c r="C130" s="109"/>
      <c r="D130" s="109"/>
      <c r="E130" s="109"/>
      <c r="F130" s="111"/>
      <c r="G130" s="111"/>
      <c r="H130" s="111"/>
      <c r="I130" s="111"/>
      <c r="J130" s="111"/>
      <c r="K130" s="111"/>
      <c r="L130" s="111"/>
      <c r="M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</row>
    <row r="131" spans="1:32" ht="15.75" customHeight="1" x14ac:dyDescent="0.15">
      <c r="A131" s="108"/>
      <c r="B131" s="109"/>
      <c r="C131" s="109"/>
      <c r="D131" s="109"/>
      <c r="E131" s="109"/>
      <c r="F131" s="111"/>
      <c r="G131" s="111"/>
      <c r="H131" s="111"/>
      <c r="I131" s="111"/>
      <c r="J131" s="111"/>
      <c r="K131" s="111"/>
      <c r="L131" s="111"/>
      <c r="M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</row>
    <row r="132" spans="1:32" ht="15.75" customHeight="1" x14ac:dyDescent="0.15">
      <c r="A132" s="108"/>
      <c r="B132" s="109"/>
      <c r="C132" s="109"/>
      <c r="D132" s="109"/>
      <c r="E132" s="109"/>
      <c r="F132" s="111"/>
      <c r="G132" s="111"/>
      <c r="H132" s="111"/>
      <c r="I132" s="111"/>
      <c r="J132" s="111"/>
      <c r="K132" s="111"/>
      <c r="L132" s="111"/>
      <c r="M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1"/>
    </row>
    <row r="133" spans="1:32" ht="15.75" customHeight="1" x14ac:dyDescent="0.15">
      <c r="A133" s="108"/>
      <c r="B133" s="109"/>
      <c r="C133" s="109"/>
      <c r="D133" s="109"/>
      <c r="E133" s="109"/>
      <c r="F133" s="111"/>
      <c r="G133" s="111"/>
      <c r="H133" s="111"/>
      <c r="I133" s="111"/>
      <c r="J133" s="111"/>
      <c r="K133" s="111"/>
      <c r="L133" s="111"/>
      <c r="M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</row>
    <row r="134" spans="1:32" ht="15.75" customHeight="1" x14ac:dyDescent="0.15">
      <c r="A134" s="108"/>
      <c r="B134" s="109"/>
      <c r="C134" s="109"/>
      <c r="D134" s="109"/>
      <c r="E134" s="109"/>
      <c r="F134" s="111"/>
      <c r="G134" s="111"/>
      <c r="H134" s="111"/>
      <c r="I134" s="111"/>
      <c r="J134" s="111"/>
      <c r="K134" s="111"/>
      <c r="L134" s="111"/>
      <c r="M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</row>
    <row r="135" spans="1:32" ht="15.75" customHeight="1" x14ac:dyDescent="0.15">
      <c r="A135" s="108"/>
      <c r="B135" s="109"/>
      <c r="C135" s="109"/>
      <c r="D135" s="109"/>
      <c r="E135" s="109"/>
      <c r="F135" s="111"/>
      <c r="G135" s="111"/>
      <c r="H135" s="111"/>
      <c r="I135" s="111"/>
      <c r="J135" s="111"/>
      <c r="K135" s="111"/>
      <c r="L135" s="111"/>
      <c r="M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</row>
    <row r="136" spans="1:32" ht="15.75" customHeight="1" x14ac:dyDescent="0.15">
      <c r="A136" s="108"/>
      <c r="B136" s="109"/>
      <c r="C136" s="109"/>
      <c r="D136" s="109"/>
      <c r="E136" s="109"/>
      <c r="F136" s="111"/>
      <c r="G136" s="111"/>
      <c r="H136" s="111"/>
      <c r="I136" s="111"/>
      <c r="J136" s="111"/>
      <c r="K136" s="111"/>
      <c r="L136" s="111"/>
      <c r="M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</row>
    <row r="137" spans="1:32" ht="15.75" customHeight="1" x14ac:dyDescent="0.15">
      <c r="A137" s="108"/>
      <c r="B137" s="109"/>
      <c r="C137" s="109"/>
      <c r="D137" s="109"/>
      <c r="E137" s="109"/>
      <c r="F137" s="111"/>
      <c r="G137" s="111"/>
      <c r="H137" s="111"/>
      <c r="I137" s="111"/>
      <c r="J137" s="111"/>
      <c r="K137" s="111"/>
      <c r="L137" s="111"/>
      <c r="M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</row>
    <row r="138" spans="1:32" ht="15.75" customHeight="1" x14ac:dyDescent="0.15">
      <c r="A138" s="108"/>
      <c r="B138" s="109"/>
      <c r="C138" s="109"/>
      <c r="D138" s="109"/>
      <c r="E138" s="109"/>
      <c r="F138" s="111"/>
      <c r="G138" s="111"/>
      <c r="H138" s="111"/>
      <c r="I138" s="111"/>
      <c r="J138" s="111"/>
      <c r="K138" s="111"/>
      <c r="L138" s="111"/>
      <c r="M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</row>
    <row r="139" spans="1:32" ht="15.75" customHeight="1" x14ac:dyDescent="0.15">
      <c r="A139" s="108"/>
      <c r="B139" s="109"/>
      <c r="C139" s="109"/>
      <c r="D139" s="109"/>
      <c r="E139" s="109"/>
      <c r="F139" s="111"/>
      <c r="G139" s="111"/>
      <c r="H139" s="111"/>
      <c r="I139" s="111"/>
      <c r="J139" s="111"/>
      <c r="K139" s="111"/>
      <c r="L139" s="111"/>
      <c r="M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</row>
    <row r="140" spans="1:32" ht="15.75" customHeight="1" x14ac:dyDescent="0.15">
      <c r="A140" s="108"/>
      <c r="B140" s="109"/>
      <c r="C140" s="109"/>
      <c r="D140" s="109"/>
      <c r="E140" s="109"/>
      <c r="F140" s="111"/>
      <c r="G140" s="111"/>
      <c r="H140" s="111"/>
      <c r="I140" s="111"/>
      <c r="J140" s="111"/>
      <c r="K140" s="111"/>
      <c r="L140" s="111"/>
      <c r="M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</row>
    <row r="141" spans="1:32" ht="15.75" customHeight="1" x14ac:dyDescent="0.15">
      <c r="A141" s="108"/>
      <c r="B141" s="109"/>
      <c r="C141" s="109"/>
      <c r="D141" s="109"/>
      <c r="E141" s="109"/>
      <c r="F141" s="111"/>
      <c r="G141" s="111"/>
      <c r="H141" s="111"/>
      <c r="I141" s="111"/>
      <c r="J141" s="111"/>
      <c r="K141" s="111"/>
      <c r="L141" s="111"/>
      <c r="M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</row>
    <row r="142" spans="1:32" ht="15.75" customHeight="1" x14ac:dyDescent="0.15">
      <c r="A142" s="108"/>
      <c r="B142" s="109"/>
      <c r="C142" s="109"/>
      <c r="D142" s="109"/>
      <c r="E142" s="109"/>
      <c r="F142" s="111"/>
      <c r="G142" s="111"/>
      <c r="H142" s="111"/>
      <c r="I142" s="111"/>
      <c r="J142" s="111"/>
      <c r="K142" s="111"/>
      <c r="L142" s="111"/>
      <c r="M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</row>
    <row r="143" spans="1:32" ht="15.75" customHeight="1" x14ac:dyDescent="0.15">
      <c r="A143" s="108"/>
      <c r="B143" s="109"/>
      <c r="C143" s="109"/>
      <c r="D143" s="109"/>
      <c r="E143" s="109"/>
      <c r="F143" s="111"/>
      <c r="G143" s="111"/>
      <c r="H143" s="111"/>
      <c r="I143" s="111"/>
      <c r="J143" s="111"/>
      <c r="K143" s="111"/>
      <c r="L143" s="111"/>
      <c r="M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</row>
    <row r="144" spans="1:32" ht="15.75" customHeight="1" x14ac:dyDescent="0.15">
      <c r="A144" s="108"/>
      <c r="B144" s="109"/>
      <c r="C144" s="109"/>
      <c r="D144" s="109"/>
      <c r="E144" s="109"/>
      <c r="F144" s="111"/>
      <c r="G144" s="111"/>
      <c r="H144" s="111"/>
      <c r="I144" s="111"/>
      <c r="J144" s="111"/>
      <c r="K144" s="111"/>
      <c r="L144" s="111"/>
      <c r="M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</row>
    <row r="145" spans="1:32" ht="15.75" customHeight="1" x14ac:dyDescent="0.15">
      <c r="A145" s="108"/>
      <c r="B145" s="109"/>
      <c r="C145" s="109"/>
      <c r="D145" s="109"/>
      <c r="E145" s="109"/>
      <c r="F145" s="111"/>
      <c r="G145" s="111"/>
      <c r="H145" s="111"/>
      <c r="I145" s="111"/>
      <c r="J145" s="111"/>
      <c r="K145" s="111"/>
      <c r="L145" s="111"/>
      <c r="M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</row>
    <row r="146" spans="1:32" ht="15.75" customHeight="1" x14ac:dyDescent="0.15">
      <c r="A146" s="108"/>
      <c r="B146" s="109"/>
      <c r="C146" s="109"/>
      <c r="D146" s="109"/>
      <c r="E146" s="109"/>
      <c r="F146" s="111"/>
      <c r="G146" s="111"/>
      <c r="H146" s="111"/>
      <c r="I146" s="111"/>
      <c r="J146" s="111"/>
      <c r="K146" s="111"/>
      <c r="L146" s="111"/>
      <c r="M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</row>
    <row r="147" spans="1:32" ht="15.75" customHeight="1" x14ac:dyDescent="0.15">
      <c r="A147" s="108"/>
      <c r="B147" s="109"/>
      <c r="C147" s="109"/>
      <c r="D147" s="109"/>
      <c r="E147" s="109"/>
      <c r="F147" s="111"/>
      <c r="G147" s="111"/>
      <c r="H147" s="111"/>
      <c r="I147" s="111"/>
      <c r="J147" s="111"/>
      <c r="K147" s="111"/>
      <c r="L147" s="111"/>
      <c r="M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</row>
    <row r="148" spans="1:32" ht="15.75" customHeight="1" x14ac:dyDescent="0.15">
      <c r="A148" s="108"/>
      <c r="B148" s="109"/>
      <c r="C148" s="109"/>
      <c r="D148" s="109"/>
      <c r="E148" s="109"/>
      <c r="F148" s="111"/>
      <c r="G148" s="111"/>
      <c r="H148" s="111"/>
      <c r="I148" s="111"/>
      <c r="J148" s="111"/>
      <c r="K148" s="111"/>
      <c r="L148" s="111"/>
      <c r="M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</row>
    <row r="149" spans="1:32" ht="15.75" customHeight="1" x14ac:dyDescent="0.15">
      <c r="A149" s="108"/>
      <c r="B149" s="109"/>
      <c r="C149" s="109"/>
      <c r="D149" s="109"/>
      <c r="E149" s="109"/>
      <c r="F149" s="111"/>
      <c r="G149" s="111"/>
      <c r="H149" s="111"/>
      <c r="I149" s="111"/>
      <c r="J149" s="111"/>
      <c r="K149" s="111"/>
      <c r="L149" s="111"/>
      <c r="M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</row>
    <row r="150" spans="1:32" ht="15.75" customHeight="1" x14ac:dyDescent="0.15">
      <c r="A150" s="108"/>
      <c r="B150" s="109"/>
      <c r="C150" s="109"/>
      <c r="D150" s="109"/>
      <c r="E150" s="109"/>
      <c r="F150" s="111"/>
      <c r="G150" s="111"/>
      <c r="H150" s="111"/>
      <c r="I150" s="111"/>
      <c r="J150" s="111"/>
      <c r="K150" s="111"/>
      <c r="L150" s="111"/>
      <c r="M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</row>
    <row r="151" spans="1:32" ht="15.75" customHeight="1" x14ac:dyDescent="0.15">
      <c r="A151" s="108"/>
      <c r="B151" s="109"/>
      <c r="C151" s="109"/>
      <c r="D151" s="109"/>
      <c r="E151" s="109"/>
      <c r="F151" s="111"/>
      <c r="G151" s="111"/>
      <c r="H151" s="111"/>
      <c r="I151" s="111"/>
      <c r="J151" s="111"/>
      <c r="K151" s="111"/>
      <c r="L151" s="111"/>
      <c r="M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</row>
    <row r="152" spans="1:32" ht="15.75" customHeight="1" x14ac:dyDescent="0.15">
      <c r="A152" s="108"/>
      <c r="B152" s="109"/>
      <c r="C152" s="109"/>
      <c r="D152" s="109"/>
      <c r="E152" s="109"/>
      <c r="F152" s="111"/>
      <c r="G152" s="111"/>
      <c r="H152" s="111"/>
      <c r="I152" s="111"/>
      <c r="J152" s="111"/>
      <c r="K152" s="111"/>
      <c r="L152" s="111"/>
      <c r="M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</row>
    <row r="153" spans="1:32" ht="15.75" customHeight="1" x14ac:dyDescent="0.15">
      <c r="A153" s="108"/>
      <c r="B153" s="109"/>
      <c r="C153" s="109"/>
      <c r="D153" s="109"/>
      <c r="E153" s="109"/>
      <c r="F153" s="111"/>
      <c r="G153" s="111"/>
      <c r="H153" s="111"/>
      <c r="I153" s="111"/>
      <c r="J153" s="111"/>
      <c r="K153" s="111"/>
      <c r="L153" s="111"/>
      <c r="M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</row>
    <row r="154" spans="1:32" ht="15.75" customHeight="1" x14ac:dyDescent="0.15">
      <c r="A154" s="108"/>
      <c r="B154" s="109"/>
      <c r="C154" s="109"/>
      <c r="D154" s="109"/>
      <c r="E154" s="109"/>
      <c r="F154" s="111"/>
      <c r="G154" s="111"/>
      <c r="H154" s="111"/>
      <c r="I154" s="111"/>
      <c r="J154" s="111"/>
      <c r="K154" s="111"/>
      <c r="L154" s="111"/>
      <c r="M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</row>
    <row r="155" spans="1:32" ht="15.75" customHeight="1" x14ac:dyDescent="0.15">
      <c r="A155" s="108"/>
      <c r="B155" s="109"/>
      <c r="C155" s="109"/>
      <c r="D155" s="109"/>
      <c r="E155" s="109"/>
      <c r="F155" s="111"/>
      <c r="G155" s="111"/>
      <c r="H155" s="111"/>
      <c r="I155" s="111"/>
      <c r="J155" s="111"/>
      <c r="K155" s="111"/>
      <c r="L155" s="111"/>
      <c r="M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</row>
    <row r="156" spans="1:32" ht="15.75" customHeight="1" x14ac:dyDescent="0.15">
      <c r="A156" s="108"/>
      <c r="B156" s="109"/>
      <c r="C156" s="109"/>
      <c r="D156" s="109"/>
      <c r="E156" s="109"/>
      <c r="F156" s="111"/>
      <c r="G156" s="111"/>
      <c r="H156" s="111"/>
      <c r="I156" s="111"/>
      <c r="J156" s="111"/>
      <c r="K156" s="111"/>
      <c r="L156" s="111"/>
      <c r="M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</row>
    <row r="157" spans="1:32" ht="15.75" customHeight="1" x14ac:dyDescent="0.15">
      <c r="A157" s="108"/>
      <c r="B157" s="109"/>
      <c r="C157" s="109"/>
      <c r="D157" s="109"/>
      <c r="E157" s="109"/>
      <c r="F157" s="111"/>
      <c r="G157" s="111"/>
      <c r="H157" s="111"/>
      <c r="I157" s="111"/>
      <c r="J157" s="111"/>
      <c r="K157" s="111"/>
      <c r="L157" s="111"/>
      <c r="M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</row>
    <row r="158" spans="1:32" ht="15.75" customHeight="1" x14ac:dyDescent="0.15">
      <c r="A158" s="108"/>
      <c r="B158" s="109"/>
      <c r="C158" s="109"/>
      <c r="D158" s="109"/>
      <c r="E158" s="109"/>
      <c r="F158" s="111"/>
      <c r="G158" s="111"/>
      <c r="H158" s="111"/>
      <c r="I158" s="111"/>
      <c r="J158" s="111"/>
      <c r="K158" s="111"/>
      <c r="L158" s="111"/>
      <c r="M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</row>
    <row r="159" spans="1:32" ht="15.75" customHeight="1" x14ac:dyDescent="0.15">
      <c r="A159" s="108"/>
      <c r="B159" s="109"/>
      <c r="C159" s="109"/>
      <c r="D159" s="109"/>
      <c r="E159" s="109"/>
      <c r="F159" s="111"/>
      <c r="G159" s="111"/>
      <c r="H159" s="111"/>
      <c r="I159" s="111"/>
      <c r="J159" s="111"/>
      <c r="K159" s="111"/>
      <c r="L159" s="111"/>
      <c r="M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</row>
    <row r="160" spans="1:32" ht="15.75" customHeight="1" x14ac:dyDescent="0.15">
      <c r="A160" s="108"/>
      <c r="B160" s="109"/>
      <c r="C160" s="109"/>
      <c r="D160" s="109"/>
      <c r="E160" s="109"/>
      <c r="F160" s="111"/>
      <c r="G160" s="111"/>
      <c r="H160" s="111"/>
      <c r="I160" s="111"/>
      <c r="J160" s="111"/>
      <c r="K160" s="111"/>
      <c r="L160" s="111"/>
      <c r="M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</row>
    <row r="161" spans="1:32" ht="15.75" customHeight="1" x14ac:dyDescent="0.15">
      <c r="A161" s="108"/>
      <c r="B161" s="109"/>
      <c r="C161" s="109"/>
      <c r="D161" s="109"/>
      <c r="E161" s="109"/>
      <c r="F161" s="111"/>
      <c r="G161" s="111"/>
      <c r="H161" s="111"/>
      <c r="I161" s="111"/>
      <c r="J161" s="111"/>
      <c r="K161" s="111"/>
      <c r="L161" s="111"/>
      <c r="M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</row>
    <row r="162" spans="1:32" ht="15.75" customHeight="1" x14ac:dyDescent="0.15">
      <c r="A162" s="108"/>
      <c r="B162" s="109"/>
      <c r="C162" s="109"/>
      <c r="D162" s="109"/>
      <c r="E162" s="109"/>
      <c r="F162" s="111"/>
      <c r="G162" s="111"/>
      <c r="H162" s="111"/>
      <c r="I162" s="111"/>
      <c r="J162" s="111"/>
      <c r="K162" s="111"/>
      <c r="L162" s="111"/>
      <c r="M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</row>
    <row r="163" spans="1:32" ht="15.75" customHeight="1" x14ac:dyDescent="0.15">
      <c r="A163" s="108"/>
      <c r="B163" s="109"/>
      <c r="C163" s="109"/>
      <c r="D163" s="109"/>
      <c r="E163" s="109"/>
      <c r="F163" s="111"/>
      <c r="G163" s="111"/>
      <c r="H163" s="111"/>
      <c r="I163" s="111"/>
      <c r="J163" s="111"/>
      <c r="K163" s="111"/>
      <c r="L163" s="111"/>
      <c r="M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</row>
    <row r="164" spans="1:32" ht="15.75" customHeight="1" x14ac:dyDescent="0.15">
      <c r="A164" s="108"/>
      <c r="B164" s="109"/>
      <c r="C164" s="109"/>
      <c r="D164" s="109"/>
      <c r="E164" s="109"/>
      <c r="F164" s="111"/>
      <c r="G164" s="111"/>
      <c r="H164" s="111"/>
      <c r="I164" s="111"/>
      <c r="J164" s="111"/>
      <c r="K164" s="111"/>
      <c r="L164" s="111"/>
      <c r="M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</row>
    <row r="165" spans="1:32" ht="15.75" customHeight="1" x14ac:dyDescent="0.15">
      <c r="A165" s="108"/>
      <c r="B165" s="109"/>
      <c r="C165" s="109"/>
      <c r="D165" s="109"/>
      <c r="E165" s="109"/>
      <c r="F165" s="111"/>
      <c r="G165" s="111"/>
      <c r="H165" s="111"/>
      <c r="I165" s="111"/>
      <c r="J165" s="111"/>
      <c r="K165" s="111"/>
      <c r="L165" s="111"/>
      <c r="M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</row>
    <row r="166" spans="1:32" ht="15.75" customHeight="1" x14ac:dyDescent="0.15">
      <c r="A166" s="108"/>
      <c r="B166" s="109"/>
      <c r="C166" s="109"/>
      <c r="D166" s="109"/>
      <c r="E166" s="109"/>
      <c r="F166" s="111"/>
      <c r="G166" s="111"/>
      <c r="H166" s="111"/>
      <c r="I166" s="111"/>
      <c r="J166" s="111"/>
      <c r="K166" s="111"/>
      <c r="L166" s="111"/>
      <c r="M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</row>
    <row r="167" spans="1:32" ht="15.75" customHeight="1" x14ac:dyDescent="0.15">
      <c r="A167" s="108"/>
      <c r="B167" s="109"/>
      <c r="C167" s="109"/>
      <c r="D167" s="109"/>
      <c r="E167" s="109"/>
      <c r="F167" s="111"/>
      <c r="G167" s="111"/>
      <c r="H167" s="111"/>
      <c r="I167" s="111"/>
      <c r="J167" s="111"/>
      <c r="K167" s="111"/>
      <c r="L167" s="111"/>
      <c r="M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</row>
    <row r="168" spans="1:32" ht="15.75" customHeight="1" x14ac:dyDescent="0.15">
      <c r="A168" s="108"/>
      <c r="B168" s="109"/>
      <c r="C168" s="109"/>
      <c r="D168" s="109"/>
      <c r="E168" s="109"/>
      <c r="F168" s="111"/>
      <c r="G168" s="111"/>
      <c r="H168" s="111"/>
      <c r="I168" s="111"/>
      <c r="J168" s="111"/>
      <c r="K168" s="111"/>
      <c r="L168" s="111"/>
      <c r="M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</row>
    <row r="169" spans="1:32" ht="15.75" customHeight="1" x14ac:dyDescent="0.15">
      <c r="A169" s="108"/>
      <c r="B169" s="109"/>
      <c r="C169" s="109"/>
      <c r="D169" s="109"/>
      <c r="E169" s="109"/>
      <c r="F169" s="111"/>
      <c r="G169" s="111"/>
      <c r="H169" s="111"/>
      <c r="I169" s="111"/>
      <c r="J169" s="111"/>
      <c r="K169" s="111"/>
      <c r="L169" s="111"/>
      <c r="M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</row>
    <row r="170" spans="1:32" ht="15.75" customHeight="1" x14ac:dyDescent="0.15">
      <c r="A170" s="108"/>
      <c r="B170" s="109"/>
      <c r="C170" s="109"/>
      <c r="D170" s="109"/>
      <c r="E170" s="109"/>
      <c r="F170" s="111"/>
      <c r="G170" s="111"/>
      <c r="H170" s="111"/>
      <c r="I170" s="111"/>
      <c r="J170" s="111"/>
      <c r="K170" s="111"/>
      <c r="L170" s="111"/>
      <c r="M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</row>
    <row r="171" spans="1:32" ht="15.75" customHeight="1" x14ac:dyDescent="0.15">
      <c r="A171" s="108"/>
      <c r="B171" s="109"/>
      <c r="C171" s="109"/>
      <c r="D171" s="109"/>
      <c r="E171" s="109"/>
      <c r="F171" s="111"/>
      <c r="G171" s="111"/>
      <c r="H171" s="111"/>
      <c r="I171" s="111"/>
      <c r="J171" s="111"/>
      <c r="K171" s="111"/>
      <c r="L171" s="111"/>
      <c r="M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</row>
    <row r="172" spans="1:32" ht="15.75" customHeight="1" x14ac:dyDescent="0.15">
      <c r="A172" s="108"/>
      <c r="B172" s="109"/>
      <c r="C172" s="109"/>
      <c r="D172" s="109"/>
      <c r="E172" s="109"/>
      <c r="F172" s="111"/>
      <c r="G172" s="111"/>
      <c r="H172" s="111"/>
      <c r="I172" s="111"/>
      <c r="J172" s="111"/>
      <c r="K172" s="111"/>
      <c r="L172" s="111"/>
      <c r="M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</row>
    <row r="173" spans="1:32" ht="15.75" customHeight="1" x14ac:dyDescent="0.15">
      <c r="A173" s="108"/>
      <c r="B173" s="109"/>
      <c r="C173" s="109"/>
      <c r="D173" s="109"/>
      <c r="E173" s="109"/>
      <c r="F173" s="111"/>
      <c r="G173" s="111"/>
      <c r="H173" s="111"/>
      <c r="I173" s="111"/>
      <c r="J173" s="111"/>
      <c r="K173" s="111"/>
      <c r="L173" s="111"/>
      <c r="M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</row>
    <row r="174" spans="1:32" ht="15.75" customHeight="1" x14ac:dyDescent="0.15">
      <c r="A174" s="108"/>
      <c r="B174" s="109"/>
      <c r="C174" s="109"/>
      <c r="D174" s="109"/>
      <c r="E174" s="109"/>
      <c r="F174" s="111"/>
      <c r="G174" s="111"/>
      <c r="H174" s="111"/>
      <c r="I174" s="111"/>
      <c r="J174" s="111"/>
      <c r="K174" s="111"/>
      <c r="L174" s="111"/>
      <c r="M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</row>
    <row r="175" spans="1:32" ht="15.75" customHeight="1" x14ac:dyDescent="0.15">
      <c r="A175" s="108"/>
      <c r="B175" s="109"/>
      <c r="C175" s="109"/>
      <c r="D175" s="109"/>
      <c r="E175" s="109"/>
      <c r="F175" s="111"/>
      <c r="G175" s="111"/>
      <c r="H175" s="111"/>
      <c r="I175" s="111"/>
      <c r="J175" s="111"/>
      <c r="K175" s="111"/>
      <c r="L175" s="111"/>
      <c r="M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</row>
    <row r="176" spans="1:32" ht="15.75" customHeight="1" x14ac:dyDescent="0.15">
      <c r="A176" s="108"/>
      <c r="B176" s="109"/>
      <c r="C176" s="109"/>
      <c r="D176" s="109"/>
      <c r="E176" s="109"/>
      <c r="F176" s="111"/>
      <c r="G176" s="111"/>
      <c r="H176" s="111"/>
      <c r="I176" s="111"/>
      <c r="J176" s="111"/>
      <c r="K176" s="111"/>
      <c r="L176" s="111"/>
      <c r="M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</row>
    <row r="177" spans="1:32" ht="15.75" customHeight="1" x14ac:dyDescent="0.15">
      <c r="A177" s="108"/>
      <c r="B177" s="109"/>
      <c r="C177" s="109"/>
      <c r="D177" s="109"/>
      <c r="E177" s="109"/>
      <c r="F177" s="111"/>
      <c r="G177" s="111"/>
      <c r="H177" s="111"/>
      <c r="I177" s="111"/>
      <c r="J177" s="111"/>
      <c r="K177" s="111"/>
      <c r="L177" s="111"/>
      <c r="M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</row>
    <row r="178" spans="1:32" ht="15.75" customHeight="1" x14ac:dyDescent="0.15">
      <c r="A178" s="108"/>
      <c r="B178" s="109"/>
      <c r="C178" s="109"/>
      <c r="D178" s="109"/>
      <c r="E178" s="109"/>
      <c r="F178" s="111"/>
      <c r="G178" s="111"/>
      <c r="H178" s="111"/>
      <c r="I178" s="111"/>
      <c r="J178" s="111"/>
      <c r="K178" s="111"/>
      <c r="L178" s="111"/>
      <c r="M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</row>
    <row r="179" spans="1:32" ht="15.75" customHeight="1" x14ac:dyDescent="0.15">
      <c r="A179" s="108"/>
      <c r="B179" s="109"/>
      <c r="C179" s="109"/>
      <c r="D179" s="109"/>
      <c r="E179" s="109"/>
      <c r="F179" s="111"/>
      <c r="G179" s="111"/>
      <c r="H179" s="111"/>
      <c r="I179" s="111"/>
      <c r="J179" s="111"/>
      <c r="K179" s="111"/>
      <c r="L179" s="111"/>
      <c r="M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  <c r="AD179" s="111"/>
      <c r="AE179" s="111"/>
      <c r="AF179" s="111"/>
    </row>
    <row r="180" spans="1:32" ht="15.75" customHeight="1" x14ac:dyDescent="0.15">
      <c r="A180" s="108"/>
      <c r="B180" s="109"/>
      <c r="C180" s="109"/>
      <c r="D180" s="109"/>
      <c r="E180" s="109"/>
      <c r="F180" s="111"/>
      <c r="G180" s="111"/>
      <c r="H180" s="111"/>
      <c r="I180" s="111"/>
      <c r="J180" s="111"/>
      <c r="K180" s="111"/>
      <c r="L180" s="111"/>
      <c r="M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</row>
    <row r="181" spans="1:32" ht="15.75" customHeight="1" x14ac:dyDescent="0.15">
      <c r="A181" s="108"/>
      <c r="B181" s="109"/>
      <c r="C181" s="109"/>
      <c r="D181" s="109"/>
      <c r="E181" s="109"/>
      <c r="F181" s="111"/>
      <c r="G181" s="111"/>
      <c r="H181" s="111"/>
      <c r="I181" s="111"/>
      <c r="J181" s="111"/>
      <c r="K181" s="111"/>
      <c r="L181" s="111"/>
      <c r="M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</row>
    <row r="182" spans="1:32" ht="15.75" customHeight="1" x14ac:dyDescent="0.15">
      <c r="A182" s="108"/>
      <c r="B182" s="109"/>
      <c r="C182" s="109"/>
      <c r="D182" s="109"/>
      <c r="E182" s="109"/>
      <c r="F182" s="111"/>
      <c r="G182" s="111"/>
      <c r="H182" s="111"/>
      <c r="I182" s="111"/>
      <c r="J182" s="111"/>
      <c r="K182" s="111"/>
      <c r="L182" s="111"/>
      <c r="M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</row>
    <row r="183" spans="1:32" ht="15.75" customHeight="1" x14ac:dyDescent="0.15">
      <c r="A183" s="108"/>
      <c r="B183" s="109"/>
      <c r="C183" s="109"/>
      <c r="D183" s="109"/>
      <c r="E183" s="109"/>
      <c r="F183" s="111"/>
      <c r="G183" s="111"/>
      <c r="H183" s="111"/>
      <c r="I183" s="111"/>
      <c r="J183" s="111"/>
      <c r="K183" s="111"/>
      <c r="L183" s="111"/>
      <c r="M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</row>
    <row r="184" spans="1:32" ht="15.75" customHeight="1" x14ac:dyDescent="0.15">
      <c r="A184" s="108"/>
      <c r="B184" s="109"/>
      <c r="C184" s="109"/>
      <c r="D184" s="109"/>
      <c r="E184" s="109"/>
      <c r="F184" s="111"/>
      <c r="G184" s="111"/>
      <c r="H184" s="111"/>
      <c r="I184" s="111"/>
      <c r="J184" s="111"/>
      <c r="K184" s="111"/>
      <c r="L184" s="111"/>
      <c r="M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</row>
    <row r="185" spans="1:32" ht="15.75" customHeight="1" x14ac:dyDescent="0.15">
      <c r="A185" s="108"/>
      <c r="B185" s="109"/>
      <c r="C185" s="109"/>
      <c r="D185" s="109"/>
      <c r="E185" s="109"/>
      <c r="F185" s="111"/>
      <c r="G185" s="111"/>
      <c r="H185" s="111"/>
      <c r="I185" s="111"/>
      <c r="J185" s="111"/>
      <c r="K185" s="111"/>
      <c r="L185" s="111"/>
      <c r="M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</row>
    <row r="186" spans="1:32" ht="15.75" customHeight="1" x14ac:dyDescent="0.15">
      <c r="A186" s="108"/>
      <c r="B186" s="109"/>
      <c r="C186" s="109"/>
      <c r="D186" s="109"/>
      <c r="E186" s="109"/>
      <c r="F186" s="111"/>
      <c r="G186" s="111"/>
      <c r="H186" s="111"/>
      <c r="I186" s="111"/>
      <c r="J186" s="111"/>
      <c r="K186" s="111"/>
      <c r="L186" s="111"/>
      <c r="M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</row>
    <row r="187" spans="1:32" ht="15.75" customHeight="1" x14ac:dyDescent="0.15">
      <c r="A187" s="108"/>
      <c r="B187" s="109"/>
      <c r="C187" s="109"/>
      <c r="D187" s="109"/>
      <c r="E187" s="109"/>
      <c r="F187" s="111"/>
      <c r="G187" s="111"/>
      <c r="H187" s="111"/>
      <c r="I187" s="111"/>
      <c r="J187" s="111"/>
      <c r="K187" s="111"/>
      <c r="L187" s="111"/>
      <c r="M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</row>
    <row r="188" spans="1:32" ht="15.75" customHeight="1" x14ac:dyDescent="0.15">
      <c r="A188" s="108"/>
      <c r="B188" s="109"/>
      <c r="C188" s="109"/>
      <c r="D188" s="109"/>
      <c r="E188" s="109"/>
      <c r="F188" s="111"/>
      <c r="G188" s="111"/>
      <c r="H188" s="111"/>
      <c r="I188" s="111"/>
      <c r="J188" s="111"/>
      <c r="K188" s="111"/>
      <c r="L188" s="111"/>
      <c r="M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</row>
    <row r="189" spans="1:32" ht="15.75" customHeight="1" x14ac:dyDescent="0.15">
      <c r="A189" s="108"/>
      <c r="B189" s="109"/>
      <c r="C189" s="109"/>
      <c r="D189" s="109"/>
      <c r="E189" s="109"/>
      <c r="F189" s="111"/>
      <c r="G189" s="111"/>
      <c r="H189" s="111"/>
      <c r="I189" s="111"/>
      <c r="J189" s="111"/>
      <c r="K189" s="111"/>
      <c r="L189" s="111"/>
      <c r="M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</row>
    <row r="190" spans="1:32" ht="15.75" customHeight="1" x14ac:dyDescent="0.15">
      <c r="A190" s="108"/>
      <c r="B190" s="109"/>
      <c r="C190" s="109"/>
      <c r="D190" s="109"/>
      <c r="E190" s="109"/>
      <c r="F190" s="111"/>
      <c r="G190" s="111"/>
      <c r="H190" s="111"/>
      <c r="I190" s="111"/>
      <c r="J190" s="111"/>
      <c r="K190" s="111"/>
      <c r="L190" s="111"/>
      <c r="M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</row>
    <row r="191" spans="1:32" ht="15.75" customHeight="1" x14ac:dyDescent="0.15">
      <c r="A191" s="108"/>
      <c r="B191" s="109"/>
      <c r="C191" s="109"/>
      <c r="D191" s="109"/>
      <c r="E191" s="109"/>
      <c r="F191" s="111"/>
      <c r="G191" s="111"/>
      <c r="H191" s="111"/>
      <c r="I191" s="111"/>
      <c r="J191" s="111"/>
      <c r="K191" s="111"/>
      <c r="L191" s="111"/>
      <c r="M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</row>
    <row r="192" spans="1:32" ht="15.75" customHeight="1" x14ac:dyDescent="0.15">
      <c r="A192" s="108"/>
      <c r="B192" s="109"/>
      <c r="C192" s="109"/>
      <c r="D192" s="109"/>
      <c r="E192" s="109"/>
      <c r="F192" s="111"/>
      <c r="G192" s="111"/>
      <c r="H192" s="111"/>
      <c r="I192" s="111"/>
      <c r="J192" s="111"/>
      <c r="K192" s="111"/>
      <c r="L192" s="111"/>
      <c r="M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</row>
    <row r="193" spans="1:32" ht="15.75" customHeight="1" x14ac:dyDescent="0.15">
      <c r="A193" s="108"/>
      <c r="B193" s="109"/>
      <c r="C193" s="109"/>
      <c r="D193" s="109"/>
      <c r="E193" s="109"/>
      <c r="F193" s="111"/>
      <c r="G193" s="111"/>
      <c r="H193" s="111"/>
      <c r="I193" s="111"/>
      <c r="J193" s="111"/>
      <c r="K193" s="111"/>
      <c r="L193" s="111"/>
      <c r="M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</row>
    <row r="194" spans="1:32" ht="15.75" customHeight="1" x14ac:dyDescent="0.15">
      <c r="A194" s="108"/>
      <c r="B194" s="109"/>
      <c r="C194" s="109"/>
      <c r="D194" s="109"/>
      <c r="E194" s="109"/>
      <c r="F194" s="111"/>
      <c r="G194" s="111"/>
      <c r="H194" s="111"/>
      <c r="I194" s="111"/>
      <c r="J194" s="111"/>
      <c r="K194" s="111"/>
      <c r="L194" s="111"/>
      <c r="M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</row>
    <row r="195" spans="1:32" ht="15.75" customHeight="1" x14ac:dyDescent="0.15">
      <c r="A195" s="108"/>
      <c r="B195" s="109"/>
      <c r="C195" s="109"/>
      <c r="D195" s="109"/>
      <c r="E195" s="109"/>
      <c r="F195" s="111"/>
      <c r="G195" s="111"/>
      <c r="H195" s="111"/>
      <c r="I195" s="111"/>
      <c r="J195" s="111"/>
      <c r="K195" s="111"/>
      <c r="L195" s="111"/>
      <c r="M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</row>
    <row r="196" spans="1:32" ht="15.75" customHeight="1" x14ac:dyDescent="0.15">
      <c r="A196" s="108"/>
      <c r="B196" s="109"/>
      <c r="C196" s="109"/>
      <c r="D196" s="109"/>
      <c r="E196" s="109"/>
      <c r="F196" s="111"/>
      <c r="G196" s="111"/>
      <c r="H196" s="111"/>
      <c r="I196" s="111"/>
      <c r="J196" s="111"/>
      <c r="K196" s="111"/>
      <c r="L196" s="111"/>
      <c r="M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</row>
    <row r="197" spans="1:32" ht="15.75" customHeight="1" x14ac:dyDescent="0.15">
      <c r="A197" s="108"/>
      <c r="B197" s="109"/>
      <c r="C197" s="109"/>
      <c r="D197" s="109"/>
      <c r="E197" s="109"/>
      <c r="F197" s="111"/>
      <c r="G197" s="111"/>
      <c r="H197" s="111"/>
      <c r="I197" s="111"/>
      <c r="J197" s="111"/>
      <c r="K197" s="111"/>
      <c r="L197" s="111"/>
      <c r="M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</row>
    <row r="198" spans="1:32" ht="15.75" customHeight="1" x14ac:dyDescent="0.15">
      <c r="A198" s="108"/>
      <c r="B198" s="109"/>
      <c r="C198" s="109"/>
      <c r="D198" s="109"/>
      <c r="E198" s="109"/>
      <c r="F198" s="111"/>
      <c r="G198" s="111"/>
      <c r="H198" s="111"/>
      <c r="I198" s="111"/>
      <c r="J198" s="111"/>
      <c r="K198" s="111"/>
      <c r="L198" s="111"/>
      <c r="M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</row>
    <row r="199" spans="1:32" ht="15.75" customHeight="1" x14ac:dyDescent="0.15">
      <c r="A199" s="108"/>
      <c r="B199" s="109"/>
      <c r="C199" s="109"/>
      <c r="D199" s="109"/>
      <c r="E199" s="109"/>
      <c r="F199" s="111"/>
      <c r="G199" s="111"/>
      <c r="H199" s="111"/>
      <c r="I199" s="111"/>
      <c r="J199" s="111"/>
      <c r="K199" s="111"/>
      <c r="L199" s="111"/>
      <c r="M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</row>
    <row r="200" spans="1:32" ht="15.75" customHeight="1" x14ac:dyDescent="0.15">
      <c r="A200" s="108"/>
      <c r="B200" s="109"/>
      <c r="C200" s="109"/>
      <c r="D200" s="109"/>
      <c r="E200" s="109"/>
      <c r="F200" s="111"/>
      <c r="G200" s="111"/>
      <c r="H200" s="111"/>
      <c r="I200" s="111"/>
      <c r="J200" s="111"/>
      <c r="K200" s="111"/>
      <c r="L200" s="111"/>
      <c r="M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</row>
    <row r="201" spans="1:32" ht="15.75" customHeight="1" x14ac:dyDescent="0.15">
      <c r="A201" s="108"/>
      <c r="B201" s="109"/>
      <c r="C201" s="109"/>
      <c r="D201" s="109"/>
      <c r="E201" s="109"/>
      <c r="F201" s="111"/>
      <c r="G201" s="111"/>
      <c r="H201" s="111"/>
      <c r="I201" s="111"/>
      <c r="J201" s="111"/>
      <c r="K201" s="111"/>
      <c r="L201" s="111"/>
      <c r="M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</row>
    <row r="202" spans="1:32" ht="15.75" customHeight="1" x14ac:dyDescent="0.15">
      <c r="A202" s="108"/>
      <c r="B202" s="109"/>
      <c r="C202" s="109"/>
      <c r="D202" s="109"/>
      <c r="E202" s="109"/>
      <c r="F202" s="111"/>
      <c r="G202" s="111"/>
      <c r="H202" s="111"/>
      <c r="I202" s="111"/>
      <c r="J202" s="111"/>
      <c r="K202" s="111"/>
      <c r="L202" s="111"/>
      <c r="M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</row>
    <row r="203" spans="1:32" ht="15.75" customHeight="1" x14ac:dyDescent="0.15">
      <c r="A203" s="108"/>
      <c r="B203" s="109"/>
      <c r="C203" s="109"/>
      <c r="D203" s="109"/>
      <c r="E203" s="109"/>
      <c r="F203" s="111"/>
      <c r="G203" s="111"/>
      <c r="H203" s="111"/>
      <c r="I203" s="111"/>
      <c r="J203" s="111"/>
      <c r="K203" s="111"/>
      <c r="L203" s="111"/>
      <c r="M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</row>
    <row r="204" spans="1:32" ht="15.75" customHeight="1" x14ac:dyDescent="0.15">
      <c r="A204" s="108"/>
      <c r="B204" s="109"/>
      <c r="C204" s="109"/>
      <c r="D204" s="109"/>
      <c r="E204" s="109"/>
      <c r="F204" s="111"/>
      <c r="G204" s="111"/>
      <c r="H204" s="111"/>
      <c r="I204" s="111"/>
      <c r="J204" s="111"/>
      <c r="K204" s="111"/>
      <c r="L204" s="111"/>
      <c r="M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</row>
    <row r="205" spans="1:32" ht="15.75" customHeight="1" x14ac:dyDescent="0.15">
      <c r="A205" s="108"/>
      <c r="B205" s="109"/>
      <c r="C205" s="109"/>
      <c r="D205" s="109"/>
      <c r="E205" s="109"/>
      <c r="F205" s="111"/>
      <c r="G205" s="111"/>
      <c r="H205" s="111"/>
      <c r="I205" s="111"/>
      <c r="J205" s="111"/>
      <c r="K205" s="111"/>
      <c r="L205" s="111"/>
      <c r="M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</row>
    <row r="206" spans="1:32" ht="15.75" customHeight="1" x14ac:dyDescent="0.15">
      <c r="A206" s="108"/>
      <c r="B206" s="109"/>
      <c r="C206" s="109"/>
      <c r="D206" s="109"/>
      <c r="E206" s="109"/>
      <c r="F206" s="111"/>
      <c r="G206" s="111"/>
      <c r="H206" s="111"/>
      <c r="I206" s="111"/>
      <c r="J206" s="111"/>
      <c r="K206" s="111"/>
      <c r="L206" s="111"/>
      <c r="M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</row>
    <row r="207" spans="1:32" ht="15.75" customHeight="1" x14ac:dyDescent="0.15">
      <c r="A207" s="108"/>
      <c r="B207" s="109"/>
      <c r="C207" s="109"/>
      <c r="D207" s="109"/>
      <c r="E207" s="109"/>
      <c r="F207" s="111"/>
      <c r="G207" s="111"/>
      <c r="H207" s="111"/>
      <c r="I207" s="111"/>
      <c r="J207" s="111"/>
      <c r="K207" s="111"/>
      <c r="L207" s="111"/>
      <c r="M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</row>
    <row r="208" spans="1:32" ht="15.75" customHeight="1" x14ac:dyDescent="0.15">
      <c r="A208" s="108"/>
      <c r="B208" s="109"/>
      <c r="C208" s="109"/>
      <c r="D208" s="109"/>
      <c r="E208" s="109"/>
      <c r="F208" s="111"/>
      <c r="G208" s="111"/>
      <c r="H208" s="111"/>
      <c r="I208" s="111"/>
      <c r="J208" s="111"/>
      <c r="K208" s="111"/>
      <c r="L208" s="111"/>
      <c r="M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</row>
    <row r="209" spans="1:32" ht="15.75" customHeight="1" x14ac:dyDescent="0.15">
      <c r="A209" s="108"/>
      <c r="B209" s="109"/>
      <c r="C209" s="109"/>
      <c r="D209" s="109"/>
      <c r="E209" s="109"/>
      <c r="F209" s="111"/>
      <c r="G209" s="111"/>
      <c r="H209" s="111"/>
      <c r="I209" s="111"/>
      <c r="J209" s="111"/>
      <c r="K209" s="111"/>
      <c r="L209" s="111"/>
      <c r="M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</row>
    <row r="210" spans="1:32" ht="15.75" customHeight="1" x14ac:dyDescent="0.15">
      <c r="A210" s="108"/>
      <c r="B210" s="109"/>
      <c r="C210" s="109"/>
      <c r="D210" s="109"/>
      <c r="E210" s="109"/>
      <c r="F210" s="111"/>
      <c r="G210" s="111"/>
      <c r="H210" s="111"/>
      <c r="I210" s="111"/>
      <c r="J210" s="111"/>
      <c r="K210" s="111"/>
      <c r="L210" s="111"/>
      <c r="M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</row>
    <row r="211" spans="1:32" ht="15.75" customHeight="1" x14ac:dyDescent="0.15">
      <c r="A211" s="108"/>
      <c r="B211" s="109"/>
      <c r="C211" s="109"/>
      <c r="D211" s="109"/>
      <c r="E211" s="109"/>
      <c r="F211" s="111"/>
      <c r="G211" s="111"/>
      <c r="H211" s="111"/>
      <c r="I211" s="111"/>
      <c r="J211" s="111"/>
      <c r="K211" s="111"/>
      <c r="L211" s="111"/>
      <c r="M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</row>
    <row r="212" spans="1:32" ht="15.75" customHeight="1" x14ac:dyDescent="0.15">
      <c r="A212" s="108"/>
      <c r="B212" s="109"/>
      <c r="C212" s="109"/>
      <c r="D212" s="109"/>
      <c r="E212" s="109"/>
      <c r="F212" s="111"/>
      <c r="G212" s="111"/>
      <c r="H212" s="111"/>
      <c r="I212" s="111"/>
      <c r="J212" s="111"/>
      <c r="K212" s="111"/>
      <c r="L212" s="111"/>
      <c r="M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</row>
    <row r="213" spans="1:32" ht="15.75" customHeight="1" x14ac:dyDescent="0.15">
      <c r="A213" s="108"/>
      <c r="B213" s="109"/>
      <c r="C213" s="109"/>
      <c r="D213" s="109"/>
      <c r="E213" s="109"/>
      <c r="F213" s="111"/>
      <c r="G213" s="111"/>
      <c r="H213" s="111"/>
      <c r="I213" s="111"/>
      <c r="J213" s="111"/>
      <c r="K213" s="111"/>
      <c r="L213" s="111"/>
      <c r="M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</row>
    <row r="214" spans="1:32" ht="15.75" customHeight="1" x14ac:dyDescent="0.15">
      <c r="A214" s="108"/>
      <c r="B214" s="109"/>
      <c r="C214" s="109"/>
      <c r="D214" s="109"/>
      <c r="E214" s="109"/>
      <c r="F214" s="111"/>
      <c r="G214" s="111"/>
      <c r="H214" s="111"/>
      <c r="I214" s="111"/>
      <c r="J214" s="111"/>
      <c r="K214" s="111"/>
      <c r="L214" s="111"/>
      <c r="M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</row>
    <row r="215" spans="1:32" ht="15.75" customHeight="1" x14ac:dyDescent="0.15">
      <c r="A215" s="108"/>
      <c r="B215" s="109"/>
      <c r="C215" s="109"/>
      <c r="D215" s="109"/>
      <c r="E215" s="109"/>
      <c r="F215" s="111"/>
      <c r="G215" s="111"/>
      <c r="H215" s="111"/>
      <c r="I215" s="111"/>
      <c r="J215" s="111"/>
      <c r="K215" s="111"/>
      <c r="L215" s="111"/>
      <c r="M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</row>
    <row r="216" spans="1:32" ht="15.75" customHeight="1" x14ac:dyDescent="0.15">
      <c r="A216" s="108"/>
      <c r="B216" s="109"/>
      <c r="C216" s="109"/>
      <c r="D216" s="109"/>
      <c r="E216" s="109"/>
      <c r="F216" s="111"/>
      <c r="G216" s="111"/>
      <c r="H216" s="111"/>
      <c r="I216" s="111"/>
      <c r="J216" s="111"/>
      <c r="K216" s="111"/>
      <c r="L216" s="111"/>
      <c r="M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</row>
    <row r="217" spans="1:32" ht="15.75" customHeight="1" x14ac:dyDescent="0.15">
      <c r="A217" s="108"/>
      <c r="B217" s="109"/>
      <c r="C217" s="109"/>
      <c r="D217" s="109"/>
      <c r="E217" s="109"/>
      <c r="F217" s="111"/>
      <c r="G217" s="111"/>
      <c r="H217" s="111"/>
      <c r="I217" s="111"/>
      <c r="J217" s="111"/>
      <c r="K217" s="111"/>
      <c r="L217" s="111"/>
      <c r="M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</row>
    <row r="218" spans="1:32" ht="15.75" customHeight="1" x14ac:dyDescent="0.15">
      <c r="A218" s="108"/>
      <c r="B218" s="109"/>
      <c r="C218" s="109"/>
      <c r="D218" s="109"/>
      <c r="E218" s="109"/>
      <c r="F218" s="111"/>
      <c r="G218" s="111"/>
      <c r="H218" s="111"/>
      <c r="I218" s="111"/>
      <c r="J218" s="111"/>
      <c r="K218" s="111"/>
      <c r="L218" s="111"/>
      <c r="M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</row>
    <row r="219" spans="1:32" ht="15.75" customHeight="1" x14ac:dyDescent="0.15">
      <c r="A219" s="108"/>
      <c r="B219" s="109"/>
      <c r="C219" s="109"/>
      <c r="D219" s="109"/>
      <c r="E219" s="109"/>
      <c r="F219" s="111"/>
      <c r="G219" s="111"/>
      <c r="H219" s="111"/>
      <c r="I219" s="111"/>
      <c r="J219" s="111"/>
      <c r="K219" s="111"/>
      <c r="L219" s="111"/>
      <c r="M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</row>
    <row r="220" spans="1:32" ht="15.75" customHeight="1" x14ac:dyDescent="0.15">
      <c r="A220" s="108"/>
      <c r="B220" s="109"/>
      <c r="C220" s="109"/>
      <c r="D220" s="109"/>
      <c r="E220" s="109"/>
      <c r="F220" s="111"/>
      <c r="G220" s="111"/>
      <c r="H220" s="111"/>
      <c r="I220" s="111"/>
      <c r="J220" s="111"/>
      <c r="K220" s="111"/>
      <c r="L220" s="111"/>
      <c r="M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</row>
    <row r="221" spans="1:32" ht="15.75" customHeight="1" x14ac:dyDescent="0.15">
      <c r="A221" s="108"/>
      <c r="B221" s="109"/>
      <c r="C221" s="109"/>
      <c r="D221" s="109"/>
      <c r="E221" s="109"/>
      <c r="F221" s="111"/>
      <c r="G221" s="111"/>
      <c r="H221" s="111"/>
      <c r="I221" s="111"/>
      <c r="J221" s="111"/>
      <c r="K221" s="111"/>
      <c r="L221" s="111"/>
      <c r="M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</row>
    <row r="222" spans="1:32" ht="15.75" customHeight="1" x14ac:dyDescent="0.15">
      <c r="A222" s="108"/>
      <c r="B222" s="109"/>
      <c r="C222" s="109"/>
      <c r="D222" s="109"/>
      <c r="E222" s="109"/>
      <c r="F222" s="111"/>
      <c r="G222" s="111"/>
      <c r="H222" s="111"/>
      <c r="I222" s="111"/>
      <c r="J222" s="111"/>
      <c r="K222" s="111"/>
      <c r="L222" s="111"/>
      <c r="M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</row>
    <row r="223" spans="1:32" ht="15.75" customHeight="1" x14ac:dyDescent="0.15">
      <c r="A223" s="108"/>
      <c r="B223" s="109"/>
      <c r="C223" s="109"/>
      <c r="D223" s="109"/>
      <c r="E223" s="109"/>
      <c r="F223" s="111"/>
      <c r="G223" s="111"/>
      <c r="H223" s="111"/>
      <c r="I223" s="111"/>
      <c r="J223" s="111"/>
      <c r="K223" s="111"/>
      <c r="L223" s="111"/>
      <c r="M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</row>
    <row r="224" spans="1:32" ht="15.75" customHeight="1" x14ac:dyDescent="0.15">
      <c r="A224" s="108"/>
      <c r="B224" s="109"/>
      <c r="C224" s="109"/>
      <c r="D224" s="109"/>
      <c r="E224" s="109"/>
      <c r="F224" s="111"/>
      <c r="G224" s="111"/>
      <c r="H224" s="111"/>
      <c r="I224" s="111"/>
      <c r="J224" s="111"/>
      <c r="K224" s="111"/>
      <c r="L224" s="111"/>
      <c r="M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</row>
    <row r="225" spans="1:32" ht="15.75" customHeight="1" x14ac:dyDescent="0.15">
      <c r="A225" s="108"/>
      <c r="B225" s="109"/>
      <c r="C225" s="109"/>
      <c r="D225" s="109"/>
      <c r="E225" s="109"/>
      <c r="F225" s="111"/>
      <c r="G225" s="111"/>
      <c r="H225" s="111"/>
      <c r="I225" s="111"/>
      <c r="J225" s="111"/>
      <c r="K225" s="111"/>
      <c r="L225" s="111"/>
      <c r="M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</row>
    <row r="226" spans="1:32" ht="15.75" customHeight="1" x14ac:dyDescent="0.15">
      <c r="A226" s="108"/>
      <c r="B226" s="109"/>
      <c r="C226" s="109"/>
      <c r="D226" s="109"/>
      <c r="E226" s="109"/>
      <c r="F226" s="111"/>
      <c r="G226" s="111"/>
      <c r="H226" s="111"/>
      <c r="I226" s="111"/>
      <c r="J226" s="111"/>
      <c r="K226" s="111"/>
      <c r="L226" s="111"/>
      <c r="M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</row>
    <row r="227" spans="1:32" ht="15.75" customHeight="1" x14ac:dyDescent="0.15">
      <c r="A227" s="108"/>
      <c r="B227" s="109"/>
      <c r="C227" s="109"/>
      <c r="D227" s="109"/>
      <c r="E227" s="109"/>
      <c r="F227" s="111"/>
      <c r="G227" s="111"/>
      <c r="H227" s="111"/>
      <c r="I227" s="111"/>
      <c r="J227" s="111"/>
      <c r="K227" s="111"/>
      <c r="L227" s="111"/>
      <c r="M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  <c r="AD227" s="111"/>
      <c r="AE227" s="111"/>
      <c r="AF227" s="111"/>
    </row>
    <row r="228" spans="1:32" ht="15.75" customHeight="1" x14ac:dyDescent="0.15">
      <c r="A228" s="108"/>
      <c r="B228" s="109"/>
      <c r="C228" s="109"/>
      <c r="D228" s="109"/>
      <c r="E228" s="109"/>
      <c r="F228" s="111"/>
      <c r="G228" s="111"/>
      <c r="H228" s="111"/>
      <c r="I228" s="111"/>
      <c r="J228" s="111"/>
      <c r="K228" s="111"/>
      <c r="L228" s="111"/>
      <c r="M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</row>
    <row r="229" spans="1:32" ht="15.75" customHeight="1" x14ac:dyDescent="0.15">
      <c r="A229" s="108"/>
      <c r="B229" s="109"/>
      <c r="C229" s="109"/>
      <c r="D229" s="109"/>
      <c r="E229" s="109"/>
      <c r="F229" s="111"/>
      <c r="G229" s="111"/>
      <c r="H229" s="111"/>
      <c r="I229" s="111"/>
      <c r="J229" s="111"/>
      <c r="K229" s="111"/>
      <c r="L229" s="111"/>
      <c r="M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</row>
    <row r="230" spans="1:32" ht="15.75" customHeight="1" x14ac:dyDescent="0.15">
      <c r="A230" s="108"/>
      <c r="B230" s="109"/>
      <c r="C230" s="109"/>
      <c r="D230" s="109"/>
      <c r="E230" s="109"/>
      <c r="F230" s="111"/>
      <c r="G230" s="111"/>
      <c r="H230" s="111"/>
      <c r="I230" s="111"/>
      <c r="J230" s="111"/>
      <c r="K230" s="111"/>
      <c r="L230" s="111"/>
      <c r="M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</row>
    <row r="231" spans="1:32" ht="15.75" customHeight="1" x14ac:dyDescent="0.15">
      <c r="A231" s="108"/>
      <c r="B231" s="109"/>
      <c r="C231" s="109"/>
      <c r="D231" s="109"/>
      <c r="E231" s="109"/>
      <c r="F231" s="111"/>
      <c r="G231" s="111"/>
      <c r="H231" s="111"/>
      <c r="I231" s="111"/>
      <c r="J231" s="111"/>
      <c r="K231" s="111"/>
      <c r="L231" s="111"/>
      <c r="M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  <c r="AD231" s="111"/>
      <c r="AE231" s="111"/>
      <c r="AF231" s="111"/>
    </row>
    <row r="232" spans="1:32" ht="15.75" customHeight="1" x14ac:dyDescent="0.15">
      <c r="A232" s="108"/>
      <c r="B232" s="109"/>
      <c r="C232" s="109"/>
      <c r="D232" s="109"/>
      <c r="E232" s="109"/>
      <c r="F232" s="111"/>
      <c r="G232" s="111"/>
      <c r="H232" s="111"/>
      <c r="I232" s="111"/>
      <c r="J232" s="111"/>
      <c r="K232" s="111"/>
      <c r="L232" s="111"/>
      <c r="M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</row>
    <row r="233" spans="1:32" ht="15.75" customHeight="1" x14ac:dyDescent="0.15">
      <c r="A233" s="108"/>
      <c r="B233" s="109"/>
      <c r="C233" s="109"/>
      <c r="D233" s="109"/>
      <c r="E233" s="109"/>
      <c r="F233" s="111"/>
      <c r="G233" s="111"/>
      <c r="H233" s="111"/>
      <c r="I233" s="111"/>
      <c r="J233" s="111"/>
      <c r="K233" s="111"/>
      <c r="L233" s="111"/>
      <c r="M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</row>
    <row r="234" spans="1:32" ht="15.75" customHeight="1" x14ac:dyDescent="0.15">
      <c r="A234" s="108"/>
      <c r="B234" s="109"/>
      <c r="C234" s="109"/>
      <c r="D234" s="109"/>
      <c r="E234" s="109"/>
      <c r="F234" s="111"/>
      <c r="G234" s="111"/>
      <c r="H234" s="111"/>
      <c r="I234" s="111"/>
      <c r="J234" s="111"/>
      <c r="K234" s="111"/>
      <c r="L234" s="111"/>
      <c r="M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</row>
    <row r="235" spans="1:32" ht="15.75" customHeight="1" x14ac:dyDescent="0.15">
      <c r="A235" s="108"/>
      <c r="B235" s="109"/>
      <c r="C235" s="109"/>
      <c r="D235" s="109"/>
      <c r="E235" s="109"/>
      <c r="F235" s="111"/>
      <c r="G235" s="111"/>
      <c r="H235" s="111"/>
      <c r="I235" s="111"/>
      <c r="J235" s="111"/>
      <c r="K235" s="111"/>
      <c r="L235" s="111"/>
      <c r="M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</row>
    <row r="236" spans="1:32" ht="15.75" customHeight="1" x14ac:dyDescent="0.15">
      <c r="A236" s="108"/>
      <c r="B236" s="109"/>
      <c r="C236" s="109"/>
      <c r="D236" s="109"/>
      <c r="E236" s="109"/>
      <c r="F236" s="111"/>
      <c r="G236" s="111"/>
      <c r="H236" s="111"/>
      <c r="I236" s="111"/>
      <c r="J236" s="111"/>
      <c r="K236" s="111"/>
      <c r="L236" s="111"/>
      <c r="M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</row>
    <row r="237" spans="1:32" ht="15.75" customHeight="1" x14ac:dyDescent="0.15">
      <c r="A237" s="108"/>
      <c r="B237" s="109"/>
      <c r="C237" s="109"/>
      <c r="D237" s="109"/>
      <c r="E237" s="109"/>
      <c r="F237" s="111"/>
      <c r="G237" s="111"/>
      <c r="H237" s="111"/>
      <c r="I237" s="111"/>
      <c r="J237" s="111"/>
      <c r="K237" s="111"/>
      <c r="L237" s="111"/>
      <c r="M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</row>
    <row r="238" spans="1:32" ht="15.75" customHeight="1" x14ac:dyDescent="0.15">
      <c r="A238" s="108"/>
      <c r="B238" s="109"/>
      <c r="C238" s="109"/>
      <c r="D238" s="109"/>
      <c r="E238" s="109"/>
      <c r="F238" s="111"/>
      <c r="G238" s="111"/>
      <c r="H238" s="111"/>
      <c r="I238" s="111"/>
      <c r="J238" s="111"/>
      <c r="K238" s="111"/>
      <c r="L238" s="111"/>
      <c r="M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</row>
    <row r="239" spans="1:32" ht="15.75" customHeight="1" x14ac:dyDescent="0.15">
      <c r="A239" s="108"/>
      <c r="B239" s="109"/>
      <c r="C239" s="109"/>
      <c r="D239" s="109"/>
      <c r="E239" s="109"/>
      <c r="F239" s="111"/>
      <c r="G239" s="111"/>
      <c r="H239" s="111"/>
      <c r="I239" s="111"/>
      <c r="J239" s="111"/>
      <c r="K239" s="111"/>
      <c r="L239" s="111"/>
      <c r="M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</row>
    <row r="240" spans="1:32" ht="15.75" customHeight="1" x14ac:dyDescent="0.15">
      <c r="A240" s="108"/>
      <c r="B240" s="109"/>
      <c r="C240" s="109"/>
      <c r="D240" s="109"/>
      <c r="E240" s="109"/>
      <c r="F240" s="111"/>
      <c r="G240" s="111"/>
      <c r="H240" s="111"/>
      <c r="I240" s="111"/>
      <c r="J240" s="111"/>
      <c r="K240" s="111"/>
      <c r="L240" s="111"/>
      <c r="M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</row>
    <row r="241" spans="1:32" ht="15.75" customHeight="1" x14ac:dyDescent="0.15">
      <c r="A241" s="108"/>
      <c r="B241" s="109"/>
      <c r="C241" s="109"/>
      <c r="D241" s="109"/>
      <c r="E241" s="109"/>
      <c r="F241" s="111"/>
      <c r="G241" s="111"/>
      <c r="H241" s="111"/>
      <c r="I241" s="111"/>
      <c r="J241" s="111"/>
      <c r="K241" s="111"/>
      <c r="L241" s="111"/>
      <c r="M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</row>
    <row r="242" spans="1:32" ht="15.75" customHeight="1" x14ac:dyDescent="0.15">
      <c r="A242" s="108"/>
      <c r="B242" s="109"/>
      <c r="C242" s="109"/>
      <c r="D242" s="109"/>
      <c r="E242" s="109"/>
      <c r="F242" s="111"/>
      <c r="G242" s="111"/>
      <c r="H242" s="111"/>
      <c r="I242" s="111"/>
      <c r="J242" s="111"/>
      <c r="K242" s="111"/>
      <c r="L242" s="111"/>
      <c r="M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</row>
    <row r="243" spans="1:32" ht="15.75" customHeight="1" x14ac:dyDescent="0.15">
      <c r="A243" s="108"/>
      <c r="B243" s="109"/>
      <c r="C243" s="109"/>
      <c r="D243" s="109"/>
      <c r="E243" s="109"/>
      <c r="F243" s="111"/>
      <c r="G243" s="111"/>
      <c r="H243" s="111"/>
      <c r="I243" s="111"/>
      <c r="J243" s="111"/>
      <c r="K243" s="111"/>
      <c r="L243" s="111"/>
      <c r="M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1"/>
    </row>
    <row r="244" spans="1:32" ht="15.75" customHeight="1" x14ac:dyDescent="0.15">
      <c r="A244" s="108"/>
      <c r="B244" s="109"/>
      <c r="C244" s="109"/>
      <c r="D244" s="109"/>
      <c r="E244" s="109"/>
      <c r="F244" s="111"/>
      <c r="G244" s="111"/>
      <c r="H244" s="111"/>
      <c r="I244" s="111"/>
      <c r="J244" s="111"/>
      <c r="K244" s="111"/>
      <c r="L244" s="111"/>
      <c r="M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</row>
    <row r="245" spans="1:32" ht="15.75" customHeight="1" x14ac:dyDescent="0.15">
      <c r="A245" s="108"/>
      <c r="B245" s="109"/>
      <c r="C245" s="109"/>
      <c r="D245" s="109"/>
      <c r="E245" s="109"/>
      <c r="F245" s="111"/>
      <c r="G245" s="111"/>
      <c r="H245" s="111"/>
      <c r="I245" s="111"/>
      <c r="J245" s="111"/>
      <c r="K245" s="111"/>
      <c r="L245" s="111"/>
      <c r="M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</row>
    <row r="246" spans="1:32" ht="15.75" customHeight="1" x14ac:dyDescent="0.15">
      <c r="A246" s="108"/>
      <c r="B246" s="109"/>
      <c r="C246" s="109"/>
      <c r="D246" s="109"/>
      <c r="E246" s="109"/>
      <c r="F246" s="111"/>
      <c r="G246" s="111"/>
      <c r="H246" s="111"/>
      <c r="I246" s="111"/>
      <c r="J246" s="111"/>
      <c r="K246" s="111"/>
      <c r="L246" s="111"/>
      <c r="M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</row>
    <row r="247" spans="1:32" ht="15.75" customHeight="1" x14ac:dyDescent="0.15">
      <c r="A247" s="108"/>
      <c r="B247" s="109"/>
      <c r="C247" s="109"/>
      <c r="D247" s="109"/>
      <c r="E247" s="109"/>
      <c r="F247" s="111"/>
      <c r="G247" s="111"/>
      <c r="H247" s="111"/>
      <c r="I247" s="111"/>
      <c r="J247" s="111"/>
      <c r="K247" s="111"/>
      <c r="L247" s="111"/>
      <c r="M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</row>
    <row r="248" spans="1:32" ht="15.75" customHeight="1" x14ac:dyDescent="0.15">
      <c r="A248" s="108"/>
      <c r="B248" s="109"/>
      <c r="C248" s="109"/>
      <c r="D248" s="109"/>
      <c r="E248" s="109"/>
      <c r="F248" s="111"/>
      <c r="G248" s="111"/>
      <c r="H248" s="111"/>
      <c r="I248" s="111"/>
      <c r="J248" s="111"/>
      <c r="K248" s="111"/>
      <c r="L248" s="111"/>
      <c r="M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  <c r="AD248" s="111"/>
      <c r="AE248" s="111"/>
      <c r="AF248" s="111"/>
    </row>
    <row r="249" spans="1:32" ht="15.75" customHeight="1" x14ac:dyDescent="0.15">
      <c r="A249" s="108"/>
      <c r="B249" s="109"/>
      <c r="C249" s="109"/>
      <c r="D249" s="109"/>
      <c r="E249" s="109"/>
      <c r="F249" s="111"/>
      <c r="G249" s="111"/>
      <c r="H249" s="111"/>
      <c r="I249" s="111"/>
      <c r="J249" s="111"/>
      <c r="K249" s="111"/>
      <c r="L249" s="111"/>
      <c r="M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</row>
    <row r="250" spans="1:32" ht="15.75" customHeight="1" x14ac:dyDescent="0.15">
      <c r="A250" s="108"/>
      <c r="B250" s="109"/>
      <c r="C250" s="109"/>
      <c r="D250" s="109"/>
      <c r="E250" s="109"/>
      <c r="F250" s="111"/>
      <c r="G250" s="111"/>
      <c r="H250" s="111"/>
      <c r="I250" s="111"/>
      <c r="J250" s="111"/>
      <c r="K250" s="111"/>
      <c r="L250" s="111"/>
      <c r="M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11"/>
      <c r="AD250" s="111"/>
      <c r="AE250" s="111"/>
      <c r="AF250" s="111"/>
    </row>
    <row r="251" spans="1:32" ht="15.75" customHeight="1" x14ac:dyDescent="0.15">
      <c r="A251" s="108"/>
      <c r="B251" s="109"/>
      <c r="C251" s="109"/>
      <c r="D251" s="109"/>
      <c r="E251" s="109"/>
      <c r="F251" s="111"/>
      <c r="G251" s="111"/>
      <c r="H251" s="111"/>
      <c r="I251" s="111"/>
      <c r="J251" s="111"/>
      <c r="K251" s="111"/>
      <c r="L251" s="111"/>
      <c r="M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  <c r="AD251" s="111"/>
      <c r="AE251" s="111"/>
      <c r="AF251" s="111"/>
    </row>
    <row r="252" spans="1:32" ht="15.75" customHeight="1" x14ac:dyDescent="0.15">
      <c r="A252" s="108"/>
      <c r="B252" s="109"/>
      <c r="C252" s="109"/>
      <c r="D252" s="109"/>
      <c r="E252" s="109"/>
      <c r="F252" s="111"/>
      <c r="G252" s="111"/>
      <c r="H252" s="111"/>
      <c r="I252" s="111"/>
      <c r="J252" s="111"/>
      <c r="K252" s="111"/>
      <c r="L252" s="111"/>
      <c r="M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  <c r="AD252" s="111"/>
      <c r="AE252" s="111"/>
      <c r="AF252" s="111"/>
    </row>
    <row r="253" spans="1:32" ht="15.75" customHeight="1" x14ac:dyDescent="0.15"/>
    <row r="254" spans="1:32" ht="15.75" customHeight="1" x14ac:dyDescent="0.15"/>
    <row r="255" spans="1:32" ht="15.75" customHeight="1" x14ac:dyDescent="0.15"/>
    <row r="256" spans="1:32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47:G47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00"/>
  <sheetViews>
    <sheetView workbookViewId="0"/>
  </sheetViews>
  <sheetFormatPr baseColWidth="10" defaultColWidth="12.6640625" defaultRowHeight="15" customHeight="1" x14ac:dyDescent="0.15"/>
  <cols>
    <col min="1" max="1" width="8.6640625" customWidth="1"/>
    <col min="2" max="2" width="17.1640625" customWidth="1"/>
    <col min="3" max="26" width="8.83203125" customWidth="1"/>
  </cols>
  <sheetData>
    <row r="1" spans="1:13" ht="12" customHeight="1" x14ac:dyDescent="0.15">
      <c r="A1" s="112" t="s">
        <v>255</v>
      </c>
      <c r="B1" s="113" t="s">
        <v>259</v>
      </c>
      <c r="C1" s="113" t="s">
        <v>260</v>
      </c>
      <c r="D1" s="113"/>
      <c r="E1" s="113"/>
      <c r="F1" s="113"/>
      <c r="G1" s="113"/>
      <c r="H1" s="113"/>
      <c r="I1" s="113"/>
      <c r="J1" s="113"/>
      <c r="K1" s="113"/>
      <c r="L1" s="113"/>
      <c r="M1" s="113"/>
    </row>
    <row r="2" spans="1:13" ht="12" customHeight="1" x14ac:dyDescent="0.15">
      <c r="A2" s="114" t="s">
        <v>317</v>
      </c>
      <c r="B2" s="115" t="s">
        <v>265</v>
      </c>
      <c r="C2" s="115" t="s">
        <v>266</v>
      </c>
      <c r="D2" s="115"/>
      <c r="E2" s="115"/>
      <c r="F2" s="115"/>
      <c r="G2" s="115"/>
      <c r="H2" s="115"/>
      <c r="I2" s="115"/>
      <c r="J2" s="115"/>
      <c r="K2" s="115"/>
      <c r="L2" s="115"/>
      <c r="M2" s="115"/>
    </row>
    <row r="3" spans="1:13" ht="12" customHeight="1" x14ac:dyDescent="0.15">
      <c r="A3" s="114" t="s">
        <v>318</v>
      </c>
      <c r="B3" s="115" t="s">
        <v>269</v>
      </c>
      <c r="C3" s="115" t="s">
        <v>266</v>
      </c>
      <c r="D3" s="115"/>
      <c r="E3" s="115"/>
      <c r="F3" s="115"/>
      <c r="G3" s="115"/>
      <c r="H3" s="115"/>
      <c r="I3" s="115"/>
      <c r="J3" s="115"/>
      <c r="K3" s="115"/>
      <c r="L3" s="115"/>
      <c r="M3" s="115"/>
    </row>
    <row r="4" spans="1:13" ht="12" customHeight="1" x14ac:dyDescent="0.15">
      <c r="A4" s="114" t="s">
        <v>319</v>
      </c>
      <c r="B4" s="115" t="s">
        <v>272</v>
      </c>
      <c r="C4" s="115" t="s">
        <v>266</v>
      </c>
      <c r="D4" s="115"/>
      <c r="E4" s="115"/>
      <c r="F4" s="115"/>
      <c r="G4" s="115"/>
      <c r="H4" s="115"/>
      <c r="I4" s="115"/>
      <c r="J4" s="115"/>
      <c r="K4" s="115"/>
      <c r="L4" s="115"/>
      <c r="M4" s="115"/>
    </row>
    <row r="5" spans="1:13" ht="12" customHeight="1" x14ac:dyDescent="0.15">
      <c r="A5" s="114" t="s">
        <v>320</v>
      </c>
      <c r="B5" s="115" t="s">
        <v>321</v>
      </c>
      <c r="C5" s="115" t="s">
        <v>276</v>
      </c>
      <c r="D5" s="115"/>
      <c r="E5" s="115"/>
      <c r="F5" s="115"/>
      <c r="G5" s="115"/>
      <c r="H5" s="115"/>
      <c r="I5" s="115"/>
      <c r="J5" s="115"/>
      <c r="K5" s="115"/>
      <c r="L5" s="115"/>
      <c r="M5" s="115"/>
    </row>
    <row r="6" spans="1:13" ht="12" customHeight="1" x14ac:dyDescent="0.15">
      <c r="A6" s="114" t="s">
        <v>322</v>
      </c>
      <c r="B6" s="115" t="s">
        <v>265</v>
      </c>
      <c r="C6" s="115" t="s">
        <v>266</v>
      </c>
      <c r="D6" s="115"/>
      <c r="E6" s="115"/>
      <c r="F6" s="115"/>
      <c r="G6" s="115"/>
      <c r="H6" s="115"/>
      <c r="I6" s="115"/>
      <c r="J6" s="115"/>
      <c r="K6" s="115"/>
      <c r="L6" s="115"/>
      <c r="M6" s="115"/>
    </row>
    <row r="7" spans="1:13" ht="12" customHeight="1" x14ac:dyDescent="0.15">
      <c r="A7" s="114" t="s">
        <v>323</v>
      </c>
      <c r="B7" s="115" t="s">
        <v>269</v>
      </c>
      <c r="C7" s="115" t="s">
        <v>266</v>
      </c>
      <c r="D7" s="115"/>
      <c r="E7" s="115"/>
      <c r="F7" s="115"/>
      <c r="G7" s="115"/>
      <c r="H7" s="115"/>
      <c r="I7" s="115"/>
      <c r="J7" s="115"/>
      <c r="K7" s="115"/>
      <c r="L7" s="115"/>
      <c r="M7" s="115"/>
    </row>
    <row r="8" spans="1:13" ht="12" customHeight="1" x14ac:dyDescent="0.15">
      <c r="A8" s="114" t="s">
        <v>324</v>
      </c>
      <c r="B8" s="115" t="s">
        <v>272</v>
      </c>
      <c r="C8" s="115" t="s">
        <v>266</v>
      </c>
      <c r="D8" s="115"/>
      <c r="E8" s="115"/>
      <c r="F8" s="115"/>
      <c r="G8" s="115"/>
      <c r="H8" s="115"/>
      <c r="I8" s="115"/>
      <c r="J8" s="115"/>
      <c r="K8" s="115"/>
      <c r="L8" s="115"/>
      <c r="M8" s="115"/>
    </row>
    <row r="9" spans="1:13" ht="12" customHeight="1" x14ac:dyDescent="0.15">
      <c r="A9" s="114" t="s">
        <v>325</v>
      </c>
      <c r="B9" s="115" t="s">
        <v>321</v>
      </c>
      <c r="C9" s="115" t="s">
        <v>276</v>
      </c>
      <c r="D9" s="115"/>
      <c r="E9" s="115"/>
      <c r="F9" s="115"/>
      <c r="G9" s="115"/>
      <c r="H9" s="115"/>
      <c r="I9" s="115"/>
      <c r="J9" s="115"/>
      <c r="K9" s="115"/>
      <c r="L9" s="115"/>
      <c r="M9" s="115"/>
    </row>
    <row r="10" spans="1:13" ht="12" customHeight="1" x14ac:dyDescent="0.15">
      <c r="A10" s="114" t="s">
        <v>277</v>
      </c>
      <c r="B10" s="115" t="s">
        <v>279</v>
      </c>
      <c r="C10" s="115" t="s">
        <v>266</v>
      </c>
      <c r="D10" s="115"/>
      <c r="E10" s="115"/>
      <c r="F10" s="115"/>
      <c r="G10" s="115"/>
      <c r="H10" s="115"/>
      <c r="I10" s="115"/>
      <c r="J10" s="115"/>
      <c r="K10" s="115"/>
      <c r="L10" s="115"/>
      <c r="M10" s="115"/>
    </row>
    <row r="11" spans="1:13" ht="12" customHeight="1" x14ac:dyDescent="0.15">
      <c r="A11" s="114" t="s">
        <v>326</v>
      </c>
      <c r="B11" s="115" t="s">
        <v>272</v>
      </c>
      <c r="C11" s="115" t="s">
        <v>266</v>
      </c>
      <c r="D11" s="115"/>
      <c r="E11" s="115"/>
      <c r="F11" s="115"/>
      <c r="G11" s="115"/>
      <c r="H11" s="115"/>
      <c r="I11" s="115"/>
      <c r="J11" s="115"/>
      <c r="K11" s="115"/>
      <c r="L11" s="115"/>
      <c r="M11" s="115"/>
    </row>
    <row r="12" spans="1:13" ht="12" customHeight="1" x14ac:dyDescent="0.15">
      <c r="A12" s="114" t="s">
        <v>327</v>
      </c>
      <c r="B12" s="115" t="s">
        <v>272</v>
      </c>
      <c r="C12" s="115" t="s">
        <v>266</v>
      </c>
      <c r="D12" s="115"/>
      <c r="E12" s="115"/>
      <c r="F12" s="115"/>
      <c r="G12" s="115"/>
      <c r="H12" s="115"/>
      <c r="I12" s="115"/>
      <c r="J12" s="115"/>
      <c r="K12" s="115"/>
      <c r="L12" s="115"/>
      <c r="M12" s="115"/>
    </row>
    <row r="13" spans="1:13" ht="12" customHeight="1" x14ac:dyDescent="0.15">
      <c r="A13" s="114" t="s">
        <v>328</v>
      </c>
      <c r="B13" s="115" t="s">
        <v>284</v>
      </c>
      <c r="C13" s="115" t="s">
        <v>266</v>
      </c>
      <c r="D13" s="115"/>
      <c r="E13" s="115"/>
      <c r="F13" s="115"/>
      <c r="G13" s="115"/>
      <c r="H13" s="115"/>
      <c r="I13" s="115"/>
      <c r="J13" s="115"/>
      <c r="K13" s="115"/>
      <c r="L13" s="115"/>
      <c r="M13" s="115"/>
    </row>
    <row r="14" spans="1:13" ht="12" customHeight="1" x14ac:dyDescent="0.15">
      <c r="A14" s="114" t="s">
        <v>329</v>
      </c>
      <c r="B14" s="115" t="s">
        <v>284</v>
      </c>
      <c r="C14" s="115" t="s">
        <v>266</v>
      </c>
      <c r="D14" s="115"/>
      <c r="E14" s="115"/>
      <c r="F14" s="115"/>
      <c r="G14" s="115"/>
      <c r="H14" s="115"/>
      <c r="I14" s="115"/>
      <c r="J14" s="115"/>
      <c r="K14" s="115"/>
      <c r="L14" s="115"/>
      <c r="M14" s="115"/>
    </row>
    <row r="15" spans="1:13" ht="12" customHeight="1" x14ac:dyDescent="0.15">
      <c r="A15" s="114" t="s">
        <v>330</v>
      </c>
      <c r="B15" s="115" t="s">
        <v>284</v>
      </c>
      <c r="C15" s="115" t="s">
        <v>266</v>
      </c>
      <c r="D15" s="115"/>
      <c r="E15" s="115"/>
      <c r="F15" s="115"/>
      <c r="G15" s="115"/>
      <c r="H15" s="115"/>
      <c r="I15" s="115"/>
      <c r="J15" s="115"/>
      <c r="K15" s="115"/>
      <c r="L15" s="115"/>
      <c r="M15" s="115"/>
    </row>
    <row r="16" spans="1:13" ht="12" customHeight="1" x14ac:dyDescent="0.15">
      <c r="A16" s="114" t="s">
        <v>331</v>
      </c>
      <c r="B16" s="115" t="s">
        <v>284</v>
      </c>
      <c r="C16" s="115" t="s">
        <v>266</v>
      </c>
      <c r="D16" s="115"/>
      <c r="E16" s="115"/>
      <c r="F16" s="115"/>
      <c r="G16" s="115"/>
      <c r="H16" s="115"/>
      <c r="I16" s="115"/>
      <c r="J16" s="115"/>
      <c r="K16" s="115"/>
      <c r="L16" s="115"/>
      <c r="M16" s="115"/>
    </row>
    <row r="17" spans="1:13" ht="12" customHeight="1" x14ac:dyDescent="0.15">
      <c r="A17" s="114" t="s">
        <v>286</v>
      </c>
      <c r="B17" s="115" t="s">
        <v>264</v>
      </c>
      <c r="C17" s="115" t="s">
        <v>266</v>
      </c>
      <c r="D17" s="115"/>
      <c r="E17" s="115"/>
      <c r="F17" s="115"/>
      <c r="G17" s="115"/>
      <c r="H17" s="115"/>
      <c r="I17" s="115"/>
      <c r="J17" s="115"/>
      <c r="K17" s="115"/>
      <c r="L17" s="115"/>
      <c r="M17" s="115"/>
    </row>
    <row r="18" spans="1:13" ht="12" customHeight="1" x14ac:dyDescent="0.15">
      <c r="A18" s="114" t="s">
        <v>289</v>
      </c>
      <c r="B18" s="115" t="s">
        <v>264</v>
      </c>
      <c r="C18" s="115" t="s">
        <v>292</v>
      </c>
      <c r="D18" s="115"/>
      <c r="E18" s="115"/>
      <c r="F18" s="115"/>
      <c r="G18" s="115"/>
      <c r="H18" s="115"/>
      <c r="I18" s="115"/>
      <c r="J18" s="115"/>
      <c r="K18" s="115"/>
      <c r="L18" s="115"/>
      <c r="M18" s="115"/>
    </row>
    <row r="19" spans="1:13" ht="12" customHeight="1" x14ac:dyDescent="0.15">
      <c r="A19" s="114" t="s">
        <v>293</v>
      </c>
      <c r="B19" s="115" t="s">
        <v>279</v>
      </c>
      <c r="C19" s="115" t="s">
        <v>266</v>
      </c>
      <c r="D19" s="115"/>
      <c r="E19" s="115"/>
      <c r="F19" s="115"/>
      <c r="G19" s="115"/>
      <c r="H19" s="115"/>
      <c r="I19" s="115"/>
      <c r="J19" s="115"/>
      <c r="K19" s="115"/>
      <c r="L19" s="115"/>
      <c r="M19" s="115"/>
    </row>
    <row r="20" spans="1:13" ht="12" customHeight="1" x14ac:dyDescent="0.15">
      <c r="A20" s="114" t="s">
        <v>295</v>
      </c>
      <c r="B20" s="115" t="s">
        <v>297</v>
      </c>
      <c r="C20" s="115" t="s">
        <v>266</v>
      </c>
      <c r="D20" s="115"/>
      <c r="E20" s="115"/>
      <c r="F20" s="115"/>
      <c r="G20" s="115"/>
      <c r="H20" s="115"/>
      <c r="I20" s="115"/>
      <c r="J20" s="115"/>
      <c r="K20" s="115"/>
      <c r="L20" s="115"/>
      <c r="M20" s="115"/>
    </row>
    <row r="21" spans="1:13" ht="12" customHeight="1" x14ac:dyDescent="0.15">
      <c r="A21" s="114" t="s">
        <v>298</v>
      </c>
      <c r="B21" s="115" t="s">
        <v>300</v>
      </c>
      <c r="C21" s="115" t="s">
        <v>266</v>
      </c>
      <c r="D21" s="115"/>
      <c r="E21" s="115"/>
      <c r="F21" s="115"/>
      <c r="G21" s="115"/>
      <c r="H21" s="115"/>
      <c r="I21" s="115"/>
      <c r="J21" s="115"/>
      <c r="K21" s="115"/>
      <c r="L21" s="115"/>
      <c r="M21" s="115"/>
    </row>
    <row r="22" spans="1:13" ht="12" customHeight="1" x14ac:dyDescent="0.15">
      <c r="A22" s="114" t="s">
        <v>301</v>
      </c>
      <c r="B22" s="115" t="s">
        <v>303</v>
      </c>
      <c r="C22" s="115" t="s">
        <v>266</v>
      </c>
      <c r="D22" s="115"/>
      <c r="E22" s="115"/>
      <c r="F22" s="115"/>
      <c r="G22" s="115"/>
      <c r="H22" s="115"/>
      <c r="I22" s="115"/>
      <c r="J22" s="115"/>
      <c r="K22" s="115"/>
      <c r="L22" s="115"/>
      <c r="M22" s="115"/>
    </row>
    <row r="23" spans="1:13" ht="12" customHeight="1" x14ac:dyDescent="0.15">
      <c r="A23" s="114" t="s">
        <v>246</v>
      </c>
      <c r="B23" s="115" t="s">
        <v>305</v>
      </c>
      <c r="C23" s="115" t="s">
        <v>266</v>
      </c>
      <c r="D23" s="115"/>
      <c r="E23" s="115"/>
      <c r="F23" s="115"/>
      <c r="G23" s="115"/>
      <c r="H23" s="115"/>
      <c r="I23" s="115"/>
      <c r="J23" s="115"/>
      <c r="K23" s="115"/>
      <c r="L23" s="115"/>
      <c r="M23" s="115"/>
    </row>
    <row r="24" spans="1:13" ht="12" customHeight="1" x14ac:dyDescent="0.15">
      <c r="A24" s="114" t="s">
        <v>306</v>
      </c>
      <c r="B24" s="115" t="s">
        <v>303</v>
      </c>
      <c r="C24" s="115" t="s">
        <v>266</v>
      </c>
      <c r="D24" s="115"/>
      <c r="E24" s="115"/>
      <c r="F24" s="115"/>
      <c r="G24" s="115"/>
      <c r="H24" s="115"/>
      <c r="I24" s="115"/>
      <c r="J24" s="115"/>
      <c r="K24" s="115"/>
      <c r="L24" s="115"/>
      <c r="M24" s="115"/>
    </row>
    <row r="25" spans="1:13" ht="12" customHeight="1" x14ac:dyDescent="0.15"/>
    <row r="26" spans="1:13" ht="12" customHeight="1" x14ac:dyDescent="0.15"/>
    <row r="27" spans="1:13" ht="12" customHeight="1" x14ac:dyDescent="0.15"/>
    <row r="28" spans="1:13" ht="12" customHeight="1" x14ac:dyDescent="0.15"/>
    <row r="29" spans="1:13" ht="12" customHeight="1" x14ac:dyDescent="0.15"/>
    <row r="30" spans="1:13" ht="12" customHeight="1" x14ac:dyDescent="0.15"/>
    <row r="31" spans="1:13" ht="12" customHeight="1" x14ac:dyDescent="0.15"/>
    <row r="32" spans="1:13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00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" customHeight="1" x14ac:dyDescent="0.15"/>
  <cols>
    <col min="1" max="1" width="21.83203125" customWidth="1"/>
    <col min="2" max="2" width="10.83203125" customWidth="1"/>
    <col min="3" max="3" width="6.33203125" customWidth="1"/>
    <col min="4" max="4" width="7.6640625" customWidth="1"/>
    <col min="5" max="7" width="8.6640625" customWidth="1"/>
    <col min="8" max="8" width="8.83203125" customWidth="1"/>
    <col min="9" max="9" width="7.6640625" customWidth="1"/>
    <col min="10" max="26" width="8.83203125" customWidth="1"/>
  </cols>
  <sheetData>
    <row r="1" spans="1:14" ht="12" customHeight="1" x14ac:dyDescent="0.15">
      <c r="A1" s="116" t="s">
        <v>255</v>
      </c>
      <c r="B1" s="117" t="s">
        <v>251</v>
      </c>
      <c r="C1" s="117" t="s">
        <v>332</v>
      </c>
      <c r="D1" s="117" t="s">
        <v>333</v>
      </c>
      <c r="E1" s="117" t="s">
        <v>334</v>
      </c>
      <c r="F1" s="117" t="s">
        <v>335</v>
      </c>
      <c r="G1" s="117" t="s">
        <v>336</v>
      </c>
      <c r="H1" s="117" t="s">
        <v>337</v>
      </c>
      <c r="I1" s="117" t="s">
        <v>338</v>
      </c>
      <c r="M1" s="1"/>
      <c r="N1" s="1"/>
    </row>
    <row r="2" spans="1:14" ht="12" customHeight="1" x14ac:dyDescent="0.15">
      <c r="A2" s="116" t="s">
        <v>317</v>
      </c>
      <c r="B2" s="118"/>
      <c r="C2" s="119"/>
      <c r="D2" s="118"/>
      <c r="E2" s="118"/>
      <c r="F2" s="120"/>
      <c r="G2" s="120"/>
      <c r="H2" s="120"/>
      <c r="I2" s="120"/>
      <c r="K2" s="55"/>
      <c r="L2" s="54"/>
      <c r="M2" s="54"/>
      <c r="N2" s="54"/>
    </row>
    <row r="3" spans="1:14" ht="12" customHeight="1" x14ac:dyDescent="0.15">
      <c r="A3" s="116" t="s">
        <v>318</v>
      </c>
      <c r="B3" s="118"/>
      <c r="C3" s="119"/>
      <c r="D3" s="118"/>
      <c r="E3" s="118"/>
      <c r="F3" s="120"/>
      <c r="G3" s="120"/>
      <c r="H3" s="120"/>
      <c r="I3" s="120"/>
      <c r="K3" s="55"/>
      <c r="L3" s="54"/>
      <c r="N3" s="1"/>
    </row>
    <row r="4" spans="1:14" ht="12" customHeight="1" x14ac:dyDescent="0.15">
      <c r="A4" s="116" t="s">
        <v>319</v>
      </c>
      <c r="B4" s="118"/>
      <c r="C4" s="119"/>
      <c r="D4" s="118"/>
      <c r="E4" s="118"/>
      <c r="F4" s="120"/>
      <c r="G4" s="120"/>
      <c r="H4" s="120"/>
      <c r="I4" s="120"/>
      <c r="K4" s="55"/>
      <c r="L4" s="54"/>
    </row>
    <row r="5" spans="1:14" ht="12" customHeight="1" x14ac:dyDescent="0.15">
      <c r="A5" s="116" t="s">
        <v>320</v>
      </c>
      <c r="B5" s="118"/>
      <c r="C5" s="119"/>
      <c r="D5" s="118"/>
      <c r="E5" s="118"/>
      <c r="F5" s="120"/>
      <c r="G5" s="120"/>
      <c r="H5" s="120"/>
      <c r="I5" s="120"/>
      <c r="K5" s="55"/>
      <c r="L5" s="54"/>
    </row>
    <row r="6" spans="1:14" ht="12" customHeight="1" x14ac:dyDescent="0.15">
      <c r="A6" s="116" t="s">
        <v>322</v>
      </c>
      <c r="B6" s="118"/>
      <c r="C6" s="119"/>
      <c r="D6" s="118"/>
      <c r="E6" s="118"/>
      <c r="F6" s="120"/>
      <c r="G6" s="120"/>
      <c r="H6" s="120"/>
      <c r="I6" s="120"/>
      <c r="K6" s="55"/>
      <c r="L6" s="54"/>
    </row>
    <row r="7" spans="1:14" ht="12" customHeight="1" x14ac:dyDescent="0.15">
      <c r="A7" s="116" t="s">
        <v>323</v>
      </c>
      <c r="B7" s="118"/>
      <c r="C7" s="119"/>
      <c r="D7" s="118"/>
      <c r="E7" s="118"/>
      <c r="F7" s="120"/>
      <c r="G7" s="120"/>
      <c r="H7" s="120"/>
      <c r="I7" s="120"/>
    </row>
    <row r="8" spans="1:14" ht="12" customHeight="1" x14ac:dyDescent="0.15">
      <c r="A8" s="116" t="s">
        <v>339</v>
      </c>
      <c r="B8" s="118"/>
      <c r="C8" s="119"/>
      <c r="D8" s="118"/>
      <c r="E8" s="118"/>
      <c r="F8" s="120"/>
      <c r="G8" s="120"/>
      <c r="H8" s="120"/>
      <c r="I8" s="120"/>
    </row>
    <row r="9" spans="1:14" ht="12" customHeight="1" x14ac:dyDescent="0.15">
      <c r="A9" s="116" t="s">
        <v>325</v>
      </c>
      <c r="B9" s="118"/>
      <c r="C9" s="119"/>
      <c r="D9" s="118"/>
      <c r="E9" s="118"/>
      <c r="F9" s="120"/>
      <c r="G9" s="120"/>
      <c r="H9" s="120"/>
      <c r="I9" s="120"/>
    </row>
    <row r="10" spans="1:14" ht="12" customHeight="1" x14ac:dyDescent="0.15">
      <c r="A10" s="116" t="s">
        <v>277</v>
      </c>
      <c r="B10" s="118"/>
      <c r="C10" s="119"/>
      <c r="D10" s="118"/>
      <c r="E10" s="118"/>
      <c r="F10" s="120"/>
      <c r="G10" s="120"/>
      <c r="H10" s="120"/>
      <c r="I10" s="120"/>
    </row>
    <row r="11" spans="1:14" ht="12" customHeight="1" x14ac:dyDescent="0.15">
      <c r="A11" s="116" t="s">
        <v>326</v>
      </c>
      <c r="B11" s="118"/>
      <c r="C11" s="119"/>
      <c r="D11" s="118"/>
      <c r="E11" s="119"/>
      <c r="F11" s="120"/>
      <c r="G11" s="120"/>
      <c r="H11" s="120"/>
      <c r="I11" s="120"/>
    </row>
    <row r="12" spans="1:14" ht="12" customHeight="1" x14ac:dyDescent="0.15">
      <c r="A12" s="116" t="s">
        <v>327</v>
      </c>
      <c r="B12" s="118"/>
      <c r="C12" s="119"/>
      <c r="D12" s="118"/>
      <c r="E12" s="119"/>
      <c r="F12" s="120"/>
      <c r="G12" s="120"/>
      <c r="H12" s="120"/>
      <c r="I12" s="120"/>
    </row>
    <row r="13" spans="1:14" ht="12" customHeight="1" x14ac:dyDescent="0.15">
      <c r="A13" s="116" t="s">
        <v>340</v>
      </c>
      <c r="B13" s="118"/>
      <c r="C13" s="119"/>
      <c r="D13" s="118"/>
      <c r="E13" s="119"/>
      <c r="F13" s="120"/>
      <c r="G13" s="120"/>
      <c r="H13" s="120"/>
      <c r="I13" s="120"/>
    </row>
    <row r="14" spans="1:14" ht="12" customHeight="1" x14ac:dyDescent="0.15">
      <c r="A14" s="116" t="s">
        <v>341</v>
      </c>
      <c r="B14" s="118"/>
      <c r="C14" s="119"/>
      <c r="D14" s="118"/>
      <c r="E14" s="119"/>
      <c r="F14" s="120"/>
      <c r="G14" s="120"/>
      <c r="H14" s="120"/>
      <c r="I14" s="120"/>
    </row>
    <row r="15" spans="1:14" ht="12" customHeight="1" x14ac:dyDescent="0.15">
      <c r="A15" s="116" t="s">
        <v>342</v>
      </c>
      <c r="B15" s="118"/>
      <c r="C15" s="119"/>
      <c r="D15" s="118"/>
      <c r="E15" s="119"/>
      <c r="F15" s="120"/>
      <c r="G15" s="120"/>
      <c r="H15" s="120"/>
      <c r="I15" s="120"/>
    </row>
    <row r="16" spans="1:14" ht="12" customHeight="1" x14ac:dyDescent="0.15">
      <c r="A16" s="116" t="s">
        <v>343</v>
      </c>
      <c r="B16" s="118"/>
      <c r="C16" s="119"/>
      <c r="D16" s="118"/>
      <c r="E16" s="119"/>
      <c r="F16" s="120"/>
      <c r="G16" s="120"/>
      <c r="H16" s="120"/>
      <c r="I16" s="120"/>
    </row>
    <row r="17" spans="1:9" ht="12" customHeight="1" x14ac:dyDescent="0.15">
      <c r="A17" s="116" t="s">
        <v>298</v>
      </c>
      <c r="B17" s="118"/>
      <c r="C17" s="119"/>
      <c r="D17" s="118"/>
      <c r="E17" s="119"/>
      <c r="F17" s="120"/>
      <c r="G17" s="120"/>
      <c r="H17" s="120"/>
      <c r="I17" s="120"/>
    </row>
    <row r="18" spans="1:9" ht="12" customHeight="1" x14ac:dyDescent="0.15">
      <c r="A18" s="116" t="s">
        <v>289</v>
      </c>
      <c r="B18" s="118"/>
      <c r="C18" s="119"/>
      <c r="D18" s="118"/>
      <c r="E18" s="119"/>
      <c r="F18" s="120"/>
      <c r="G18" s="120"/>
      <c r="H18" s="120"/>
      <c r="I18" s="120"/>
    </row>
    <row r="19" spans="1:9" ht="12" customHeight="1" x14ac:dyDescent="0.15">
      <c r="A19" s="116" t="s">
        <v>344</v>
      </c>
      <c r="B19" s="118"/>
      <c r="C19" s="119"/>
      <c r="D19" s="118"/>
      <c r="E19" s="119"/>
      <c r="F19" s="120"/>
      <c r="G19" s="120"/>
      <c r="H19" s="120"/>
      <c r="I19" s="120"/>
    </row>
    <row r="20" spans="1:9" ht="12" customHeight="1" x14ac:dyDescent="0.15">
      <c r="A20" s="116" t="s">
        <v>345</v>
      </c>
      <c r="B20" s="118"/>
      <c r="C20" s="119"/>
      <c r="D20" s="118"/>
      <c r="E20" s="119"/>
      <c r="F20" s="120"/>
      <c r="G20" s="120"/>
      <c r="H20" s="120"/>
      <c r="I20" s="120"/>
    </row>
    <row r="21" spans="1:9" ht="12" customHeight="1" x14ac:dyDescent="0.15">
      <c r="A21" s="116" t="s">
        <v>293</v>
      </c>
      <c r="B21" s="118"/>
      <c r="C21" s="119"/>
      <c r="D21" s="118"/>
      <c r="E21" s="119"/>
      <c r="F21" s="120"/>
      <c r="G21" s="120"/>
      <c r="H21" s="120"/>
      <c r="I21" s="120"/>
    </row>
    <row r="22" spans="1:9" ht="12" customHeight="1" x14ac:dyDescent="0.15">
      <c r="A22" s="116" t="s">
        <v>246</v>
      </c>
      <c r="B22" s="118"/>
      <c r="C22" s="119"/>
      <c r="D22" s="118"/>
      <c r="E22" s="119"/>
      <c r="F22" s="121"/>
      <c r="G22" s="121"/>
      <c r="H22" s="121"/>
      <c r="I22" s="121"/>
    </row>
    <row r="23" spans="1:9" ht="12" customHeight="1" x14ac:dyDescent="0.15">
      <c r="A23" s="116" t="s">
        <v>247</v>
      </c>
      <c r="B23" s="118"/>
      <c r="C23" s="119"/>
      <c r="D23" s="118"/>
      <c r="E23" s="119"/>
      <c r="F23" s="121"/>
      <c r="G23" s="121"/>
      <c r="H23" s="121"/>
      <c r="I23" s="121"/>
    </row>
    <row r="24" spans="1:9" ht="12" customHeight="1" x14ac:dyDescent="0.15">
      <c r="A24" s="116" t="s">
        <v>301</v>
      </c>
      <c r="B24" s="118"/>
      <c r="C24" s="119"/>
      <c r="D24" s="118"/>
      <c r="E24" s="119"/>
      <c r="F24" s="120"/>
      <c r="G24" s="120"/>
      <c r="H24" s="120"/>
      <c r="I24" s="120"/>
    </row>
    <row r="25" spans="1:9" ht="12" customHeight="1" x14ac:dyDescent="0.15">
      <c r="A25" s="3"/>
      <c r="B25" s="2"/>
      <c r="C25" s="55"/>
      <c r="D25" s="55"/>
      <c r="E25" s="55"/>
      <c r="F25" s="55"/>
      <c r="G25" s="55"/>
      <c r="I25" s="55"/>
    </row>
    <row r="26" spans="1:9" ht="12" customHeight="1" x14ac:dyDescent="0.15">
      <c r="A26" s="122" t="s">
        <v>346</v>
      </c>
    </row>
    <row r="27" spans="1:9" ht="12" customHeight="1" x14ac:dyDescent="0.15"/>
    <row r="28" spans="1:9" ht="12" customHeight="1" x14ac:dyDescent="0.15"/>
    <row r="29" spans="1:9" ht="12" customHeight="1" x14ac:dyDescent="0.15"/>
    <row r="30" spans="1:9" ht="12" customHeight="1" x14ac:dyDescent="0.15"/>
    <row r="31" spans="1:9" ht="12" customHeight="1" x14ac:dyDescent="0.15"/>
    <row r="32" spans="1:9" ht="12" customHeight="1" x14ac:dyDescent="0.15"/>
    <row r="33" spans="1:9" ht="12" customHeight="1" x14ac:dyDescent="0.15">
      <c r="A33" s="3"/>
      <c r="B33" s="2"/>
      <c r="C33" s="2"/>
      <c r="D33" s="2"/>
      <c r="E33" s="2"/>
      <c r="F33" s="2"/>
      <c r="G33" s="2"/>
      <c r="I33" s="2"/>
    </row>
    <row r="34" spans="1:9" ht="12" customHeight="1" x14ac:dyDescent="0.15">
      <c r="A34" s="3"/>
      <c r="B34" s="2"/>
      <c r="C34" s="2"/>
      <c r="D34" s="2"/>
      <c r="E34" s="2"/>
      <c r="F34" s="2"/>
      <c r="G34" s="2"/>
      <c r="I34" s="2"/>
    </row>
    <row r="35" spans="1:9" ht="12" customHeight="1" x14ac:dyDescent="0.15">
      <c r="A35" s="3"/>
      <c r="B35" s="2"/>
      <c r="C35" s="2"/>
      <c r="D35" s="2"/>
      <c r="E35" s="2"/>
      <c r="F35" s="2"/>
      <c r="G35" s="2"/>
      <c r="I35" s="2"/>
    </row>
    <row r="36" spans="1:9" ht="12" customHeight="1" x14ac:dyDescent="0.15">
      <c r="A36" s="3"/>
      <c r="B36" s="2"/>
      <c r="C36" s="2"/>
      <c r="D36" s="2"/>
      <c r="E36" s="2"/>
      <c r="F36" s="2"/>
      <c r="G36" s="2"/>
      <c r="I36" s="2"/>
    </row>
    <row r="37" spans="1:9" ht="12" customHeight="1" x14ac:dyDescent="0.15">
      <c r="A37" s="3"/>
      <c r="B37" s="2"/>
      <c r="C37" s="2"/>
      <c r="D37" s="2"/>
      <c r="E37" s="2"/>
      <c r="F37" s="2"/>
      <c r="G37" s="2"/>
      <c r="I37" s="2"/>
    </row>
    <row r="38" spans="1:9" ht="12" customHeight="1" x14ac:dyDescent="0.15">
      <c r="A38" s="3"/>
      <c r="B38" s="2"/>
      <c r="C38" s="2"/>
      <c r="D38" s="2"/>
      <c r="E38" s="2"/>
      <c r="F38" s="2"/>
      <c r="G38" s="2"/>
      <c r="I38" s="2"/>
    </row>
    <row r="39" spans="1:9" ht="12" customHeight="1" x14ac:dyDescent="0.15">
      <c r="A39" s="3"/>
      <c r="B39" s="2"/>
      <c r="C39" s="2"/>
      <c r="D39" s="2"/>
      <c r="E39" s="2"/>
      <c r="F39" s="2"/>
      <c r="G39" s="2"/>
      <c r="I39" s="2"/>
    </row>
    <row r="40" spans="1:9" ht="12" customHeight="1" x14ac:dyDescent="0.15">
      <c r="A40" s="3"/>
      <c r="B40" s="2"/>
      <c r="C40" s="2"/>
      <c r="D40" s="2"/>
      <c r="E40" s="2"/>
      <c r="F40" s="2"/>
      <c r="G40" s="2"/>
      <c r="I40" s="2"/>
    </row>
    <row r="41" spans="1:9" ht="12" customHeight="1" x14ac:dyDescent="0.15">
      <c r="A41" s="3"/>
      <c r="B41" s="2"/>
      <c r="C41" s="2"/>
      <c r="D41" s="2"/>
      <c r="E41" s="2"/>
      <c r="F41" s="2"/>
      <c r="G41" s="2"/>
      <c r="I41" s="2"/>
    </row>
    <row r="42" spans="1:9" ht="12" customHeight="1" x14ac:dyDescent="0.15">
      <c r="A42" s="3"/>
      <c r="B42" s="2"/>
      <c r="C42" s="2"/>
      <c r="D42" s="2"/>
      <c r="E42" s="2"/>
      <c r="F42" s="2"/>
      <c r="G42" s="2"/>
      <c r="I42" s="2"/>
    </row>
    <row r="43" spans="1:9" ht="12" customHeight="1" x14ac:dyDescent="0.15">
      <c r="A43" s="3"/>
      <c r="B43" s="2"/>
      <c r="C43" s="2"/>
      <c r="D43" s="2"/>
      <c r="E43" s="2"/>
      <c r="F43" s="2"/>
      <c r="G43" s="2"/>
      <c r="I43" s="2"/>
    </row>
    <row r="44" spans="1:9" ht="12" customHeight="1" x14ac:dyDescent="0.15">
      <c r="A44" s="3"/>
      <c r="B44" s="2"/>
      <c r="C44" s="2"/>
      <c r="D44" s="2"/>
      <c r="E44" s="2"/>
      <c r="F44" s="2"/>
      <c r="G44" s="2"/>
      <c r="I44" s="2"/>
    </row>
    <row r="45" spans="1:9" ht="12" customHeight="1" x14ac:dyDescent="0.15">
      <c r="A45" s="3"/>
      <c r="B45" s="2"/>
      <c r="C45" s="2"/>
      <c r="D45" s="2"/>
      <c r="E45" s="2"/>
      <c r="F45" s="2"/>
      <c r="G45" s="2"/>
      <c r="I45" s="2"/>
    </row>
    <row r="46" spans="1:9" ht="12" customHeight="1" x14ac:dyDescent="0.15">
      <c r="A46" s="3"/>
      <c r="B46" s="2"/>
      <c r="C46" s="2"/>
      <c r="D46" s="2"/>
      <c r="E46" s="2"/>
      <c r="F46" s="2"/>
      <c r="G46" s="2"/>
      <c r="I46" s="2"/>
    </row>
    <row r="47" spans="1:9" ht="12" customHeight="1" x14ac:dyDescent="0.15">
      <c r="A47" s="3"/>
      <c r="B47" s="2"/>
      <c r="C47" s="2"/>
      <c r="D47" s="2"/>
      <c r="E47" s="2"/>
      <c r="F47" s="2"/>
      <c r="G47" s="2"/>
      <c r="I47" s="2"/>
    </row>
    <row r="48" spans="1:9" ht="12" customHeight="1" x14ac:dyDescent="0.15">
      <c r="A48" s="3"/>
      <c r="B48" s="2"/>
      <c r="C48" s="2"/>
      <c r="D48" s="2"/>
      <c r="E48" s="2"/>
      <c r="F48" s="2"/>
      <c r="G48" s="2"/>
      <c r="I48" s="2"/>
    </row>
    <row r="49" spans="1:9" ht="12" customHeight="1" x14ac:dyDescent="0.15">
      <c r="A49" s="3"/>
      <c r="B49" s="2"/>
      <c r="C49" s="2"/>
      <c r="D49" s="2"/>
      <c r="E49" s="2"/>
      <c r="F49" s="2"/>
      <c r="G49" s="2"/>
      <c r="I49" s="2"/>
    </row>
    <row r="50" spans="1:9" ht="12" customHeight="1" x14ac:dyDescent="0.15">
      <c r="A50" s="3"/>
      <c r="B50" s="2"/>
      <c r="C50" s="2"/>
      <c r="D50" s="2"/>
      <c r="E50" s="2"/>
      <c r="F50" s="2"/>
      <c r="G50" s="2"/>
      <c r="I50" s="2"/>
    </row>
    <row r="51" spans="1:9" ht="12" customHeight="1" x14ac:dyDescent="0.15">
      <c r="A51" s="3"/>
      <c r="B51" s="2"/>
      <c r="C51" s="2"/>
      <c r="D51" s="2"/>
      <c r="E51" s="2"/>
      <c r="F51" s="2"/>
      <c r="G51" s="2"/>
      <c r="I51" s="2"/>
    </row>
    <row r="52" spans="1:9" ht="12" customHeight="1" x14ac:dyDescent="0.15">
      <c r="A52" s="3"/>
      <c r="B52" s="2"/>
      <c r="C52" s="2"/>
      <c r="D52" s="2"/>
      <c r="E52" s="2"/>
      <c r="F52" s="2"/>
      <c r="G52" s="2"/>
      <c r="I52" s="2"/>
    </row>
    <row r="53" spans="1:9" ht="12" customHeight="1" x14ac:dyDescent="0.15">
      <c r="A53" s="3"/>
      <c r="B53" s="2"/>
      <c r="C53" s="2"/>
      <c r="D53" s="2"/>
      <c r="E53" s="2"/>
      <c r="F53" s="2"/>
      <c r="G53" s="2"/>
      <c r="I53" s="2"/>
    </row>
    <row r="54" spans="1:9" ht="12" customHeight="1" x14ac:dyDescent="0.15">
      <c r="A54" s="3"/>
      <c r="B54" s="2"/>
      <c r="C54" s="2"/>
      <c r="D54" s="2"/>
      <c r="E54" s="2"/>
      <c r="F54" s="2"/>
      <c r="G54" s="2"/>
      <c r="I54" s="2"/>
    </row>
    <row r="55" spans="1:9" ht="12" customHeight="1" x14ac:dyDescent="0.15">
      <c r="A55" s="3"/>
      <c r="B55" s="2"/>
      <c r="C55" s="2"/>
      <c r="D55" s="2"/>
      <c r="E55" s="2"/>
      <c r="F55" s="2"/>
      <c r="G55" s="2"/>
      <c r="I55" s="2"/>
    </row>
    <row r="56" spans="1:9" ht="12" customHeight="1" x14ac:dyDescent="0.15">
      <c r="A56" s="3"/>
      <c r="B56" s="2"/>
      <c r="C56" s="2"/>
      <c r="D56" s="2"/>
      <c r="E56" s="2"/>
      <c r="F56" s="2"/>
      <c r="G56" s="2"/>
      <c r="I56" s="2"/>
    </row>
    <row r="57" spans="1:9" ht="12" customHeight="1" x14ac:dyDescent="0.15">
      <c r="A57" s="3"/>
      <c r="B57" s="2"/>
      <c r="C57" s="2"/>
      <c r="D57" s="2"/>
      <c r="E57" s="2"/>
      <c r="F57" s="2"/>
      <c r="G57" s="2"/>
      <c r="I57" s="2"/>
    </row>
    <row r="58" spans="1:9" ht="12" customHeight="1" x14ac:dyDescent="0.15">
      <c r="A58" s="3"/>
      <c r="B58" s="2"/>
      <c r="C58" s="2"/>
      <c r="D58" s="2"/>
      <c r="E58" s="2"/>
      <c r="F58" s="2"/>
      <c r="G58" s="2"/>
      <c r="I58" s="2"/>
    </row>
    <row r="59" spans="1:9" ht="12" customHeight="1" x14ac:dyDescent="0.15">
      <c r="A59" s="3"/>
      <c r="B59" s="2"/>
      <c r="C59" s="2"/>
      <c r="D59" s="2"/>
      <c r="E59" s="2"/>
      <c r="F59" s="2"/>
      <c r="G59" s="2"/>
      <c r="I59" s="2"/>
    </row>
    <row r="60" spans="1:9" ht="12" customHeight="1" x14ac:dyDescent="0.15">
      <c r="A60" s="3"/>
      <c r="B60" s="2"/>
      <c r="C60" s="2"/>
      <c r="D60" s="2"/>
      <c r="E60" s="2"/>
      <c r="F60" s="2"/>
      <c r="G60" s="2"/>
      <c r="I60" s="2"/>
    </row>
    <row r="61" spans="1:9" ht="12" customHeight="1" x14ac:dyDescent="0.15">
      <c r="A61" s="3"/>
      <c r="B61" s="2"/>
      <c r="C61" s="2"/>
      <c r="D61" s="2"/>
      <c r="E61" s="2"/>
      <c r="F61" s="2"/>
      <c r="G61" s="2"/>
      <c r="I61" s="2"/>
    </row>
    <row r="62" spans="1:9" ht="12" customHeight="1" x14ac:dyDescent="0.15">
      <c r="A62" s="3"/>
      <c r="B62" s="2"/>
      <c r="C62" s="2"/>
      <c r="D62" s="2"/>
      <c r="E62" s="2"/>
      <c r="F62" s="2"/>
      <c r="G62" s="2"/>
      <c r="I62" s="2"/>
    </row>
    <row r="63" spans="1:9" ht="12" customHeight="1" x14ac:dyDescent="0.15">
      <c r="A63" s="3"/>
      <c r="B63" s="2"/>
      <c r="C63" s="2"/>
      <c r="D63" s="2"/>
      <c r="E63" s="2"/>
      <c r="F63" s="2"/>
      <c r="G63" s="2"/>
      <c r="I63" s="2"/>
    </row>
    <row r="64" spans="1:9" ht="12" customHeight="1" x14ac:dyDescent="0.15">
      <c r="A64" s="3"/>
      <c r="B64" s="2"/>
      <c r="C64" s="2"/>
      <c r="D64" s="2"/>
      <c r="E64" s="2"/>
      <c r="F64" s="2"/>
      <c r="G64" s="2"/>
      <c r="I64" s="2"/>
    </row>
    <row r="65" spans="1:9" ht="12" customHeight="1" x14ac:dyDescent="0.15">
      <c r="A65" s="3"/>
      <c r="B65" s="2"/>
      <c r="C65" s="2"/>
      <c r="D65" s="2"/>
      <c r="E65" s="2"/>
      <c r="F65" s="2"/>
      <c r="G65" s="2"/>
      <c r="I65" s="2"/>
    </row>
    <row r="66" spans="1:9" ht="12" customHeight="1" x14ac:dyDescent="0.15">
      <c r="A66" s="3"/>
      <c r="B66" s="2"/>
      <c r="C66" s="2"/>
      <c r="D66" s="2"/>
      <c r="E66" s="2"/>
      <c r="F66" s="2"/>
      <c r="G66" s="2"/>
      <c r="I66" s="2"/>
    </row>
    <row r="67" spans="1:9" ht="12" customHeight="1" x14ac:dyDescent="0.15">
      <c r="A67" s="3"/>
      <c r="B67" s="2"/>
      <c r="C67" s="2"/>
      <c r="D67" s="2"/>
      <c r="E67" s="2"/>
      <c r="F67" s="2"/>
      <c r="G67" s="2"/>
      <c r="I67" s="2"/>
    </row>
    <row r="68" spans="1:9" ht="12" customHeight="1" x14ac:dyDescent="0.15">
      <c r="A68" s="3"/>
      <c r="B68" s="2"/>
      <c r="C68" s="2"/>
      <c r="D68" s="2"/>
      <c r="E68" s="2"/>
      <c r="F68" s="2"/>
      <c r="G68" s="2"/>
      <c r="I68" s="2"/>
    </row>
    <row r="69" spans="1:9" ht="12" customHeight="1" x14ac:dyDescent="0.15">
      <c r="A69" s="3"/>
      <c r="B69" s="2"/>
      <c r="C69" s="2"/>
      <c r="D69" s="2"/>
      <c r="E69" s="2"/>
      <c r="F69" s="2"/>
      <c r="G69" s="2"/>
      <c r="I69" s="2"/>
    </row>
    <row r="70" spans="1:9" ht="12" customHeight="1" x14ac:dyDescent="0.15">
      <c r="A70" s="3"/>
      <c r="B70" s="2"/>
      <c r="C70" s="2"/>
      <c r="D70" s="2"/>
      <c r="E70" s="2"/>
      <c r="F70" s="2"/>
      <c r="G70" s="2"/>
      <c r="I70" s="2"/>
    </row>
    <row r="71" spans="1:9" ht="12" customHeight="1" x14ac:dyDescent="0.15">
      <c r="A71" s="3"/>
      <c r="B71" s="2"/>
      <c r="C71" s="2"/>
      <c r="D71" s="2"/>
      <c r="E71" s="2"/>
      <c r="F71" s="2"/>
      <c r="G71" s="2"/>
      <c r="I71" s="2"/>
    </row>
    <row r="72" spans="1:9" ht="12" customHeight="1" x14ac:dyDescent="0.15">
      <c r="A72" s="3"/>
      <c r="B72" s="2"/>
      <c r="C72" s="2"/>
      <c r="D72" s="2"/>
      <c r="E72" s="2"/>
      <c r="F72" s="2"/>
      <c r="G72" s="2"/>
      <c r="I72" s="2"/>
    </row>
    <row r="73" spans="1:9" ht="12" customHeight="1" x14ac:dyDescent="0.15">
      <c r="A73" s="3"/>
      <c r="B73" s="2"/>
      <c r="C73" s="2"/>
      <c r="D73" s="2"/>
      <c r="E73" s="2"/>
      <c r="F73" s="2"/>
      <c r="G73" s="2"/>
      <c r="I73" s="2"/>
    </row>
    <row r="74" spans="1:9" ht="12" customHeight="1" x14ac:dyDescent="0.15">
      <c r="A74" s="3"/>
      <c r="B74" s="2"/>
      <c r="C74" s="2"/>
      <c r="D74" s="2"/>
      <c r="E74" s="2"/>
      <c r="F74" s="2"/>
      <c r="G74" s="2"/>
      <c r="I74" s="2"/>
    </row>
    <row r="75" spans="1:9" ht="12" customHeight="1" x14ac:dyDescent="0.15">
      <c r="A75" s="3"/>
      <c r="B75" s="2"/>
      <c r="C75" s="2"/>
      <c r="D75" s="2"/>
      <c r="E75" s="2"/>
      <c r="F75" s="2"/>
      <c r="G75" s="2"/>
      <c r="I75" s="2"/>
    </row>
    <row r="76" spans="1:9" ht="12" customHeight="1" x14ac:dyDescent="0.15">
      <c r="A76" s="3"/>
      <c r="B76" s="2"/>
      <c r="C76" s="2"/>
      <c r="D76" s="2"/>
      <c r="E76" s="2"/>
      <c r="F76" s="2"/>
      <c r="G76" s="2"/>
      <c r="I76" s="2"/>
    </row>
    <row r="77" spans="1:9" ht="12" customHeight="1" x14ac:dyDescent="0.15">
      <c r="A77" s="3"/>
      <c r="B77" s="2"/>
      <c r="C77" s="2"/>
      <c r="D77" s="2"/>
      <c r="E77" s="2"/>
      <c r="F77" s="2"/>
      <c r="G77" s="2"/>
      <c r="I77" s="2"/>
    </row>
    <row r="78" spans="1:9" ht="12" customHeight="1" x14ac:dyDescent="0.15">
      <c r="A78" s="3"/>
      <c r="B78" s="2"/>
      <c r="C78" s="2"/>
      <c r="D78" s="2"/>
      <c r="E78" s="2"/>
      <c r="F78" s="2"/>
      <c r="G78" s="2"/>
      <c r="I78" s="2"/>
    </row>
    <row r="79" spans="1:9" ht="12" customHeight="1" x14ac:dyDescent="0.15">
      <c r="A79" s="3"/>
      <c r="B79" s="2"/>
      <c r="C79" s="2"/>
      <c r="D79" s="2"/>
      <c r="E79" s="2"/>
      <c r="F79" s="2"/>
      <c r="G79" s="2"/>
      <c r="I79" s="2"/>
    </row>
    <row r="80" spans="1:9" ht="12" customHeight="1" x14ac:dyDescent="0.15">
      <c r="A80" s="3"/>
      <c r="B80" s="2"/>
      <c r="C80" s="2"/>
      <c r="D80" s="2"/>
      <c r="E80" s="2"/>
      <c r="F80" s="2"/>
      <c r="G80" s="2"/>
      <c r="I80" s="2"/>
    </row>
    <row r="81" spans="1:9" ht="12" customHeight="1" x14ac:dyDescent="0.15">
      <c r="A81" s="3"/>
      <c r="B81" s="2"/>
      <c r="C81" s="2"/>
      <c r="D81" s="2"/>
      <c r="E81" s="2"/>
      <c r="F81" s="2"/>
      <c r="G81" s="2"/>
      <c r="I81" s="2"/>
    </row>
    <row r="82" spans="1:9" ht="12" customHeight="1" x14ac:dyDescent="0.15">
      <c r="A82" s="3"/>
      <c r="B82" s="2"/>
      <c r="C82" s="2"/>
      <c r="D82" s="2"/>
      <c r="E82" s="2"/>
      <c r="F82" s="2"/>
      <c r="G82" s="2"/>
      <c r="I82" s="2"/>
    </row>
    <row r="83" spans="1:9" ht="12" customHeight="1" x14ac:dyDescent="0.15">
      <c r="A83" s="3"/>
      <c r="B83" s="2"/>
      <c r="C83" s="2"/>
      <c r="D83" s="2"/>
      <c r="E83" s="2"/>
      <c r="F83" s="2"/>
      <c r="G83" s="2"/>
      <c r="I83" s="2"/>
    </row>
    <row r="84" spans="1:9" ht="12" customHeight="1" x14ac:dyDescent="0.15">
      <c r="A84" s="3"/>
      <c r="B84" s="2"/>
      <c r="C84" s="2"/>
      <c r="D84" s="2"/>
      <c r="E84" s="2"/>
      <c r="F84" s="2"/>
      <c r="G84" s="2"/>
      <c r="I84" s="2"/>
    </row>
    <row r="85" spans="1:9" ht="12" customHeight="1" x14ac:dyDescent="0.15">
      <c r="A85" s="3"/>
      <c r="B85" s="2"/>
      <c r="C85" s="2"/>
      <c r="D85" s="2"/>
      <c r="E85" s="2"/>
      <c r="F85" s="2"/>
      <c r="G85" s="2"/>
      <c r="I85" s="2"/>
    </row>
    <row r="86" spans="1:9" ht="12" customHeight="1" x14ac:dyDescent="0.15">
      <c r="A86" s="3"/>
      <c r="B86" s="2"/>
      <c r="C86" s="2"/>
      <c r="D86" s="2"/>
      <c r="E86" s="2"/>
      <c r="F86" s="2"/>
      <c r="G86" s="2"/>
      <c r="I86" s="2"/>
    </row>
    <row r="87" spans="1:9" ht="12" customHeight="1" x14ac:dyDescent="0.15">
      <c r="A87" s="3"/>
      <c r="B87" s="2"/>
      <c r="C87" s="2"/>
      <c r="D87" s="2"/>
      <c r="E87" s="2"/>
      <c r="F87" s="2"/>
      <c r="G87" s="2"/>
      <c r="I87" s="2"/>
    </row>
    <row r="88" spans="1:9" ht="12" customHeight="1" x14ac:dyDescent="0.15">
      <c r="A88" s="3"/>
      <c r="B88" s="2"/>
      <c r="C88" s="2"/>
      <c r="D88" s="2"/>
      <c r="E88" s="2"/>
      <c r="F88" s="2"/>
      <c r="G88" s="2"/>
      <c r="I88" s="2"/>
    </row>
    <row r="89" spans="1:9" ht="12" customHeight="1" x14ac:dyDescent="0.15">
      <c r="A89" s="3"/>
      <c r="B89" s="2"/>
      <c r="C89" s="2"/>
      <c r="D89" s="2"/>
      <c r="E89" s="2"/>
      <c r="F89" s="2"/>
      <c r="G89" s="2"/>
      <c r="I89" s="2"/>
    </row>
    <row r="90" spans="1:9" ht="12" customHeight="1" x14ac:dyDescent="0.15">
      <c r="A90" s="3"/>
      <c r="B90" s="2"/>
      <c r="C90" s="2"/>
      <c r="D90" s="2"/>
      <c r="E90" s="2"/>
      <c r="F90" s="2"/>
      <c r="G90" s="2"/>
      <c r="I90" s="2"/>
    </row>
    <row r="91" spans="1:9" ht="12" customHeight="1" x14ac:dyDescent="0.15">
      <c r="A91" s="3"/>
      <c r="B91" s="2"/>
      <c r="C91" s="2"/>
      <c r="D91" s="2"/>
      <c r="E91" s="2"/>
      <c r="F91" s="2"/>
      <c r="G91" s="2"/>
      <c r="I91" s="2"/>
    </row>
    <row r="92" spans="1:9" ht="12" customHeight="1" x14ac:dyDescent="0.15">
      <c r="A92" s="3"/>
      <c r="B92" s="2"/>
      <c r="C92" s="2"/>
      <c r="D92" s="2"/>
      <c r="E92" s="2"/>
      <c r="F92" s="2"/>
      <c r="G92" s="2"/>
      <c r="I92" s="2"/>
    </row>
    <row r="93" spans="1:9" ht="12" customHeight="1" x14ac:dyDescent="0.15">
      <c r="A93" s="3"/>
      <c r="B93" s="2"/>
      <c r="C93" s="2"/>
      <c r="D93" s="2"/>
      <c r="E93" s="2"/>
      <c r="F93" s="2"/>
      <c r="G93" s="2"/>
      <c r="I93" s="2"/>
    </row>
    <row r="94" spans="1:9" ht="12" customHeight="1" x14ac:dyDescent="0.15">
      <c r="A94" s="3"/>
      <c r="B94" s="2"/>
      <c r="C94" s="2"/>
      <c r="D94" s="2"/>
      <c r="E94" s="2"/>
      <c r="F94" s="2"/>
      <c r="G94" s="2"/>
      <c r="I94" s="2"/>
    </row>
    <row r="95" spans="1:9" ht="12" customHeight="1" x14ac:dyDescent="0.15">
      <c r="A95" s="3"/>
      <c r="B95" s="2"/>
      <c r="C95" s="2"/>
      <c r="D95" s="2"/>
      <c r="E95" s="2"/>
      <c r="F95" s="2"/>
      <c r="G95" s="2"/>
      <c r="I95" s="2"/>
    </row>
    <row r="96" spans="1:9" ht="12" customHeight="1" x14ac:dyDescent="0.15">
      <c r="A96" s="3"/>
      <c r="B96" s="2"/>
      <c r="C96" s="2"/>
      <c r="D96" s="2"/>
      <c r="E96" s="2"/>
      <c r="F96" s="2"/>
      <c r="G96" s="2"/>
      <c r="I96" s="2"/>
    </row>
    <row r="97" spans="1:9" ht="12" customHeight="1" x14ac:dyDescent="0.15">
      <c r="A97" s="3"/>
      <c r="B97" s="2"/>
      <c r="C97" s="2"/>
      <c r="D97" s="2"/>
      <c r="E97" s="2"/>
      <c r="F97" s="2"/>
      <c r="G97" s="2"/>
      <c r="I97" s="2"/>
    </row>
    <row r="98" spans="1:9" ht="12" customHeight="1" x14ac:dyDescent="0.15">
      <c r="A98" s="3"/>
      <c r="B98" s="2"/>
      <c r="C98" s="2"/>
      <c r="D98" s="2"/>
      <c r="E98" s="2"/>
      <c r="F98" s="2"/>
      <c r="G98" s="2"/>
      <c r="I98" s="2"/>
    </row>
    <row r="99" spans="1:9" ht="12" customHeight="1" x14ac:dyDescent="0.15">
      <c r="A99" s="3"/>
      <c r="B99" s="2"/>
      <c r="C99" s="2"/>
      <c r="D99" s="2"/>
      <c r="E99" s="2"/>
      <c r="F99" s="2"/>
      <c r="G99" s="2"/>
      <c r="I99" s="2"/>
    </row>
    <row r="100" spans="1:9" ht="12" customHeight="1" x14ac:dyDescent="0.15">
      <c r="A100" s="3"/>
      <c r="B100" s="2"/>
      <c r="C100" s="2"/>
      <c r="D100" s="2"/>
      <c r="E100" s="2"/>
      <c r="F100" s="2"/>
      <c r="G100" s="2"/>
      <c r="I100" s="2"/>
    </row>
    <row r="101" spans="1:9" ht="12" customHeight="1" x14ac:dyDescent="0.15">
      <c r="A101" s="3"/>
      <c r="B101" s="2"/>
      <c r="C101" s="2"/>
      <c r="D101" s="2"/>
      <c r="E101" s="2"/>
      <c r="F101" s="2"/>
      <c r="G101" s="2"/>
      <c r="I101" s="2"/>
    </row>
    <row r="102" spans="1:9" ht="12" customHeight="1" x14ac:dyDescent="0.15">
      <c r="A102" s="3"/>
      <c r="B102" s="2"/>
      <c r="C102" s="2"/>
      <c r="D102" s="2"/>
      <c r="E102" s="2"/>
      <c r="F102" s="2"/>
      <c r="G102" s="2"/>
      <c r="I102" s="2"/>
    </row>
    <row r="103" spans="1:9" ht="12" customHeight="1" x14ac:dyDescent="0.15">
      <c r="A103" s="3"/>
      <c r="B103" s="2"/>
      <c r="C103" s="2"/>
      <c r="D103" s="2"/>
      <c r="E103" s="2"/>
      <c r="F103" s="2"/>
      <c r="G103" s="2"/>
      <c r="I103" s="2"/>
    </row>
    <row r="104" spans="1:9" ht="12" customHeight="1" x14ac:dyDescent="0.15">
      <c r="A104" s="3"/>
      <c r="B104" s="2"/>
      <c r="C104" s="2"/>
      <c r="D104" s="2"/>
      <c r="E104" s="2"/>
      <c r="F104" s="2"/>
      <c r="G104" s="2"/>
      <c r="I104" s="2"/>
    </row>
    <row r="105" spans="1:9" ht="12" customHeight="1" x14ac:dyDescent="0.15">
      <c r="A105" s="3"/>
      <c r="B105" s="2"/>
      <c r="C105" s="2"/>
      <c r="D105" s="2"/>
      <c r="E105" s="2"/>
      <c r="F105" s="2"/>
      <c r="G105" s="2"/>
      <c r="I105" s="2"/>
    </row>
    <row r="106" spans="1:9" ht="12" customHeight="1" x14ac:dyDescent="0.15">
      <c r="A106" s="3"/>
      <c r="B106" s="2"/>
      <c r="C106" s="2"/>
      <c r="D106" s="2"/>
      <c r="E106" s="2"/>
      <c r="F106" s="2"/>
      <c r="G106" s="2"/>
      <c r="I106" s="2"/>
    </row>
    <row r="107" spans="1:9" ht="12" customHeight="1" x14ac:dyDescent="0.15">
      <c r="A107" s="3"/>
      <c r="B107" s="2"/>
      <c r="C107" s="2"/>
      <c r="D107" s="2"/>
      <c r="E107" s="2"/>
      <c r="F107" s="2"/>
      <c r="G107" s="2"/>
      <c r="I107" s="2"/>
    </row>
    <row r="108" spans="1:9" ht="12" customHeight="1" x14ac:dyDescent="0.15">
      <c r="A108" s="3"/>
      <c r="B108" s="2"/>
      <c r="C108" s="2"/>
      <c r="D108" s="2"/>
      <c r="E108" s="2"/>
      <c r="F108" s="2"/>
      <c r="G108" s="2"/>
      <c r="I108" s="2"/>
    </row>
    <row r="109" spans="1:9" ht="12" customHeight="1" x14ac:dyDescent="0.15">
      <c r="A109" s="3"/>
      <c r="B109" s="2"/>
      <c r="C109" s="2"/>
      <c r="D109" s="2"/>
      <c r="E109" s="2"/>
      <c r="F109" s="2"/>
      <c r="G109" s="2"/>
      <c r="I109" s="2"/>
    </row>
    <row r="110" spans="1:9" ht="12" customHeight="1" x14ac:dyDescent="0.15">
      <c r="A110" s="3"/>
      <c r="B110" s="2"/>
      <c r="C110" s="2"/>
      <c r="D110" s="2"/>
      <c r="E110" s="2"/>
      <c r="F110" s="2"/>
      <c r="G110" s="2"/>
      <c r="I110" s="2"/>
    </row>
    <row r="111" spans="1:9" ht="12" customHeight="1" x14ac:dyDescent="0.15">
      <c r="A111" s="3"/>
      <c r="B111" s="2"/>
      <c r="C111" s="2"/>
      <c r="D111" s="2"/>
      <c r="E111" s="2"/>
      <c r="F111" s="2"/>
      <c r="G111" s="2"/>
      <c r="I111" s="2"/>
    </row>
    <row r="112" spans="1:9" ht="12" customHeight="1" x14ac:dyDescent="0.15">
      <c r="A112" s="3"/>
      <c r="B112" s="2"/>
      <c r="C112" s="2"/>
      <c r="D112" s="2"/>
      <c r="E112" s="2"/>
      <c r="F112" s="2"/>
      <c r="G112" s="2"/>
      <c r="I112" s="2"/>
    </row>
    <row r="113" spans="1:9" ht="12" customHeight="1" x14ac:dyDescent="0.15">
      <c r="A113" s="3"/>
      <c r="B113" s="2"/>
      <c r="C113" s="2"/>
      <c r="D113" s="2"/>
      <c r="E113" s="2"/>
      <c r="F113" s="2"/>
      <c r="G113" s="2"/>
      <c r="I113" s="2"/>
    </row>
    <row r="114" spans="1:9" ht="12" customHeight="1" x14ac:dyDescent="0.15">
      <c r="A114" s="3"/>
      <c r="B114" s="2"/>
      <c r="C114" s="2"/>
      <c r="D114" s="2"/>
      <c r="E114" s="2"/>
      <c r="F114" s="2"/>
      <c r="G114" s="2"/>
      <c r="I114" s="2"/>
    </row>
    <row r="115" spans="1:9" ht="12" customHeight="1" x14ac:dyDescent="0.15">
      <c r="A115" s="3"/>
      <c r="B115" s="2"/>
      <c r="C115" s="2"/>
      <c r="D115" s="2"/>
      <c r="E115" s="2"/>
      <c r="F115" s="2"/>
      <c r="G115" s="2"/>
      <c r="I115" s="2"/>
    </row>
    <row r="116" spans="1:9" ht="12" customHeight="1" x14ac:dyDescent="0.15">
      <c r="A116" s="3"/>
      <c r="B116" s="2"/>
      <c r="C116" s="2"/>
      <c r="D116" s="2"/>
      <c r="E116" s="2"/>
      <c r="F116" s="2"/>
      <c r="G116" s="2"/>
      <c r="I116" s="2"/>
    </row>
    <row r="117" spans="1:9" ht="12" customHeight="1" x14ac:dyDescent="0.15">
      <c r="A117" s="3"/>
      <c r="B117" s="2"/>
      <c r="C117" s="2"/>
      <c r="D117" s="2"/>
      <c r="E117" s="2"/>
      <c r="F117" s="2"/>
      <c r="G117" s="2"/>
      <c r="I117" s="2"/>
    </row>
    <row r="118" spans="1:9" ht="12" customHeight="1" x14ac:dyDescent="0.15">
      <c r="A118" s="3"/>
      <c r="B118" s="2"/>
      <c r="C118" s="2"/>
      <c r="D118" s="2"/>
      <c r="E118" s="2"/>
      <c r="F118" s="2"/>
      <c r="G118" s="2"/>
      <c r="I118" s="2"/>
    </row>
    <row r="119" spans="1:9" ht="12" customHeight="1" x14ac:dyDescent="0.15">
      <c r="A119" s="3"/>
      <c r="B119" s="2"/>
      <c r="C119" s="2"/>
      <c r="D119" s="2"/>
      <c r="E119" s="2"/>
      <c r="F119" s="2"/>
      <c r="G119" s="2"/>
      <c r="I119" s="2"/>
    </row>
    <row r="120" spans="1:9" ht="12" customHeight="1" x14ac:dyDescent="0.15">
      <c r="A120" s="3"/>
      <c r="B120" s="2"/>
      <c r="C120" s="2"/>
      <c r="D120" s="2"/>
      <c r="E120" s="2"/>
      <c r="F120" s="2"/>
      <c r="G120" s="2"/>
      <c r="I120" s="2"/>
    </row>
    <row r="121" spans="1:9" ht="12" customHeight="1" x14ac:dyDescent="0.15">
      <c r="A121" s="3"/>
      <c r="B121" s="2"/>
      <c r="C121" s="2"/>
      <c r="D121" s="2"/>
      <c r="E121" s="2"/>
      <c r="F121" s="2"/>
      <c r="G121" s="2"/>
      <c r="I121" s="2"/>
    </row>
    <row r="122" spans="1:9" ht="12" customHeight="1" x14ac:dyDescent="0.15">
      <c r="A122" s="3"/>
      <c r="B122" s="2"/>
      <c r="C122" s="2"/>
      <c r="D122" s="2"/>
      <c r="E122" s="2"/>
      <c r="F122" s="2"/>
      <c r="G122" s="2"/>
      <c r="I122" s="2"/>
    </row>
    <row r="123" spans="1:9" ht="12" customHeight="1" x14ac:dyDescent="0.15">
      <c r="A123" s="3"/>
      <c r="B123" s="2"/>
      <c r="C123" s="2"/>
      <c r="D123" s="2"/>
      <c r="E123" s="2"/>
      <c r="F123" s="2"/>
      <c r="G123" s="2"/>
      <c r="I123" s="2"/>
    </row>
    <row r="124" spans="1:9" ht="12" customHeight="1" x14ac:dyDescent="0.15">
      <c r="A124" s="3"/>
      <c r="B124" s="2"/>
      <c r="C124" s="2"/>
      <c r="D124" s="2"/>
      <c r="E124" s="2"/>
      <c r="F124" s="2"/>
      <c r="G124" s="2"/>
      <c r="I124" s="2"/>
    </row>
    <row r="125" spans="1:9" ht="12" customHeight="1" x14ac:dyDescent="0.15">
      <c r="A125" s="3"/>
      <c r="B125" s="2"/>
      <c r="C125" s="2"/>
      <c r="D125" s="2"/>
      <c r="E125" s="2"/>
      <c r="F125" s="2"/>
      <c r="G125" s="2"/>
      <c r="I125" s="2"/>
    </row>
    <row r="126" spans="1:9" ht="12" customHeight="1" x14ac:dyDescent="0.15">
      <c r="A126" s="3"/>
      <c r="B126" s="2"/>
      <c r="C126" s="2"/>
      <c r="D126" s="2"/>
      <c r="E126" s="2"/>
      <c r="F126" s="2"/>
      <c r="G126" s="2"/>
      <c r="I126" s="2"/>
    </row>
    <row r="127" spans="1:9" ht="12" customHeight="1" x14ac:dyDescent="0.15">
      <c r="A127" s="3"/>
      <c r="B127" s="2"/>
      <c r="C127" s="2"/>
      <c r="D127" s="2"/>
      <c r="E127" s="2"/>
      <c r="F127" s="2"/>
      <c r="G127" s="2"/>
      <c r="I127" s="2"/>
    </row>
    <row r="128" spans="1:9" ht="12" customHeight="1" x14ac:dyDescent="0.15">
      <c r="A128" s="3"/>
      <c r="B128" s="2"/>
      <c r="C128" s="2"/>
      <c r="D128" s="2"/>
      <c r="E128" s="2"/>
      <c r="F128" s="2"/>
      <c r="G128" s="2"/>
      <c r="I128" s="2"/>
    </row>
    <row r="129" spans="1:9" ht="12" customHeight="1" x14ac:dyDescent="0.15">
      <c r="A129" s="3"/>
      <c r="B129" s="2"/>
      <c r="C129" s="2"/>
      <c r="D129" s="2"/>
      <c r="E129" s="2"/>
      <c r="F129" s="2"/>
      <c r="G129" s="2"/>
      <c r="I129" s="2"/>
    </row>
    <row r="130" spans="1:9" ht="12" customHeight="1" x14ac:dyDescent="0.15">
      <c r="A130" s="3"/>
      <c r="B130" s="2"/>
      <c r="C130" s="2"/>
      <c r="D130" s="2"/>
      <c r="E130" s="2"/>
      <c r="F130" s="2"/>
      <c r="G130" s="2"/>
      <c r="I130" s="2"/>
    </row>
    <row r="131" spans="1:9" ht="12" customHeight="1" x14ac:dyDescent="0.15">
      <c r="A131" s="3"/>
      <c r="B131" s="2"/>
      <c r="C131" s="2"/>
      <c r="D131" s="2"/>
      <c r="E131" s="2"/>
      <c r="F131" s="2"/>
      <c r="G131" s="2"/>
      <c r="I131" s="2"/>
    </row>
    <row r="132" spans="1:9" ht="12" customHeight="1" x14ac:dyDescent="0.15">
      <c r="A132" s="3"/>
      <c r="B132" s="2"/>
      <c r="C132" s="2"/>
      <c r="D132" s="2"/>
      <c r="E132" s="2"/>
      <c r="F132" s="2"/>
      <c r="G132" s="2"/>
      <c r="I132" s="2"/>
    </row>
    <row r="133" spans="1:9" ht="12" customHeight="1" x14ac:dyDescent="0.15">
      <c r="A133" s="3"/>
      <c r="B133" s="2"/>
      <c r="C133" s="2"/>
      <c r="D133" s="2"/>
      <c r="E133" s="2"/>
      <c r="F133" s="2"/>
      <c r="G133" s="2"/>
      <c r="I133" s="2"/>
    </row>
    <row r="134" spans="1:9" ht="12" customHeight="1" x14ac:dyDescent="0.15">
      <c r="A134" s="3"/>
      <c r="B134" s="2"/>
      <c r="C134" s="2"/>
      <c r="D134" s="2"/>
      <c r="E134" s="2"/>
      <c r="F134" s="2"/>
      <c r="G134" s="2"/>
      <c r="I134" s="2"/>
    </row>
    <row r="135" spans="1:9" ht="12" customHeight="1" x14ac:dyDescent="0.15">
      <c r="A135" s="3"/>
      <c r="B135" s="2"/>
      <c r="C135" s="2"/>
      <c r="D135" s="2"/>
      <c r="E135" s="2"/>
      <c r="F135" s="2"/>
      <c r="G135" s="2"/>
      <c r="I135" s="2"/>
    </row>
    <row r="136" spans="1:9" ht="12" customHeight="1" x14ac:dyDescent="0.15">
      <c r="A136" s="3"/>
      <c r="B136" s="2"/>
      <c r="C136" s="2"/>
      <c r="D136" s="2"/>
      <c r="E136" s="2"/>
      <c r="F136" s="2"/>
      <c r="G136" s="2"/>
      <c r="I136" s="2"/>
    </row>
    <row r="137" spans="1:9" ht="12" customHeight="1" x14ac:dyDescent="0.15">
      <c r="A137" s="3"/>
      <c r="B137" s="2"/>
      <c r="C137" s="2"/>
      <c r="D137" s="2"/>
      <c r="E137" s="2"/>
      <c r="F137" s="2"/>
      <c r="G137" s="2"/>
      <c r="I137" s="2"/>
    </row>
    <row r="138" spans="1:9" ht="12" customHeight="1" x14ac:dyDescent="0.15">
      <c r="A138" s="3"/>
      <c r="B138" s="2"/>
      <c r="C138" s="2"/>
      <c r="D138" s="2"/>
      <c r="E138" s="2"/>
      <c r="F138" s="2"/>
      <c r="G138" s="2"/>
      <c r="I138" s="2"/>
    </row>
    <row r="139" spans="1:9" ht="12" customHeight="1" x14ac:dyDescent="0.15">
      <c r="A139" s="3"/>
      <c r="B139" s="2"/>
      <c r="C139" s="2"/>
      <c r="D139" s="2"/>
      <c r="E139" s="2"/>
      <c r="F139" s="2"/>
      <c r="G139" s="2"/>
      <c r="I139" s="2"/>
    </row>
    <row r="140" spans="1:9" ht="12" customHeight="1" x14ac:dyDescent="0.15">
      <c r="A140" s="3"/>
      <c r="B140" s="2"/>
      <c r="C140" s="2"/>
      <c r="D140" s="2"/>
      <c r="E140" s="2"/>
      <c r="F140" s="2"/>
      <c r="G140" s="2"/>
      <c r="I140" s="2"/>
    </row>
    <row r="141" spans="1:9" ht="12" customHeight="1" x14ac:dyDescent="0.15">
      <c r="A141" s="3"/>
      <c r="B141" s="2"/>
      <c r="C141" s="2"/>
      <c r="D141" s="2"/>
      <c r="E141" s="2"/>
      <c r="F141" s="2"/>
      <c r="G141" s="2"/>
      <c r="I141" s="2"/>
    </row>
    <row r="142" spans="1:9" ht="12" customHeight="1" x14ac:dyDescent="0.15">
      <c r="A142" s="3"/>
      <c r="B142" s="2"/>
      <c r="C142" s="2"/>
      <c r="D142" s="2"/>
      <c r="E142" s="2"/>
      <c r="F142" s="2"/>
      <c r="G142" s="2"/>
      <c r="I142" s="2"/>
    </row>
    <row r="143" spans="1:9" ht="12" customHeight="1" x14ac:dyDescent="0.15">
      <c r="A143" s="3"/>
      <c r="B143" s="2"/>
      <c r="C143" s="2"/>
      <c r="D143" s="2"/>
      <c r="E143" s="2"/>
      <c r="F143" s="2"/>
      <c r="G143" s="2"/>
      <c r="I143" s="2"/>
    </row>
    <row r="144" spans="1:9" ht="12" customHeight="1" x14ac:dyDescent="0.15">
      <c r="A144" s="3"/>
      <c r="B144" s="2"/>
      <c r="C144" s="2"/>
      <c r="D144" s="2"/>
      <c r="E144" s="2"/>
      <c r="F144" s="2"/>
      <c r="G144" s="2"/>
      <c r="I144" s="2"/>
    </row>
    <row r="145" spans="1:9" ht="12" customHeight="1" x14ac:dyDescent="0.15">
      <c r="A145" s="3"/>
      <c r="B145" s="2"/>
      <c r="C145" s="2"/>
      <c r="D145" s="2"/>
      <c r="E145" s="2"/>
      <c r="F145" s="2"/>
      <c r="G145" s="2"/>
      <c r="I145" s="2"/>
    </row>
    <row r="146" spans="1:9" ht="12" customHeight="1" x14ac:dyDescent="0.15">
      <c r="A146" s="3"/>
      <c r="B146" s="2"/>
      <c r="C146" s="2"/>
      <c r="D146" s="2"/>
      <c r="E146" s="2"/>
      <c r="F146" s="2"/>
      <c r="G146" s="2"/>
      <c r="I146" s="2"/>
    </row>
    <row r="147" spans="1:9" ht="12" customHeight="1" x14ac:dyDescent="0.15">
      <c r="A147" s="3"/>
      <c r="B147" s="2"/>
      <c r="C147" s="2"/>
      <c r="D147" s="2"/>
      <c r="E147" s="2"/>
      <c r="F147" s="2"/>
      <c r="G147" s="2"/>
      <c r="I147" s="2"/>
    </row>
    <row r="148" spans="1:9" ht="12" customHeight="1" x14ac:dyDescent="0.15">
      <c r="A148" s="3"/>
      <c r="B148" s="2"/>
      <c r="C148" s="2"/>
      <c r="D148" s="2"/>
      <c r="E148" s="2"/>
      <c r="F148" s="2"/>
      <c r="G148" s="2"/>
      <c r="I148" s="2"/>
    </row>
    <row r="149" spans="1:9" ht="12" customHeight="1" x14ac:dyDescent="0.15">
      <c r="A149" s="3"/>
      <c r="B149" s="2"/>
      <c r="C149" s="2"/>
      <c r="D149" s="2"/>
      <c r="E149" s="2"/>
      <c r="F149" s="2"/>
      <c r="G149" s="2"/>
      <c r="I149" s="2"/>
    </row>
    <row r="150" spans="1:9" ht="12" customHeight="1" x14ac:dyDescent="0.15">
      <c r="A150" s="3"/>
      <c r="B150" s="2"/>
      <c r="C150" s="2"/>
      <c r="D150" s="2"/>
      <c r="E150" s="2"/>
      <c r="F150" s="2"/>
      <c r="G150" s="2"/>
      <c r="I150" s="2"/>
    </row>
    <row r="151" spans="1:9" ht="12" customHeight="1" x14ac:dyDescent="0.15">
      <c r="A151" s="3"/>
      <c r="B151" s="2"/>
      <c r="C151" s="2"/>
      <c r="D151" s="2"/>
      <c r="E151" s="2"/>
      <c r="F151" s="2"/>
      <c r="G151" s="2"/>
      <c r="I151" s="2"/>
    </row>
    <row r="152" spans="1:9" ht="12" customHeight="1" x14ac:dyDescent="0.15">
      <c r="A152" s="3"/>
      <c r="B152" s="2"/>
      <c r="C152" s="2"/>
      <c r="D152" s="2"/>
      <c r="E152" s="2"/>
      <c r="F152" s="2"/>
      <c r="G152" s="2"/>
      <c r="I152" s="2"/>
    </row>
    <row r="153" spans="1:9" ht="12" customHeight="1" x14ac:dyDescent="0.15">
      <c r="A153" s="3"/>
      <c r="B153" s="2"/>
      <c r="C153" s="2"/>
      <c r="D153" s="2"/>
      <c r="E153" s="2"/>
      <c r="F153" s="2"/>
      <c r="G153" s="2"/>
      <c r="I153" s="2"/>
    </row>
    <row r="154" spans="1:9" ht="12" customHeight="1" x14ac:dyDescent="0.15">
      <c r="A154" s="3"/>
      <c r="B154" s="2"/>
      <c r="C154" s="2"/>
      <c r="D154" s="2"/>
      <c r="E154" s="2"/>
      <c r="F154" s="2"/>
      <c r="G154" s="2"/>
      <c r="I154" s="2"/>
    </row>
    <row r="155" spans="1:9" ht="12" customHeight="1" x14ac:dyDescent="0.15">
      <c r="A155" s="3"/>
      <c r="B155" s="2"/>
      <c r="C155" s="2"/>
      <c r="D155" s="2"/>
      <c r="E155" s="2"/>
      <c r="F155" s="2"/>
      <c r="G155" s="2"/>
      <c r="I155" s="2"/>
    </row>
    <row r="156" spans="1:9" ht="12" customHeight="1" x14ac:dyDescent="0.15">
      <c r="A156" s="3"/>
      <c r="B156" s="2"/>
      <c r="C156" s="2"/>
      <c r="D156" s="2"/>
      <c r="E156" s="2"/>
      <c r="F156" s="2"/>
      <c r="G156" s="2"/>
      <c r="I156" s="2"/>
    </row>
    <row r="157" spans="1:9" ht="12" customHeight="1" x14ac:dyDescent="0.15">
      <c r="A157" s="3"/>
      <c r="B157" s="2"/>
      <c r="C157" s="2"/>
      <c r="D157" s="2"/>
      <c r="E157" s="2"/>
      <c r="F157" s="2"/>
      <c r="G157" s="2"/>
      <c r="I157" s="2"/>
    </row>
    <row r="158" spans="1:9" ht="12" customHeight="1" x14ac:dyDescent="0.15">
      <c r="A158" s="3"/>
      <c r="B158" s="2"/>
      <c r="C158" s="2"/>
      <c r="D158" s="2"/>
      <c r="E158" s="2"/>
      <c r="F158" s="2"/>
      <c r="G158" s="2"/>
      <c r="I158" s="2"/>
    </row>
    <row r="159" spans="1:9" ht="12" customHeight="1" x14ac:dyDescent="0.15">
      <c r="A159" s="3"/>
      <c r="B159" s="2"/>
      <c r="C159" s="2"/>
      <c r="D159" s="2"/>
      <c r="E159" s="2"/>
      <c r="F159" s="2"/>
      <c r="G159" s="2"/>
      <c r="I159" s="2"/>
    </row>
    <row r="160" spans="1:9" ht="12" customHeight="1" x14ac:dyDescent="0.15">
      <c r="A160" s="3"/>
      <c r="B160" s="2"/>
      <c r="C160" s="2"/>
      <c r="D160" s="2"/>
      <c r="E160" s="2"/>
      <c r="F160" s="2"/>
      <c r="G160" s="2"/>
      <c r="I160" s="2"/>
    </row>
    <row r="161" spans="1:9" ht="12" customHeight="1" x14ac:dyDescent="0.15">
      <c r="A161" s="3"/>
      <c r="B161" s="2"/>
      <c r="C161" s="2"/>
      <c r="D161" s="2"/>
      <c r="E161" s="2"/>
      <c r="F161" s="2"/>
      <c r="G161" s="2"/>
      <c r="I161" s="2"/>
    </row>
    <row r="162" spans="1:9" ht="12" customHeight="1" x14ac:dyDescent="0.15">
      <c r="A162" s="3"/>
      <c r="B162" s="2"/>
      <c r="C162" s="2"/>
      <c r="D162" s="2"/>
      <c r="E162" s="2"/>
      <c r="F162" s="2"/>
      <c r="G162" s="2"/>
      <c r="I162" s="2"/>
    </row>
    <row r="163" spans="1:9" ht="12" customHeight="1" x14ac:dyDescent="0.15">
      <c r="A163" s="3"/>
      <c r="B163" s="2"/>
      <c r="C163" s="2"/>
      <c r="D163" s="2"/>
      <c r="E163" s="2"/>
      <c r="F163" s="2"/>
      <c r="G163" s="2"/>
      <c r="I163" s="2"/>
    </row>
    <row r="164" spans="1:9" ht="12" customHeight="1" x14ac:dyDescent="0.15">
      <c r="A164" s="3"/>
      <c r="B164" s="2"/>
      <c r="C164" s="2"/>
      <c r="D164" s="2"/>
      <c r="E164" s="2"/>
      <c r="F164" s="2"/>
      <c r="G164" s="2"/>
      <c r="I164" s="2"/>
    </row>
    <row r="165" spans="1:9" ht="12" customHeight="1" x14ac:dyDescent="0.15">
      <c r="A165" s="3"/>
      <c r="B165" s="2"/>
      <c r="C165" s="2"/>
      <c r="D165" s="2"/>
      <c r="E165" s="2"/>
      <c r="F165" s="2"/>
      <c r="G165" s="2"/>
      <c r="I165" s="2"/>
    </row>
    <row r="166" spans="1:9" ht="12" customHeight="1" x14ac:dyDescent="0.15">
      <c r="A166" s="3"/>
      <c r="B166" s="2"/>
      <c r="C166" s="2"/>
      <c r="D166" s="2"/>
      <c r="E166" s="2"/>
      <c r="F166" s="2"/>
      <c r="G166" s="2"/>
      <c r="I166" s="2"/>
    </row>
    <row r="167" spans="1:9" ht="12" customHeight="1" x14ac:dyDescent="0.15">
      <c r="A167" s="3"/>
      <c r="B167" s="2"/>
      <c r="C167" s="2"/>
      <c r="D167" s="2"/>
      <c r="E167" s="2"/>
      <c r="F167" s="2"/>
      <c r="G167" s="2"/>
      <c r="I167" s="2"/>
    </row>
    <row r="168" spans="1:9" ht="12" customHeight="1" x14ac:dyDescent="0.15">
      <c r="A168" s="3"/>
      <c r="B168" s="2"/>
      <c r="C168" s="2"/>
      <c r="D168" s="2"/>
      <c r="E168" s="2"/>
      <c r="F168" s="2"/>
      <c r="G168" s="2"/>
      <c r="I168" s="2"/>
    </row>
    <row r="169" spans="1:9" ht="12" customHeight="1" x14ac:dyDescent="0.15">
      <c r="A169" s="3"/>
      <c r="B169" s="2"/>
      <c r="C169" s="2"/>
      <c r="D169" s="2"/>
      <c r="E169" s="2"/>
      <c r="F169" s="2"/>
      <c r="G169" s="2"/>
      <c r="I169" s="2"/>
    </row>
    <row r="170" spans="1:9" ht="12" customHeight="1" x14ac:dyDescent="0.15">
      <c r="A170" s="3"/>
      <c r="B170" s="2"/>
      <c r="C170" s="2"/>
      <c r="D170" s="2"/>
      <c r="E170" s="2"/>
      <c r="F170" s="2"/>
      <c r="G170" s="2"/>
      <c r="I170" s="2"/>
    </row>
    <row r="171" spans="1:9" ht="12" customHeight="1" x14ac:dyDescent="0.15">
      <c r="A171" s="3"/>
      <c r="B171" s="2"/>
      <c r="C171" s="2"/>
      <c r="D171" s="2"/>
      <c r="E171" s="2"/>
      <c r="F171" s="2"/>
      <c r="G171" s="2"/>
      <c r="I171" s="2"/>
    </row>
    <row r="172" spans="1:9" ht="12" customHeight="1" x14ac:dyDescent="0.15">
      <c r="A172" s="3"/>
      <c r="B172" s="2"/>
      <c r="C172" s="2"/>
      <c r="D172" s="2"/>
      <c r="E172" s="2"/>
      <c r="F172" s="2"/>
      <c r="G172" s="2"/>
      <c r="I172" s="2"/>
    </row>
    <row r="173" spans="1:9" ht="12" customHeight="1" x14ac:dyDescent="0.15">
      <c r="A173" s="3"/>
      <c r="B173" s="2"/>
      <c r="C173" s="2"/>
      <c r="D173" s="2"/>
      <c r="E173" s="2"/>
      <c r="F173" s="2"/>
      <c r="G173" s="2"/>
      <c r="I173" s="2"/>
    </row>
    <row r="174" spans="1:9" ht="12" customHeight="1" x14ac:dyDescent="0.15">
      <c r="A174" s="3"/>
      <c r="B174" s="2"/>
      <c r="C174" s="2"/>
      <c r="D174" s="2"/>
      <c r="E174" s="2"/>
      <c r="F174" s="2"/>
      <c r="G174" s="2"/>
      <c r="I174" s="2"/>
    </row>
    <row r="175" spans="1:9" ht="12" customHeight="1" x14ac:dyDescent="0.15">
      <c r="A175" s="3"/>
      <c r="B175" s="2"/>
      <c r="C175" s="2"/>
      <c r="D175" s="2"/>
      <c r="E175" s="2"/>
      <c r="F175" s="2"/>
      <c r="G175" s="2"/>
      <c r="I175" s="2"/>
    </row>
    <row r="176" spans="1:9" ht="12" customHeight="1" x14ac:dyDescent="0.15">
      <c r="A176" s="3"/>
      <c r="B176" s="2"/>
      <c r="C176" s="2"/>
      <c r="D176" s="2"/>
      <c r="E176" s="2"/>
      <c r="F176" s="2"/>
      <c r="G176" s="2"/>
      <c r="I176" s="2"/>
    </row>
    <row r="177" spans="1:9" ht="12" customHeight="1" x14ac:dyDescent="0.15">
      <c r="A177" s="3"/>
      <c r="B177" s="2"/>
      <c r="C177" s="2"/>
      <c r="D177" s="2"/>
      <c r="E177" s="2"/>
      <c r="F177" s="2"/>
      <c r="G177" s="2"/>
      <c r="I177" s="2"/>
    </row>
    <row r="178" spans="1:9" ht="12" customHeight="1" x14ac:dyDescent="0.15">
      <c r="A178" s="3"/>
      <c r="B178" s="2"/>
      <c r="C178" s="2"/>
      <c r="D178" s="2"/>
      <c r="E178" s="2"/>
      <c r="F178" s="2"/>
      <c r="G178" s="2"/>
      <c r="I178" s="2"/>
    </row>
    <row r="179" spans="1:9" ht="12" customHeight="1" x14ac:dyDescent="0.15">
      <c r="A179" s="3"/>
      <c r="B179" s="2"/>
      <c r="C179" s="2"/>
      <c r="D179" s="2"/>
      <c r="E179" s="2"/>
      <c r="F179" s="2"/>
      <c r="G179" s="2"/>
      <c r="I179" s="2"/>
    </row>
    <row r="180" spans="1:9" ht="12" customHeight="1" x14ac:dyDescent="0.15">
      <c r="A180" s="3"/>
      <c r="B180" s="2"/>
      <c r="C180" s="2"/>
      <c r="D180" s="2"/>
      <c r="E180" s="2"/>
      <c r="F180" s="2"/>
      <c r="G180" s="2"/>
      <c r="I180" s="2"/>
    </row>
    <row r="181" spans="1:9" ht="12" customHeight="1" x14ac:dyDescent="0.15">
      <c r="A181" s="3"/>
      <c r="B181" s="2"/>
      <c r="C181" s="2"/>
      <c r="D181" s="2"/>
      <c r="E181" s="2"/>
      <c r="F181" s="2"/>
      <c r="G181" s="2"/>
      <c r="I181" s="2"/>
    </row>
    <row r="182" spans="1:9" ht="12" customHeight="1" x14ac:dyDescent="0.15">
      <c r="A182" s="3"/>
      <c r="B182" s="2"/>
      <c r="C182" s="2"/>
      <c r="D182" s="2"/>
      <c r="E182" s="2"/>
      <c r="F182" s="2"/>
      <c r="G182" s="2"/>
      <c r="I182" s="2"/>
    </row>
    <row r="183" spans="1:9" ht="12" customHeight="1" x14ac:dyDescent="0.15">
      <c r="A183" s="3"/>
      <c r="B183" s="2"/>
      <c r="C183" s="2"/>
      <c r="D183" s="2"/>
      <c r="E183" s="2"/>
      <c r="F183" s="2"/>
      <c r="G183" s="2"/>
      <c r="I183" s="2"/>
    </row>
    <row r="184" spans="1:9" ht="12" customHeight="1" x14ac:dyDescent="0.15">
      <c r="A184" s="3"/>
      <c r="B184" s="2"/>
      <c r="C184" s="2"/>
      <c r="D184" s="2"/>
      <c r="E184" s="2"/>
      <c r="F184" s="2"/>
      <c r="G184" s="2"/>
      <c r="I184" s="2"/>
    </row>
    <row r="185" spans="1:9" ht="12" customHeight="1" x14ac:dyDescent="0.15">
      <c r="A185" s="3"/>
      <c r="B185" s="2"/>
      <c r="C185" s="2"/>
      <c r="D185" s="2"/>
      <c r="E185" s="2"/>
      <c r="F185" s="2"/>
      <c r="G185" s="2"/>
      <c r="I185" s="2"/>
    </row>
    <row r="186" spans="1:9" ht="12" customHeight="1" x14ac:dyDescent="0.15">
      <c r="A186" s="3"/>
      <c r="B186" s="2"/>
      <c r="C186" s="2"/>
      <c r="D186" s="2"/>
      <c r="E186" s="2"/>
      <c r="F186" s="2"/>
      <c r="G186" s="2"/>
      <c r="I186" s="2"/>
    </row>
    <row r="187" spans="1:9" ht="12" customHeight="1" x14ac:dyDescent="0.15">
      <c r="A187" s="3"/>
      <c r="B187" s="2"/>
      <c r="C187" s="2"/>
      <c r="D187" s="2"/>
      <c r="E187" s="2"/>
      <c r="F187" s="2"/>
      <c r="G187" s="2"/>
      <c r="I187" s="2"/>
    </row>
    <row r="188" spans="1:9" ht="12" customHeight="1" x14ac:dyDescent="0.15">
      <c r="A188" s="3"/>
      <c r="B188" s="2"/>
      <c r="C188" s="2"/>
      <c r="D188" s="2"/>
      <c r="E188" s="2"/>
      <c r="F188" s="2"/>
      <c r="G188" s="2"/>
      <c r="I188" s="2"/>
    </row>
    <row r="189" spans="1:9" ht="12" customHeight="1" x14ac:dyDescent="0.15">
      <c r="A189" s="3"/>
      <c r="B189" s="2"/>
      <c r="C189" s="2"/>
      <c r="D189" s="2"/>
      <c r="E189" s="2"/>
      <c r="F189" s="2"/>
      <c r="G189" s="2"/>
      <c r="I189" s="2"/>
    </row>
    <row r="190" spans="1:9" ht="12" customHeight="1" x14ac:dyDescent="0.15">
      <c r="A190" s="3"/>
      <c r="B190" s="2"/>
      <c r="C190" s="2"/>
      <c r="D190" s="2"/>
      <c r="E190" s="2"/>
      <c r="F190" s="2"/>
      <c r="G190" s="2"/>
      <c r="I190" s="2"/>
    </row>
    <row r="191" spans="1:9" ht="12" customHeight="1" x14ac:dyDescent="0.15">
      <c r="A191" s="3"/>
      <c r="B191" s="2"/>
      <c r="C191" s="2"/>
      <c r="D191" s="2"/>
      <c r="E191" s="2"/>
      <c r="F191" s="2"/>
      <c r="G191" s="2"/>
      <c r="I191" s="2"/>
    </row>
    <row r="192" spans="1:9" ht="12" customHeight="1" x14ac:dyDescent="0.15">
      <c r="A192" s="3"/>
      <c r="B192" s="2"/>
      <c r="C192" s="2"/>
      <c r="D192" s="2"/>
      <c r="E192" s="2"/>
      <c r="F192" s="2"/>
      <c r="G192" s="2"/>
      <c r="I192" s="2"/>
    </row>
    <row r="193" spans="1:9" ht="12" customHeight="1" x14ac:dyDescent="0.15">
      <c r="A193" s="3"/>
      <c r="B193" s="2"/>
      <c r="C193" s="2"/>
      <c r="D193" s="2"/>
      <c r="E193" s="2"/>
      <c r="F193" s="2"/>
      <c r="G193" s="2"/>
      <c r="I193" s="2"/>
    </row>
    <row r="194" spans="1:9" ht="12" customHeight="1" x14ac:dyDescent="0.15">
      <c r="A194" s="3"/>
      <c r="B194" s="2"/>
      <c r="C194" s="2"/>
      <c r="D194" s="2"/>
      <c r="E194" s="2"/>
      <c r="F194" s="2"/>
      <c r="G194" s="2"/>
      <c r="I194" s="2"/>
    </row>
    <row r="195" spans="1:9" ht="12" customHeight="1" x14ac:dyDescent="0.15">
      <c r="A195" s="3"/>
      <c r="B195" s="2"/>
      <c r="C195" s="2"/>
      <c r="D195" s="2"/>
      <c r="E195" s="2"/>
      <c r="F195" s="2"/>
      <c r="G195" s="2"/>
      <c r="I195" s="2"/>
    </row>
    <row r="196" spans="1:9" ht="12" customHeight="1" x14ac:dyDescent="0.15">
      <c r="A196" s="3"/>
      <c r="B196" s="2"/>
      <c r="C196" s="2"/>
      <c r="D196" s="2"/>
      <c r="E196" s="2"/>
      <c r="F196" s="2"/>
      <c r="G196" s="2"/>
      <c r="I196" s="2"/>
    </row>
    <row r="197" spans="1:9" ht="12" customHeight="1" x14ac:dyDescent="0.15">
      <c r="A197" s="3"/>
      <c r="B197" s="2"/>
      <c r="C197" s="2"/>
      <c r="D197" s="2"/>
      <c r="E197" s="2"/>
      <c r="F197" s="2"/>
      <c r="G197" s="2"/>
      <c r="I197" s="2"/>
    </row>
    <row r="198" spans="1:9" ht="12" customHeight="1" x14ac:dyDescent="0.15">
      <c r="A198" s="3"/>
      <c r="B198" s="2"/>
      <c r="C198" s="2"/>
      <c r="D198" s="2"/>
      <c r="E198" s="2"/>
      <c r="F198" s="2"/>
      <c r="G198" s="2"/>
      <c r="I198" s="2"/>
    </row>
    <row r="199" spans="1:9" ht="12" customHeight="1" x14ac:dyDescent="0.15">
      <c r="A199" s="3"/>
      <c r="B199" s="2"/>
      <c r="C199" s="2"/>
      <c r="D199" s="2"/>
      <c r="E199" s="2"/>
      <c r="F199" s="2"/>
      <c r="G199" s="2"/>
      <c r="I199" s="2"/>
    </row>
    <row r="200" spans="1:9" ht="12" customHeight="1" x14ac:dyDescent="0.15">
      <c r="A200" s="3"/>
      <c r="B200" s="2"/>
      <c r="C200" s="2"/>
      <c r="D200" s="2"/>
      <c r="E200" s="2"/>
      <c r="F200" s="2"/>
      <c r="G200" s="2"/>
      <c r="I200" s="2"/>
    </row>
    <row r="201" spans="1:9" ht="12" customHeight="1" x14ac:dyDescent="0.15">
      <c r="A201" s="3"/>
      <c r="B201" s="2"/>
      <c r="C201" s="2"/>
      <c r="D201" s="2"/>
      <c r="E201" s="2"/>
      <c r="F201" s="2"/>
      <c r="G201" s="2"/>
      <c r="I201" s="2"/>
    </row>
    <row r="202" spans="1:9" ht="12" customHeight="1" x14ac:dyDescent="0.15">
      <c r="A202" s="3"/>
      <c r="B202" s="2"/>
      <c r="C202" s="2"/>
      <c r="D202" s="2"/>
      <c r="E202" s="2"/>
      <c r="F202" s="2"/>
      <c r="G202" s="2"/>
      <c r="I202" s="2"/>
    </row>
    <row r="203" spans="1:9" ht="12" customHeight="1" x14ac:dyDescent="0.15">
      <c r="A203" s="3"/>
      <c r="B203" s="2"/>
      <c r="C203" s="2"/>
      <c r="D203" s="2"/>
      <c r="E203" s="2"/>
      <c r="F203" s="2"/>
      <c r="G203" s="2"/>
      <c r="I203" s="2"/>
    </row>
    <row r="204" spans="1:9" ht="12" customHeight="1" x14ac:dyDescent="0.15">
      <c r="A204" s="3"/>
      <c r="B204" s="2"/>
      <c r="C204" s="2"/>
      <c r="D204" s="2"/>
      <c r="E204" s="2"/>
      <c r="F204" s="2"/>
      <c r="G204" s="2"/>
      <c r="I204" s="2"/>
    </row>
    <row r="205" spans="1:9" ht="12" customHeight="1" x14ac:dyDescent="0.15">
      <c r="A205" s="3"/>
      <c r="B205" s="2"/>
      <c r="C205" s="2"/>
      <c r="D205" s="2"/>
      <c r="E205" s="2"/>
      <c r="F205" s="2"/>
      <c r="G205" s="2"/>
      <c r="I205" s="2"/>
    </row>
    <row r="206" spans="1:9" ht="12" customHeight="1" x14ac:dyDescent="0.15">
      <c r="A206" s="3"/>
      <c r="B206" s="2"/>
      <c r="C206" s="2"/>
      <c r="D206" s="2"/>
      <c r="E206" s="2"/>
      <c r="F206" s="2"/>
      <c r="G206" s="2"/>
      <c r="I206" s="2"/>
    </row>
    <row r="207" spans="1:9" ht="12" customHeight="1" x14ac:dyDescent="0.15">
      <c r="A207" s="3"/>
      <c r="B207" s="2"/>
      <c r="C207" s="2"/>
      <c r="D207" s="2"/>
      <c r="E207" s="2"/>
      <c r="F207" s="2"/>
      <c r="G207" s="2"/>
      <c r="I207" s="2"/>
    </row>
    <row r="208" spans="1:9" ht="12" customHeight="1" x14ac:dyDescent="0.15">
      <c r="A208" s="3"/>
      <c r="B208" s="2"/>
      <c r="C208" s="2"/>
      <c r="D208" s="2"/>
      <c r="E208" s="2"/>
      <c r="F208" s="2"/>
      <c r="G208" s="2"/>
      <c r="I208" s="2"/>
    </row>
    <row r="209" spans="1:9" ht="12" customHeight="1" x14ac:dyDescent="0.15">
      <c r="A209" s="3"/>
      <c r="B209" s="2"/>
      <c r="C209" s="2"/>
      <c r="D209" s="2"/>
      <c r="E209" s="2"/>
      <c r="F209" s="2"/>
      <c r="G209" s="2"/>
      <c r="I209" s="2"/>
    </row>
    <row r="210" spans="1:9" ht="12" customHeight="1" x14ac:dyDescent="0.15">
      <c r="A210" s="3"/>
      <c r="B210" s="2"/>
      <c r="C210" s="2"/>
      <c r="D210" s="2"/>
      <c r="E210" s="2"/>
      <c r="F210" s="2"/>
      <c r="G210" s="2"/>
      <c r="I210" s="2"/>
    </row>
    <row r="211" spans="1:9" ht="12" customHeight="1" x14ac:dyDescent="0.15">
      <c r="A211" s="3"/>
      <c r="B211" s="2"/>
      <c r="C211" s="2"/>
      <c r="D211" s="2"/>
      <c r="E211" s="2"/>
      <c r="F211" s="2"/>
      <c r="G211" s="2"/>
      <c r="I211" s="2"/>
    </row>
    <row r="212" spans="1:9" ht="12" customHeight="1" x14ac:dyDescent="0.15">
      <c r="A212" s="3"/>
      <c r="B212" s="2"/>
      <c r="C212" s="2"/>
      <c r="D212" s="2"/>
      <c r="E212" s="2"/>
      <c r="F212" s="2"/>
      <c r="G212" s="2"/>
      <c r="I212" s="2"/>
    </row>
    <row r="213" spans="1:9" ht="12" customHeight="1" x14ac:dyDescent="0.15">
      <c r="A213" s="3"/>
      <c r="B213" s="2"/>
      <c r="C213" s="2"/>
      <c r="D213" s="2"/>
      <c r="E213" s="2"/>
      <c r="F213" s="2"/>
      <c r="G213" s="2"/>
      <c r="I213" s="2"/>
    </row>
    <row r="214" spans="1:9" ht="12" customHeight="1" x14ac:dyDescent="0.15">
      <c r="A214" s="3"/>
      <c r="B214" s="2"/>
      <c r="C214" s="2"/>
      <c r="D214" s="2"/>
      <c r="E214" s="2"/>
      <c r="F214" s="2"/>
      <c r="G214" s="2"/>
      <c r="I214" s="2"/>
    </row>
    <row r="215" spans="1:9" ht="12" customHeight="1" x14ac:dyDescent="0.15">
      <c r="A215" s="3"/>
      <c r="B215" s="2"/>
      <c r="C215" s="2"/>
      <c r="D215" s="2"/>
      <c r="E215" s="2"/>
      <c r="F215" s="2"/>
      <c r="G215" s="2"/>
      <c r="I215" s="2"/>
    </row>
    <row r="216" spans="1:9" ht="12" customHeight="1" x14ac:dyDescent="0.15">
      <c r="A216" s="3"/>
      <c r="B216" s="2"/>
      <c r="C216" s="2"/>
      <c r="D216" s="2"/>
      <c r="E216" s="2"/>
      <c r="F216" s="2"/>
      <c r="G216" s="2"/>
      <c r="I216" s="2"/>
    </row>
    <row r="217" spans="1:9" ht="12" customHeight="1" x14ac:dyDescent="0.15">
      <c r="A217" s="3"/>
      <c r="B217" s="2"/>
      <c r="C217" s="2"/>
      <c r="D217" s="2"/>
      <c r="E217" s="2"/>
      <c r="F217" s="2"/>
      <c r="G217" s="2"/>
      <c r="I217" s="2"/>
    </row>
    <row r="218" spans="1:9" ht="12" customHeight="1" x14ac:dyDescent="0.15">
      <c r="A218" s="3"/>
      <c r="B218" s="2"/>
      <c r="C218" s="2"/>
      <c r="D218" s="2"/>
      <c r="E218" s="2"/>
      <c r="F218" s="2"/>
      <c r="G218" s="2"/>
      <c r="I218" s="2"/>
    </row>
    <row r="219" spans="1:9" ht="12" customHeight="1" x14ac:dyDescent="0.15">
      <c r="A219" s="3"/>
      <c r="B219" s="2"/>
      <c r="C219" s="2"/>
      <c r="D219" s="2"/>
      <c r="E219" s="2"/>
      <c r="F219" s="2"/>
      <c r="G219" s="2"/>
      <c r="I219" s="2"/>
    </row>
    <row r="220" spans="1:9" ht="12" customHeight="1" x14ac:dyDescent="0.15">
      <c r="A220" s="3"/>
      <c r="B220" s="2"/>
      <c r="C220" s="2"/>
      <c r="D220" s="2"/>
      <c r="E220" s="2"/>
      <c r="F220" s="2"/>
      <c r="G220" s="2"/>
      <c r="I220" s="2"/>
    </row>
    <row r="221" spans="1:9" ht="12" customHeight="1" x14ac:dyDescent="0.15">
      <c r="A221" s="3"/>
      <c r="B221" s="2"/>
      <c r="C221" s="2"/>
      <c r="D221" s="2"/>
      <c r="E221" s="2"/>
      <c r="F221" s="2"/>
      <c r="G221" s="2"/>
      <c r="I221" s="2"/>
    </row>
    <row r="222" spans="1:9" ht="12" customHeight="1" x14ac:dyDescent="0.15">
      <c r="A222" s="3"/>
      <c r="B222" s="2"/>
      <c r="C222" s="2"/>
      <c r="D222" s="2"/>
      <c r="E222" s="2"/>
      <c r="F222" s="2"/>
      <c r="G222" s="2"/>
      <c r="I222" s="2"/>
    </row>
    <row r="223" spans="1:9" ht="12" customHeight="1" x14ac:dyDescent="0.15">
      <c r="A223" s="3"/>
      <c r="B223" s="2"/>
      <c r="C223" s="2"/>
      <c r="D223" s="2"/>
      <c r="E223" s="2"/>
      <c r="F223" s="2"/>
      <c r="G223" s="2"/>
      <c r="I223" s="2"/>
    </row>
    <row r="224" spans="1:9" ht="12" customHeight="1" x14ac:dyDescent="0.15">
      <c r="A224" s="3"/>
      <c r="B224" s="2"/>
      <c r="C224" s="2"/>
      <c r="D224" s="2"/>
      <c r="E224" s="2"/>
      <c r="F224" s="2"/>
      <c r="G224" s="2"/>
      <c r="I224" s="2"/>
    </row>
    <row r="225" spans="1:9" ht="12" customHeight="1" x14ac:dyDescent="0.15">
      <c r="A225" s="3"/>
      <c r="B225" s="2"/>
      <c r="C225" s="2"/>
      <c r="D225" s="2"/>
      <c r="E225" s="2"/>
      <c r="F225" s="2"/>
      <c r="G225" s="2"/>
      <c r="I225" s="2"/>
    </row>
    <row r="226" spans="1:9" ht="12" customHeight="1" x14ac:dyDescent="0.15">
      <c r="A226" s="3"/>
      <c r="B226" s="2"/>
      <c r="C226" s="2"/>
      <c r="D226" s="2"/>
      <c r="E226" s="2"/>
      <c r="F226" s="2"/>
      <c r="G226" s="2"/>
      <c r="I226" s="2"/>
    </row>
    <row r="227" spans="1:9" ht="12" customHeight="1" x14ac:dyDescent="0.15">
      <c r="A227" s="3"/>
      <c r="B227" s="2"/>
      <c r="C227" s="2"/>
      <c r="D227" s="2"/>
      <c r="E227" s="2"/>
      <c r="F227" s="2"/>
      <c r="G227" s="2"/>
      <c r="I227" s="2"/>
    </row>
    <row r="228" spans="1:9" ht="12" customHeight="1" x14ac:dyDescent="0.15">
      <c r="A228" s="3"/>
      <c r="B228" s="2"/>
      <c r="C228" s="2"/>
      <c r="D228" s="2"/>
      <c r="E228" s="2"/>
      <c r="F228" s="2"/>
      <c r="G228" s="2"/>
      <c r="I228" s="2"/>
    </row>
    <row r="229" spans="1:9" ht="12" customHeight="1" x14ac:dyDescent="0.15">
      <c r="A229" s="3"/>
      <c r="B229" s="2"/>
      <c r="C229" s="2"/>
      <c r="D229" s="2"/>
      <c r="E229" s="2"/>
      <c r="F229" s="2"/>
      <c r="G229" s="2"/>
      <c r="I229" s="2"/>
    </row>
    <row r="230" spans="1:9" ht="12" customHeight="1" x14ac:dyDescent="0.15">
      <c r="A230" s="3"/>
      <c r="B230" s="2"/>
      <c r="C230" s="2"/>
      <c r="D230" s="2"/>
      <c r="E230" s="2"/>
      <c r="F230" s="2"/>
      <c r="G230" s="2"/>
      <c r="I230" s="2"/>
    </row>
    <row r="231" spans="1:9" ht="12" customHeight="1" x14ac:dyDescent="0.15">
      <c r="A231" s="3"/>
      <c r="B231" s="2"/>
      <c r="C231" s="2"/>
      <c r="D231" s="2"/>
      <c r="E231" s="2"/>
      <c r="F231" s="2"/>
      <c r="G231" s="2"/>
      <c r="I231" s="2"/>
    </row>
    <row r="232" spans="1:9" ht="12" customHeight="1" x14ac:dyDescent="0.15">
      <c r="A232" s="3"/>
      <c r="B232" s="2"/>
      <c r="C232" s="2"/>
      <c r="D232" s="2"/>
      <c r="E232" s="2"/>
      <c r="F232" s="2"/>
      <c r="G232" s="2"/>
      <c r="I232" s="2"/>
    </row>
    <row r="233" spans="1:9" ht="12" customHeight="1" x14ac:dyDescent="0.15">
      <c r="A233" s="3"/>
      <c r="B233" s="2"/>
      <c r="C233" s="2"/>
      <c r="D233" s="2"/>
      <c r="E233" s="2"/>
      <c r="F233" s="2"/>
      <c r="G233" s="2"/>
      <c r="I233" s="2"/>
    </row>
    <row r="234" spans="1:9" ht="12" customHeight="1" x14ac:dyDescent="0.15">
      <c r="A234" s="3"/>
      <c r="B234" s="2"/>
      <c r="C234" s="2"/>
      <c r="D234" s="2"/>
      <c r="E234" s="2"/>
      <c r="F234" s="2"/>
      <c r="G234" s="2"/>
      <c r="I234" s="2"/>
    </row>
    <row r="235" spans="1:9" ht="12" customHeight="1" x14ac:dyDescent="0.15">
      <c r="A235" s="3"/>
      <c r="B235" s="2"/>
      <c r="C235" s="2"/>
      <c r="D235" s="2"/>
      <c r="E235" s="2"/>
      <c r="F235" s="2"/>
      <c r="G235" s="2"/>
      <c r="I235" s="2"/>
    </row>
    <row r="236" spans="1:9" ht="12" customHeight="1" x14ac:dyDescent="0.15">
      <c r="A236" s="3"/>
      <c r="B236" s="2"/>
      <c r="C236" s="2"/>
      <c r="D236" s="2"/>
      <c r="E236" s="2"/>
      <c r="F236" s="2"/>
      <c r="G236" s="2"/>
      <c r="I236" s="2"/>
    </row>
    <row r="237" spans="1:9" ht="12" customHeight="1" x14ac:dyDescent="0.15">
      <c r="A237" s="3"/>
      <c r="B237" s="2"/>
      <c r="C237" s="2"/>
      <c r="D237" s="2"/>
      <c r="E237" s="2"/>
      <c r="F237" s="2"/>
      <c r="G237" s="2"/>
      <c r="I237" s="2"/>
    </row>
    <row r="238" spans="1:9" ht="12" customHeight="1" x14ac:dyDescent="0.15">
      <c r="A238" s="3"/>
      <c r="B238" s="2"/>
      <c r="C238" s="2"/>
      <c r="D238" s="2"/>
      <c r="E238" s="2"/>
      <c r="F238" s="2"/>
      <c r="G238" s="2"/>
      <c r="I238" s="2"/>
    </row>
    <row r="239" spans="1:9" ht="12" customHeight="1" x14ac:dyDescent="0.15">
      <c r="A239" s="3"/>
      <c r="B239" s="2"/>
      <c r="C239" s="2"/>
      <c r="D239" s="2"/>
      <c r="E239" s="2"/>
      <c r="F239" s="2"/>
      <c r="G239" s="2"/>
      <c r="I239" s="2"/>
    </row>
    <row r="240" spans="1:9" ht="12" customHeight="1" x14ac:dyDescent="0.15">
      <c r="A240" s="3"/>
      <c r="B240" s="2"/>
      <c r="C240" s="2"/>
      <c r="D240" s="2"/>
      <c r="E240" s="2"/>
      <c r="F240" s="2"/>
      <c r="G240" s="2"/>
      <c r="I240" s="2"/>
    </row>
    <row r="241" spans="1:9" ht="12" customHeight="1" x14ac:dyDescent="0.15">
      <c r="A241" s="3"/>
      <c r="B241" s="2"/>
      <c r="C241" s="2"/>
      <c r="D241" s="2"/>
      <c r="E241" s="2"/>
      <c r="F241" s="2"/>
      <c r="G241" s="2"/>
      <c r="I241" s="2"/>
    </row>
    <row r="242" spans="1:9" ht="12" customHeight="1" x14ac:dyDescent="0.15">
      <c r="A242" s="3"/>
      <c r="B242" s="2"/>
      <c r="C242" s="2"/>
      <c r="D242" s="2"/>
      <c r="E242" s="2"/>
      <c r="F242" s="2"/>
      <c r="G242" s="2"/>
      <c r="I242" s="2"/>
    </row>
    <row r="243" spans="1:9" ht="12" customHeight="1" x14ac:dyDescent="0.15">
      <c r="A243" s="3"/>
      <c r="B243" s="2"/>
      <c r="C243" s="2"/>
      <c r="D243" s="2"/>
      <c r="E243" s="2"/>
      <c r="F243" s="2"/>
      <c r="G243" s="2"/>
      <c r="I243" s="2"/>
    </row>
    <row r="244" spans="1:9" ht="12" customHeight="1" x14ac:dyDescent="0.15">
      <c r="A244" s="3"/>
      <c r="B244" s="2"/>
      <c r="C244" s="2"/>
      <c r="D244" s="2"/>
      <c r="E244" s="2"/>
      <c r="F244" s="2"/>
      <c r="G244" s="2"/>
      <c r="I244" s="2"/>
    </row>
    <row r="245" spans="1:9" ht="12" customHeight="1" x14ac:dyDescent="0.15">
      <c r="A245" s="3"/>
      <c r="B245" s="2"/>
      <c r="C245" s="2"/>
      <c r="D245" s="2"/>
      <c r="E245" s="2"/>
      <c r="F245" s="2"/>
      <c r="G245" s="2"/>
      <c r="I245" s="2"/>
    </row>
    <row r="246" spans="1:9" ht="12" customHeight="1" x14ac:dyDescent="0.15">
      <c r="A246" s="3"/>
      <c r="B246" s="2"/>
      <c r="C246" s="2"/>
      <c r="D246" s="2"/>
      <c r="E246" s="2"/>
      <c r="F246" s="2"/>
      <c r="G246" s="2"/>
      <c r="I246" s="2"/>
    </row>
    <row r="247" spans="1:9" ht="12" customHeight="1" x14ac:dyDescent="0.15">
      <c r="A247" s="3"/>
      <c r="B247" s="2"/>
      <c r="C247" s="2"/>
      <c r="D247" s="2"/>
      <c r="E247" s="2"/>
      <c r="F247" s="2"/>
      <c r="G247" s="2"/>
      <c r="I247" s="2"/>
    </row>
    <row r="248" spans="1:9" ht="12" customHeight="1" x14ac:dyDescent="0.15">
      <c r="A248" s="3"/>
      <c r="B248" s="2"/>
      <c r="C248" s="2"/>
      <c r="D248" s="2"/>
      <c r="E248" s="2"/>
      <c r="F248" s="2"/>
      <c r="G248" s="2"/>
      <c r="I248" s="2"/>
    </row>
    <row r="249" spans="1:9" ht="12" customHeight="1" x14ac:dyDescent="0.15">
      <c r="A249" s="3"/>
      <c r="B249" s="2"/>
      <c r="C249" s="2"/>
      <c r="D249" s="2"/>
      <c r="E249" s="2"/>
      <c r="F249" s="2"/>
      <c r="G249" s="2"/>
      <c r="I249" s="2"/>
    </row>
    <row r="250" spans="1:9" ht="12" customHeight="1" x14ac:dyDescent="0.15">
      <c r="A250" s="3"/>
      <c r="B250" s="2"/>
      <c r="C250" s="2"/>
      <c r="D250" s="2"/>
      <c r="E250" s="2"/>
      <c r="F250" s="2"/>
      <c r="G250" s="2"/>
      <c r="I250" s="2"/>
    </row>
    <row r="251" spans="1:9" ht="12" customHeight="1" x14ac:dyDescent="0.15">
      <c r="A251" s="3"/>
      <c r="B251" s="2"/>
      <c r="C251" s="2"/>
      <c r="D251" s="2"/>
      <c r="E251" s="2"/>
      <c r="F251" s="2"/>
      <c r="G251" s="2"/>
      <c r="I251" s="2"/>
    </row>
    <row r="252" spans="1:9" ht="12" customHeight="1" x14ac:dyDescent="0.15">
      <c r="A252" s="3"/>
      <c r="B252" s="2"/>
      <c r="C252" s="2"/>
      <c r="D252" s="2"/>
      <c r="E252" s="2"/>
      <c r="F252" s="2"/>
      <c r="G252" s="2"/>
      <c r="I252" s="2"/>
    </row>
    <row r="253" spans="1:9" ht="12" customHeight="1" x14ac:dyDescent="0.15">
      <c r="A253" s="3"/>
      <c r="B253" s="2"/>
      <c r="C253" s="2"/>
      <c r="D253" s="2"/>
      <c r="E253" s="2"/>
      <c r="F253" s="2"/>
      <c r="G253" s="2"/>
      <c r="I253" s="2"/>
    </row>
    <row r="254" spans="1:9" ht="12" customHeight="1" x14ac:dyDescent="0.15">
      <c r="A254" s="3"/>
      <c r="B254" s="2"/>
      <c r="C254" s="2"/>
      <c r="D254" s="2"/>
      <c r="E254" s="2"/>
      <c r="F254" s="2"/>
      <c r="G254" s="2"/>
      <c r="I254" s="2"/>
    </row>
    <row r="255" spans="1:9" ht="12" customHeight="1" x14ac:dyDescent="0.15">
      <c r="A255" s="3"/>
      <c r="B255" s="2"/>
      <c r="C255" s="2"/>
      <c r="D255" s="2"/>
      <c r="E255" s="2"/>
      <c r="F255" s="2"/>
      <c r="G255" s="2"/>
      <c r="I255" s="2"/>
    </row>
    <row r="256" spans="1:9" ht="12" customHeight="1" x14ac:dyDescent="0.15">
      <c r="A256" s="3"/>
      <c r="B256" s="2"/>
      <c r="C256" s="2"/>
      <c r="D256" s="2"/>
      <c r="E256" s="2"/>
      <c r="F256" s="2"/>
      <c r="G256" s="2"/>
      <c r="I256" s="2"/>
    </row>
    <row r="257" spans="1:9" ht="12" customHeight="1" x14ac:dyDescent="0.15">
      <c r="A257" s="3"/>
      <c r="B257" s="2"/>
      <c r="C257" s="2"/>
      <c r="D257" s="2"/>
      <c r="E257" s="2"/>
      <c r="F257" s="2"/>
      <c r="G257" s="2"/>
      <c r="I257" s="2"/>
    </row>
    <row r="258" spans="1:9" ht="12" customHeight="1" x14ac:dyDescent="0.15">
      <c r="A258" s="3"/>
      <c r="B258" s="2"/>
      <c r="C258" s="2"/>
      <c r="D258" s="2"/>
      <c r="E258" s="2"/>
      <c r="F258" s="2"/>
      <c r="G258" s="2"/>
      <c r="I258" s="2"/>
    </row>
    <row r="259" spans="1:9" ht="12" customHeight="1" x14ac:dyDescent="0.15">
      <c r="A259" s="3"/>
      <c r="B259" s="2"/>
      <c r="C259" s="2"/>
      <c r="D259" s="2"/>
      <c r="E259" s="2"/>
      <c r="F259" s="2"/>
      <c r="G259" s="2"/>
      <c r="I259" s="2"/>
    </row>
    <row r="260" spans="1:9" ht="12" customHeight="1" x14ac:dyDescent="0.15">
      <c r="A260" s="3"/>
      <c r="B260" s="2"/>
      <c r="C260" s="2"/>
      <c r="D260" s="2"/>
      <c r="E260" s="2"/>
      <c r="F260" s="2"/>
      <c r="G260" s="2"/>
      <c r="I260" s="2"/>
    </row>
    <row r="261" spans="1:9" ht="12" customHeight="1" x14ac:dyDescent="0.15">
      <c r="A261" s="3"/>
      <c r="B261" s="2"/>
      <c r="C261" s="2"/>
      <c r="D261" s="2"/>
      <c r="E261" s="2"/>
      <c r="F261" s="2"/>
      <c r="G261" s="2"/>
      <c r="I261" s="2"/>
    </row>
    <row r="262" spans="1:9" ht="12" customHeight="1" x14ac:dyDescent="0.15">
      <c r="A262" s="3"/>
      <c r="B262" s="2"/>
      <c r="C262" s="2"/>
      <c r="D262" s="2"/>
      <c r="E262" s="2"/>
      <c r="F262" s="2"/>
      <c r="G262" s="2"/>
      <c r="I262" s="2"/>
    </row>
    <row r="263" spans="1:9" ht="12" customHeight="1" x14ac:dyDescent="0.15">
      <c r="A263" s="3"/>
      <c r="B263" s="2"/>
      <c r="C263" s="2"/>
      <c r="D263" s="2"/>
      <c r="E263" s="2"/>
      <c r="F263" s="2"/>
      <c r="G263" s="2"/>
      <c r="I263" s="2"/>
    </row>
    <row r="264" spans="1:9" ht="12" customHeight="1" x14ac:dyDescent="0.15">
      <c r="A264" s="3"/>
      <c r="B264" s="2"/>
      <c r="C264" s="2"/>
      <c r="D264" s="2"/>
      <c r="E264" s="2"/>
      <c r="F264" s="2"/>
      <c r="G264" s="2"/>
      <c r="I264" s="2"/>
    </row>
    <row r="265" spans="1:9" ht="12" customHeight="1" x14ac:dyDescent="0.15">
      <c r="A265" s="3"/>
      <c r="B265" s="2"/>
      <c r="C265" s="2"/>
      <c r="D265" s="2"/>
      <c r="E265" s="2"/>
      <c r="F265" s="2"/>
      <c r="G265" s="2"/>
      <c r="I265" s="2"/>
    </row>
    <row r="266" spans="1:9" ht="12" customHeight="1" x14ac:dyDescent="0.15">
      <c r="A266" s="3"/>
      <c r="B266" s="2"/>
      <c r="C266" s="2"/>
      <c r="D266" s="2"/>
      <c r="E266" s="2"/>
      <c r="F266" s="2"/>
      <c r="G266" s="2"/>
      <c r="I266" s="2"/>
    </row>
    <row r="267" spans="1:9" ht="12" customHeight="1" x14ac:dyDescent="0.15">
      <c r="A267" s="3"/>
      <c r="B267" s="2"/>
      <c r="C267" s="2"/>
      <c r="D267" s="2"/>
      <c r="E267" s="2"/>
      <c r="F267" s="2"/>
      <c r="G267" s="2"/>
      <c r="I267" s="2"/>
    </row>
    <row r="268" spans="1:9" ht="12" customHeight="1" x14ac:dyDescent="0.15">
      <c r="A268" s="3"/>
      <c r="B268" s="2"/>
      <c r="C268" s="2"/>
      <c r="D268" s="2"/>
      <c r="E268" s="2"/>
      <c r="F268" s="2"/>
      <c r="G268" s="2"/>
      <c r="I268" s="2"/>
    </row>
    <row r="269" spans="1:9" ht="12" customHeight="1" x14ac:dyDescent="0.15">
      <c r="A269" s="3"/>
      <c r="B269" s="2"/>
      <c r="C269" s="2"/>
      <c r="D269" s="2"/>
      <c r="E269" s="2"/>
      <c r="F269" s="2"/>
      <c r="G269" s="2"/>
      <c r="I269" s="2"/>
    </row>
    <row r="270" spans="1:9" ht="12" customHeight="1" x14ac:dyDescent="0.15">
      <c r="A270" s="3"/>
      <c r="B270" s="2"/>
      <c r="C270" s="2"/>
      <c r="D270" s="2"/>
      <c r="E270" s="2"/>
      <c r="F270" s="2"/>
      <c r="G270" s="2"/>
      <c r="I270" s="2"/>
    </row>
    <row r="271" spans="1:9" ht="12" customHeight="1" x14ac:dyDescent="0.15">
      <c r="A271" s="3"/>
      <c r="B271" s="2"/>
      <c r="C271" s="2"/>
      <c r="D271" s="2"/>
      <c r="E271" s="2"/>
      <c r="F271" s="2"/>
      <c r="G271" s="2"/>
      <c r="I271" s="2"/>
    </row>
    <row r="272" spans="1:9" ht="12" customHeight="1" x14ac:dyDescent="0.15">
      <c r="A272" s="3"/>
      <c r="B272" s="2"/>
      <c r="C272" s="2"/>
      <c r="D272" s="2"/>
      <c r="E272" s="2"/>
      <c r="F272" s="2"/>
      <c r="G272" s="2"/>
      <c r="I272" s="2"/>
    </row>
    <row r="273" spans="1:9" ht="12" customHeight="1" x14ac:dyDescent="0.15">
      <c r="A273" s="3"/>
      <c r="B273" s="2"/>
      <c r="C273" s="2"/>
      <c r="D273" s="2"/>
      <c r="E273" s="2"/>
      <c r="F273" s="2"/>
      <c r="G273" s="2"/>
      <c r="I273" s="2"/>
    </row>
    <row r="274" spans="1:9" ht="12" customHeight="1" x14ac:dyDescent="0.15">
      <c r="A274" s="3"/>
      <c r="B274" s="2"/>
      <c r="C274" s="2"/>
      <c r="D274" s="2"/>
      <c r="E274" s="2"/>
      <c r="F274" s="2"/>
      <c r="G274" s="2"/>
      <c r="I274" s="2"/>
    </row>
    <row r="275" spans="1:9" ht="12" customHeight="1" x14ac:dyDescent="0.15">
      <c r="A275" s="3"/>
      <c r="B275" s="2"/>
      <c r="C275" s="2"/>
      <c r="D275" s="2"/>
      <c r="E275" s="2"/>
      <c r="F275" s="2"/>
      <c r="G275" s="2"/>
      <c r="I275" s="2"/>
    </row>
    <row r="276" spans="1:9" ht="12" customHeight="1" x14ac:dyDescent="0.15">
      <c r="A276" s="3"/>
      <c r="B276" s="2"/>
      <c r="C276" s="2"/>
      <c r="D276" s="2"/>
      <c r="E276" s="2"/>
      <c r="F276" s="2"/>
      <c r="G276" s="2"/>
      <c r="I276" s="2"/>
    </row>
    <row r="277" spans="1:9" ht="12" customHeight="1" x14ac:dyDescent="0.15">
      <c r="A277" s="3"/>
      <c r="B277" s="2"/>
      <c r="C277" s="2"/>
      <c r="D277" s="2"/>
      <c r="E277" s="2"/>
      <c r="F277" s="2"/>
      <c r="G277" s="2"/>
      <c r="I277" s="2"/>
    </row>
    <row r="278" spans="1:9" ht="12" customHeight="1" x14ac:dyDescent="0.15">
      <c r="A278" s="3"/>
      <c r="B278" s="2"/>
      <c r="C278" s="2"/>
      <c r="D278" s="2"/>
      <c r="E278" s="2"/>
      <c r="F278" s="2"/>
      <c r="G278" s="2"/>
      <c r="I278" s="2"/>
    </row>
    <row r="279" spans="1:9" ht="12" customHeight="1" x14ac:dyDescent="0.15">
      <c r="A279" s="3"/>
      <c r="B279" s="2"/>
      <c r="C279" s="2"/>
      <c r="D279" s="2"/>
      <c r="E279" s="2"/>
      <c r="F279" s="2"/>
      <c r="G279" s="2"/>
      <c r="I279" s="2"/>
    </row>
    <row r="280" spans="1:9" ht="12" customHeight="1" x14ac:dyDescent="0.15">
      <c r="A280" s="3"/>
      <c r="B280" s="2"/>
      <c r="C280" s="2"/>
      <c r="D280" s="2"/>
      <c r="E280" s="2"/>
      <c r="F280" s="2"/>
      <c r="G280" s="2"/>
      <c r="I280" s="2"/>
    </row>
    <row r="281" spans="1:9" ht="12" customHeight="1" x14ac:dyDescent="0.15">
      <c r="A281" s="3"/>
      <c r="B281" s="2"/>
      <c r="C281" s="2"/>
      <c r="D281" s="2"/>
      <c r="E281" s="2"/>
      <c r="F281" s="2"/>
      <c r="G281" s="2"/>
      <c r="I281" s="2"/>
    </row>
    <row r="282" spans="1:9" ht="12" customHeight="1" x14ac:dyDescent="0.15">
      <c r="A282" s="3"/>
      <c r="B282" s="2"/>
      <c r="C282" s="2"/>
      <c r="D282" s="2"/>
      <c r="E282" s="2"/>
      <c r="F282" s="2"/>
      <c r="G282" s="2"/>
      <c r="I282" s="2"/>
    </row>
    <row r="283" spans="1:9" ht="12" customHeight="1" x14ac:dyDescent="0.15">
      <c r="A283" s="3"/>
      <c r="B283" s="2"/>
      <c r="C283" s="2"/>
      <c r="D283" s="2"/>
      <c r="E283" s="2"/>
      <c r="F283" s="2"/>
      <c r="G283" s="2"/>
      <c r="I283" s="2"/>
    </row>
    <row r="284" spans="1:9" ht="12" customHeight="1" x14ac:dyDescent="0.15">
      <c r="A284" s="3"/>
      <c r="B284" s="2"/>
      <c r="C284" s="2"/>
      <c r="D284" s="2"/>
      <c r="E284" s="2"/>
      <c r="F284" s="2"/>
      <c r="G284" s="2"/>
      <c r="I284" s="2"/>
    </row>
    <row r="285" spans="1:9" ht="12" customHeight="1" x14ac:dyDescent="0.15">
      <c r="A285" s="3"/>
      <c r="B285" s="2"/>
      <c r="C285" s="2"/>
      <c r="D285" s="2"/>
      <c r="E285" s="2"/>
      <c r="F285" s="2"/>
      <c r="G285" s="2"/>
      <c r="I285" s="2"/>
    </row>
    <row r="286" spans="1:9" ht="12" customHeight="1" x14ac:dyDescent="0.15">
      <c r="A286" s="3"/>
      <c r="B286" s="2"/>
      <c r="C286" s="2"/>
      <c r="D286" s="2"/>
      <c r="E286" s="2"/>
      <c r="F286" s="2"/>
      <c r="G286" s="2"/>
      <c r="I286" s="2"/>
    </row>
    <row r="287" spans="1:9" ht="12" customHeight="1" x14ac:dyDescent="0.15">
      <c r="A287" s="3"/>
      <c r="B287" s="2"/>
      <c r="C287" s="2"/>
      <c r="D287" s="2"/>
      <c r="E287" s="2"/>
      <c r="F287" s="2"/>
      <c r="G287" s="2"/>
      <c r="I287" s="2"/>
    </row>
    <row r="288" spans="1:9" ht="12" customHeight="1" x14ac:dyDescent="0.15">
      <c r="A288" s="3"/>
      <c r="B288" s="2"/>
      <c r="C288" s="2"/>
      <c r="D288" s="2"/>
      <c r="E288" s="2"/>
      <c r="F288" s="2"/>
      <c r="G288" s="2"/>
      <c r="I288" s="2"/>
    </row>
    <row r="289" spans="1:9" ht="12" customHeight="1" x14ac:dyDescent="0.15">
      <c r="A289" s="3"/>
      <c r="B289" s="2"/>
      <c r="C289" s="2"/>
      <c r="D289" s="2"/>
      <c r="E289" s="2"/>
      <c r="F289" s="2"/>
      <c r="G289" s="2"/>
      <c r="I289" s="2"/>
    </row>
    <row r="290" spans="1:9" ht="12" customHeight="1" x14ac:dyDescent="0.15">
      <c r="A290" s="3"/>
      <c r="B290" s="2"/>
      <c r="C290" s="2"/>
      <c r="D290" s="2"/>
      <c r="E290" s="2"/>
      <c r="F290" s="2"/>
      <c r="G290" s="2"/>
      <c r="I290" s="2"/>
    </row>
    <row r="291" spans="1:9" ht="12" customHeight="1" x14ac:dyDescent="0.15">
      <c r="A291" s="3"/>
      <c r="B291" s="2"/>
      <c r="C291" s="2"/>
      <c r="D291" s="2"/>
      <c r="E291" s="2"/>
      <c r="F291" s="2"/>
      <c r="G291" s="2"/>
      <c r="I291" s="2"/>
    </row>
    <row r="292" spans="1:9" ht="12" customHeight="1" x14ac:dyDescent="0.15">
      <c r="A292" s="3"/>
      <c r="B292" s="2"/>
      <c r="C292" s="2"/>
      <c r="D292" s="2"/>
      <c r="E292" s="2"/>
      <c r="F292" s="2"/>
      <c r="G292" s="2"/>
      <c r="I292" s="2"/>
    </row>
    <row r="293" spans="1:9" ht="12" customHeight="1" x14ac:dyDescent="0.15">
      <c r="A293" s="3"/>
      <c r="B293" s="2"/>
      <c r="C293" s="2"/>
      <c r="D293" s="2"/>
      <c r="E293" s="2"/>
      <c r="F293" s="2"/>
      <c r="G293" s="2"/>
      <c r="I293" s="2"/>
    </row>
    <row r="294" spans="1:9" ht="12" customHeight="1" x14ac:dyDescent="0.15">
      <c r="A294" s="3"/>
      <c r="B294" s="2"/>
      <c r="C294" s="2"/>
      <c r="D294" s="2"/>
      <c r="E294" s="2"/>
      <c r="F294" s="2"/>
      <c r="G294" s="2"/>
      <c r="I294" s="2"/>
    </row>
    <row r="295" spans="1:9" ht="12" customHeight="1" x14ac:dyDescent="0.15">
      <c r="A295" s="3"/>
      <c r="B295" s="2"/>
      <c r="C295" s="2"/>
      <c r="D295" s="2"/>
      <c r="E295" s="2"/>
      <c r="F295" s="2"/>
      <c r="G295" s="2"/>
      <c r="I295" s="2"/>
    </row>
    <row r="296" spans="1:9" ht="12" customHeight="1" x14ac:dyDescent="0.15">
      <c r="A296" s="3"/>
      <c r="B296" s="2"/>
      <c r="C296" s="2"/>
      <c r="D296" s="2"/>
      <c r="E296" s="2"/>
      <c r="F296" s="2"/>
      <c r="G296" s="2"/>
      <c r="I296" s="2"/>
    </row>
    <row r="297" spans="1:9" ht="12" customHeight="1" x14ac:dyDescent="0.15">
      <c r="A297" s="3"/>
      <c r="B297" s="2"/>
      <c r="C297" s="2"/>
      <c r="D297" s="2"/>
      <c r="E297" s="2"/>
      <c r="F297" s="2"/>
      <c r="G297" s="2"/>
      <c r="I297" s="2"/>
    </row>
    <row r="298" spans="1:9" ht="12" customHeight="1" x14ac:dyDescent="0.15">
      <c r="A298" s="3"/>
      <c r="B298" s="2"/>
      <c r="C298" s="2"/>
      <c r="D298" s="2"/>
      <c r="E298" s="2"/>
      <c r="F298" s="2"/>
      <c r="G298" s="2"/>
      <c r="I298" s="2"/>
    </row>
    <row r="299" spans="1:9" ht="12" customHeight="1" x14ac:dyDescent="0.15">
      <c r="A299" s="3"/>
      <c r="B299" s="2"/>
      <c r="C299" s="2"/>
      <c r="D299" s="2"/>
      <c r="E299" s="2"/>
      <c r="F299" s="2"/>
      <c r="G299" s="2"/>
      <c r="I299" s="2"/>
    </row>
    <row r="300" spans="1:9" ht="12" customHeight="1" x14ac:dyDescent="0.15">
      <c r="A300" s="3"/>
      <c r="B300" s="2"/>
      <c r="C300" s="2"/>
      <c r="D300" s="2"/>
      <c r="E300" s="2"/>
      <c r="F300" s="2"/>
      <c r="G300" s="2"/>
      <c r="I300" s="2"/>
    </row>
    <row r="301" spans="1:9" ht="12" customHeight="1" x14ac:dyDescent="0.15">
      <c r="A301" s="3"/>
      <c r="B301" s="2"/>
      <c r="C301" s="2"/>
      <c r="D301" s="2"/>
      <c r="E301" s="2"/>
      <c r="F301" s="2"/>
      <c r="G301" s="2"/>
      <c r="I301" s="2"/>
    </row>
    <row r="302" spans="1:9" ht="12" customHeight="1" x14ac:dyDescent="0.15">
      <c r="A302" s="3"/>
      <c r="B302" s="2"/>
      <c r="C302" s="2"/>
      <c r="D302" s="2"/>
      <c r="E302" s="2"/>
      <c r="F302" s="2"/>
      <c r="G302" s="2"/>
      <c r="I302" s="2"/>
    </row>
    <row r="303" spans="1:9" ht="12" customHeight="1" x14ac:dyDescent="0.15">
      <c r="A303" s="3"/>
      <c r="B303" s="2"/>
      <c r="C303" s="2"/>
      <c r="D303" s="2"/>
      <c r="E303" s="2"/>
      <c r="F303" s="2"/>
      <c r="G303" s="2"/>
      <c r="I303" s="2"/>
    </row>
    <row r="304" spans="1:9" ht="12" customHeight="1" x14ac:dyDescent="0.15">
      <c r="A304" s="3"/>
      <c r="B304" s="2"/>
      <c r="C304" s="2"/>
      <c r="D304" s="2"/>
      <c r="E304" s="2"/>
      <c r="F304" s="2"/>
      <c r="G304" s="2"/>
      <c r="I304" s="2"/>
    </row>
    <row r="305" spans="1:9" ht="12" customHeight="1" x14ac:dyDescent="0.15">
      <c r="A305" s="3"/>
      <c r="B305" s="2"/>
      <c r="C305" s="2"/>
      <c r="D305" s="2"/>
      <c r="E305" s="2"/>
      <c r="F305" s="2"/>
      <c r="G305" s="2"/>
      <c r="I305" s="2"/>
    </row>
    <row r="306" spans="1:9" ht="12" customHeight="1" x14ac:dyDescent="0.15">
      <c r="A306" s="3"/>
      <c r="B306" s="2"/>
      <c r="C306" s="2"/>
      <c r="D306" s="2"/>
      <c r="E306" s="2"/>
      <c r="F306" s="2"/>
      <c r="G306" s="2"/>
      <c r="I306" s="2"/>
    </row>
    <row r="307" spans="1:9" ht="12" customHeight="1" x14ac:dyDescent="0.15">
      <c r="A307" s="3"/>
      <c r="B307" s="2"/>
      <c r="C307" s="2"/>
      <c r="D307" s="2"/>
      <c r="E307" s="2"/>
      <c r="F307" s="2"/>
      <c r="G307" s="2"/>
      <c r="I307" s="2"/>
    </row>
    <row r="308" spans="1:9" ht="12" customHeight="1" x14ac:dyDescent="0.15">
      <c r="A308" s="3"/>
      <c r="B308" s="2"/>
      <c r="C308" s="2"/>
      <c r="D308" s="2"/>
      <c r="E308" s="2"/>
      <c r="F308" s="2"/>
      <c r="G308" s="2"/>
      <c r="I308" s="2"/>
    </row>
    <row r="309" spans="1:9" ht="12" customHeight="1" x14ac:dyDescent="0.15">
      <c r="A309" s="3"/>
      <c r="B309" s="2"/>
      <c r="C309" s="2"/>
      <c r="D309" s="2"/>
      <c r="E309" s="2"/>
      <c r="F309" s="2"/>
      <c r="G309" s="2"/>
      <c r="I309" s="2"/>
    </row>
    <row r="310" spans="1:9" ht="12" customHeight="1" x14ac:dyDescent="0.15">
      <c r="A310" s="3"/>
      <c r="B310" s="2"/>
      <c r="C310" s="2"/>
      <c r="D310" s="2"/>
      <c r="E310" s="2"/>
      <c r="F310" s="2"/>
      <c r="G310" s="2"/>
      <c r="I310" s="2"/>
    </row>
    <row r="311" spans="1:9" ht="12" customHeight="1" x14ac:dyDescent="0.15">
      <c r="A311" s="3"/>
      <c r="B311" s="2"/>
      <c r="C311" s="2"/>
      <c r="D311" s="2"/>
      <c r="E311" s="2"/>
      <c r="F311" s="2"/>
      <c r="G311" s="2"/>
      <c r="I311" s="2"/>
    </row>
    <row r="312" spans="1:9" ht="12" customHeight="1" x14ac:dyDescent="0.15">
      <c r="A312" s="3"/>
      <c r="B312" s="2"/>
      <c r="C312" s="2"/>
      <c r="D312" s="2"/>
      <c r="E312" s="2"/>
      <c r="F312" s="2"/>
      <c r="G312" s="2"/>
      <c r="I312" s="2"/>
    </row>
    <row r="313" spans="1:9" ht="12" customHeight="1" x14ac:dyDescent="0.15">
      <c r="A313" s="3"/>
      <c r="B313" s="2"/>
      <c r="C313" s="2"/>
      <c r="D313" s="2"/>
      <c r="E313" s="2"/>
      <c r="F313" s="2"/>
      <c r="G313" s="2"/>
      <c r="I313" s="2"/>
    </row>
    <row r="314" spans="1:9" ht="12" customHeight="1" x14ac:dyDescent="0.15">
      <c r="A314" s="3"/>
      <c r="B314" s="2"/>
      <c r="C314" s="2"/>
      <c r="D314" s="2"/>
      <c r="E314" s="2"/>
      <c r="F314" s="2"/>
      <c r="G314" s="2"/>
      <c r="I314" s="2"/>
    </row>
    <row r="315" spans="1:9" ht="12" customHeight="1" x14ac:dyDescent="0.15">
      <c r="A315" s="3"/>
      <c r="B315" s="2"/>
      <c r="C315" s="2"/>
      <c r="D315" s="2"/>
      <c r="E315" s="2"/>
      <c r="F315" s="2"/>
      <c r="G315" s="2"/>
      <c r="I315" s="2"/>
    </row>
    <row r="316" spans="1:9" ht="12" customHeight="1" x14ac:dyDescent="0.15">
      <c r="A316" s="3"/>
      <c r="B316" s="2"/>
      <c r="C316" s="2"/>
      <c r="D316" s="2"/>
      <c r="E316" s="2"/>
      <c r="F316" s="2"/>
      <c r="G316" s="2"/>
      <c r="I316" s="2"/>
    </row>
    <row r="317" spans="1:9" ht="12" customHeight="1" x14ac:dyDescent="0.15">
      <c r="A317" s="3"/>
      <c r="B317" s="2"/>
      <c r="C317" s="2"/>
      <c r="D317" s="2"/>
      <c r="E317" s="2"/>
      <c r="F317" s="2"/>
      <c r="G317" s="2"/>
      <c r="I317" s="2"/>
    </row>
    <row r="318" spans="1:9" ht="12" customHeight="1" x14ac:dyDescent="0.15">
      <c r="A318" s="3"/>
      <c r="B318" s="2"/>
      <c r="C318" s="2"/>
      <c r="D318" s="2"/>
      <c r="E318" s="2"/>
      <c r="F318" s="2"/>
      <c r="G318" s="2"/>
      <c r="I318" s="2"/>
    </row>
    <row r="319" spans="1:9" ht="12" customHeight="1" x14ac:dyDescent="0.15">
      <c r="A319" s="3"/>
      <c r="B319" s="2"/>
      <c r="C319" s="2"/>
      <c r="D319" s="2"/>
      <c r="E319" s="2"/>
      <c r="F319" s="2"/>
      <c r="G319" s="2"/>
      <c r="I319" s="2"/>
    </row>
    <row r="320" spans="1:9" ht="12" customHeight="1" x14ac:dyDescent="0.15">
      <c r="A320" s="3"/>
      <c r="B320" s="2"/>
      <c r="C320" s="2"/>
      <c r="D320" s="2"/>
      <c r="E320" s="2"/>
      <c r="F320" s="2"/>
      <c r="G320" s="2"/>
      <c r="I320" s="2"/>
    </row>
    <row r="321" spans="1:9" ht="12" customHeight="1" x14ac:dyDescent="0.15">
      <c r="A321" s="3"/>
      <c r="B321" s="2"/>
      <c r="C321" s="2"/>
      <c r="D321" s="2"/>
      <c r="E321" s="2"/>
      <c r="F321" s="2"/>
      <c r="G321" s="2"/>
      <c r="I321" s="2"/>
    </row>
    <row r="322" spans="1:9" ht="12" customHeight="1" x14ac:dyDescent="0.15">
      <c r="A322" s="3"/>
      <c r="B322" s="2"/>
      <c r="C322" s="2"/>
      <c r="D322" s="2"/>
      <c r="E322" s="2"/>
      <c r="F322" s="2"/>
      <c r="G322" s="2"/>
      <c r="I322" s="2"/>
    </row>
    <row r="323" spans="1:9" ht="12" customHeight="1" x14ac:dyDescent="0.15">
      <c r="A323" s="3"/>
      <c r="B323" s="2"/>
      <c r="C323" s="2"/>
      <c r="D323" s="2"/>
      <c r="E323" s="2"/>
      <c r="F323" s="2"/>
      <c r="G323" s="2"/>
      <c r="I323" s="2"/>
    </row>
    <row r="324" spans="1:9" ht="12" customHeight="1" x14ac:dyDescent="0.15">
      <c r="A324" s="3"/>
      <c r="B324" s="2"/>
      <c r="C324" s="2"/>
      <c r="D324" s="2"/>
      <c r="E324" s="2"/>
      <c r="F324" s="2"/>
      <c r="G324" s="2"/>
      <c r="I324" s="2"/>
    </row>
    <row r="325" spans="1:9" ht="12" customHeight="1" x14ac:dyDescent="0.15">
      <c r="A325" s="3"/>
      <c r="B325" s="2"/>
      <c r="C325" s="2"/>
      <c r="D325" s="2"/>
      <c r="E325" s="2"/>
      <c r="F325" s="2"/>
      <c r="G325" s="2"/>
      <c r="I325" s="2"/>
    </row>
    <row r="326" spans="1:9" ht="12" customHeight="1" x14ac:dyDescent="0.15">
      <c r="A326" s="3"/>
      <c r="B326" s="2"/>
      <c r="C326" s="2"/>
      <c r="D326" s="2"/>
      <c r="E326" s="2"/>
      <c r="F326" s="2"/>
      <c r="G326" s="2"/>
      <c r="I326" s="2"/>
    </row>
    <row r="327" spans="1:9" ht="12" customHeight="1" x14ac:dyDescent="0.15">
      <c r="A327" s="3"/>
      <c r="B327" s="2"/>
      <c r="C327" s="2"/>
      <c r="D327" s="2"/>
      <c r="E327" s="2"/>
      <c r="F327" s="2"/>
      <c r="G327" s="2"/>
      <c r="I327" s="2"/>
    </row>
    <row r="328" spans="1:9" ht="12" customHeight="1" x14ac:dyDescent="0.15">
      <c r="A328" s="3"/>
      <c r="B328" s="2"/>
      <c r="C328" s="2"/>
      <c r="D328" s="2"/>
      <c r="E328" s="2"/>
      <c r="F328" s="2"/>
      <c r="G328" s="2"/>
      <c r="I328" s="2"/>
    </row>
    <row r="329" spans="1:9" ht="12" customHeight="1" x14ac:dyDescent="0.15">
      <c r="A329" s="3"/>
      <c r="B329" s="2"/>
      <c r="C329" s="2"/>
      <c r="D329" s="2"/>
      <c r="E329" s="2"/>
      <c r="F329" s="2"/>
      <c r="G329" s="2"/>
      <c r="I329" s="2"/>
    </row>
    <row r="330" spans="1:9" ht="12" customHeight="1" x14ac:dyDescent="0.15">
      <c r="A330" s="3"/>
      <c r="B330" s="2"/>
      <c r="C330" s="2"/>
      <c r="D330" s="2"/>
      <c r="E330" s="2"/>
      <c r="F330" s="2"/>
      <c r="G330" s="2"/>
      <c r="I330" s="2"/>
    </row>
    <row r="331" spans="1:9" ht="12" customHeight="1" x14ac:dyDescent="0.15">
      <c r="A331" s="3"/>
      <c r="B331" s="2"/>
      <c r="C331" s="2"/>
      <c r="D331" s="2"/>
      <c r="E331" s="2"/>
      <c r="F331" s="2"/>
      <c r="G331" s="2"/>
      <c r="I331" s="2"/>
    </row>
    <row r="332" spans="1:9" ht="12" customHeight="1" x14ac:dyDescent="0.15">
      <c r="A332" s="3"/>
      <c r="B332" s="2"/>
      <c r="C332" s="2"/>
      <c r="D332" s="2"/>
      <c r="E332" s="2"/>
      <c r="F332" s="2"/>
      <c r="G332" s="2"/>
      <c r="I332" s="2"/>
    </row>
    <row r="333" spans="1:9" ht="12" customHeight="1" x14ac:dyDescent="0.15">
      <c r="A333" s="3"/>
      <c r="B333" s="2"/>
      <c r="C333" s="2"/>
      <c r="D333" s="2"/>
      <c r="E333" s="2"/>
      <c r="F333" s="2"/>
      <c r="G333" s="2"/>
      <c r="I333" s="2"/>
    </row>
    <row r="334" spans="1:9" ht="12" customHeight="1" x14ac:dyDescent="0.15">
      <c r="A334" s="3"/>
      <c r="B334" s="2"/>
      <c r="C334" s="2"/>
      <c r="D334" s="2"/>
      <c r="E334" s="2"/>
      <c r="F334" s="2"/>
      <c r="G334" s="2"/>
      <c r="I334" s="2"/>
    </row>
    <row r="335" spans="1:9" ht="12" customHeight="1" x14ac:dyDescent="0.15">
      <c r="A335" s="3"/>
      <c r="B335" s="2"/>
      <c r="C335" s="2"/>
      <c r="D335" s="2"/>
      <c r="E335" s="2"/>
      <c r="F335" s="2"/>
      <c r="G335" s="2"/>
      <c r="I335" s="2"/>
    </row>
    <row r="336" spans="1:9" ht="12" customHeight="1" x14ac:dyDescent="0.15">
      <c r="A336" s="3"/>
      <c r="B336" s="2"/>
      <c r="C336" s="2"/>
      <c r="D336" s="2"/>
      <c r="E336" s="2"/>
      <c r="F336" s="2"/>
      <c r="G336" s="2"/>
      <c r="I336" s="2"/>
    </row>
    <row r="337" spans="1:9" ht="12" customHeight="1" x14ac:dyDescent="0.15">
      <c r="A337" s="3"/>
      <c r="B337" s="2"/>
      <c r="C337" s="2"/>
      <c r="D337" s="2"/>
      <c r="E337" s="2"/>
      <c r="F337" s="2"/>
      <c r="G337" s="2"/>
      <c r="I337" s="2"/>
    </row>
    <row r="338" spans="1:9" ht="12" customHeight="1" x14ac:dyDescent="0.15">
      <c r="A338" s="3"/>
      <c r="B338" s="2"/>
      <c r="C338" s="2"/>
      <c r="D338" s="2"/>
      <c r="E338" s="2"/>
      <c r="F338" s="2"/>
      <c r="G338" s="2"/>
      <c r="I338" s="2"/>
    </row>
    <row r="339" spans="1:9" ht="12" customHeight="1" x14ac:dyDescent="0.15">
      <c r="A339" s="3"/>
      <c r="B339" s="2"/>
      <c r="C339" s="2"/>
      <c r="D339" s="2"/>
      <c r="E339" s="2"/>
      <c r="F339" s="2"/>
      <c r="G339" s="2"/>
      <c r="I339" s="2"/>
    </row>
    <row r="340" spans="1:9" ht="12" customHeight="1" x14ac:dyDescent="0.15">
      <c r="A340" s="3"/>
      <c r="B340" s="2"/>
      <c r="C340" s="2"/>
      <c r="D340" s="2"/>
      <c r="E340" s="2"/>
      <c r="F340" s="2"/>
      <c r="G340" s="2"/>
      <c r="I340" s="2"/>
    </row>
    <row r="341" spans="1:9" ht="12" customHeight="1" x14ac:dyDescent="0.15">
      <c r="A341" s="3"/>
      <c r="B341" s="2"/>
      <c r="C341" s="2"/>
      <c r="D341" s="2"/>
      <c r="E341" s="2"/>
      <c r="F341" s="2"/>
      <c r="G341" s="2"/>
      <c r="I341" s="2"/>
    </row>
    <row r="342" spans="1:9" ht="12" customHeight="1" x14ac:dyDescent="0.15">
      <c r="A342" s="3"/>
      <c r="B342" s="2"/>
      <c r="C342" s="2"/>
      <c r="D342" s="2"/>
      <c r="E342" s="2"/>
      <c r="F342" s="2"/>
      <c r="G342" s="2"/>
      <c r="I342" s="2"/>
    </row>
    <row r="343" spans="1:9" ht="12" customHeight="1" x14ac:dyDescent="0.15">
      <c r="A343" s="3"/>
      <c r="B343" s="2"/>
      <c r="C343" s="2"/>
      <c r="D343" s="2"/>
      <c r="E343" s="2"/>
      <c r="F343" s="2"/>
      <c r="G343" s="2"/>
      <c r="I343" s="2"/>
    </row>
    <row r="344" spans="1:9" ht="12" customHeight="1" x14ac:dyDescent="0.15">
      <c r="A344" s="3"/>
      <c r="B344" s="2"/>
      <c r="C344" s="2"/>
      <c r="D344" s="2"/>
      <c r="E344" s="2"/>
      <c r="F344" s="2"/>
      <c r="G344" s="2"/>
      <c r="I344" s="2"/>
    </row>
    <row r="345" spans="1:9" ht="12" customHeight="1" x14ac:dyDescent="0.15">
      <c r="A345" s="3"/>
      <c r="B345" s="2"/>
      <c r="C345" s="2"/>
      <c r="D345" s="2"/>
      <c r="E345" s="2"/>
      <c r="F345" s="2"/>
      <c r="G345" s="2"/>
      <c r="I345" s="2"/>
    </row>
    <row r="346" spans="1:9" ht="12" customHeight="1" x14ac:dyDescent="0.15">
      <c r="A346" s="3"/>
      <c r="B346" s="2"/>
      <c r="C346" s="2"/>
      <c r="D346" s="2"/>
      <c r="E346" s="2"/>
      <c r="F346" s="2"/>
      <c r="G346" s="2"/>
      <c r="I346" s="2"/>
    </row>
    <row r="347" spans="1:9" ht="12" customHeight="1" x14ac:dyDescent="0.15">
      <c r="A347" s="3"/>
      <c r="B347" s="2"/>
      <c r="C347" s="2"/>
      <c r="D347" s="2"/>
      <c r="E347" s="2"/>
      <c r="F347" s="2"/>
      <c r="G347" s="2"/>
      <c r="I347" s="2"/>
    </row>
    <row r="348" spans="1:9" ht="12" customHeight="1" x14ac:dyDescent="0.15">
      <c r="A348" s="3"/>
      <c r="B348" s="2"/>
      <c r="C348" s="2"/>
      <c r="D348" s="2"/>
      <c r="E348" s="2"/>
      <c r="F348" s="2"/>
      <c r="G348" s="2"/>
      <c r="I348" s="2"/>
    </row>
    <row r="349" spans="1:9" ht="12" customHeight="1" x14ac:dyDescent="0.15">
      <c r="A349" s="3"/>
      <c r="B349" s="2"/>
      <c r="C349" s="2"/>
      <c r="D349" s="2"/>
      <c r="E349" s="2"/>
      <c r="F349" s="2"/>
      <c r="G349" s="2"/>
      <c r="I349" s="2"/>
    </row>
    <row r="350" spans="1:9" ht="12" customHeight="1" x14ac:dyDescent="0.15">
      <c r="A350" s="3"/>
      <c r="B350" s="2"/>
      <c r="C350" s="2"/>
      <c r="D350" s="2"/>
      <c r="E350" s="2"/>
      <c r="F350" s="2"/>
      <c r="G350" s="2"/>
      <c r="I350" s="2"/>
    </row>
    <row r="351" spans="1:9" ht="12" customHeight="1" x14ac:dyDescent="0.15">
      <c r="A351" s="3"/>
      <c r="B351" s="2"/>
      <c r="C351" s="2"/>
      <c r="D351" s="2"/>
      <c r="E351" s="2"/>
      <c r="F351" s="2"/>
      <c r="G351" s="2"/>
      <c r="I351" s="2"/>
    </row>
    <row r="352" spans="1:9" ht="12" customHeight="1" x14ac:dyDescent="0.15">
      <c r="A352" s="3"/>
      <c r="B352" s="2"/>
      <c r="C352" s="2"/>
      <c r="D352" s="2"/>
      <c r="E352" s="2"/>
      <c r="F352" s="2"/>
      <c r="G352" s="2"/>
      <c r="I352" s="2"/>
    </row>
    <row r="353" spans="1:9" ht="12" customHeight="1" x14ac:dyDescent="0.15">
      <c r="A353" s="3"/>
      <c r="B353" s="2"/>
      <c r="C353" s="2"/>
      <c r="D353" s="2"/>
      <c r="E353" s="2"/>
      <c r="F353" s="2"/>
      <c r="G353" s="2"/>
      <c r="I353" s="2"/>
    </row>
    <row r="354" spans="1:9" ht="12" customHeight="1" x14ac:dyDescent="0.15">
      <c r="A354" s="3"/>
      <c r="B354" s="2"/>
      <c r="C354" s="2"/>
      <c r="D354" s="2"/>
      <c r="E354" s="2"/>
      <c r="F354" s="2"/>
      <c r="G354" s="2"/>
      <c r="I354" s="2"/>
    </row>
    <row r="355" spans="1:9" ht="12" customHeight="1" x14ac:dyDescent="0.15">
      <c r="A355" s="3"/>
      <c r="B355" s="2"/>
      <c r="C355" s="2"/>
      <c r="D355" s="2"/>
      <c r="E355" s="2"/>
      <c r="F355" s="2"/>
      <c r="G355" s="2"/>
      <c r="I355" s="2"/>
    </row>
    <row r="356" spans="1:9" ht="12" customHeight="1" x14ac:dyDescent="0.15">
      <c r="A356" s="3"/>
      <c r="B356" s="2"/>
      <c r="C356" s="2"/>
      <c r="D356" s="2"/>
      <c r="E356" s="2"/>
      <c r="F356" s="2"/>
      <c r="G356" s="2"/>
      <c r="I356" s="2"/>
    </row>
    <row r="357" spans="1:9" ht="12" customHeight="1" x14ac:dyDescent="0.15">
      <c r="A357" s="3"/>
      <c r="B357" s="2"/>
      <c r="C357" s="2"/>
      <c r="D357" s="2"/>
      <c r="E357" s="2"/>
      <c r="F357" s="2"/>
      <c r="G357" s="2"/>
      <c r="I357" s="2"/>
    </row>
    <row r="358" spans="1:9" ht="12" customHeight="1" x14ac:dyDescent="0.15">
      <c r="A358" s="3"/>
      <c r="B358" s="2"/>
      <c r="C358" s="2"/>
      <c r="D358" s="2"/>
      <c r="E358" s="2"/>
      <c r="F358" s="2"/>
      <c r="G358" s="2"/>
      <c r="I358" s="2"/>
    </row>
    <row r="359" spans="1:9" ht="12" customHeight="1" x14ac:dyDescent="0.15">
      <c r="A359" s="3"/>
      <c r="B359" s="2"/>
      <c r="C359" s="2"/>
      <c r="D359" s="2"/>
      <c r="E359" s="2"/>
      <c r="F359" s="2"/>
      <c r="G359" s="2"/>
      <c r="I359" s="2"/>
    </row>
    <row r="360" spans="1:9" ht="12" customHeight="1" x14ac:dyDescent="0.15">
      <c r="A360" s="3"/>
      <c r="B360" s="2"/>
      <c r="C360" s="2"/>
      <c r="D360" s="2"/>
      <c r="E360" s="2"/>
      <c r="F360" s="2"/>
      <c r="G360" s="2"/>
      <c r="I360" s="2"/>
    </row>
    <row r="361" spans="1:9" ht="12" customHeight="1" x14ac:dyDescent="0.15">
      <c r="A361" s="3"/>
      <c r="B361" s="2"/>
      <c r="C361" s="2"/>
      <c r="D361" s="2"/>
      <c r="E361" s="2"/>
      <c r="F361" s="2"/>
      <c r="G361" s="2"/>
      <c r="I361" s="2"/>
    </row>
    <row r="362" spans="1:9" ht="12" customHeight="1" x14ac:dyDescent="0.15">
      <c r="A362" s="3"/>
      <c r="B362" s="2"/>
      <c r="C362" s="2"/>
      <c r="D362" s="2"/>
      <c r="E362" s="2"/>
      <c r="F362" s="2"/>
      <c r="G362" s="2"/>
      <c r="I362" s="2"/>
    </row>
    <row r="363" spans="1:9" ht="12" customHeight="1" x14ac:dyDescent="0.15">
      <c r="A363" s="3"/>
      <c r="B363" s="2"/>
      <c r="C363" s="2"/>
      <c r="D363" s="2"/>
      <c r="E363" s="2"/>
      <c r="F363" s="2"/>
      <c r="G363" s="2"/>
      <c r="I363" s="2"/>
    </row>
    <row r="364" spans="1:9" ht="12" customHeight="1" x14ac:dyDescent="0.15">
      <c r="A364" s="3"/>
      <c r="B364" s="2"/>
      <c r="C364" s="2"/>
      <c r="D364" s="2"/>
      <c r="E364" s="2"/>
      <c r="F364" s="2"/>
      <c r="G364" s="2"/>
      <c r="I364" s="2"/>
    </row>
    <row r="365" spans="1:9" ht="12" customHeight="1" x14ac:dyDescent="0.15">
      <c r="A365" s="3"/>
      <c r="B365" s="2"/>
      <c r="C365" s="2"/>
      <c r="D365" s="2"/>
      <c r="E365" s="2"/>
      <c r="F365" s="2"/>
      <c r="G365" s="2"/>
      <c r="I365" s="2"/>
    </row>
    <row r="366" spans="1:9" ht="12" customHeight="1" x14ac:dyDescent="0.15">
      <c r="A366" s="3"/>
      <c r="B366" s="2"/>
      <c r="C366" s="2"/>
      <c r="D366" s="2"/>
      <c r="E366" s="2"/>
      <c r="F366" s="2"/>
      <c r="G366" s="2"/>
      <c r="I366" s="2"/>
    </row>
    <row r="367" spans="1:9" ht="12" customHeight="1" x14ac:dyDescent="0.15">
      <c r="A367" s="3"/>
      <c r="B367" s="2"/>
      <c r="C367" s="2"/>
      <c r="D367" s="2"/>
      <c r="E367" s="2"/>
      <c r="F367" s="2"/>
      <c r="G367" s="2"/>
      <c r="I367" s="2"/>
    </row>
    <row r="368" spans="1:9" ht="12" customHeight="1" x14ac:dyDescent="0.15">
      <c r="A368" s="3"/>
      <c r="B368" s="2"/>
      <c r="C368" s="2"/>
      <c r="D368" s="2"/>
      <c r="E368" s="2"/>
      <c r="F368" s="2"/>
      <c r="G368" s="2"/>
      <c r="I368" s="2"/>
    </row>
    <row r="369" spans="1:9" ht="12" customHeight="1" x14ac:dyDescent="0.15">
      <c r="A369" s="3"/>
      <c r="B369" s="2"/>
      <c r="C369" s="2"/>
      <c r="D369" s="2"/>
      <c r="E369" s="2"/>
      <c r="F369" s="2"/>
      <c r="G369" s="2"/>
      <c r="I369" s="2"/>
    </row>
    <row r="370" spans="1:9" ht="12" customHeight="1" x14ac:dyDescent="0.15">
      <c r="A370" s="3"/>
      <c r="B370" s="2"/>
      <c r="C370" s="2"/>
      <c r="D370" s="2"/>
      <c r="E370" s="2"/>
      <c r="F370" s="2"/>
      <c r="G370" s="2"/>
      <c r="I370" s="2"/>
    </row>
    <row r="371" spans="1:9" ht="12" customHeight="1" x14ac:dyDescent="0.15">
      <c r="A371" s="3"/>
      <c r="B371" s="2"/>
      <c r="C371" s="2"/>
      <c r="D371" s="2"/>
      <c r="E371" s="2"/>
      <c r="F371" s="2"/>
      <c r="G371" s="2"/>
      <c r="I371" s="2"/>
    </row>
    <row r="372" spans="1:9" ht="12" customHeight="1" x14ac:dyDescent="0.15">
      <c r="A372" s="3"/>
      <c r="B372" s="2"/>
      <c r="C372" s="2"/>
      <c r="D372" s="2"/>
      <c r="E372" s="2"/>
      <c r="F372" s="2"/>
      <c r="G372" s="2"/>
      <c r="I372" s="2"/>
    </row>
    <row r="373" spans="1:9" ht="12" customHeight="1" x14ac:dyDescent="0.15">
      <c r="A373" s="3"/>
      <c r="B373" s="2"/>
      <c r="C373" s="2"/>
      <c r="D373" s="2"/>
      <c r="E373" s="2"/>
      <c r="F373" s="2"/>
      <c r="G373" s="2"/>
      <c r="I373" s="2"/>
    </row>
    <row r="374" spans="1:9" ht="12" customHeight="1" x14ac:dyDescent="0.15">
      <c r="A374" s="3"/>
      <c r="B374" s="2"/>
      <c r="C374" s="2"/>
      <c r="D374" s="2"/>
      <c r="E374" s="2"/>
      <c r="F374" s="2"/>
      <c r="G374" s="2"/>
      <c r="I374" s="2"/>
    </row>
    <row r="375" spans="1:9" ht="12" customHeight="1" x14ac:dyDescent="0.15">
      <c r="A375" s="3"/>
      <c r="B375" s="2"/>
      <c r="C375" s="2"/>
      <c r="D375" s="2"/>
      <c r="E375" s="2"/>
      <c r="F375" s="2"/>
      <c r="G375" s="2"/>
      <c r="I375" s="2"/>
    </row>
    <row r="376" spans="1:9" ht="12" customHeight="1" x14ac:dyDescent="0.15">
      <c r="A376" s="3"/>
      <c r="B376" s="2"/>
      <c r="C376" s="2"/>
      <c r="D376" s="2"/>
      <c r="E376" s="2"/>
      <c r="F376" s="2"/>
      <c r="G376" s="2"/>
      <c r="I376" s="2"/>
    </row>
    <row r="377" spans="1:9" ht="12" customHeight="1" x14ac:dyDescent="0.15">
      <c r="A377" s="3"/>
      <c r="B377" s="2"/>
      <c r="C377" s="2"/>
      <c r="D377" s="2"/>
      <c r="E377" s="2"/>
      <c r="F377" s="2"/>
      <c r="G377" s="2"/>
      <c r="I377" s="2"/>
    </row>
    <row r="378" spans="1:9" ht="12" customHeight="1" x14ac:dyDescent="0.15">
      <c r="A378" s="3"/>
      <c r="B378" s="2"/>
      <c r="C378" s="2"/>
      <c r="D378" s="2"/>
      <c r="E378" s="2"/>
      <c r="F378" s="2"/>
      <c r="G378" s="2"/>
      <c r="I378" s="2"/>
    </row>
    <row r="379" spans="1:9" ht="12" customHeight="1" x14ac:dyDescent="0.15">
      <c r="A379" s="3"/>
      <c r="B379" s="2"/>
      <c r="C379" s="2"/>
      <c r="D379" s="2"/>
      <c r="E379" s="2"/>
      <c r="F379" s="2"/>
      <c r="G379" s="2"/>
      <c r="I379" s="2"/>
    </row>
    <row r="380" spans="1:9" ht="12" customHeight="1" x14ac:dyDescent="0.15">
      <c r="A380" s="3"/>
      <c r="B380" s="2"/>
      <c r="C380" s="2"/>
      <c r="D380" s="2"/>
      <c r="E380" s="2"/>
      <c r="F380" s="2"/>
      <c r="G380" s="2"/>
      <c r="I380" s="2"/>
    </row>
    <row r="381" spans="1:9" ht="12" customHeight="1" x14ac:dyDescent="0.15">
      <c r="A381" s="3"/>
      <c r="B381" s="2"/>
      <c r="C381" s="2"/>
      <c r="D381" s="2"/>
      <c r="E381" s="2"/>
      <c r="F381" s="2"/>
      <c r="G381" s="2"/>
      <c r="I381" s="2"/>
    </row>
    <row r="382" spans="1:9" ht="12" customHeight="1" x14ac:dyDescent="0.15">
      <c r="A382" s="3"/>
      <c r="B382" s="2"/>
      <c r="C382" s="2"/>
      <c r="D382" s="2"/>
      <c r="E382" s="2"/>
      <c r="F382" s="2"/>
      <c r="G382" s="2"/>
      <c r="I382" s="2"/>
    </row>
    <row r="383" spans="1:9" ht="12" customHeight="1" x14ac:dyDescent="0.15">
      <c r="A383" s="3"/>
      <c r="B383" s="2"/>
      <c r="C383" s="2"/>
      <c r="D383" s="2"/>
      <c r="E383" s="2"/>
      <c r="F383" s="2"/>
      <c r="G383" s="2"/>
      <c r="I383" s="2"/>
    </row>
    <row r="384" spans="1:9" ht="12" customHeight="1" x14ac:dyDescent="0.15">
      <c r="A384" s="3"/>
      <c r="B384" s="2"/>
      <c r="C384" s="2"/>
      <c r="D384" s="2"/>
      <c r="E384" s="2"/>
      <c r="F384" s="2"/>
      <c r="G384" s="2"/>
      <c r="I384" s="2"/>
    </row>
    <row r="385" spans="1:9" ht="12" customHeight="1" x14ac:dyDescent="0.15">
      <c r="A385" s="3"/>
      <c r="B385" s="2"/>
      <c r="C385" s="2"/>
      <c r="D385" s="2"/>
      <c r="E385" s="2"/>
      <c r="F385" s="2"/>
      <c r="G385" s="2"/>
      <c r="I385" s="2"/>
    </row>
    <row r="386" spans="1:9" ht="12" customHeight="1" x14ac:dyDescent="0.15">
      <c r="A386" s="3"/>
      <c r="B386" s="2"/>
      <c r="C386" s="2"/>
      <c r="D386" s="2"/>
      <c r="E386" s="2"/>
      <c r="F386" s="2"/>
      <c r="G386" s="2"/>
      <c r="I386" s="2"/>
    </row>
    <row r="387" spans="1:9" ht="12" customHeight="1" x14ac:dyDescent="0.15">
      <c r="A387" s="3"/>
      <c r="B387" s="2"/>
      <c r="C387" s="2"/>
      <c r="D387" s="2"/>
      <c r="E387" s="2"/>
      <c r="F387" s="2"/>
      <c r="G387" s="2"/>
      <c r="I387" s="2"/>
    </row>
    <row r="388" spans="1:9" ht="12" customHeight="1" x14ac:dyDescent="0.15">
      <c r="A388" s="3"/>
      <c r="B388" s="2"/>
      <c r="C388" s="2"/>
      <c r="D388" s="2"/>
      <c r="E388" s="2"/>
      <c r="F388" s="2"/>
      <c r="G388" s="2"/>
      <c r="I388" s="2"/>
    </row>
    <row r="389" spans="1:9" ht="12" customHeight="1" x14ac:dyDescent="0.15">
      <c r="A389" s="3"/>
      <c r="B389" s="2"/>
      <c r="C389" s="2"/>
      <c r="D389" s="2"/>
      <c r="E389" s="2"/>
      <c r="F389" s="2"/>
      <c r="G389" s="2"/>
      <c r="I389" s="2"/>
    </row>
    <row r="390" spans="1:9" ht="12" customHeight="1" x14ac:dyDescent="0.15">
      <c r="A390" s="3"/>
      <c r="B390" s="2"/>
      <c r="C390" s="2"/>
      <c r="D390" s="2"/>
      <c r="E390" s="2"/>
      <c r="F390" s="2"/>
      <c r="G390" s="2"/>
      <c r="I390" s="2"/>
    </row>
    <row r="391" spans="1:9" ht="12" customHeight="1" x14ac:dyDescent="0.15">
      <c r="A391" s="3"/>
      <c r="B391" s="2"/>
      <c r="C391" s="2"/>
      <c r="D391" s="2"/>
      <c r="E391" s="2"/>
      <c r="F391" s="2"/>
      <c r="G391" s="2"/>
      <c r="I391" s="2"/>
    </row>
    <row r="392" spans="1:9" ht="12" customHeight="1" x14ac:dyDescent="0.15">
      <c r="A392" s="3"/>
      <c r="B392" s="2"/>
      <c r="C392" s="2"/>
      <c r="D392" s="2"/>
      <c r="E392" s="2"/>
      <c r="F392" s="2"/>
      <c r="G392" s="2"/>
      <c r="I392" s="2"/>
    </row>
    <row r="393" spans="1:9" ht="12" customHeight="1" x14ac:dyDescent="0.15">
      <c r="A393" s="3"/>
      <c r="B393" s="2"/>
      <c r="C393" s="2"/>
      <c r="D393" s="2"/>
      <c r="E393" s="2"/>
      <c r="F393" s="2"/>
      <c r="G393" s="2"/>
      <c r="I393" s="2"/>
    </row>
    <row r="394" spans="1:9" ht="12" customHeight="1" x14ac:dyDescent="0.15">
      <c r="A394" s="3"/>
      <c r="B394" s="2"/>
      <c r="C394" s="2"/>
      <c r="D394" s="2"/>
      <c r="E394" s="2"/>
      <c r="F394" s="2"/>
      <c r="G394" s="2"/>
      <c r="I394" s="2"/>
    </row>
    <row r="395" spans="1:9" ht="12" customHeight="1" x14ac:dyDescent="0.15">
      <c r="A395" s="3"/>
      <c r="B395" s="2"/>
      <c r="C395" s="2"/>
      <c r="D395" s="2"/>
      <c r="E395" s="2"/>
      <c r="F395" s="2"/>
      <c r="G395" s="2"/>
      <c r="I395" s="2"/>
    </row>
    <row r="396" spans="1:9" ht="12" customHeight="1" x14ac:dyDescent="0.15">
      <c r="A396" s="3"/>
      <c r="B396" s="2"/>
      <c r="C396" s="2"/>
      <c r="D396" s="2"/>
      <c r="E396" s="2"/>
      <c r="F396" s="2"/>
      <c r="G396" s="2"/>
      <c r="I396" s="2"/>
    </row>
    <row r="397" spans="1:9" ht="12" customHeight="1" x14ac:dyDescent="0.15">
      <c r="A397" s="3"/>
      <c r="B397" s="2"/>
      <c r="C397" s="2"/>
      <c r="D397" s="2"/>
      <c r="E397" s="2"/>
      <c r="F397" s="2"/>
      <c r="G397" s="2"/>
      <c r="I397" s="2"/>
    </row>
    <row r="398" spans="1:9" ht="12" customHeight="1" x14ac:dyDescent="0.15">
      <c r="A398" s="3"/>
      <c r="B398" s="2"/>
      <c r="C398" s="2"/>
      <c r="D398" s="2"/>
      <c r="E398" s="2"/>
      <c r="F398" s="2"/>
      <c r="G398" s="2"/>
      <c r="I398" s="2"/>
    </row>
    <row r="399" spans="1:9" ht="12" customHeight="1" x14ac:dyDescent="0.15">
      <c r="A399" s="3"/>
      <c r="B399" s="2"/>
      <c r="C399" s="2"/>
      <c r="D399" s="2"/>
      <c r="E399" s="2"/>
      <c r="F399" s="2"/>
      <c r="G399" s="2"/>
      <c r="I399" s="2"/>
    </row>
    <row r="400" spans="1:9" ht="12" customHeight="1" x14ac:dyDescent="0.15">
      <c r="A400" s="3"/>
      <c r="B400" s="2"/>
      <c r="C400" s="2"/>
      <c r="D400" s="2"/>
      <c r="E400" s="2"/>
      <c r="F400" s="2"/>
      <c r="G400" s="2"/>
      <c r="I400" s="2"/>
    </row>
    <row r="401" spans="1:9" ht="12" customHeight="1" x14ac:dyDescent="0.15">
      <c r="A401" s="3"/>
      <c r="B401" s="2"/>
      <c r="C401" s="2"/>
      <c r="D401" s="2"/>
      <c r="E401" s="2"/>
      <c r="F401" s="2"/>
      <c r="G401" s="2"/>
      <c r="I401" s="2"/>
    </row>
    <row r="402" spans="1:9" ht="12" customHeight="1" x14ac:dyDescent="0.15">
      <c r="A402" s="3"/>
      <c r="B402" s="2"/>
      <c r="C402" s="2"/>
      <c r="D402" s="2"/>
      <c r="E402" s="2"/>
      <c r="F402" s="2"/>
      <c r="G402" s="2"/>
      <c r="I402" s="2"/>
    </row>
    <row r="403" spans="1:9" ht="12" customHeight="1" x14ac:dyDescent="0.15">
      <c r="A403" s="3"/>
      <c r="B403" s="2"/>
      <c r="C403" s="2"/>
      <c r="D403" s="2"/>
      <c r="E403" s="2"/>
      <c r="F403" s="2"/>
      <c r="G403" s="2"/>
      <c r="I403" s="2"/>
    </row>
    <row r="404" spans="1:9" ht="12" customHeight="1" x14ac:dyDescent="0.15">
      <c r="A404" s="3"/>
      <c r="B404" s="2"/>
      <c r="C404" s="2"/>
      <c r="D404" s="2"/>
      <c r="E404" s="2"/>
      <c r="F404" s="2"/>
      <c r="G404" s="2"/>
      <c r="I404" s="2"/>
    </row>
    <row r="405" spans="1:9" ht="12" customHeight="1" x14ac:dyDescent="0.15">
      <c r="A405" s="3"/>
      <c r="B405" s="2"/>
      <c r="C405" s="2"/>
      <c r="D405" s="2"/>
      <c r="E405" s="2"/>
      <c r="F405" s="2"/>
      <c r="G405" s="2"/>
      <c r="I405" s="2"/>
    </row>
    <row r="406" spans="1:9" ht="12" customHeight="1" x14ac:dyDescent="0.15">
      <c r="A406" s="3"/>
      <c r="B406" s="2"/>
      <c r="C406" s="2"/>
      <c r="D406" s="2"/>
      <c r="E406" s="2"/>
      <c r="F406" s="2"/>
      <c r="G406" s="2"/>
      <c r="I406" s="2"/>
    </row>
    <row r="407" spans="1:9" ht="12" customHeight="1" x14ac:dyDescent="0.15">
      <c r="A407" s="3"/>
      <c r="B407" s="2"/>
      <c r="C407" s="2"/>
      <c r="D407" s="2"/>
      <c r="E407" s="2"/>
      <c r="F407" s="2"/>
      <c r="G407" s="2"/>
      <c r="I407" s="2"/>
    </row>
    <row r="408" spans="1:9" ht="12" customHeight="1" x14ac:dyDescent="0.15">
      <c r="A408" s="3"/>
      <c r="B408" s="2"/>
      <c r="C408" s="2"/>
      <c r="D408" s="2"/>
      <c r="E408" s="2"/>
      <c r="F408" s="2"/>
      <c r="G408" s="2"/>
      <c r="I408" s="2"/>
    </row>
    <row r="409" spans="1:9" ht="12" customHeight="1" x14ac:dyDescent="0.15">
      <c r="A409" s="3"/>
      <c r="B409" s="2"/>
      <c r="C409" s="2"/>
      <c r="D409" s="2"/>
      <c r="E409" s="2"/>
      <c r="F409" s="2"/>
      <c r="G409" s="2"/>
      <c r="I409" s="2"/>
    </row>
    <row r="410" spans="1:9" ht="12" customHeight="1" x14ac:dyDescent="0.15">
      <c r="A410" s="3"/>
      <c r="B410" s="2"/>
      <c r="C410" s="2"/>
      <c r="D410" s="2"/>
      <c r="E410" s="2"/>
      <c r="F410" s="2"/>
      <c r="G410" s="2"/>
      <c r="I410" s="2"/>
    </row>
    <row r="411" spans="1:9" ht="12" customHeight="1" x14ac:dyDescent="0.15">
      <c r="A411" s="3"/>
      <c r="B411" s="2"/>
      <c r="C411" s="2"/>
      <c r="D411" s="2"/>
      <c r="E411" s="2"/>
      <c r="F411" s="2"/>
      <c r="G411" s="2"/>
      <c r="I411" s="2"/>
    </row>
    <row r="412" spans="1:9" ht="12" customHeight="1" x14ac:dyDescent="0.15">
      <c r="A412" s="3"/>
      <c r="B412" s="2"/>
      <c r="C412" s="2"/>
      <c r="D412" s="2"/>
      <c r="E412" s="2"/>
      <c r="F412" s="2"/>
      <c r="G412" s="2"/>
      <c r="I412" s="2"/>
    </row>
    <row r="413" spans="1:9" ht="12" customHeight="1" x14ac:dyDescent="0.15">
      <c r="A413" s="3"/>
      <c r="B413" s="2"/>
      <c r="C413" s="2"/>
      <c r="D413" s="2"/>
      <c r="E413" s="2"/>
      <c r="F413" s="2"/>
      <c r="G413" s="2"/>
      <c r="I413" s="2"/>
    </row>
    <row r="414" spans="1:9" ht="12" customHeight="1" x14ac:dyDescent="0.15">
      <c r="A414" s="3"/>
      <c r="B414" s="2"/>
      <c r="C414" s="2"/>
      <c r="D414" s="2"/>
      <c r="E414" s="2"/>
      <c r="F414" s="2"/>
      <c r="G414" s="2"/>
      <c r="I414" s="2"/>
    </row>
    <row r="415" spans="1:9" ht="12" customHeight="1" x14ac:dyDescent="0.15">
      <c r="A415" s="3"/>
      <c r="B415" s="2"/>
      <c r="C415" s="2"/>
      <c r="D415" s="2"/>
      <c r="E415" s="2"/>
      <c r="F415" s="2"/>
      <c r="G415" s="2"/>
      <c r="I415" s="2"/>
    </row>
    <row r="416" spans="1:9" ht="12" customHeight="1" x14ac:dyDescent="0.15">
      <c r="A416" s="3"/>
      <c r="B416" s="2"/>
      <c r="C416" s="2"/>
      <c r="D416" s="2"/>
      <c r="E416" s="2"/>
      <c r="F416" s="2"/>
      <c r="G416" s="2"/>
      <c r="I416" s="2"/>
    </row>
    <row r="417" spans="1:9" ht="12" customHeight="1" x14ac:dyDescent="0.15">
      <c r="A417" s="3"/>
      <c r="B417" s="2"/>
      <c r="C417" s="2"/>
      <c r="D417" s="2"/>
      <c r="E417" s="2"/>
      <c r="F417" s="2"/>
      <c r="G417" s="2"/>
      <c r="I417" s="2"/>
    </row>
    <row r="418" spans="1:9" ht="12" customHeight="1" x14ac:dyDescent="0.15">
      <c r="A418" s="3"/>
      <c r="B418" s="2"/>
      <c r="C418" s="2"/>
      <c r="D418" s="2"/>
      <c r="E418" s="2"/>
      <c r="F418" s="2"/>
      <c r="G418" s="2"/>
      <c r="I418" s="2"/>
    </row>
    <row r="419" spans="1:9" ht="12" customHeight="1" x14ac:dyDescent="0.15">
      <c r="A419" s="3"/>
      <c r="B419" s="2"/>
      <c r="C419" s="2"/>
      <c r="D419" s="2"/>
      <c r="E419" s="2"/>
      <c r="F419" s="2"/>
      <c r="G419" s="2"/>
      <c r="I419" s="2"/>
    </row>
    <row r="420" spans="1:9" ht="12" customHeight="1" x14ac:dyDescent="0.15">
      <c r="A420" s="3"/>
      <c r="B420" s="2"/>
      <c r="C420" s="2"/>
      <c r="D420" s="2"/>
      <c r="E420" s="2"/>
      <c r="F420" s="2"/>
      <c r="G420" s="2"/>
      <c r="I420" s="2"/>
    </row>
    <row r="421" spans="1:9" ht="12" customHeight="1" x14ac:dyDescent="0.15">
      <c r="A421" s="3"/>
      <c r="B421" s="2"/>
      <c r="C421" s="2"/>
      <c r="D421" s="2"/>
      <c r="E421" s="2"/>
      <c r="F421" s="2"/>
      <c r="G421" s="2"/>
      <c r="I421" s="2"/>
    </row>
    <row r="422" spans="1:9" ht="12" customHeight="1" x14ac:dyDescent="0.15">
      <c r="A422" s="3"/>
      <c r="B422" s="2"/>
      <c r="C422" s="2"/>
      <c r="D422" s="2"/>
      <c r="E422" s="2"/>
      <c r="F422" s="2"/>
      <c r="G422" s="2"/>
      <c r="I422" s="2"/>
    </row>
    <row r="423" spans="1:9" ht="12" customHeight="1" x14ac:dyDescent="0.15">
      <c r="A423" s="3"/>
      <c r="B423" s="2"/>
      <c r="C423" s="2"/>
      <c r="D423" s="2"/>
      <c r="E423" s="2"/>
      <c r="F423" s="2"/>
      <c r="G423" s="2"/>
      <c r="I423" s="2"/>
    </row>
    <row r="424" spans="1:9" ht="12" customHeight="1" x14ac:dyDescent="0.15">
      <c r="A424" s="3"/>
      <c r="B424" s="2"/>
      <c r="C424" s="2"/>
      <c r="D424" s="2"/>
      <c r="E424" s="2"/>
      <c r="F424" s="2"/>
      <c r="G424" s="2"/>
      <c r="I424" s="2"/>
    </row>
    <row r="425" spans="1:9" ht="12" customHeight="1" x14ac:dyDescent="0.15">
      <c r="A425" s="3"/>
      <c r="B425" s="2"/>
      <c r="C425" s="2"/>
      <c r="D425" s="2"/>
      <c r="E425" s="2"/>
      <c r="F425" s="2"/>
      <c r="G425" s="2"/>
      <c r="I425" s="2"/>
    </row>
    <row r="426" spans="1:9" ht="12" customHeight="1" x14ac:dyDescent="0.15">
      <c r="A426" s="3"/>
      <c r="B426" s="2"/>
      <c r="C426" s="2"/>
      <c r="D426" s="2"/>
      <c r="E426" s="2"/>
      <c r="F426" s="2"/>
      <c r="G426" s="2"/>
      <c r="I426" s="2"/>
    </row>
    <row r="427" spans="1:9" ht="12" customHeight="1" x14ac:dyDescent="0.15">
      <c r="A427" s="3"/>
      <c r="B427" s="2"/>
      <c r="C427" s="2"/>
      <c r="D427" s="2"/>
      <c r="E427" s="2"/>
      <c r="F427" s="2"/>
      <c r="G427" s="2"/>
      <c r="I427" s="2"/>
    </row>
    <row r="428" spans="1:9" ht="12" customHeight="1" x14ac:dyDescent="0.15">
      <c r="A428" s="3"/>
      <c r="B428" s="2"/>
      <c r="C428" s="2"/>
      <c r="D428" s="2"/>
      <c r="E428" s="2"/>
      <c r="F428" s="2"/>
      <c r="G428" s="2"/>
      <c r="I428" s="2"/>
    </row>
    <row r="429" spans="1:9" ht="12" customHeight="1" x14ac:dyDescent="0.15">
      <c r="A429" s="3"/>
      <c r="B429" s="2"/>
      <c r="C429" s="2"/>
      <c r="D429" s="2"/>
      <c r="E429" s="2"/>
      <c r="F429" s="2"/>
      <c r="G429" s="2"/>
      <c r="I429" s="2"/>
    </row>
    <row r="430" spans="1:9" ht="12" customHeight="1" x14ac:dyDescent="0.15">
      <c r="A430" s="3"/>
      <c r="B430" s="2"/>
      <c r="C430" s="2"/>
      <c r="D430" s="2"/>
      <c r="E430" s="2"/>
      <c r="F430" s="2"/>
      <c r="G430" s="2"/>
      <c r="I430" s="2"/>
    </row>
    <row r="431" spans="1:9" ht="12" customHeight="1" x14ac:dyDescent="0.15">
      <c r="A431" s="3"/>
      <c r="B431" s="2"/>
      <c r="C431" s="2"/>
      <c r="D431" s="2"/>
      <c r="E431" s="2"/>
      <c r="F431" s="2"/>
      <c r="G431" s="2"/>
      <c r="I431" s="2"/>
    </row>
    <row r="432" spans="1:9" ht="12" customHeight="1" x14ac:dyDescent="0.15">
      <c r="A432" s="3"/>
      <c r="B432" s="2"/>
      <c r="C432" s="2"/>
      <c r="D432" s="2"/>
      <c r="E432" s="2"/>
      <c r="F432" s="2"/>
      <c r="G432" s="2"/>
      <c r="I432" s="2"/>
    </row>
    <row r="433" spans="1:9" ht="12" customHeight="1" x14ac:dyDescent="0.15">
      <c r="A433" s="3"/>
      <c r="B433" s="2"/>
      <c r="C433" s="2"/>
      <c r="D433" s="2"/>
      <c r="E433" s="2"/>
      <c r="F433" s="2"/>
      <c r="G433" s="2"/>
      <c r="I433" s="2"/>
    </row>
    <row r="434" spans="1:9" ht="12" customHeight="1" x14ac:dyDescent="0.15">
      <c r="A434" s="3"/>
      <c r="B434" s="2"/>
      <c r="C434" s="2"/>
      <c r="D434" s="2"/>
      <c r="E434" s="2"/>
      <c r="F434" s="2"/>
      <c r="G434" s="2"/>
      <c r="I434" s="2"/>
    </row>
    <row r="435" spans="1:9" ht="12" customHeight="1" x14ac:dyDescent="0.15">
      <c r="A435" s="3"/>
      <c r="B435" s="2"/>
      <c r="C435" s="2"/>
      <c r="D435" s="2"/>
      <c r="E435" s="2"/>
      <c r="F435" s="2"/>
      <c r="G435" s="2"/>
      <c r="I435" s="2"/>
    </row>
    <row r="436" spans="1:9" ht="12" customHeight="1" x14ac:dyDescent="0.15">
      <c r="A436" s="3"/>
      <c r="B436" s="2"/>
      <c r="C436" s="2"/>
      <c r="D436" s="2"/>
      <c r="E436" s="2"/>
      <c r="F436" s="2"/>
      <c r="G436" s="2"/>
      <c r="I436" s="2"/>
    </row>
    <row r="437" spans="1:9" ht="12" customHeight="1" x14ac:dyDescent="0.15">
      <c r="A437" s="3"/>
      <c r="B437" s="2"/>
      <c r="C437" s="2"/>
      <c r="D437" s="2"/>
      <c r="E437" s="2"/>
      <c r="F437" s="2"/>
      <c r="G437" s="2"/>
      <c r="I437" s="2"/>
    </row>
    <row r="438" spans="1:9" ht="12" customHeight="1" x14ac:dyDescent="0.15">
      <c r="A438" s="3"/>
      <c r="B438" s="2"/>
      <c r="C438" s="2"/>
      <c r="D438" s="2"/>
      <c r="E438" s="2"/>
      <c r="F438" s="2"/>
      <c r="G438" s="2"/>
      <c r="I438" s="2"/>
    </row>
    <row r="439" spans="1:9" ht="12" customHeight="1" x14ac:dyDescent="0.15">
      <c r="A439" s="3"/>
      <c r="B439" s="2"/>
      <c r="C439" s="2"/>
      <c r="D439" s="2"/>
      <c r="E439" s="2"/>
      <c r="F439" s="2"/>
      <c r="G439" s="2"/>
      <c r="I439" s="2"/>
    </row>
    <row r="440" spans="1:9" ht="12" customHeight="1" x14ac:dyDescent="0.15">
      <c r="A440" s="3"/>
      <c r="B440" s="2"/>
      <c r="C440" s="2"/>
      <c r="D440" s="2"/>
      <c r="E440" s="2"/>
      <c r="F440" s="2"/>
      <c r="G440" s="2"/>
      <c r="I440" s="2"/>
    </row>
    <row r="441" spans="1:9" ht="12" customHeight="1" x14ac:dyDescent="0.15">
      <c r="A441" s="3"/>
      <c r="B441" s="2"/>
      <c r="C441" s="2"/>
      <c r="D441" s="2"/>
      <c r="E441" s="2"/>
      <c r="F441" s="2"/>
      <c r="G441" s="2"/>
      <c r="I441" s="2"/>
    </row>
    <row r="442" spans="1:9" ht="12" customHeight="1" x14ac:dyDescent="0.15">
      <c r="A442" s="3"/>
      <c r="B442" s="2"/>
      <c r="C442" s="2"/>
      <c r="D442" s="2"/>
      <c r="E442" s="2"/>
      <c r="F442" s="2"/>
      <c r="G442" s="2"/>
      <c r="I442" s="2"/>
    </row>
    <row r="443" spans="1:9" ht="12" customHeight="1" x14ac:dyDescent="0.15">
      <c r="A443" s="3"/>
      <c r="B443" s="2"/>
      <c r="C443" s="2"/>
      <c r="D443" s="2"/>
      <c r="E443" s="2"/>
      <c r="F443" s="2"/>
      <c r="G443" s="2"/>
      <c r="I443" s="2"/>
    </row>
    <row r="444" spans="1:9" ht="12" customHeight="1" x14ac:dyDescent="0.15">
      <c r="A444" s="3"/>
      <c r="B444" s="2"/>
      <c r="C444" s="2"/>
      <c r="D444" s="2"/>
      <c r="E444" s="2"/>
      <c r="F444" s="2"/>
      <c r="G444" s="2"/>
      <c r="I444" s="2"/>
    </row>
    <row r="445" spans="1:9" ht="12" customHeight="1" x14ac:dyDescent="0.15">
      <c r="A445" s="3"/>
      <c r="B445" s="2"/>
      <c r="C445" s="2"/>
      <c r="D445" s="2"/>
      <c r="E445" s="2"/>
      <c r="F445" s="2"/>
      <c r="G445" s="2"/>
      <c r="I445" s="2"/>
    </row>
    <row r="446" spans="1:9" ht="12" customHeight="1" x14ac:dyDescent="0.15">
      <c r="A446" s="3"/>
      <c r="B446" s="2"/>
      <c r="C446" s="2"/>
      <c r="D446" s="2"/>
      <c r="E446" s="2"/>
      <c r="F446" s="2"/>
      <c r="G446" s="2"/>
      <c r="I446" s="2"/>
    </row>
    <row r="447" spans="1:9" ht="12" customHeight="1" x14ac:dyDescent="0.15">
      <c r="A447" s="3"/>
      <c r="B447" s="2"/>
      <c r="C447" s="2"/>
      <c r="D447" s="2"/>
      <c r="E447" s="2"/>
      <c r="F447" s="2"/>
      <c r="G447" s="2"/>
      <c r="I447" s="2"/>
    </row>
    <row r="448" spans="1:9" ht="12" customHeight="1" x14ac:dyDescent="0.15">
      <c r="A448" s="3"/>
      <c r="B448" s="2"/>
      <c r="C448" s="2"/>
      <c r="D448" s="2"/>
      <c r="E448" s="2"/>
      <c r="F448" s="2"/>
      <c r="G448" s="2"/>
      <c r="I448" s="2"/>
    </row>
    <row r="449" spans="1:9" ht="12" customHeight="1" x14ac:dyDescent="0.15">
      <c r="A449" s="3"/>
      <c r="B449" s="2"/>
      <c r="C449" s="2"/>
      <c r="D449" s="2"/>
      <c r="E449" s="2"/>
      <c r="F449" s="2"/>
      <c r="G449" s="2"/>
      <c r="I449" s="2"/>
    </row>
    <row r="450" spans="1:9" ht="12" customHeight="1" x14ac:dyDescent="0.15">
      <c r="A450" s="3"/>
      <c r="B450" s="2"/>
      <c r="C450" s="2"/>
      <c r="D450" s="2"/>
      <c r="E450" s="2"/>
      <c r="F450" s="2"/>
      <c r="G450" s="2"/>
      <c r="I450" s="2"/>
    </row>
    <row r="451" spans="1:9" ht="12" customHeight="1" x14ac:dyDescent="0.15">
      <c r="A451" s="3"/>
      <c r="B451" s="2"/>
      <c r="C451" s="2"/>
      <c r="D451" s="2"/>
      <c r="E451" s="2"/>
      <c r="F451" s="2"/>
      <c r="G451" s="2"/>
      <c r="I451" s="2"/>
    </row>
    <row r="452" spans="1:9" ht="12" customHeight="1" x14ac:dyDescent="0.15">
      <c r="A452" s="3"/>
      <c r="B452" s="2"/>
      <c r="C452" s="2"/>
      <c r="D452" s="2"/>
      <c r="E452" s="2"/>
      <c r="F452" s="2"/>
      <c r="G452" s="2"/>
      <c r="I452" s="2"/>
    </row>
    <row r="453" spans="1:9" ht="12" customHeight="1" x14ac:dyDescent="0.15">
      <c r="A453" s="3"/>
      <c r="B453" s="2"/>
      <c r="C453" s="2"/>
      <c r="D453" s="2"/>
      <c r="E453" s="2"/>
      <c r="F453" s="2"/>
      <c r="G453" s="2"/>
      <c r="I453" s="2"/>
    </row>
    <row r="454" spans="1:9" ht="12" customHeight="1" x14ac:dyDescent="0.15">
      <c r="A454" s="3"/>
      <c r="B454" s="2"/>
      <c r="C454" s="2"/>
      <c r="D454" s="2"/>
      <c r="E454" s="2"/>
      <c r="F454" s="2"/>
      <c r="G454" s="2"/>
      <c r="I454" s="2"/>
    </row>
    <row r="455" spans="1:9" ht="12" customHeight="1" x14ac:dyDescent="0.15">
      <c r="A455" s="3"/>
      <c r="B455" s="2"/>
      <c r="C455" s="2"/>
      <c r="D455" s="2"/>
      <c r="E455" s="2"/>
      <c r="F455" s="2"/>
      <c r="G455" s="2"/>
      <c r="I455" s="2"/>
    </row>
    <row r="456" spans="1:9" ht="12" customHeight="1" x14ac:dyDescent="0.15">
      <c r="A456" s="3"/>
      <c r="B456" s="2"/>
      <c r="C456" s="2"/>
      <c r="D456" s="2"/>
      <c r="E456" s="2"/>
      <c r="F456" s="2"/>
      <c r="G456" s="2"/>
      <c r="I456" s="2"/>
    </row>
    <row r="457" spans="1:9" ht="12" customHeight="1" x14ac:dyDescent="0.15">
      <c r="A457" s="3"/>
      <c r="B457" s="2"/>
      <c r="C457" s="2"/>
      <c r="D457" s="2"/>
      <c r="E457" s="2"/>
      <c r="F457" s="2"/>
      <c r="G457" s="2"/>
      <c r="I457" s="2"/>
    </row>
    <row r="458" spans="1:9" ht="12" customHeight="1" x14ac:dyDescent="0.15">
      <c r="A458" s="3"/>
      <c r="B458" s="2"/>
      <c r="C458" s="2"/>
      <c r="D458" s="2"/>
      <c r="E458" s="2"/>
      <c r="F458" s="2"/>
      <c r="G458" s="2"/>
      <c r="I458" s="2"/>
    </row>
    <row r="459" spans="1:9" ht="12" customHeight="1" x14ac:dyDescent="0.15">
      <c r="A459" s="3"/>
      <c r="B459" s="2"/>
      <c r="C459" s="2"/>
      <c r="D459" s="2"/>
      <c r="E459" s="2"/>
      <c r="F459" s="2"/>
      <c r="G459" s="2"/>
      <c r="I459" s="2"/>
    </row>
    <row r="460" spans="1:9" ht="12" customHeight="1" x14ac:dyDescent="0.15">
      <c r="A460" s="3"/>
      <c r="B460" s="2"/>
      <c r="C460" s="2"/>
      <c r="D460" s="2"/>
      <c r="E460" s="2"/>
      <c r="F460" s="2"/>
      <c r="G460" s="2"/>
      <c r="I460" s="2"/>
    </row>
    <row r="461" spans="1:9" ht="12" customHeight="1" x14ac:dyDescent="0.15">
      <c r="A461" s="3"/>
      <c r="B461" s="2"/>
      <c r="C461" s="2"/>
      <c r="D461" s="2"/>
      <c r="E461" s="2"/>
      <c r="F461" s="2"/>
      <c r="G461" s="2"/>
      <c r="I461" s="2"/>
    </row>
    <row r="462" spans="1:9" ht="12" customHeight="1" x14ac:dyDescent="0.15">
      <c r="A462" s="3"/>
      <c r="B462" s="2"/>
      <c r="C462" s="2"/>
      <c r="D462" s="2"/>
      <c r="E462" s="2"/>
      <c r="F462" s="2"/>
      <c r="G462" s="2"/>
      <c r="I462" s="2"/>
    </row>
    <row r="463" spans="1:9" ht="12" customHeight="1" x14ac:dyDescent="0.15">
      <c r="A463" s="3"/>
      <c r="B463" s="2"/>
      <c r="C463" s="2"/>
      <c r="D463" s="2"/>
      <c r="E463" s="2"/>
      <c r="F463" s="2"/>
      <c r="G463" s="2"/>
      <c r="I463" s="2"/>
    </row>
    <row r="464" spans="1:9" ht="12" customHeight="1" x14ac:dyDescent="0.15">
      <c r="A464" s="3"/>
      <c r="B464" s="2"/>
      <c r="C464" s="2"/>
      <c r="D464" s="2"/>
      <c r="E464" s="2"/>
      <c r="F464" s="2"/>
      <c r="G464" s="2"/>
      <c r="I464" s="2"/>
    </row>
    <row r="465" spans="1:9" ht="12" customHeight="1" x14ac:dyDescent="0.15">
      <c r="A465" s="3"/>
      <c r="B465" s="2"/>
      <c r="C465" s="2"/>
      <c r="D465" s="2"/>
      <c r="E465" s="2"/>
      <c r="F465" s="2"/>
      <c r="G465" s="2"/>
      <c r="I465" s="2"/>
    </row>
    <row r="466" spans="1:9" ht="12" customHeight="1" x14ac:dyDescent="0.15">
      <c r="A466" s="3"/>
      <c r="B466" s="2"/>
      <c r="C466" s="2"/>
      <c r="D466" s="2"/>
      <c r="E466" s="2"/>
      <c r="F466" s="2"/>
      <c r="G466" s="2"/>
      <c r="I466" s="2"/>
    </row>
    <row r="467" spans="1:9" ht="12" customHeight="1" x14ac:dyDescent="0.15">
      <c r="A467" s="3"/>
      <c r="B467" s="2"/>
      <c r="C467" s="2"/>
      <c r="D467" s="2"/>
      <c r="E467" s="2"/>
      <c r="F467" s="2"/>
      <c r="G467" s="2"/>
      <c r="I467" s="2"/>
    </row>
    <row r="468" spans="1:9" ht="12" customHeight="1" x14ac:dyDescent="0.15">
      <c r="A468" s="3"/>
      <c r="B468" s="2"/>
      <c r="C468" s="2"/>
      <c r="D468" s="2"/>
      <c r="E468" s="2"/>
      <c r="F468" s="2"/>
      <c r="G468" s="2"/>
      <c r="I468" s="2"/>
    </row>
    <row r="469" spans="1:9" ht="12" customHeight="1" x14ac:dyDescent="0.15">
      <c r="A469" s="3"/>
      <c r="B469" s="2"/>
      <c r="C469" s="2"/>
      <c r="D469" s="2"/>
      <c r="E469" s="2"/>
      <c r="F469" s="2"/>
      <c r="G469" s="2"/>
      <c r="I469" s="2"/>
    </row>
    <row r="470" spans="1:9" ht="12" customHeight="1" x14ac:dyDescent="0.15">
      <c r="A470" s="3"/>
      <c r="B470" s="2"/>
      <c r="C470" s="2"/>
      <c r="D470" s="2"/>
      <c r="E470" s="2"/>
      <c r="F470" s="2"/>
      <c r="G470" s="2"/>
      <c r="I470" s="2"/>
    </row>
    <row r="471" spans="1:9" ht="12" customHeight="1" x14ac:dyDescent="0.15">
      <c r="A471" s="3"/>
      <c r="B471" s="2"/>
      <c r="C471" s="2"/>
      <c r="D471" s="2"/>
      <c r="E471" s="2"/>
      <c r="F471" s="2"/>
      <c r="G471" s="2"/>
      <c r="I471" s="2"/>
    </row>
    <row r="472" spans="1:9" ht="12" customHeight="1" x14ac:dyDescent="0.15">
      <c r="A472" s="3"/>
      <c r="B472" s="2"/>
      <c r="C472" s="2"/>
      <c r="D472" s="2"/>
      <c r="E472" s="2"/>
      <c r="F472" s="2"/>
      <c r="G472" s="2"/>
      <c r="I472" s="2"/>
    </row>
    <row r="473" spans="1:9" ht="12" customHeight="1" x14ac:dyDescent="0.15">
      <c r="A473" s="3"/>
      <c r="B473" s="2"/>
      <c r="C473" s="2"/>
      <c r="D473" s="2"/>
      <c r="E473" s="2"/>
      <c r="F473" s="2"/>
      <c r="G473" s="2"/>
      <c r="I473" s="2"/>
    </row>
    <row r="474" spans="1:9" ht="12" customHeight="1" x14ac:dyDescent="0.15">
      <c r="A474" s="3"/>
      <c r="B474" s="2"/>
      <c r="C474" s="2"/>
      <c r="D474" s="2"/>
      <c r="E474" s="2"/>
      <c r="F474" s="2"/>
      <c r="G474" s="2"/>
      <c r="I474" s="2"/>
    </row>
    <row r="475" spans="1:9" ht="12" customHeight="1" x14ac:dyDescent="0.15">
      <c r="A475" s="3"/>
      <c r="B475" s="2"/>
      <c r="C475" s="2"/>
      <c r="D475" s="2"/>
      <c r="E475" s="2"/>
      <c r="F475" s="2"/>
      <c r="G475" s="2"/>
      <c r="I475" s="2"/>
    </row>
    <row r="476" spans="1:9" ht="12" customHeight="1" x14ac:dyDescent="0.15">
      <c r="A476" s="3"/>
      <c r="B476" s="2"/>
      <c r="C476" s="2"/>
      <c r="D476" s="2"/>
      <c r="E476" s="2"/>
      <c r="F476" s="2"/>
      <c r="G476" s="2"/>
      <c r="I476" s="2"/>
    </row>
    <row r="477" spans="1:9" ht="12" customHeight="1" x14ac:dyDescent="0.15">
      <c r="A477" s="3"/>
      <c r="B477" s="2"/>
      <c r="C477" s="2"/>
      <c r="D477" s="2"/>
      <c r="E477" s="2"/>
      <c r="F477" s="2"/>
      <c r="G477" s="2"/>
      <c r="I477" s="2"/>
    </row>
    <row r="478" spans="1:9" ht="12" customHeight="1" x14ac:dyDescent="0.15">
      <c r="A478" s="3"/>
      <c r="B478" s="2"/>
      <c r="C478" s="2"/>
      <c r="D478" s="2"/>
      <c r="E478" s="2"/>
      <c r="F478" s="2"/>
      <c r="G478" s="2"/>
      <c r="I478" s="2"/>
    </row>
    <row r="479" spans="1:9" ht="12" customHeight="1" x14ac:dyDescent="0.15">
      <c r="A479" s="3"/>
      <c r="B479" s="2"/>
      <c r="C479" s="2"/>
      <c r="D479" s="2"/>
      <c r="E479" s="2"/>
      <c r="F479" s="2"/>
      <c r="G479" s="2"/>
      <c r="I479" s="2"/>
    </row>
    <row r="480" spans="1:9" ht="12" customHeight="1" x14ac:dyDescent="0.15">
      <c r="A480" s="3"/>
      <c r="B480" s="2"/>
      <c r="C480" s="2"/>
      <c r="D480" s="2"/>
      <c r="E480" s="2"/>
      <c r="F480" s="2"/>
      <c r="G480" s="2"/>
      <c r="I480" s="2"/>
    </row>
    <row r="481" spans="1:9" ht="12" customHeight="1" x14ac:dyDescent="0.15">
      <c r="A481" s="3"/>
      <c r="B481" s="2"/>
      <c r="C481" s="2"/>
      <c r="D481" s="2"/>
      <c r="E481" s="2"/>
      <c r="F481" s="2"/>
      <c r="G481" s="2"/>
      <c r="I481" s="2"/>
    </row>
    <row r="482" spans="1:9" ht="12" customHeight="1" x14ac:dyDescent="0.15">
      <c r="A482" s="3"/>
      <c r="B482" s="2"/>
      <c r="C482" s="2"/>
      <c r="D482" s="2"/>
      <c r="E482" s="2"/>
      <c r="F482" s="2"/>
      <c r="G482" s="2"/>
      <c r="I482" s="2"/>
    </row>
    <row r="483" spans="1:9" ht="12" customHeight="1" x14ac:dyDescent="0.15">
      <c r="A483" s="3"/>
      <c r="B483" s="2"/>
      <c r="C483" s="2"/>
      <c r="D483" s="2"/>
      <c r="E483" s="2"/>
      <c r="F483" s="2"/>
      <c r="G483" s="2"/>
      <c r="I483" s="2"/>
    </row>
    <row r="484" spans="1:9" ht="12" customHeight="1" x14ac:dyDescent="0.15">
      <c r="A484" s="3"/>
      <c r="B484" s="2"/>
      <c r="C484" s="2"/>
      <c r="D484" s="2"/>
      <c r="E484" s="2"/>
      <c r="F484" s="2"/>
      <c r="G484" s="2"/>
      <c r="I484" s="2"/>
    </row>
    <row r="485" spans="1:9" ht="12" customHeight="1" x14ac:dyDescent="0.15">
      <c r="A485" s="3"/>
      <c r="B485" s="2"/>
      <c r="C485" s="2"/>
      <c r="D485" s="2"/>
      <c r="E485" s="2"/>
      <c r="F485" s="2"/>
      <c r="G485" s="2"/>
      <c r="I485" s="2"/>
    </row>
    <row r="486" spans="1:9" ht="12" customHeight="1" x14ac:dyDescent="0.15">
      <c r="A486" s="3"/>
      <c r="B486" s="2"/>
      <c r="C486" s="2"/>
      <c r="D486" s="2"/>
      <c r="E486" s="2"/>
      <c r="F486" s="2"/>
      <c r="G486" s="2"/>
      <c r="I486" s="2"/>
    </row>
    <row r="487" spans="1:9" ht="12" customHeight="1" x14ac:dyDescent="0.15">
      <c r="A487" s="3"/>
      <c r="B487" s="2"/>
      <c r="C487" s="2"/>
      <c r="D487" s="2"/>
      <c r="E487" s="2"/>
      <c r="F487" s="2"/>
      <c r="G487" s="2"/>
      <c r="I487" s="2"/>
    </row>
    <row r="488" spans="1:9" ht="12" customHeight="1" x14ac:dyDescent="0.15">
      <c r="A488" s="3"/>
      <c r="B488" s="2"/>
      <c r="C488" s="2"/>
      <c r="D488" s="2"/>
      <c r="E488" s="2"/>
      <c r="F488" s="2"/>
      <c r="G488" s="2"/>
      <c r="I488" s="2"/>
    </row>
    <row r="489" spans="1:9" ht="12" customHeight="1" x14ac:dyDescent="0.15">
      <c r="A489" s="3"/>
      <c r="B489" s="2"/>
      <c r="C489" s="2"/>
      <c r="D489" s="2"/>
      <c r="E489" s="2"/>
      <c r="F489" s="2"/>
      <c r="G489" s="2"/>
      <c r="I489" s="2"/>
    </row>
    <row r="490" spans="1:9" ht="12" customHeight="1" x14ac:dyDescent="0.15">
      <c r="A490" s="3"/>
      <c r="B490" s="2"/>
      <c r="C490" s="2"/>
      <c r="D490" s="2"/>
      <c r="E490" s="2"/>
      <c r="F490" s="2"/>
      <c r="G490" s="2"/>
      <c r="I490" s="2"/>
    </row>
    <row r="491" spans="1:9" ht="12" customHeight="1" x14ac:dyDescent="0.15">
      <c r="A491" s="3"/>
      <c r="B491" s="2"/>
      <c r="C491" s="2"/>
      <c r="D491" s="2"/>
      <c r="E491" s="2"/>
      <c r="F491" s="2"/>
      <c r="G491" s="2"/>
      <c r="I491" s="2"/>
    </row>
    <row r="492" spans="1:9" ht="12" customHeight="1" x14ac:dyDescent="0.15">
      <c r="A492" s="3"/>
      <c r="B492" s="2"/>
      <c r="C492" s="2"/>
      <c r="D492" s="2"/>
      <c r="E492" s="2"/>
      <c r="F492" s="2"/>
      <c r="G492" s="2"/>
      <c r="I492" s="2"/>
    </row>
    <row r="493" spans="1:9" ht="12" customHeight="1" x14ac:dyDescent="0.15">
      <c r="A493" s="3"/>
      <c r="B493" s="2"/>
      <c r="C493" s="2"/>
      <c r="D493" s="2"/>
      <c r="E493" s="2"/>
      <c r="F493" s="2"/>
      <c r="G493" s="2"/>
      <c r="I493" s="2"/>
    </row>
    <row r="494" spans="1:9" ht="12" customHeight="1" x14ac:dyDescent="0.15">
      <c r="A494" s="3"/>
      <c r="B494" s="2"/>
      <c r="C494" s="2"/>
      <c r="D494" s="2"/>
      <c r="E494" s="2"/>
      <c r="F494" s="2"/>
      <c r="G494" s="2"/>
      <c r="I494" s="2"/>
    </row>
    <row r="495" spans="1:9" ht="12" customHeight="1" x14ac:dyDescent="0.15">
      <c r="A495" s="3"/>
      <c r="B495" s="2"/>
      <c r="C495" s="2"/>
      <c r="D495" s="2"/>
      <c r="E495" s="2"/>
      <c r="F495" s="2"/>
      <c r="G495" s="2"/>
      <c r="I495" s="2"/>
    </row>
    <row r="496" spans="1:9" ht="12" customHeight="1" x14ac:dyDescent="0.15">
      <c r="A496" s="3"/>
      <c r="B496" s="2"/>
      <c r="C496" s="2"/>
      <c r="D496" s="2"/>
      <c r="E496" s="2"/>
      <c r="F496" s="2"/>
      <c r="G496" s="2"/>
      <c r="I496" s="2"/>
    </row>
    <row r="497" spans="1:9" ht="12" customHeight="1" x14ac:dyDescent="0.15">
      <c r="A497" s="3"/>
      <c r="B497" s="2"/>
      <c r="C497" s="2"/>
      <c r="D497" s="2"/>
      <c r="E497" s="2"/>
      <c r="F497" s="2"/>
      <c r="G497" s="2"/>
      <c r="I497" s="2"/>
    </row>
    <row r="498" spans="1:9" ht="12" customHeight="1" x14ac:dyDescent="0.15">
      <c r="A498" s="3"/>
      <c r="B498" s="2"/>
      <c r="C498" s="2"/>
      <c r="D498" s="2"/>
      <c r="E498" s="2"/>
      <c r="F498" s="2"/>
      <c r="G498" s="2"/>
      <c r="I498" s="2"/>
    </row>
    <row r="499" spans="1:9" ht="12" customHeight="1" x14ac:dyDescent="0.15">
      <c r="A499" s="3"/>
      <c r="B499" s="2"/>
      <c r="C499" s="2"/>
      <c r="D499" s="2"/>
      <c r="E499" s="2"/>
      <c r="F499" s="2"/>
      <c r="G499" s="2"/>
      <c r="I499" s="2"/>
    </row>
    <row r="500" spans="1:9" ht="12" customHeight="1" x14ac:dyDescent="0.15">
      <c r="A500" s="3"/>
      <c r="B500" s="2"/>
      <c r="C500" s="2"/>
      <c r="D500" s="2"/>
      <c r="E500" s="2"/>
      <c r="F500" s="2"/>
      <c r="G500" s="2"/>
      <c r="I500" s="2"/>
    </row>
    <row r="501" spans="1:9" ht="12" customHeight="1" x14ac:dyDescent="0.15">
      <c r="A501" s="3"/>
      <c r="B501" s="2"/>
      <c r="C501" s="2"/>
      <c r="D501" s="2"/>
      <c r="E501" s="2"/>
      <c r="F501" s="2"/>
      <c r="G501" s="2"/>
      <c r="I501" s="2"/>
    </row>
    <row r="502" spans="1:9" ht="12" customHeight="1" x14ac:dyDescent="0.15">
      <c r="A502" s="3"/>
      <c r="B502" s="2"/>
      <c r="C502" s="2"/>
      <c r="D502" s="2"/>
      <c r="E502" s="2"/>
      <c r="F502" s="2"/>
      <c r="G502" s="2"/>
      <c r="I502" s="2"/>
    </row>
    <row r="503" spans="1:9" ht="12" customHeight="1" x14ac:dyDescent="0.15">
      <c r="A503" s="3"/>
      <c r="B503" s="2"/>
      <c r="C503" s="2"/>
      <c r="D503" s="2"/>
      <c r="E503" s="2"/>
      <c r="F503" s="2"/>
      <c r="G503" s="2"/>
      <c r="I503" s="2"/>
    </row>
    <row r="504" spans="1:9" ht="12" customHeight="1" x14ac:dyDescent="0.15">
      <c r="A504" s="3"/>
      <c r="B504" s="2"/>
      <c r="C504" s="2"/>
      <c r="D504" s="2"/>
      <c r="E504" s="2"/>
      <c r="F504" s="2"/>
      <c r="G504" s="2"/>
      <c r="I504" s="2"/>
    </row>
    <row r="505" spans="1:9" ht="12" customHeight="1" x14ac:dyDescent="0.15">
      <c r="A505" s="3"/>
      <c r="B505" s="2"/>
      <c r="C505" s="2"/>
      <c r="D505" s="2"/>
      <c r="E505" s="2"/>
      <c r="F505" s="2"/>
      <c r="G505" s="2"/>
      <c r="I505" s="2"/>
    </row>
    <row r="506" spans="1:9" ht="12" customHeight="1" x14ac:dyDescent="0.15">
      <c r="A506" s="3"/>
      <c r="B506" s="2"/>
      <c r="C506" s="2"/>
      <c r="D506" s="2"/>
      <c r="E506" s="2"/>
      <c r="F506" s="2"/>
      <c r="G506" s="2"/>
      <c r="I506" s="2"/>
    </row>
    <row r="507" spans="1:9" ht="12" customHeight="1" x14ac:dyDescent="0.15">
      <c r="A507" s="3"/>
      <c r="B507" s="2"/>
      <c r="C507" s="2"/>
      <c r="D507" s="2"/>
      <c r="E507" s="2"/>
      <c r="F507" s="2"/>
      <c r="G507" s="2"/>
      <c r="I507" s="2"/>
    </row>
    <row r="508" spans="1:9" ht="12" customHeight="1" x14ac:dyDescent="0.15">
      <c r="A508" s="3"/>
      <c r="B508" s="2"/>
      <c r="C508" s="2"/>
      <c r="D508" s="2"/>
      <c r="E508" s="2"/>
      <c r="F508" s="2"/>
      <c r="G508" s="2"/>
      <c r="I508" s="2"/>
    </row>
    <row r="509" spans="1:9" ht="12" customHeight="1" x14ac:dyDescent="0.15">
      <c r="A509" s="3"/>
      <c r="B509" s="2"/>
      <c r="C509" s="2"/>
      <c r="D509" s="2"/>
      <c r="E509" s="2"/>
      <c r="F509" s="2"/>
      <c r="G509" s="2"/>
      <c r="I509" s="2"/>
    </row>
    <row r="510" spans="1:9" ht="12" customHeight="1" x14ac:dyDescent="0.15">
      <c r="A510" s="3"/>
      <c r="B510" s="2"/>
      <c r="C510" s="2"/>
      <c r="D510" s="2"/>
      <c r="E510" s="2"/>
      <c r="F510" s="2"/>
      <c r="G510" s="2"/>
      <c r="I510" s="2"/>
    </row>
    <row r="511" spans="1:9" ht="12" customHeight="1" x14ac:dyDescent="0.15">
      <c r="A511" s="3"/>
      <c r="B511" s="2"/>
      <c r="C511" s="2"/>
      <c r="D511" s="2"/>
      <c r="E511" s="2"/>
      <c r="F511" s="2"/>
      <c r="G511" s="2"/>
      <c r="I511" s="2"/>
    </row>
    <row r="512" spans="1:9" ht="12" customHeight="1" x14ac:dyDescent="0.15">
      <c r="A512" s="3"/>
      <c r="B512" s="2"/>
      <c r="C512" s="2"/>
      <c r="D512" s="2"/>
      <c r="E512" s="2"/>
      <c r="F512" s="2"/>
      <c r="G512" s="2"/>
      <c r="I512" s="2"/>
    </row>
    <row r="513" spans="1:9" ht="12" customHeight="1" x14ac:dyDescent="0.15">
      <c r="A513" s="3"/>
      <c r="B513" s="2"/>
      <c r="C513" s="2"/>
      <c r="D513" s="2"/>
      <c r="E513" s="2"/>
      <c r="F513" s="2"/>
      <c r="G513" s="2"/>
      <c r="I513" s="2"/>
    </row>
    <row r="514" spans="1:9" ht="12" customHeight="1" x14ac:dyDescent="0.15">
      <c r="A514" s="3"/>
      <c r="B514" s="2"/>
      <c r="C514" s="2"/>
      <c r="D514" s="2"/>
      <c r="E514" s="2"/>
      <c r="F514" s="2"/>
      <c r="G514" s="2"/>
      <c r="I514" s="2"/>
    </row>
    <row r="515" spans="1:9" ht="12" customHeight="1" x14ac:dyDescent="0.15">
      <c r="A515" s="3"/>
      <c r="B515" s="2"/>
      <c r="C515" s="2"/>
      <c r="D515" s="2"/>
      <c r="E515" s="2"/>
      <c r="F515" s="2"/>
      <c r="G515" s="2"/>
      <c r="I515" s="2"/>
    </row>
    <row r="516" spans="1:9" ht="12" customHeight="1" x14ac:dyDescent="0.15">
      <c r="A516" s="3"/>
      <c r="B516" s="2"/>
      <c r="C516" s="2"/>
      <c r="D516" s="2"/>
      <c r="E516" s="2"/>
      <c r="F516" s="2"/>
      <c r="G516" s="2"/>
      <c r="I516" s="2"/>
    </row>
    <row r="517" spans="1:9" ht="12" customHeight="1" x14ac:dyDescent="0.15">
      <c r="A517" s="3"/>
      <c r="B517" s="2"/>
      <c r="C517" s="2"/>
      <c r="D517" s="2"/>
      <c r="E517" s="2"/>
      <c r="F517" s="2"/>
      <c r="G517" s="2"/>
      <c r="I517" s="2"/>
    </row>
    <row r="518" spans="1:9" ht="12" customHeight="1" x14ac:dyDescent="0.15">
      <c r="A518" s="3"/>
      <c r="B518" s="2"/>
      <c r="C518" s="2"/>
      <c r="D518" s="2"/>
      <c r="E518" s="2"/>
      <c r="F518" s="2"/>
      <c r="G518" s="2"/>
      <c r="I518" s="2"/>
    </row>
    <row r="519" spans="1:9" ht="12" customHeight="1" x14ac:dyDescent="0.15">
      <c r="A519" s="3"/>
      <c r="B519" s="2"/>
      <c r="C519" s="2"/>
      <c r="D519" s="2"/>
      <c r="E519" s="2"/>
      <c r="F519" s="2"/>
      <c r="G519" s="2"/>
      <c r="I519" s="2"/>
    </row>
    <row r="520" spans="1:9" ht="12" customHeight="1" x14ac:dyDescent="0.15">
      <c r="A520" s="3"/>
      <c r="B520" s="2"/>
      <c r="C520" s="2"/>
      <c r="D520" s="2"/>
      <c r="E520" s="2"/>
      <c r="F520" s="2"/>
      <c r="G520" s="2"/>
      <c r="I520" s="2"/>
    </row>
    <row r="521" spans="1:9" ht="12" customHeight="1" x14ac:dyDescent="0.15">
      <c r="A521" s="3"/>
      <c r="B521" s="2"/>
      <c r="C521" s="2"/>
      <c r="D521" s="2"/>
      <c r="E521" s="2"/>
      <c r="F521" s="2"/>
      <c r="G521" s="2"/>
      <c r="I521" s="2"/>
    </row>
    <row r="522" spans="1:9" ht="12" customHeight="1" x14ac:dyDescent="0.15">
      <c r="A522" s="3"/>
      <c r="B522" s="2"/>
      <c r="C522" s="2"/>
      <c r="D522" s="2"/>
      <c r="E522" s="2"/>
      <c r="F522" s="2"/>
      <c r="G522" s="2"/>
      <c r="I522" s="2"/>
    </row>
    <row r="523" spans="1:9" ht="12" customHeight="1" x14ac:dyDescent="0.15">
      <c r="A523" s="3"/>
      <c r="B523" s="2"/>
      <c r="C523" s="2"/>
      <c r="D523" s="2"/>
      <c r="E523" s="2"/>
      <c r="F523" s="2"/>
      <c r="G523" s="2"/>
      <c r="I523" s="2"/>
    </row>
    <row r="524" spans="1:9" ht="12" customHeight="1" x14ac:dyDescent="0.15">
      <c r="A524" s="3"/>
      <c r="B524" s="2"/>
      <c r="C524" s="2"/>
      <c r="D524" s="2"/>
      <c r="E524" s="2"/>
      <c r="F524" s="2"/>
      <c r="G524" s="2"/>
      <c r="I524" s="2"/>
    </row>
    <row r="525" spans="1:9" ht="12" customHeight="1" x14ac:dyDescent="0.15">
      <c r="A525" s="3"/>
      <c r="B525" s="2"/>
      <c r="C525" s="2"/>
      <c r="D525" s="2"/>
      <c r="E525" s="2"/>
      <c r="F525" s="2"/>
      <c r="G525" s="2"/>
      <c r="I525" s="2"/>
    </row>
    <row r="526" spans="1:9" ht="12" customHeight="1" x14ac:dyDescent="0.15">
      <c r="A526" s="3"/>
      <c r="B526" s="2"/>
      <c r="C526" s="2"/>
      <c r="D526" s="2"/>
      <c r="E526" s="2"/>
      <c r="F526" s="2"/>
      <c r="G526" s="2"/>
      <c r="I526" s="2"/>
    </row>
    <row r="527" spans="1:9" ht="12" customHeight="1" x14ac:dyDescent="0.15">
      <c r="A527" s="3"/>
      <c r="B527" s="2"/>
      <c r="C527" s="2"/>
      <c r="D527" s="2"/>
      <c r="E527" s="2"/>
      <c r="F527" s="2"/>
      <c r="G527" s="2"/>
      <c r="I527" s="2"/>
    </row>
    <row r="528" spans="1:9" ht="12" customHeight="1" x14ac:dyDescent="0.15">
      <c r="A528" s="3"/>
      <c r="B528" s="2"/>
      <c r="C528" s="2"/>
      <c r="D528" s="2"/>
      <c r="E528" s="2"/>
      <c r="F528" s="2"/>
      <c r="G528" s="2"/>
      <c r="I528" s="2"/>
    </row>
    <row r="529" spans="1:9" ht="12" customHeight="1" x14ac:dyDescent="0.15">
      <c r="A529" s="3"/>
      <c r="B529" s="2"/>
      <c r="C529" s="2"/>
      <c r="D529" s="2"/>
      <c r="E529" s="2"/>
      <c r="F529" s="2"/>
      <c r="G529" s="2"/>
      <c r="I529" s="2"/>
    </row>
    <row r="530" spans="1:9" ht="12" customHeight="1" x14ac:dyDescent="0.15">
      <c r="A530" s="3"/>
      <c r="B530" s="2"/>
      <c r="C530" s="2"/>
      <c r="D530" s="2"/>
      <c r="E530" s="2"/>
      <c r="F530" s="2"/>
      <c r="G530" s="2"/>
      <c r="I530" s="2"/>
    </row>
    <row r="531" spans="1:9" ht="12" customHeight="1" x14ac:dyDescent="0.15">
      <c r="A531" s="3"/>
      <c r="B531" s="2"/>
      <c r="C531" s="2"/>
      <c r="D531" s="2"/>
      <c r="E531" s="2"/>
      <c r="F531" s="2"/>
      <c r="G531" s="2"/>
      <c r="I531" s="2"/>
    </row>
    <row r="532" spans="1:9" ht="12" customHeight="1" x14ac:dyDescent="0.15">
      <c r="A532" s="3"/>
      <c r="B532" s="2"/>
      <c r="C532" s="2"/>
      <c r="D532" s="2"/>
      <c r="E532" s="2"/>
      <c r="F532" s="2"/>
      <c r="G532" s="2"/>
      <c r="I532" s="2"/>
    </row>
    <row r="533" spans="1:9" ht="12" customHeight="1" x14ac:dyDescent="0.15">
      <c r="A533" s="3"/>
      <c r="B533" s="2"/>
      <c r="C533" s="2"/>
      <c r="D533" s="2"/>
      <c r="E533" s="2"/>
      <c r="F533" s="2"/>
      <c r="G533" s="2"/>
      <c r="I533" s="2"/>
    </row>
    <row r="534" spans="1:9" ht="12" customHeight="1" x14ac:dyDescent="0.15">
      <c r="A534" s="3"/>
      <c r="B534" s="2"/>
      <c r="C534" s="2"/>
      <c r="D534" s="2"/>
      <c r="E534" s="2"/>
      <c r="F534" s="2"/>
      <c r="G534" s="2"/>
      <c r="I534" s="2"/>
    </row>
    <row r="535" spans="1:9" ht="12" customHeight="1" x14ac:dyDescent="0.15">
      <c r="A535" s="3"/>
      <c r="B535" s="2"/>
      <c r="C535" s="2"/>
      <c r="D535" s="2"/>
      <c r="E535" s="2"/>
      <c r="F535" s="2"/>
      <c r="G535" s="2"/>
      <c r="I535" s="2"/>
    </row>
    <row r="536" spans="1:9" ht="12" customHeight="1" x14ac:dyDescent="0.15">
      <c r="A536" s="3"/>
      <c r="B536" s="2"/>
      <c r="C536" s="2"/>
      <c r="D536" s="2"/>
      <c r="E536" s="2"/>
      <c r="F536" s="2"/>
      <c r="G536" s="2"/>
      <c r="I536" s="2"/>
    </row>
    <row r="537" spans="1:9" ht="12" customHeight="1" x14ac:dyDescent="0.15">
      <c r="A537" s="3"/>
      <c r="B537" s="2"/>
      <c r="C537" s="2"/>
      <c r="D537" s="2"/>
      <c r="E537" s="2"/>
      <c r="F537" s="2"/>
      <c r="G537" s="2"/>
      <c r="I537" s="2"/>
    </row>
    <row r="538" spans="1:9" ht="12" customHeight="1" x14ac:dyDescent="0.15">
      <c r="A538" s="3"/>
      <c r="B538" s="2"/>
      <c r="C538" s="2"/>
      <c r="D538" s="2"/>
      <c r="E538" s="2"/>
      <c r="F538" s="2"/>
      <c r="G538" s="2"/>
      <c r="I538" s="2"/>
    </row>
    <row r="539" spans="1:9" ht="12" customHeight="1" x14ac:dyDescent="0.15">
      <c r="A539" s="3"/>
      <c r="B539" s="2"/>
      <c r="C539" s="2"/>
      <c r="D539" s="2"/>
      <c r="E539" s="2"/>
      <c r="F539" s="2"/>
      <c r="G539" s="2"/>
      <c r="I539" s="2"/>
    </row>
    <row r="540" spans="1:9" ht="12" customHeight="1" x14ac:dyDescent="0.15">
      <c r="A540" s="3"/>
      <c r="B540" s="2"/>
      <c r="C540" s="2"/>
      <c r="D540" s="2"/>
      <c r="E540" s="2"/>
      <c r="F540" s="2"/>
      <c r="G540" s="2"/>
      <c r="I540" s="2"/>
    </row>
    <row r="541" spans="1:9" ht="12" customHeight="1" x14ac:dyDescent="0.15">
      <c r="A541" s="3"/>
      <c r="B541" s="2"/>
      <c r="C541" s="2"/>
      <c r="D541" s="2"/>
      <c r="E541" s="2"/>
      <c r="F541" s="2"/>
      <c r="G541" s="2"/>
      <c r="I541" s="2"/>
    </row>
    <row r="542" spans="1:9" ht="12" customHeight="1" x14ac:dyDescent="0.15">
      <c r="A542" s="3"/>
      <c r="B542" s="2"/>
      <c r="C542" s="2"/>
      <c r="D542" s="2"/>
      <c r="E542" s="2"/>
      <c r="F542" s="2"/>
      <c r="G542" s="2"/>
      <c r="I542" s="2"/>
    </row>
    <row r="543" spans="1:9" ht="12" customHeight="1" x14ac:dyDescent="0.15">
      <c r="A543" s="3"/>
      <c r="B543" s="2"/>
      <c r="C543" s="2"/>
      <c r="D543" s="2"/>
      <c r="E543" s="2"/>
      <c r="F543" s="2"/>
      <c r="G543" s="2"/>
      <c r="I543" s="2"/>
    </row>
    <row r="544" spans="1:9" ht="12" customHeight="1" x14ac:dyDescent="0.15">
      <c r="A544" s="3"/>
      <c r="B544" s="2"/>
      <c r="C544" s="2"/>
      <c r="D544" s="2"/>
      <c r="E544" s="2"/>
      <c r="F544" s="2"/>
      <c r="G544" s="2"/>
      <c r="I544" s="2"/>
    </row>
    <row r="545" spans="1:9" ht="12" customHeight="1" x14ac:dyDescent="0.15">
      <c r="A545" s="3"/>
      <c r="B545" s="2"/>
      <c r="C545" s="2"/>
      <c r="D545" s="2"/>
      <c r="E545" s="2"/>
      <c r="F545" s="2"/>
      <c r="G545" s="2"/>
      <c r="I545" s="2"/>
    </row>
    <row r="546" spans="1:9" ht="12" customHeight="1" x14ac:dyDescent="0.15">
      <c r="A546" s="3"/>
      <c r="B546" s="2"/>
      <c r="C546" s="2"/>
      <c r="D546" s="2"/>
      <c r="E546" s="2"/>
      <c r="F546" s="2"/>
      <c r="G546" s="2"/>
      <c r="I546" s="2"/>
    </row>
    <row r="547" spans="1:9" ht="12" customHeight="1" x14ac:dyDescent="0.15">
      <c r="A547" s="3"/>
      <c r="B547" s="2"/>
      <c r="C547" s="2"/>
      <c r="D547" s="2"/>
      <c r="E547" s="2"/>
      <c r="F547" s="2"/>
      <c r="G547" s="2"/>
      <c r="I547" s="2"/>
    </row>
    <row r="548" spans="1:9" ht="12" customHeight="1" x14ac:dyDescent="0.15">
      <c r="A548" s="3"/>
      <c r="B548" s="2"/>
      <c r="C548" s="2"/>
      <c r="D548" s="2"/>
      <c r="E548" s="2"/>
      <c r="F548" s="2"/>
      <c r="G548" s="2"/>
      <c r="I548" s="2"/>
    </row>
    <row r="549" spans="1:9" ht="12" customHeight="1" x14ac:dyDescent="0.15">
      <c r="A549" s="3"/>
      <c r="B549" s="2"/>
      <c r="C549" s="2"/>
      <c r="D549" s="2"/>
      <c r="E549" s="2"/>
      <c r="F549" s="2"/>
      <c r="G549" s="2"/>
      <c r="I549" s="2"/>
    </row>
    <row r="550" spans="1:9" ht="12" customHeight="1" x14ac:dyDescent="0.15">
      <c r="A550" s="3"/>
      <c r="B550" s="2"/>
      <c r="C550" s="2"/>
      <c r="D550" s="2"/>
      <c r="E550" s="2"/>
      <c r="F550" s="2"/>
      <c r="G550" s="2"/>
      <c r="I550" s="2"/>
    </row>
    <row r="551" spans="1:9" ht="12" customHeight="1" x14ac:dyDescent="0.15">
      <c r="A551" s="3"/>
      <c r="B551" s="2"/>
      <c r="C551" s="2"/>
      <c r="D551" s="2"/>
      <c r="E551" s="2"/>
      <c r="F551" s="2"/>
      <c r="G551" s="2"/>
      <c r="I551" s="2"/>
    </row>
    <row r="552" spans="1:9" ht="12" customHeight="1" x14ac:dyDescent="0.15">
      <c r="A552" s="3"/>
      <c r="B552" s="2"/>
      <c r="C552" s="2"/>
      <c r="D552" s="2"/>
      <c r="E552" s="2"/>
      <c r="F552" s="2"/>
      <c r="G552" s="2"/>
      <c r="I552" s="2"/>
    </row>
    <row r="553" spans="1:9" ht="12" customHeight="1" x14ac:dyDescent="0.15">
      <c r="A553" s="3"/>
      <c r="B553" s="2"/>
      <c r="C553" s="2"/>
      <c r="D553" s="2"/>
      <c r="E553" s="2"/>
      <c r="F553" s="2"/>
      <c r="G553" s="2"/>
      <c r="I553" s="2"/>
    </row>
    <row r="554" spans="1:9" ht="12" customHeight="1" x14ac:dyDescent="0.15">
      <c r="A554" s="3"/>
      <c r="B554" s="2"/>
      <c r="C554" s="2"/>
      <c r="D554" s="2"/>
      <c r="E554" s="2"/>
      <c r="F554" s="2"/>
      <c r="G554" s="2"/>
      <c r="I554" s="2"/>
    </row>
    <row r="555" spans="1:9" ht="12" customHeight="1" x14ac:dyDescent="0.15">
      <c r="A555" s="3"/>
      <c r="B555" s="2"/>
      <c r="C555" s="2"/>
      <c r="D555" s="2"/>
      <c r="E555" s="2"/>
      <c r="F555" s="2"/>
      <c r="G555" s="2"/>
      <c r="I555" s="2"/>
    </row>
    <row r="556" spans="1:9" ht="12" customHeight="1" x14ac:dyDescent="0.15">
      <c r="A556" s="3"/>
      <c r="B556" s="2"/>
      <c r="C556" s="2"/>
      <c r="D556" s="2"/>
      <c r="E556" s="2"/>
      <c r="F556" s="2"/>
      <c r="G556" s="2"/>
      <c r="I556" s="2"/>
    </row>
    <row r="557" spans="1:9" ht="12" customHeight="1" x14ac:dyDescent="0.15">
      <c r="A557" s="3"/>
      <c r="B557" s="2"/>
      <c r="C557" s="2"/>
      <c r="D557" s="2"/>
      <c r="E557" s="2"/>
      <c r="F557" s="2"/>
      <c r="G557" s="2"/>
      <c r="I557" s="2"/>
    </row>
    <row r="558" spans="1:9" ht="12" customHeight="1" x14ac:dyDescent="0.15">
      <c r="A558" s="3"/>
      <c r="B558" s="2"/>
      <c r="C558" s="2"/>
      <c r="D558" s="2"/>
      <c r="E558" s="2"/>
      <c r="F558" s="2"/>
      <c r="G558" s="2"/>
      <c r="I558" s="2"/>
    </row>
    <row r="559" spans="1:9" ht="12" customHeight="1" x14ac:dyDescent="0.15">
      <c r="A559" s="3"/>
      <c r="B559" s="2"/>
      <c r="C559" s="2"/>
      <c r="D559" s="2"/>
      <c r="E559" s="2"/>
      <c r="F559" s="2"/>
      <c r="G559" s="2"/>
      <c r="I559" s="2"/>
    </row>
    <row r="560" spans="1:9" ht="12" customHeight="1" x14ac:dyDescent="0.15">
      <c r="A560" s="3"/>
      <c r="B560" s="2"/>
      <c r="C560" s="2"/>
      <c r="D560" s="2"/>
      <c r="E560" s="2"/>
      <c r="F560" s="2"/>
      <c r="G560" s="2"/>
      <c r="I560" s="2"/>
    </row>
    <row r="561" spans="1:9" ht="12" customHeight="1" x14ac:dyDescent="0.15">
      <c r="A561" s="3"/>
      <c r="B561" s="2"/>
      <c r="C561" s="2"/>
      <c r="D561" s="2"/>
      <c r="E561" s="2"/>
      <c r="F561" s="2"/>
      <c r="G561" s="2"/>
      <c r="I561" s="2"/>
    </row>
    <row r="562" spans="1:9" ht="12" customHeight="1" x14ac:dyDescent="0.15">
      <c r="A562" s="3"/>
      <c r="B562" s="2"/>
      <c r="C562" s="2"/>
      <c r="D562" s="2"/>
      <c r="E562" s="2"/>
      <c r="F562" s="2"/>
      <c r="G562" s="2"/>
      <c r="I562" s="2"/>
    </row>
    <row r="563" spans="1:9" ht="12" customHeight="1" x14ac:dyDescent="0.15">
      <c r="A563" s="3"/>
      <c r="B563" s="2"/>
      <c r="C563" s="2"/>
      <c r="D563" s="2"/>
      <c r="E563" s="2"/>
      <c r="F563" s="2"/>
      <c r="G563" s="2"/>
      <c r="I563" s="2"/>
    </row>
    <row r="564" spans="1:9" ht="12" customHeight="1" x14ac:dyDescent="0.15">
      <c r="A564" s="3"/>
      <c r="B564" s="2"/>
      <c r="C564" s="2"/>
      <c r="D564" s="2"/>
      <c r="E564" s="2"/>
      <c r="F564" s="2"/>
      <c r="G564" s="2"/>
      <c r="I564" s="2"/>
    </row>
    <row r="565" spans="1:9" ht="12" customHeight="1" x14ac:dyDescent="0.15">
      <c r="A565" s="3"/>
      <c r="B565" s="2"/>
      <c r="C565" s="2"/>
      <c r="D565" s="2"/>
      <c r="E565" s="2"/>
      <c r="F565" s="2"/>
      <c r="G565" s="2"/>
      <c r="I565" s="2"/>
    </row>
    <row r="566" spans="1:9" ht="12" customHeight="1" x14ac:dyDescent="0.15">
      <c r="A566" s="3"/>
      <c r="B566" s="2"/>
      <c r="C566" s="2"/>
      <c r="D566" s="2"/>
      <c r="E566" s="2"/>
      <c r="F566" s="2"/>
      <c r="G566" s="2"/>
      <c r="I566" s="2"/>
    </row>
    <row r="567" spans="1:9" ht="12" customHeight="1" x14ac:dyDescent="0.15">
      <c r="A567" s="3"/>
      <c r="B567" s="2"/>
      <c r="C567" s="2"/>
      <c r="D567" s="2"/>
      <c r="E567" s="2"/>
      <c r="F567" s="2"/>
      <c r="G567" s="2"/>
      <c r="I567" s="2"/>
    </row>
    <row r="568" spans="1:9" ht="12" customHeight="1" x14ac:dyDescent="0.15">
      <c r="A568" s="3"/>
      <c r="B568" s="2"/>
      <c r="C568" s="2"/>
      <c r="D568" s="2"/>
      <c r="E568" s="2"/>
      <c r="F568" s="2"/>
      <c r="G568" s="2"/>
      <c r="I568" s="2"/>
    </row>
    <row r="569" spans="1:9" ht="12" customHeight="1" x14ac:dyDescent="0.15">
      <c r="A569" s="3"/>
      <c r="B569" s="2"/>
      <c r="C569" s="2"/>
      <c r="D569" s="2"/>
      <c r="E569" s="2"/>
      <c r="F569" s="2"/>
      <c r="G569" s="2"/>
      <c r="I569" s="2"/>
    </row>
    <row r="570" spans="1:9" ht="12" customHeight="1" x14ac:dyDescent="0.15">
      <c r="A570" s="3"/>
      <c r="B570" s="2"/>
      <c r="C570" s="2"/>
      <c r="D570" s="2"/>
      <c r="E570" s="2"/>
      <c r="F570" s="2"/>
      <c r="G570" s="2"/>
      <c r="I570" s="2"/>
    </row>
    <row r="571" spans="1:9" ht="12" customHeight="1" x14ac:dyDescent="0.15">
      <c r="A571" s="3"/>
      <c r="B571" s="2"/>
      <c r="C571" s="2"/>
      <c r="D571" s="2"/>
      <c r="E571" s="2"/>
      <c r="F571" s="2"/>
      <c r="G571" s="2"/>
      <c r="I571" s="2"/>
    </row>
    <row r="572" spans="1:9" ht="12" customHeight="1" x14ac:dyDescent="0.15">
      <c r="A572" s="3"/>
      <c r="B572" s="2"/>
      <c r="C572" s="2"/>
      <c r="D572" s="2"/>
      <c r="E572" s="2"/>
      <c r="F572" s="2"/>
      <c r="G572" s="2"/>
      <c r="I572" s="2"/>
    </row>
    <row r="573" spans="1:9" ht="12" customHeight="1" x14ac:dyDescent="0.15">
      <c r="A573" s="3"/>
      <c r="B573" s="2"/>
      <c r="C573" s="2"/>
      <c r="D573" s="2"/>
      <c r="E573" s="2"/>
      <c r="F573" s="2"/>
      <c r="G573" s="2"/>
      <c r="I573" s="2"/>
    </row>
    <row r="574" spans="1:9" ht="12" customHeight="1" x14ac:dyDescent="0.15">
      <c r="A574" s="3"/>
      <c r="B574" s="2"/>
      <c r="C574" s="2"/>
      <c r="D574" s="2"/>
      <c r="E574" s="2"/>
      <c r="F574" s="2"/>
      <c r="G574" s="2"/>
      <c r="I574" s="2"/>
    </row>
    <row r="575" spans="1:9" ht="12" customHeight="1" x14ac:dyDescent="0.15">
      <c r="A575" s="3"/>
      <c r="B575" s="2"/>
      <c r="C575" s="2"/>
      <c r="D575" s="2"/>
      <c r="E575" s="2"/>
      <c r="F575" s="2"/>
      <c r="G575" s="2"/>
      <c r="I575" s="2"/>
    </row>
    <row r="576" spans="1:9" ht="12" customHeight="1" x14ac:dyDescent="0.15">
      <c r="A576" s="3"/>
      <c r="B576" s="2"/>
      <c r="C576" s="2"/>
      <c r="D576" s="2"/>
      <c r="E576" s="2"/>
      <c r="F576" s="2"/>
      <c r="G576" s="2"/>
      <c r="I576" s="2"/>
    </row>
    <row r="577" spans="1:9" ht="12" customHeight="1" x14ac:dyDescent="0.15">
      <c r="A577" s="3"/>
      <c r="B577" s="2"/>
      <c r="C577" s="2"/>
      <c r="D577" s="2"/>
      <c r="E577" s="2"/>
      <c r="F577" s="2"/>
      <c r="G577" s="2"/>
      <c r="I577" s="2"/>
    </row>
    <row r="578" spans="1:9" ht="12" customHeight="1" x14ac:dyDescent="0.15">
      <c r="A578" s="3"/>
      <c r="B578" s="2"/>
      <c r="C578" s="2"/>
      <c r="D578" s="2"/>
      <c r="E578" s="2"/>
      <c r="F578" s="2"/>
      <c r="G578" s="2"/>
      <c r="I578" s="2"/>
    </row>
    <row r="579" spans="1:9" ht="12" customHeight="1" x14ac:dyDescent="0.15">
      <c r="A579" s="3"/>
      <c r="B579" s="2"/>
      <c r="C579" s="2"/>
      <c r="D579" s="2"/>
      <c r="E579" s="2"/>
      <c r="F579" s="2"/>
      <c r="G579" s="2"/>
      <c r="I579" s="2"/>
    </row>
    <row r="580" spans="1:9" ht="12" customHeight="1" x14ac:dyDescent="0.15">
      <c r="A580" s="3"/>
      <c r="B580" s="2"/>
      <c r="C580" s="2"/>
      <c r="D580" s="2"/>
      <c r="E580" s="2"/>
      <c r="F580" s="2"/>
      <c r="G580" s="2"/>
      <c r="I580" s="2"/>
    </row>
    <row r="581" spans="1:9" ht="12" customHeight="1" x14ac:dyDescent="0.15">
      <c r="A581" s="3"/>
      <c r="B581" s="2"/>
      <c r="C581" s="2"/>
      <c r="D581" s="2"/>
      <c r="E581" s="2"/>
      <c r="F581" s="2"/>
      <c r="G581" s="2"/>
      <c r="I581" s="2"/>
    </row>
    <row r="582" spans="1:9" ht="12" customHeight="1" x14ac:dyDescent="0.15">
      <c r="A582" s="3"/>
      <c r="B582" s="2"/>
      <c r="C582" s="2"/>
      <c r="D582" s="2"/>
      <c r="E582" s="2"/>
      <c r="F582" s="2"/>
      <c r="G582" s="2"/>
      <c r="I582" s="2"/>
    </row>
    <row r="583" spans="1:9" ht="12" customHeight="1" x14ac:dyDescent="0.15">
      <c r="A583" s="3"/>
      <c r="B583" s="2"/>
      <c r="C583" s="2"/>
      <c r="D583" s="2"/>
      <c r="E583" s="2"/>
      <c r="F583" s="2"/>
      <c r="G583" s="2"/>
      <c r="I583" s="2"/>
    </row>
    <row r="584" spans="1:9" ht="12" customHeight="1" x14ac:dyDescent="0.15">
      <c r="A584" s="3"/>
      <c r="B584" s="2"/>
      <c r="C584" s="2"/>
      <c r="D584" s="2"/>
      <c r="E584" s="2"/>
      <c r="F584" s="2"/>
      <c r="G584" s="2"/>
      <c r="I584" s="2"/>
    </row>
    <row r="585" spans="1:9" ht="12" customHeight="1" x14ac:dyDescent="0.15">
      <c r="A585" s="3"/>
      <c r="B585" s="2"/>
      <c r="C585" s="2"/>
      <c r="D585" s="2"/>
      <c r="E585" s="2"/>
      <c r="F585" s="2"/>
      <c r="G585" s="2"/>
      <c r="I585" s="2"/>
    </row>
    <row r="586" spans="1:9" ht="12" customHeight="1" x14ac:dyDescent="0.15">
      <c r="A586" s="3"/>
      <c r="B586" s="2"/>
      <c r="C586" s="2"/>
      <c r="D586" s="2"/>
      <c r="E586" s="2"/>
      <c r="F586" s="2"/>
      <c r="G586" s="2"/>
      <c r="I586" s="2"/>
    </row>
    <row r="587" spans="1:9" ht="12" customHeight="1" x14ac:dyDescent="0.15">
      <c r="A587" s="3"/>
      <c r="B587" s="2"/>
      <c r="C587" s="2"/>
      <c r="D587" s="2"/>
      <c r="E587" s="2"/>
      <c r="F587" s="2"/>
      <c r="G587" s="2"/>
      <c r="I587" s="2"/>
    </row>
    <row r="588" spans="1:9" ht="12" customHeight="1" x14ac:dyDescent="0.15">
      <c r="A588" s="3"/>
      <c r="B588" s="2"/>
      <c r="C588" s="2"/>
      <c r="D588" s="2"/>
      <c r="E588" s="2"/>
      <c r="F588" s="2"/>
      <c r="G588" s="2"/>
      <c r="I588" s="2"/>
    </row>
    <row r="589" spans="1:9" ht="12" customHeight="1" x14ac:dyDescent="0.15">
      <c r="A589" s="3"/>
      <c r="B589" s="2"/>
      <c r="C589" s="2"/>
      <c r="D589" s="2"/>
      <c r="E589" s="2"/>
      <c r="F589" s="2"/>
      <c r="G589" s="2"/>
      <c r="I589" s="2"/>
    </row>
    <row r="590" spans="1:9" ht="12" customHeight="1" x14ac:dyDescent="0.15">
      <c r="A590" s="3"/>
      <c r="B590" s="2"/>
      <c r="C590" s="2"/>
      <c r="D590" s="2"/>
      <c r="E590" s="2"/>
      <c r="F590" s="2"/>
      <c r="G590" s="2"/>
      <c r="I590" s="2"/>
    </row>
    <row r="591" spans="1:9" ht="12" customHeight="1" x14ac:dyDescent="0.15">
      <c r="A591" s="3"/>
      <c r="B591" s="2"/>
      <c r="C591" s="2"/>
      <c r="D591" s="2"/>
      <c r="E591" s="2"/>
      <c r="F591" s="2"/>
      <c r="G591" s="2"/>
      <c r="I591" s="2"/>
    </row>
    <row r="592" spans="1:9" ht="12" customHeight="1" x14ac:dyDescent="0.15">
      <c r="A592" s="3"/>
      <c r="B592" s="2"/>
      <c r="C592" s="2"/>
      <c r="D592" s="2"/>
      <c r="E592" s="2"/>
      <c r="F592" s="2"/>
      <c r="G592" s="2"/>
      <c r="I592" s="2"/>
    </row>
    <row r="593" spans="1:9" ht="12" customHeight="1" x14ac:dyDescent="0.15">
      <c r="A593" s="3"/>
      <c r="B593" s="2"/>
      <c r="C593" s="2"/>
      <c r="D593" s="2"/>
      <c r="E593" s="2"/>
      <c r="F593" s="2"/>
      <c r="G593" s="2"/>
      <c r="I593" s="2"/>
    </row>
    <row r="594" spans="1:9" ht="12" customHeight="1" x14ac:dyDescent="0.15">
      <c r="A594" s="3"/>
      <c r="B594" s="2"/>
      <c r="C594" s="2"/>
      <c r="D594" s="2"/>
      <c r="E594" s="2"/>
      <c r="F594" s="2"/>
      <c r="G594" s="2"/>
      <c r="I594" s="2"/>
    </row>
    <row r="595" spans="1:9" ht="12" customHeight="1" x14ac:dyDescent="0.15">
      <c r="A595" s="3"/>
      <c r="B595" s="2"/>
      <c r="C595" s="2"/>
      <c r="D595" s="2"/>
      <c r="E595" s="2"/>
      <c r="F595" s="2"/>
      <c r="G595" s="2"/>
      <c r="I595" s="2"/>
    </row>
    <row r="596" spans="1:9" ht="12" customHeight="1" x14ac:dyDescent="0.15">
      <c r="A596" s="3"/>
      <c r="B596" s="2"/>
      <c r="C596" s="2"/>
      <c r="D596" s="2"/>
      <c r="E596" s="2"/>
      <c r="F596" s="2"/>
      <c r="G596" s="2"/>
      <c r="I596" s="2"/>
    </row>
    <row r="597" spans="1:9" ht="12" customHeight="1" x14ac:dyDescent="0.15">
      <c r="A597" s="3"/>
      <c r="B597" s="2"/>
      <c r="C597" s="2"/>
      <c r="D597" s="2"/>
      <c r="E597" s="2"/>
      <c r="F597" s="2"/>
      <c r="G597" s="2"/>
      <c r="I597" s="2"/>
    </row>
    <row r="598" spans="1:9" ht="12" customHeight="1" x14ac:dyDescent="0.15">
      <c r="A598" s="3"/>
      <c r="B598" s="2"/>
      <c r="C598" s="2"/>
      <c r="D598" s="2"/>
      <c r="E598" s="2"/>
      <c r="F598" s="2"/>
      <c r="G598" s="2"/>
      <c r="I598" s="2"/>
    </row>
    <row r="599" spans="1:9" ht="12" customHeight="1" x14ac:dyDescent="0.15">
      <c r="A599" s="3"/>
      <c r="B599" s="2"/>
      <c r="C599" s="2"/>
      <c r="D599" s="2"/>
      <c r="E599" s="2"/>
      <c r="F599" s="2"/>
      <c r="G599" s="2"/>
      <c r="I599" s="2"/>
    </row>
    <row r="600" spans="1:9" ht="12" customHeight="1" x14ac:dyDescent="0.15">
      <c r="A600" s="3"/>
      <c r="B600" s="2"/>
      <c r="C600" s="2"/>
      <c r="D600" s="2"/>
      <c r="E600" s="2"/>
      <c r="F600" s="2"/>
      <c r="G600" s="2"/>
      <c r="I600" s="2"/>
    </row>
    <row r="601" spans="1:9" ht="12" customHeight="1" x14ac:dyDescent="0.15">
      <c r="A601" s="3"/>
      <c r="B601" s="2"/>
      <c r="C601" s="2"/>
      <c r="D601" s="2"/>
      <c r="E601" s="2"/>
      <c r="F601" s="2"/>
      <c r="G601" s="2"/>
      <c r="I601" s="2"/>
    </row>
    <row r="602" spans="1:9" ht="12" customHeight="1" x14ac:dyDescent="0.15">
      <c r="A602" s="3"/>
      <c r="B602" s="2"/>
      <c r="C602" s="2"/>
      <c r="D602" s="2"/>
      <c r="E602" s="2"/>
      <c r="F602" s="2"/>
      <c r="G602" s="2"/>
      <c r="I602" s="2"/>
    </row>
    <row r="603" spans="1:9" ht="12" customHeight="1" x14ac:dyDescent="0.15">
      <c r="A603" s="3"/>
      <c r="B603" s="2"/>
      <c r="C603" s="2"/>
      <c r="D603" s="2"/>
      <c r="E603" s="2"/>
      <c r="F603" s="2"/>
      <c r="G603" s="2"/>
      <c r="I603" s="2"/>
    </row>
    <row r="604" spans="1:9" ht="12" customHeight="1" x14ac:dyDescent="0.15">
      <c r="A604" s="3"/>
      <c r="B604" s="2"/>
      <c r="C604" s="2"/>
      <c r="D604" s="2"/>
      <c r="E604" s="2"/>
      <c r="F604" s="2"/>
      <c r="G604" s="2"/>
      <c r="I604" s="2"/>
    </row>
    <row r="605" spans="1:9" ht="12" customHeight="1" x14ac:dyDescent="0.15">
      <c r="A605" s="3"/>
      <c r="B605" s="2"/>
      <c r="C605" s="2"/>
      <c r="D605" s="2"/>
      <c r="E605" s="2"/>
      <c r="F605" s="2"/>
      <c r="G605" s="2"/>
      <c r="I605" s="2"/>
    </row>
    <row r="606" spans="1:9" ht="12" customHeight="1" x14ac:dyDescent="0.15">
      <c r="A606" s="3"/>
      <c r="B606" s="2"/>
      <c r="C606" s="2"/>
      <c r="D606" s="2"/>
      <c r="E606" s="2"/>
      <c r="F606" s="2"/>
      <c r="G606" s="2"/>
      <c r="I606" s="2"/>
    </row>
    <row r="607" spans="1:9" ht="12" customHeight="1" x14ac:dyDescent="0.15">
      <c r="A607" s="3"/>
      <c r="B607" s="2"/>
      <c r="C607" s="2"/>
      <c r="D607" s="2"/>
      <c r="E607" s="2"/>
      <c r="F607" s="2"/>
      <c r="G607" s="2"/>
      <c r="I607" s="2"/>
    </row>
    <row r="608" spans="1:9" ht="12" customHeight="1" x14ac:dyDescent="0.15">
      <c r="A608" s="3"/>
      <c r="B608" s="2"/>
      <c r="C608" s="2"/>
      <c r="D608" s="2"/>
      <c r="E608" s="2"/>
      <c r="F608" s="2"/>
      <c r="G608" s="2"/>
      <c r="I608" s="2"/>
    </row>
    <row r="609" spans="1:9" ht="12" customHeight="1" x14ac:dyDescent="0.15">
      <c r="A609" s="3"/>
      <c r="B609" s="2"/>
      <c r="C609" s="2"/>
      <c r="D609" s="2"/>
      <c r="E609" s="2"/>
      <c r="F609" s="2"/>
      <c r="G609" s="2"/>
      <c r="I609" s="2"/>
    </row>
    <row r="610" spans="1:9" ht="12" customHeight="1" x14ac:dyDescent="0.15">
      <c r="A610" s="3"/>
      <c r="B610" s="2"/>
      <c r="C610" s="2"/>
      <c r="D610" s="2"/>
      <c r="E610" s="2"/>
      <c r="F610" s="2"/>
      <c r="G610" s="2"/>
      <c r="I610" s="2"/>
    </row>
    <row r="611" spans="1:9" ht="12" customHeight="1" x14ac:dyDescent="0.15">
      <c r="A611" s="3"/>
      <c r="B611" s="2"/>
      <c r="C611" s="2"/>
      <c r="D611" s="2"/>
      <c r="E611" s="2"/>
      <c r="F611" s="2"/>
      <c r="G611" s="2"/>
      <c r="I611" s="2"/>
    </row>
    <row r="612" spans="1:9" ht="12" customHeight="1" x14ac:dyDescent="0.15">
      <c r="A612" s="3"/>
      <c r="B612" s="2"/>
      <c r="C612" s="2"/>
      <c r="D612" s="2"/>
      <c r="E612" s="2"/>
      <c r="F612" s="2"/>
      <c r="G612" s="2"/>
      <c r="I612" s="2"/>
    </row>
    <row r="613" spans="1:9" ht="12" customHeight="1" x14ac:dyDescent="0.15">
      <c r="A613" s="3"/>
      <c r="B613" s="2"/>
      <c r="C613" s="2"/>
      <c r="D613" s="2"/>
      <c r="E613" s="2"/>
      <c r="F613" s="2"/>
      <c r="G613" s="2"/>
      <c r="I613" s="2"/>
    </row>
    <row r="614" spans="1:9" ht="12" customHeight="1" x14ac:dyDescent="0.15">
      <c r="A614" s="3"/>
      <c r="B614" s="2"/>
      <c r="C614" s="2"/>
      <c r="D614" s="2"/>
      <c r="E614" s="2"/>
      <c r="F614" s="2"/>
      <c r="G614" s="2"/>
      <c r="I614" s="2"/>
    </row>
    <row r="615" spans="1:9" ht="12" customHeight="1" x14ac:dyDescent="0.15">
      <c r="A615" s="3"/>
      <c r="B615" s="2"/>
      <c r="C615" s="2"/>
      <c r="D615" s="2"/>
      <c r="E615" s="2"/>
      <c r="F615" s="2"/>
      <c r="G615" s="2"/>
      <c r="I615" s="2"/>
    </row>
    <row r="616" spans="1:9" ht="12" customHeight="1" x14ac:dyDescent="0.15">
      <c r="A616" s="3"/>
      <c r="B616" s="2"/>
      <c r="C616" s="2"/>
      <c r="D616" s="2"/>
      <c r="E616" s="2"/>
      <c r="F616" s="2"/>
      <c r="G616" s="2"/>
      <c r="I616" s="2"/>
    </row>
    <row r="617" spans="1:9" ht="12" customHeight="1" x14ac:dyDescent="0.15">
      <c r="A617" s="3"/>
      <c r="B617" s="2"/>
      <c r="C617" s="2"/>
      <c r="D617" s="2"/>
      <c r="E617" s="2"/>
      <c r="F617" s="2"/>
      <c r="G617" s="2"/>
      <c r="I617" s="2"/>
    </row>
    <row r="618" spans="1:9" ht="12" customHeight="1" x14ac:dyDescent="0.15">
      <c r="A618" s="3"/>
      <c r="B618" s="2"/>
      <c r="C618" s="2"/>
      <c r="D618" s="2"/>
      <c r="E618" s="2"/>
      <c r="F618" s="2"/>
      <c r="G618" s="2"/>
      <c r="I618" s="2"/>
    </row>
    <row r="619" spans="1:9" ht="12" customHeight="1" x14ac:dyDescent="0.15">
      <c r="A619" s="3"/>
      <c r="B619" s="2"/>
      <c r="C619" s="2"/>
      <c r="D619" s="2"/>
      <c r="E619" s="2"/>
      <c r="F619" s="2"/>
      <c r="G619" s="2"/>
      <c r="I619" s="2"/>
    </row>
    <row r="620" spans="1:9" ht="12" customHeight="1" x14ac:dyDescent="0.15">
      <c r="A620" s="3"/>
      <c r="B620" s="2"/>
      <c r="C620" s="2"/>
      <c r="D620" s="2"/>
      <c r="E620" s="2"/>
      <c r="F620" s="2"/>
      <c r="G620" s="2"/>
      <c r="I620" s="2"/>
    </row>
    <row r="621" spans="1:9" ht="12" customHeight="1" x14ac:dyDescent="0.15">
      <c r="A621" s="3"/>
      <c r="B621" s="2"/>
      <c r="C621" s="2"/>
      <c r="D621" s="2"/>
      <c r="E621" s="2"/>
      <c r="F621" s="2"/>
      <c r="G621" s="2"/>
      <c r="I621" s="2"/>
    </row>
    <row r="622" spans="1:9" ht="12" customHeight="1" x14ac:dyDescent="0.15">
      <c r="A622" s="3"/>
      <c r="B622" s="2"/>
      <c r="C622" s="2"/>
      <c r="D622" s="2"/>
      <c r="E622" s="2"/>
      <c r="F622" s="2"/>
      <c r="G622" s="2"/>
      <c r="I622" s="2"/>
    </row>
    <row r="623" spans="1:9" ht="12" customHeight="1" x14ac:dyDescent="0.15">
      <c r="A623" s="3"/>
      <c r="B623" s="2"/>
      <c r="C623" s="2"/>
      <c r="D623" s="2"/>
      <c r="E623" s="2"/>
      <c r="F623" s="2"/>
      <c r="G623" s="2"/>
      <c r="I623" s="2"/>
    </row>
    <row r="624" spans="1:9" ht="12" customHeight="1" x14ac:dyDescent="0.15">
      <c r="A624" s="3"/>
      <c r="B624" s="2"/>
      <c r="C624" s="2"/>
      <c r="D624" s="2"/>
      <c r="E624" s="2"/>
      <c r="F624" s="2"/>
      <c r="G624" s="2"/>
      <c r="I624" s="2"/>
    </row>
    <row r="625" spans="1:9" ht="12" customHeight="1" x14ac:dyDescent="0.15">
      <c r="A625" s="3"/>
      <c r="B625" s="2"/>
      <c r="C625" s="2"/>
      <c r="D625" s="2"/>
      <c r="E625" s="2"/>
      <c r="F625" s="2"/>
      <c r="G625" s="2"/>
      <c r="I625" s="2"/>
    </row>
    <row r="626" spans="1:9" ht="12" customHeight="1" x14ac:dyDescent="0.15">
      <c r="A626" s="3"/>
      <c r="B626" s="2"/>
      <c r="C626" s="2"/>
      <c r="D626" s="2"/>
      <c r="E626" s="2"/>
      <c r="F626" s="2"/>
      <c r="G626" s="2"/>
      <c r="I626" s="2"/>
    </row>
    <row r="627" spans="1:9" ht="12" customHeight="1" x14ac:dyDescent="0.15">
      <c r="A627" s="3"/>
      <c r="B627" s="2"/>
      <c r="C627" s="2"/>
      <c r="D627" s="2"/>
      <c r="E627" s="2"/>
      <c r="F627" s="2"/>
      <c r="G627" s="2"/>
      <c r="I627" s="2"/>
    </row>
    <row r="628" spans="1:9" ht="12" customHeight="1" x14ac:dyDescent="0.15">
      <c r="A628" s="3"/>
      <c r="B628" s="2"/>
      <c r="C628" s="2"/>
      <c r="D628" s="2"/>
      <c r="E628" s="2"/>
      <c r="F628" s="2"/>
      <c r="G628" s="2"/>
      <c r="I628" s="2"/>
    </row>
    <row r="629" spans="1:9" ht="12" customHeight="1" x14ac:dyDescent="0.15">
      <c r="A629" s="3"/>
      <c r="B629" s="2"/>
      <c r="C629" s="2"/>
      <c r="D629" s="2"/>
      <c r="E629" s="2"/>
      <c r="F629" s="2"/>
      <c r="G629" s="2"/>
      <c r="I629" s="2"/>
    </row>
    <row r="630" spans="1:9" ht="12" customHeight="1" x14ac:dyDescent="0.15">
      <c r="A630" s="3"/>
      <c r="B630" s="2"/>
      <c r="C630" s="2"/>
      <c r="D630" s="2"/>
      <c r="E630" s="2"/>
      <c r="F630" s="2"/>
      <c r="G630" s="2"/>
      <c r="I630" s="2"/>
    </row>
    <row r="631" spans="1:9" ht="12" customHeight="1" x14ac:dyDescent="0.15">
      <c r="A631" s="3"/>
      <c r="B631" s="2"/>
      <c r="C631" s="2"/>
      <c r="D631" s="2"/>
      <c r="E631" s="2"/>
      <c r="F631" s="2"/>
      <c r="G631" s="2"/>
      <c r="I631" s="2"/>
    </row>
    <row r="632" spans="1:9" ht="12" customHeight="1" x14ac:dyDescent="0.15">
      <c r="A632" s="3"/>
      <c r="B632" s="2"/>
      <c r="C632" s="2"/>
      <c r="D632" s="2"/>
      <c r="E632" s="2"/>
      <c r="F632" s="2"/>
      <c r="G632" s="2"/>
      <c r="I632" s="2"/>
    </row>
    <row r="633" spans="1:9" ht="12" customHeight="1" x14ac:dyDescent="0.15">
      <c r="A633" s="3"/>
      <c r="B633" s="2"/>
      <c r="C633" s="2"/>
      <c r="D633" s="2"/>
      <c r="E633" s="2"/>
      <c r="F633" s="2"/>
      <c r="G633" s="2"/>
      <c r="I633" s="2"/>
    </row>
    <row r="634" spans="1:9" ht="12" customHeight="1" x14ac:dyDescent="0.15">
      <c r="A634" s="3"/>
      <c r="B634" s="2"/>
      <c r="C634" s="2"/>
      <c r="D634" s="2"/>
      <c r="E634" s="2"/>
      <c r="F634" s="2"/>
      <c r="G634" s="2"/>
      <c r="I634" s="2"/>
    </row>
    <row r="635" spans="1:9" ht="12" customHeight="1" x14ac:dyDescent="0.15">
      <c r="A635" s="3"/>
      <c r="B635" s="2"/>
      <c r="C635" s="2"/>
      <c r="D635" s="2"/>
      <c r="E635" s="2"/>
      <c r="F635" s="2"/>
      <c r="G635" s="2"/>
      <c r="I635" s="2"/>
    </row>
    <row r="636" spans="1:9" ht="12" customHeight="1" x14ac:dyDescent="0.15">
      <c r="A636" s="3"/>
      <c r="B636" s="2"/>
      <c r="C636" s="2"/>
      <c r="D636" s="2"/>
      <c r="E636" s="2"/>
      <c r="F636" s="2"/>
      <c r="G636" s="2"/>
      <c r="I636" s="2"/>
    </row>
    <row r="637" spans="1:9" ht="12" customHeight="1" x14ac:dyDescent="0.15">
      <c r="A637" s="3"/>
      <c r="B637" s="2"/>
      <c r="C637" s="2"/>
      <c r="D637" s="2"/>
      <c r="E637" s="2"/>
      <c r="F637" s="2"/>
      <c r="G637" s="2"/>
      <c r="I637" s="2"/>
    </row>
    <row r="638" spans="1:9" ht="12" customHeight="1" x14ac:dyDescent="0.15">
      <c r="A638" s="3"/>
      <c r="B638" s="2"/>
      <c r="C638" s="2"/>
      <c r="D638" s="2"/>
      <c r="E638" s="2"/>
      <c r="F638" s="2"/>
      <c r="G638" s="2"/>
      <c r="I638" s="2"/>
    </row>
    <row r="639" spans="1:9" ht="12" customHeight="1" x14ac:dyDescent="0.15">
      <c r="A639" s="3"/>
      <c r="B639" s="2"/>
      <c r="C639" s="2"/>
      <c r="D639" s="2"/>
      <c r="E639" s="2"/>
      <c r="F639" s="2"/>
      <c r="G639" s="2"/>
      <c r="I639" s="2"/>
    </row>
    <row r="640" spans="1:9" ht="12" customHeight="1" x14ac:dyDescent="0.15">
      <c r="A640" s="3"/>
      <c r="B640" s="2"/>
      <c r="C640" s="2"/>
      <c r="D640" s="2"/>
      <c r="E640" s="2"/>
      <c r="F640" s="2"/>
      <c r="G640" s="2"/>
      <c r="I640" s="2"/>
    </row>
    <row r="641" spans="1:9" ht="12" customHeight="1" x14ac:dyDescent="0.15">
      <c r="A641" s="3"/>
      <c r="B641" s="2"/>
      <c r="C641" s="2"/>
      <c r="D641" s="2"/>
      <c r="E641" s="2"/>
      <c r="F641" s="2"/>
      <c r="G641" s="2"/>
      <c r="I641" s="2"/>
    </row>
    <row r="642" spans="1:9" ht="12" customHeight="1" x14ac:dyDescent="0.15">
      <c r="A642" s="3"/>
      <c r="B642" s="2"/>
      <c r="C642" s="2"/>
      <c r="D642" s="2"/>
      <c r="E642" s="2"/>
      <c r="F642" s="2"/>
      <c r="G642" s="2"/>
      <c r="I642" s="2"/>
    </row>
    <row r="643" spans="1:9" ht="12" customHeight="1" x14ac:dyDescent="0.15">
      <c r="A643" s="3"/>
      <c r="B643" s="2"/>
      <c r="C643" s="2"/>
      <c r="D643" s="2"/>
      <c r="E643" s="2"/>
      <c r="F643" s="2"/>
      <c r="G643" s="2"/>
      <c r="I643" s="2"/>
    </row>
    <row r="644" spans="1:9" ht="12" customHeight="1" x14ac:dyDescent="0.15">
      <c r="A644" s="3"/>
      <c r="B644" s="2"/>
      <c r="C644" s="2"/>
      <c r="D644" s="2"/>
      <c r="E644" s="2"/>
      <c r="F644" s="2"/>
      <c r="G644" s="2"/>
      <c r="I644" s="2"/>
    </row>
    <row r="645" spans="1:9" ht="12" customHeight="1" x14ac:dyDescent="0.15">
      <c r="A645" s="3"/>
      <c r="B645" s="2"/>
      <c r="C645" s="2"/>
      <c r="D645" s="2"/>
      <c r="E645" s="2"/>
      <c r="F645" s="2"/>
      <c r="G645" s="2"/>
      <c r="I645" s="2"/>
    </row>
    <row r="646" spans="1:9" ht="12" customHeight="1" x14ac:dyDescent="0.15">
      <c r="A646" s="3"/>
      <c r="B646" s="2"/>
      <c r="C646" s="2"/>
      <c r="D646" s="2"/>
      <c r="E646" s="2"/>
      <c r="F646" s="2"/>
      <c r="G646" s="2"/>
      <c r="I646" s="2"/>
    </row>
    <row r="647" spans="1:9" ht="12" customHeight="1" x14ac:dyDescent="0.15">
      <c r="A647" s="3"/>
      <c r="B647" s="2"/>
      <c r="C647" s="2"/>
      <c r="D647" s="2"/>
      <c r="E647" s="2"/>
      <c r="F647" s="2"/>
      <c r="G647" s="2"/>
      <c r="I647" s="2"/>
    </row>
    <row r="648" spans="1:9" ht="12" customHeight="1" x14ac:dyDescent="0.15">
      <c r="A648" s="3"/>
      <c r="B648" s="2"/>
      <c r="C648" s="2"/>
      <c r="D648" s="2"/>
      <c r="E648" s="2"/>
      <c r="F648" s="2"/>
      <c r="G648" s="2"/>
      <c r="I648" s="2"/>
    </row>
    <row r="649" spans="1:9" ht="12" customHeight="1" x14ac:dyDescent="0.15">
      <c r="A649" s="3"/>
      <c r="B649" s="2"/>
      <c r="C649" s="2"/>
      <c r="D649" s="2"/>
      <c r="E649" s="2"/>
      <c r="F649" s="2"/>
      <c r="G649" s="2"/>
      <c r="I649" s="2"/>
    </row>
    <row r="650" spans="1:9" ht="12" customHeight="1" x14ac:dyDescent="0.15">
      <c r="A650" s="3"/>
      <c r="B650" s="2"/>
      <c r="C650" s="2"/>
      <c r="D650" s="2"/>
      <c r="E650" s="2"/>
      <c r="F650" s="2"/>
      <c r="G650" s="2"/>
      <c r="I650" s="2"/>
    </row>
    <row r="651" spans="1:9" ht="12" customHeight="1" x14ac:dyDescent="0.15">
      <c r="A651" s="3"/>
      <c r="B651" s="2"/>
      <c r="C651" s="2"/>
      <c r="D651" s="2"/>
      <c r="E651" s="2"/>
      <c r="F651" s="2"/>
      <c r="G651" s="2"/>
      <c r="I651" s="2"/>
    </row>
    <row r="652" spans="1:9" ht="12" customHeight="1" x14ac:dyDescent="0.15">
      <c r="A652" s="3"/>
      <c r="B652" s="2"/>
      <c r="C652" s="2"/>
      <c r="D652" s="2"/>
      <c r="E652" s="2"/>
      <c r="F652" s="2"/>
      <c r="G652" s="2"/>
      <c r="I652" s="2"/>
    </row>
    <row r="653" spans="1:9" ht="12" customHeight="1" x14ac:dyDescent="0.15">
      <c r="A653" s="3"/>
      <c r="B653" s="2"/>
      <c r="C653" s="2"/>
      <c r="D653" s="2"/>
      <c r="E653" s="2"/>
      <c r="F653" s="2"/>
      <c r="G653" s="2"/>
      <c r="I653" s="2"/>
    </row>
    <row r="654" spans="1:9" ht="12" customHeight="1" x14ac:dyDescent="0.15">
      <c r="A654" s="3"/>
      <c r="B654" s="2"/>
      <c r="C654" s="2"/>
      <c r="D654" s="2"/>
      <c r="E654" s="2"/>
      <c r="F654" s="2"/>
      <c r="G654" s="2"/>
      <c r="I654" s="2"/>
    </row>
    <row r="655" spans="1:9" ht="12" customHeight="1" x14ac:dyDescent="0.15">
      <c r="A655" s="3"/>
      <c r="B655" s="2"/>
      <c r="C655" s="2"/>
      <c r="D655" s="2"/>
      <c r="E655" s="2"/>
      <c r="F655" s="2"/>
      <c r="G655" s="2"/>
      <c r="I655" s="2"/>
    </row>
    <row r="656" spans="1:9" ht="12" customHeight="1" x14ac:dyDescent="0.15">
      <c r="A656" s="3"/>
      <c r="B656" s="2"/>
      <c r="C656" s="2"/>
      <c r="D656" s="2"/>
      <c r="E656" s="2"/>
      <c r="F656" s="2"/>
      <c r="G656" s="2"/>
      <c r="I656" s="2"/>
    </row>
    <row r="657" spans="1:9" ht="12" customHeight="1" x14ac:dyDescent="0.15">
      <c r="A657" s="3"/>
      <c r="B657" s="2"/>
      <c r="C657" s="2"/>
      <c r="D657" s="2"/>
      <c r="E657" s="2"/>
      <c r="F657" s="2"/>
      <c r="G657" s="2"/>
      <c r="I657" s="2"/>
    </row>
    <row r="658" spans="1:9" ht="12" customHeight="1" x14ac:dyDescent="0.15">
      <c r="A658" s="3"/>
      <c r="B658" s="2"/>
      <c r="C658" s="2"/>
      <c r="D658" s="2"/>
      <c r="E658" s="2"/>
      <c r="F658" s="2"/>
      <c r="G658" s="2"/>
      <c r="I658" s="2"/>
    </row>
    <row r="659" spans="1:9" ht="12" customHeight="1" x14ac:dyDescent="0.15">
      <c r="A659" s="3"/>
      <c r="B659" s="2"/>
      <c r="C659" s="2"/>
      <c r="D659" s="2"/>
      <c r="E659" s="2"/>
      <c r="F659" s="2"/>
      <c r="G659" s="2"/>
      <c r="I659" s="2"/>
    </row>
    <row r="660" spans="1:9" ht="12" customHeight="1" x14ac:dyDescent="0.15">
      <c r="A660" s="3"/>
      <c r="B660" s="2"/>
      <c r="C660" s="2"/>
      <c r="D660" s="2"/>
      <c r="E660" s="2"/>
      <c r="F660" s="2"/>
      <c r="G660" s="2"/>
      <c r="I660" s="2"/>
    </row>
    <row r="661" spans="1:9" ht="12" customHeight="1" x14ac:dyDescent="0.15">
      <c r="A661" s="3"/>
      <c r="B661" s="2"/>
      <c r="C661" s="2"/>
      <c r="D661" s="2"/>
      <c r="E661" s="2"/>
      <c r="F661" s="2"/>
      <c r="G661" s="2"/>
      <c r="I661" s="2"/>
    </row>
    <row r="662" spans="1:9" ht="12" customHeight="1" x14ac:dyDescent="0.15">
      <c r="A662" s="3"/>
      <c r="B662" s="2"/>
      <c r="C662" s="2"/>
      <c r="D662" s="2"/>
      <c r="E662" s="2"/>
      <c r="F662" s="2"/>
      <c r="G662" s="2"/>
      <c r="I662" s="2"/>
    </row>
    <row r="663" spans="1:9" ht="12" customHeight="1" x14ac:dyDescent="0.15">
      <c r="A663" s="3"/>
      <c r="B663" s="2"/>
      <c r="C663" s="2"/>
      <c r="D663" s="2"/>
      <c r="E663" s="2"/>
      <c r="F663" s="2"/>
      <c r="G663" s="2"/>
      <c r="I663" s="2"/>
    </row>
    <row r="664" spans="1:9" ht="12" customHeight="1" x14ac:dyDescent="0.15">
      <c r="A664" s="3"/>
      <c r="B664" s="2"/>
      <c r="C664" s="2"/>
      <c r="D664" s="2"/>
      <c r="E664" s="2"/>
      <c r="F664" s="2"/>
      <c r="G664" s="2"/>
      <c r="I664" s="2"/>
    </row>
    <row r="665" spans="1:9" ht="12" customHeight="1" x14ac:dyDescent="0.15">
      <c r="A665" s="3"/>
      <c r="B665" s="2"/>
      <c r="C665" s="2"/>
      <c r="D665" s="2"/>
      <c r="E665" s="2"/>
      <c r="F665" s="2"/>
      <c r="G665" s="2"/>
      <c r="I665" s="2"/>
    </row>
    <row r="666" spans="1:9" ht="12" customHeight="1" x14ac:dyDescent="0.15">
      <c r="A666" s="3"/>
      <c r="B666" s="2"/>
      <c r="C666" s="2"/>
      <c r="D666" s="2"/>
      <c r="E666" s="2"/>
      <c r="F666" s="2"/>
      <c r="G666" s="2"/>
      <c r="I666" s="2"/>
    </row>
    <row r="667" spans="1:9" ht="12" customHeight="1" x14ac:dyDescent="0.15">
      <c r="A667" s="3"/>
      <c r="B667" s="2"/>
      <c r="C667" s="2"/>
      <c r="D667" s="2"/>
      <c r="E667" s="2"/>
      <c r="F667" s="2"/>
      <c r="G667" s="2"/>
      <c r="I667" s="2"/>
    </row>
    <row r="668" spans="1:9" ht="12" customHeight="1" x14ac:dyDescent="0.15">
      <c r="A668" s="3"/>
      <c r="B668" s="2"/>
      <c r="C668" s="2"/>
      <c r="D668" s="2"/>
      <c r="E668" s="2"/>
      <c r="F668" s="2"/>
      <c r="G668" s="2"/>
      <c r="I668" s="2"/>
    </row>
    <row r="669" spans="1:9" ht="12" customHeight="1" x14ac:dyDescent="0.15">
      <c r="A669" s="3"/>
      <c r="B669" s="2"/>
      <c r="C669" s="2"/>
      <c r="D669" s="2"/>
      <c r="E669" s="2"/>
      <c r="F669" s="2"/>
      <c r="G669" s="2"/>
      <c r="I669" s="2"/>
    </row>
    <row r="670" spans="1:9" ht="12" customHeight="1" x14ac:dyDescent="0.15">
      <c r="A670" s="3"/>
      <c r="B670" s="2"/>
      <c r="C670" s="2"/>
      <c r="D670" s="2"/>
      <c r="E670" s="2"/>
      <c r="F670" s="2"/>
      <c r="G670" s="2"/>
      <c r="I670" s="2"/>
    </row>
    <row r="671" spans="1:9" ht="12" customHeight="1" x14ac:dyDescent="0.15">
      <c r="A671" s="3"/>
      <c r="B671" s="2"/>
      <c r="C671" s="2"/>
      <c r="D671" s="2"/>
      <c r="E671" s="2"/>
      <c r="F671" s="2"/>
      <c r="G671" s="2"/>
      <c r="I671" s="2"/>
    </row>
    <row r="672" spans="1:9" ht="12" customHeight="1" x14ac:dyDescent="0.15">
      <c r="A672" s="3"/>
      <c r="B672" s="2"/>
      <c r="C672" s="2"/>
      <c r="D672" s="2"/>
      <c r="E672" s="2"/>
      <c r="F672" s="2"/>
      <c r="G672" s="2"/>
      <c r="I672" s="2"/>
    </row>
    <row r="673" spans="1:9" ht="12" customHeight="1" x14ac:dyDescent="0.15">
      <c r="A673" s="3"/>
      <c r="B673" s="2"/>
      <c r="C673" s="2"/>
      <c r="D673" s="2"/>
      <c r="E673" s="2"/>
      <c r="F673" s="2"/>
      <c r="G673" s="2"/>
      <c r="I673" s="2"/>
    </row>
    <row r="674" spans="1:9" ht="12" customHeight="1" x14ac:dyDescent="0.15">
      <c r="A674" s="3"/>
      <c r="B674" s="2"/>
      <c r="C674" s="2"/>
      <c r="D674" s="2"/>
      <c r="E674" s="2"/>
      <c r="F674" s="2"/>
      <c r="G674" s="2"/>
      <c r="I674" s="2"/>
    </row>
    <row r="675" spans="1:9" ht="12" customHeight="1" x14ac:dyDescent="0.15">
      <c r="A675" s="3"/>
      <c r="B675" s="2"/>
      <c r="C675" s="2"/>
      <c r="D675" s="2"/>
      <c r="E675" s="2"/>
      <c r="F675" s="2"/>
      <c r="G675" s="2"/>
      <c r="I675" s="2"/>
    </row>
    <row r="676" spans="1:9" ht="12" customHeight="1" x14ac:dyDescent="0.15">
      <c r="A676" s="3"/>
      <c r="B676" s="2"/>
      <c r="C676" s="2"/>
      <c r="D676" s="2"/>
      <c r="E676" s="2"/>
      <c r="F676" s="2"/>
      <c r="G676" s="2"/>
      <c r="I676" s="2"/>
    </row>
    <row r="677" spans="1:9" ht="12" customHeight="1" x14ac:dyDescent="0.15">
      <c r="A677" s="3"/>
      <c r="B677" s="2"/>
      <c r="C677" s="2"/>
      <c r="D677" s="2"/>
      <c r="E677" s="2"/>
      <c r="F677" s="2"/>
      <c r="G677" s="2"/>
      <c r="I677" s="2"/>
    </row>
    <row r="678" spans="1:9" ht="12" customHeight="1" x14ac:dyDescent="0.15">
      <c r="A678" s="3"/>
      <c r="B678" s="2"/>
      <c r="C678" s="2"/>
      <c r="D678" s="2"/>
      <c r="E678" s="2"/>
      <c r="F678" s="2"/>
      <c r="G678" s="2"/>
      <c r="I678" s="2"/>
    </row>
    <row r="679" spans="1:9" ht="12" customHeight="1" x14ac:dyDescent="0.15">
      <c r="A679" s="3"/>
      <c r="B679" s="2"/>
      <c r="C679" s="2"/>
      <c r="D679" s="2"/>
      <c r="E679" s="2"/>
      <c r="F679" s="2"/>
      <c r="G679" s="2"/>
      <c r="I679" s="2"/>
    </row>
    <row r="680" spans="1:9" ht="12" customHeight="1" x14ac:dyDescent="0.15">
      <c r="A680" s="3"/>
      <c r="B680" s="2"/>
      <c r="C680" s="2"/>
      <c r="D680" s="2"/>
      <c r="E680" s="2"/>
      <c r="F680" s="2"/>
      <c r="G680" s="2"/>
      <c r="I680" s="2"/>
    </row>
    <row r="681" spans="1:9" ht="12" customHeight="1" x14ac:dyDescent="0.15">
      <c r="A681" s="3"/>
      <c r="B681" s="2"/>
      <c r="C681" s="2"/>
      <c r="D681" s="2"/>
      <c r="E681" s="2"/>
      <c r="F681" s="2"/>
      <c r="G681" s="2"/>
      <c r="I681" s="2"/>
    </row>
    <row r="682" spans="1:9" ht="12" customHeight="1" x14ac:dyDescent="0.15">
      <c r="A682" s="3"/>
      <c r="B682" s="2"/>
      <c r="C682" s="2"/>
      <c r="D682" s="2"/>
      <c r="E682" s="2"/>
      <c r="F682" s="2"/>
      <c r="G682" s="2"/>
      <c r="I682" s="2"/>
    </row>
    <row r="683" spans="1:9" ht="12" customHeight="1" x14ac:dyDescent="0.15">
      <c r="A683" s="3"/>
      <c r="B683" s="2"/>
      <c r="C683" s="2"/>
      <c r="D683" s="2"/>
      <c r="E683" s="2"/>
      <c r="F683" s="2"/>
      <c r="G683" s="2"/>
      <c r="I683" s="2"/>
    </row>
    <row r="684" spans="1:9" ht="12" customHeight="1" x14ac:dyDescent="0.15">
      <c r="A684" s="3"/>
      <c r="B684" s="2"/>
      <c r="C684" s="2"/>
      <c r="D684" s="2"/>
      <c r="E684" s="2"/>
      <c r="F684" s="2"/>
      <c r="G684" s="2"/>
      <c r="I684" s="2"/>
    </row>
    <row r="685" spans="1:9" ht="12" customHeight="1" x14ac:dyDescent="0.15">
      <c r="A685" s="3"/>
      <c r="B685" s="2"/>
      <c r="C685" s="2"/>
      <c r="D685" s="2"/>
      <c r="E685" s="2"/>
      <c r="F685" s="2"/>
      <c r="G685" s="2"/>
      <c r="I685" s="2"/>
    </row>
    <row r="686" spans="1:9" ht="12" customHeight="1" x14ac:dyDescent="0.15">
      <c r="A686" s="3"/>
      <c r="B686" s="2"/>
      <c r="C686" s="2"/>
      <c r="D686" s="2"/>
      <c r="E686" s="2"/>
      <c r="F686" s="2"/>
      <c r="G686" s="2"/>
      <c r="I686" s="2"/>
    </row>
    <row r="687" spans="1:9" ht="12" customHeight="1" x14ac:dyDescent="0.15">
      <c r="A687" s="3"/>
      <c r="B687" s="2"/>
      <c r="C687" s="2"/>
      <c r="D687" s="2"/>
      <c r="E687" s="2"/>
      <c r="F687" s="2"/>
      <c r="G687" s="2"/>
      <c r="I687" s="2"/>
    </row>
    <row r="688" spans="1:9" ht="12" customHeight="1" x14ac:dyDescent="0.15">
      <c r="A688" s="3"/>
      <c r="B688" s="2"/>
      <c r="C688" s="2"/>
      <c r="D688" s="2"/>
      <c r="E688" s="2"/>
      <c r="F688" s="2"/>
      <c r="G688" s="2"/>
      <c r="I688" s="2"/>
    </row>
    <row r="689" spans="1:9" ht="12" customHeight="1" x14ac:dyDescent="0.15">
      <c r="A689" s="3"/>
      <c r="B689" s="2"/>
      <c r="C689" s="2"/>
      <c r="D689" s="2"/>
      <c r="E689" s="2"/>
      <c r="F689" s="2"/>
      <c r="G689" s="2"/>
      <c r="I689" s="2"/>
    </row>
    <row r="690" spans="1:9" ht="12" customHeight="1" x14ac:dyDescent="0.15">
      <c r="A690" s="3"/>
      <c r="B690" s="2"/>
      <c r="C690" s="2"/>
      <c r="D690" s="2"/>
      <c r="E690" s="2"/>
      <c r="F690" s="2"/>
      <c r="G690" s="2"/>
      <c r="I690" s="2"/>
    </row>
    <row r="691" spans="1:9" ht="12" customHeight="1" x14ac:dyDescent="0.15">
      <c r="A691" s="3"/>
      <c r="B691" s="2"/>
      <c r="C691" s="2"/>
      <c r="D691" s="2"/>
      <c r="E691" s="2"/>
      <c r="F691" s="2"/>
      <c r="G691" s="2"/>
      <c r="I691" s="2"/>
    </row>
    <row r="692" spans="1:9" ht="12" customHeight="1" x14ac:dyDescent="0.15">
      <c r="A692" s="3"/>
      <c r="B692" s="2"/>
      <c r="C692" s="2"/>
      <c r="D692" s="2"/>
      <c r="E692" s="2"/>
      <c r="F692" s="2"/>
      <c r="G692" s="2"/>
      <c r="I692" s="2"/>
    </row>
    <row r="693" spans="1:9" ht="12" customHeight="1" x14ac:dyDescent="0.15">
      <c r="A693" s="3"/>
      <c r="B693" s="2"/>
      <c r="C693" s="2"/>
      <c r="D693" s="2"/>
      <c r="E693" s="2"/>
      <c r="F693" s="2"/>
      <c r="G693" s="2"/>
      <c r="I693" s="2"/>
    </row>
    <row r="694" spans="1:9" ht="12" customHeight="1" x14ac:dyDescent="0.15">
      <c r="A694" s="3"/>
      <c r="B694" s="2"/>
      <c r="C694" s="2"/>
      <c r="D694" s="2"/>
      <c r="E694" s="2"/>
      <c r="F694" s="2"/>
      <c r="G694" s="2"/>
      <c r="I694" s="2"/>
    </row>
    <row r="695" spans="1:9" ht="12" customHeight="1" x14ac:dyDescent="0.15">
      <c r="A695" s="3"/>
      <c r="B695" s="2"/>
      <c r="C695" s="2"/>
      <c r="D695" s="2"/>
      <c r="E695" s="2"/>
      <c r="F695" s="2"/>
      <c r="G695" s="2"/>
      <c r="I695" s="2"/>
    </row>
    <row r="696" spans="1:9" ht="12" customHeight="1" x14ac:dyDescent="0.15">
      <c r="A696" s="3"/>
      <c r="B696" s="2"/>
      <c r="C696" s="2"/>
      <c r="D696" s="2"/>
      <c r="E696" s="2"/>
      <c r="F696" s="2"/>
      <c r="G696" s="2"/>
      <c r="I696" s="2"/>
    </row>
    <row r="697" spans="1:9" ht="12" customHeight="1" x14ac:dyDescent="0.15">
      <c r="A697" s="3"/>
      <c r="B697" s="2"/>
      <c r="C697" s="2"/>
      <c r="D697" s="2"/>
      <c r="E697" s="2"/>
      <c r="F697" s="2"/>
      <c r="G697" s="2"/>
      <c r="I697" s="2"/>
    </row>
    <row r="698" spans="1:9" ht="12" customHeight="1" x14ac:dyDescent="0.15">
      <c r="A698" s="3"/>
      <c r="B698" s="2"/>
      <c r="C698" s="2"/>
      <c r="D698" s="2"/>
      <c r="E698" s="2"/>
      <c r="F698" s="2"/>
      <c r="G698" s="2"/>
      <c r="I698" s="2"/>
    </row>
    <row r="699" spans="1:9" ht="12" customHeight="1" x14ac:dyDescent="0.15">
      <c r="A699" s="3"/>
      <c r="B699" s="2"/>
      <c r="C699" s="2"/>
      <c r="D699" s="2"/>
      <c r="E699" s="2"/>
      <c r="F699" s="2"/>
      <c r="G699" s="2"/>
      <c r="I699" s="2"/>
    </row>
    <row r="700" spans="1:9" ht="12" customHeight="1" x14ac:dyDescent="0.15">
      <c r="A700" s="3"/>
      <c r="B700" s="2"/>
      <c r="C700" s="2"/>
      <c r="D700" s="2"/>
      <c r="E700" s="2"/>
      <c r="F700" s="2"/>
      <c r="G700" s="2"/>
      <c r="I700" s="2"/>
    </row>
    <row r="701" spans="1:9" ht="12" customHeight="1" x14ac:dyDescent="0.15">
      <c r="A701" s="3"/>
      <c r="B701" s="2"/>
      <c r="C701" s="2"/>
      <c r="D701" s="2"/>
      <c r="E701" s="2"/>
      <c r="F701" s="2"/>
      <c r="G701" s="2"/>
      <c r="I701" s="2"/>
    </row>
    <row r="702" spans="1:9" ht="12" customHeight="1" x14ac:dyDescent="0.15">
      <c r="A702" s="3"/>
      <c r="B702" s="2"/>
      <c r="C702" s="2"/>
      <c r="D702" s="2"/>
      <c r="E702" s="2"/>
      <c r="F702" s="2"/>
      <c r="G702" s="2"/>
      <c r="I702" s="2"/>
    </row>
    <row r="703" spans="1:9" ht="12" customHeight="1" x14ac:dyDescent="0.15">
      <c r="A703" s="3"/>
      <c r="B703" s="2"/>
      <c r="C703" s="2"/>
      <c r="D703" s="2"/>
      <c r="E703" s="2"/>
      <c r="F703" s="2"/>
      <c r="G703" s="2"/>
      <c r="I703" s="2"/>
    </row>
    <row r="704" spans="1:9" ht="12" customHeight="1" x14ac:dyDescent="0.15">
      <c r="A704" s="3"/>
      <c r="B704" s="2"/>
      <c r="C704" s="2"/>
      <c r="D704" s="2"/>
      <c r="E704" s="2"/>
      <c r="F704" s="2"/>
      <c r="G704" s="2"/>
      <c r="I704" s="2"/>
    </row>
    <row r="705" spans="1:9" ht="12" customHeight="1" x14ac:dyDescent="0.15">
      <c r="A705" s="3"/>
      <c r="B705" s="2"/>
      <c r="C705" s="2"/>
      <c r="D705" s="2"/>
      <c r="E705" s="2"/>
      <c r="F705" s="2"/>
      <c r="G705" s="2"/>
      <c r="I705" s="2"/>
    </row>
    <row r="706" spans="1:9" ht="12" customHeight="1" x14ac:dyDescent="0.15">
      <c r="A706" s="3"/>
      <c r="B706" s="2"/>
      <c r="C706" s="2"/>
      <c r="D706" s="2"/>
      <c r="E706" s="2"/>
      <c r="F706" s="2"/>
      <c r="G706" s="2"/>
      <c r="I706" s="2"/>
    </row>
    <row r="707" spans="1:9" ht="12" customHeight="1" x14ac:dyDescent="0.15">
      <c r="A707" s="3"/>
      <c r="B707" s="2"/>
      <c r="C707" s="2"/>
      <c r="D707" s="2"/>
      <c r="E707" s="2"/>
      <c r="F707" s="2"/>
      <c r="G707" s="2"/>
      <c r="I707" s="2"/>
    </row>
    <row r="708" spans="1:9" ht="12" customHeight="1" x14ac:dyDescent="0.15">
      <c r="A708" s="3"/>
      <c r="B708" s="2"/>
      <c r="C708" s="2"/>
      <c r="D708" s="2"/>
      <c r="E708" s="2"/>
      <c r="F708" s="2"/>
      <c r="G708" s="2"/>
      <c r="I708" s="2"/>
    </row>
    <row r="709" spans="1:9" ht="12" customHeight="1" x14ac:dyDescent="0.15">
      <c r="A709" s="3"/>
      <c r="B709" s="2"/>
      <c r="C709" s="2"/>
      <c r="D709" s="2"/>
      <c r="E709" s="2"/>
      <c r="F709" s="2"/>
      <c r="G709" s="2"/>
      <c r="I709" s="2"/>
    </row>
    <row r="710" spans="1:9" ht="12" customHeight="1" x14ac:dyDescent="0.15">
      <c r="A710" s="3"/>
      <c r="B710" s="2"/>
      <c r="C710" s="2"/>
      <c r="D710" s="2"/>
      <c r="E710" s="2"/>
      <c r="F710" s="2"/>
      <c r="G710" s="2"/>
      <c r="I710" s="2"/>
    </row>
    <row r="711" spans="1:9" ht="12" customHeight="1" x14ac:dyDescent="0.15">
      <c r="A711" s="3"/>
      <c r="B711" s="2"/>
      <c r="C711" s="2"/>
      <c r="D711" s="2"/>
      <c r="E711" s="2"/>
      <c r="F711" s="2"/>
      <c r="G711" s="2"/>
      <c r="I711" s="2"/>
    </row>
    <row r="712" spans="1:9" ht="12" customHeight="1" x14ac:dyDescent="0.15">
      <c r="A712" s="3"/>
      <c r="B712" s="2"/>
      <c r="C712" s="2"/>
      <c r="D712" s="2"/>
      <c r="E712" s="2"/>
      <c r="F712" s="2"/>
      <c r="G712" s="2"/>
      <c r="I712" s="2"/>
    </row>
    <row r="713" spans="1:9" ht="12" customHeight="1" x14ac:dyDescent="0.15">
      <c r="A713" s="3"/>
      <c r="B713" s="2"/>
      <c r="C713" s="2"/>
      <c r="D713" s="2"/>
      <c r="E713" s="2"/>
      <c r="F713" s="2"/>
      <c r="G713" s="2"/>
      <c r="I713" s="2"/>
    </row>
    <row r="714" spans="1:9" ht="12" customHeight="1" x14ac:dyDescent="0.15">
      <c r="A714" s="3"/>
      <c r="B714" s="2"/>
      <c r="C714" s="2"/>
      <c r="D714" s="2"/>
      <c r="E714" s="2"/>
      <c r="F714" s="2"/>
      <c r="G714" s="2"/>
      <c r="I714" s="2"/>
    </row>
    <row r="715" spans="1:9" ht="12" customHeight="1" x14ac:dyDescent="0.15">
      <c r="A715" s="3"/>
      <c r="B715" s="2"/>
      <c r="C715" s="2"/>
      <c r="D715" s="2"/>
      <c r="E715" s="2"/>
      <c r="F715" s="2"/>
      <c r="G715" s="2"/>
      <c r="I715" s="2"/>
    </row>
    <row r="716" spans="1:9" ht="12" customHeight="1" x14ac:dyDescent="0.15">
      <c r="A716" s="3"/>
      <c r="B716" s="2"/>
      <c r="C716" s="2"/>
      <c r="D716" s="2"/>
      <c r="E716" s="2"/>
      <c r="F716" s="2"/>
      <c r="G716" s="2"/>
      <c r="I716" s="2"/>
    </row>
    <row r="717" spans="1:9" ht="12" customHeight="1" x14ac:dyDescent="0.15">
      <c r="A717" s="3"/>
      <c r="B717" s="2"/>
      <c r="C717" s="2"/>
      <c r="D717" s="2"/>
      <c r="E717" s="2"/>
      <c r="F717" s="2"/>
      <c r="G717" s="2"/>
      <c r="I717" s="2"/>
    </row>
    <row r="718" spans="1:9" ht="12" customHeight="1" x14ac:dyDescent="0.15">
      <c r="A718" s="3"/>
      <c r="B718" s="2"/>
      <c r="C718" s="2"/>
      <c r="D718" s="2"/>
      <c r="E718" s="2"/>
      <c r="F718" s="2"/>
      <c r="G718" s="2"/>
      <c r="I718" s="2"/>
    </row>
    <row r="719" spans="1:9" ht="12" customHeight="1" x14ac:dyDescent="0.15">
      <c r="A719" s="3"/>
      <c r="B719" s="2"/>
      <c r="C719" s="2"/>
      <c r="D719" s="2"/>
      <c r="E719" s="2"/>
      <c r="F719" s="2"/>
      <c r="G719" s="2"/>
      <c r="I719" s="2"/>
    </row>
    <row r="720" spans="1:9" ht="12" customHeight="1" x14ac:dyDescent="0.15">
      <c r="A720" s="3"/>
      <c r="B720" s="2"/>
      <c r="C720" s="2"/>
      <c r="D720" s="2"/>
      <c r="E720" s="2"/>
      <c r="F720" s="2"/>
      <c r="G720" s="2"/>
      <c r="I720" s="2"/>
    </row>
    <row r="721" spans="1:9" ht="12" customHeight="1" x14ac:dyDescent="0.15">
      <c r="A721" s="3"/>
      <c r="B721" s="2"/>
      <c r="C721" s="2"/>
      <c r="D721" s="2"/>
      <c r="E721" s="2"/>
      <c r="F721" s="2"/>
      <c r="G721" s="2"/>
      <c r="I721" s="2"/>
    </row>
    <row r="722" spans="1:9" ht="12" customHeight="1" x14ac:dyDescent="0.15">
      <c r="A722" s="3"/>
      <c r="B722" s="2"/>
      <c r="C722" s="2"/>
      <c r="D722" s="2"/>
      <c r="E722" s="2"/>
      <c r="F722" s="2"/>
      <c r="G722" s="2"/>
      <c r="I722" s="2"/>
    </row>
    <row r="723" spans="1:9" ht="12" customHeight="1" x14ac:dyDescent="0.15">
      <c r="A723" s="3"/>
      <c r="B723" s="2"/>
      <c r="C723" s="2"/>
      <c r="D723" s="2"/>
      <c r="E723" s="2"/>
      <c r="F723" s="2"/>
      <c r="G723" s="2"/>
      <c r="I723" s="2"/>
    </row>
    <row r="724" spans="1:9" ht="12" customHeight="1" x14ac:dyDescent="0.15">
      <c r="A724" s="3"/>
      <c r="B724" s="2"/>
      <c r="C724" s="2"/>
      <c r="D724" s="2"/>
      <c r="E724" s="2"/>
      <c r="F724" s="2"/>
      <c r="G724" s="2"/>
      <c r="I724" s="2"/>
    </row>
    <row r="725" spans="1:9" ht="12" customHeight="1" x14ac:dyDescent="0.15">
      <c r="A725" s="3"/>
      <c r="B725" s="2"/>
      <c r="C725" s="2"/>
      <c r="D725" s="2"/>
      <c r="E725" s="2"/>
      <c r="F725" s="2"/>
      <c r="G725" s="2"/>
      <c r="I725" s="2"/>
    </row>
    <row r="726" spans="1:9" ht="12" customHeight="1" x14ac:dyDescent="0.15">
      <c r="A726" s="3"/>
      <c r="B726" s="2"/>
      <c r="C726" s="2"/>
      <c r="D726" s="2"/>
      <c r="E726" s="2"/>
      <c r="F726" s="2"/>
      <c r="G726" s="2"/>
      <c r="I726" s="2"/>
    </row>
    <row r="727" spans="1:9" ht="12" customHeight="1" x14ac:dyDescent="0.15">
      <c r="A727" s="3"/>
      <c r="B727" s="2"/>
      <c r="C727" s="2"/>
      <c r="D727" s="2"/>
      <c r="E727" s="2"/>
      <c r="F727" s="2"/>
      <c r="G727" s="2"/>
      <c r="I727" s="2"/>
    </row>
    <row r="728" spans="1:9" ht="12" customHeight="1" x14ac:dyDescent="0.15">
      <c r="A728" s="3"/>
      <c r="B728" s="2"/>
      <c r="C728" s="2"/>
      <c r="D728" s="2"/>
      <c r="E728" s="2"/>
      <c r="F728" s="2"/>
      <c r="G728" s="2"/>
      <c r="I728" s="2"/>
    </row>
    <row r="729" spans="1:9" ht="12" customHeight="1" x14ac:dyDescent="0.15">
      <c r="A729" s="3"/>
      <c r="B729" s="2"/>
      <c r="C729" s="2"/>
      <c r="D729" s="2"/>
      <c r="E729" s="2"/>
      <c r="F729" s="2"/>
      <c r="G729" s="2"/>
      <c r="I729" s="2"/>
    </row>
    <row r="730" spans="1:9" ht="12" customHeight="1" x14ac:dyDescent="0.15">
      <c r="A730" s="3"/>
      <c r="B730" s="2"/>
      <c r="C730" s="2"/>
      <c r="D730" s="2"/>
      <c r="E730" s="2"/>
      <c r="F730" s="2"/>
      <c r="G730" s="2"/>
      <c r="I730" s="2"/>
    </row>
    <row r="731" spans="1:9" ht="12" customHeight="1" x14ac:dyDescent="0.15">
      <c r="A731" s="3"/>
      <c r="B731" s="2"/>
      <c r="C731" s="2"/>
      <c r="D731" s="2"/>
      <c r="E731" s="2"/>
      <c r="F731" s="2"/>
      <c r="G731" s="2"/>
      <c r="I731" s="2"/>
    </row>
    <row r="732" spans="1:9" ht="12" customHeight="1" x14ac:dyDescent="0.15">
      <c r="A732" s="3"/>
      <c r="B732" s="2"/>
      <c r="C732" s="2"/>
      <c r="D732" s="2"/>
      <c r="E732" s="2"/>
      <c r="F732" s="2"/>
      <c r="G732" s="2"/>
      <c r="I732" s="2"/>
    </row>
    <row r="733" spans="1:9" ht="12" customHeight="1" x14ac:dyDescent="0.15">
      <c r="A733" s="3"/>
      <c r="B733" s="2"/>
      <c r="C733" s="2"/>
      <c r="D733" s="2"/>
      <c r="E733" s="2"/>
      <c r="F733" s="2"/>
      <c r="G733" s="2"/>
      <c r="I733" s="2"/>
    </row>
    <row r="734" spans="1:9" ht="12" customHeight="1" x14ac:dyDescent="0.15">
      <c r="A734" s="3"/>
      <c r="B734" s="2"/>
      <c r="C734" s="2"/>
      <c r="D734" s="2"/>
      <c r="E734" s="2"/>
      <c r="F734" s="2"/>
      <c r="G734" s="2"/>
      <c r="I734" s="2"/>
    </row>
    <row r="735" spans="1:9" ht="12" customHeight="1" x14ac:dyDescent="0.15">
      <c r="A735" s="3"/>
      <c r="B735" s="2"/>
      <c r="C735" s="2"/>
      <c r="D735" s="2"/>
      <c r="E735" s="2"/>
      <c r="F735" s="2"/>
      <c r="G735" s="2"/>
      <c r="I735" s="2"/>
    </row>
    <row r="736" spans="1:9" ht="12" customHeight="1" x14ac:dyDescent="0.15">
      <c r="A736" s="3"/>
      <c r="B736" s="2"/>
      <c r="C736" s="2"/>
      <c r="D736" s="2"/>
      <c r="E736" s="2"/>
      <c r="F736" s="2"/>
      <c r="G736" s="2"/>
      <c r="I736" s="2"/>
    </row>
    <row r="737" spans="1:9" ht="12" customHeight="1" x14ac:dyDescent="0.15">
      <c r="A737" s="3"/>
      <c r="B737" s="2"/>
      <c r="C737" s="2"/>
      <c r="D737" s="2"/>
      <c r="E737" s="2"/>
      <c r="F737" s="2"/>
      <c r="G737" s="2"/>
      <c r="I737" s="2"/>
    </row>
    <row r="738" spans="1:9" ht="12" customHeight="1" x14ac:dyDescent="0.15">
      <c r="A738" s="3"/>
      <c r="B738" s="2"/>
      <c r="C738" s="2"/>
      <c r="D738" s="2"/>
      <c r="E738" s="2"/>
      <c r="F738" s="2"/>
      <c r="G738" s="2"/>
      <c r="I738" s="2"/>
    </row>
    <row r="739" spans="1:9" ht="12" customHeight="1" x14ac:dyDescent="0.15">
      <c r="A739" s="3"/>
      <c r="B739" s="2"/>
      <c r="C739" s="2"/>
      <c r="D739" s="2"/>
      <c r="E739" s="2"/>
      <c r="F739" s="2"/>
      <c r="G739" s="2"/>
      <c r="I739" s="2"/>
    </row>
    <row r="740" spans="1:9" ht="12" customHeight="1" x14ac:dyDescent="0.15">
      <c r="A740" s="3"/>
      <c r="B740" s="2"/>
      <c r="C740" s="2"/>
      <c r="D740" s="2"/>
      <c r="E740" s="2"/>
      <c r="F740" s="2"/>
      <c r="G740" s="2"/>
      <c r="I740" s="2"/>
    </row>
    <row r="741" spans="1:9" ht="12" customHeight="1" x14ac:dyDescent="0.15">
      <c r="A741" s="3"/>
      <c r="B741" s="2"/>
      <c r="C741" s="2"/>
      <c r="D741" s="2"/>
      <c r="E741" s="2"/>
      <c r="F741" s="2"/>
      <c r="G741" s="2"/>
      <c r="I741" s="2"/>
    </row>
    <row r="742" spans="1:9" ht="12" customHeight="1" x14ac:dyDescent="0.15">
      <c r="A742" s="3"/>
      <c r="B742" s="2"/>
      <c r="C742" s="2"/>
      <c r="D742" s="2"/>
      <c r="E742" s="2"/>
      <c r="F742" s="2"/>
      <c r="G742" s="2"/>
      <c r="I742" s="2"/>
    </row>
    <row r="743" spans="1:9" ht="12" customHeight="1" x14ac:dyDescent="0.15">
      <c r="A743" s="3"/>
      <c r="B743" s="2"/>
      <c r="C743" s="2"/>
      <c r="D743" s="2"/>
      <c r="E743" s="2"/>
      <c r="F743" s="2"/>
      <c r="G743" s="2"/>
      <c r="I743" s="2"/>
    </row>
    <row r="744" spans="1:9" ht="12" customHeight="1" x14ac:dyDescent="0.15">
      <c r="A744" s="3"/>
      <c r="B744" s="2"/>
      <c r="C744" s="2"/>
      <c r="D744" s="2"/>
      <c r="E744" s="2"/>
      <c r="F744" s="2"/>
      <c r="G744" s="2"/>
      <c r="I744" s="2"/>
    </row>
    <row r="745" spans="1:9" ht="12" customHeight="1" x14ac:dyDescent="0.15">
      <c r="A745" s="3"/>
      <c r="B745" s="2"/>
      <c r="C745" s="2"/>
      <c r="D745" s="2"/>
      <c r="E745" s="2"/>
      <c r="F745" s="2"/>
      <c r="G745" s="2"/>
      <c r="I745" s="2"/>
    </row>
    <row r="746" spans="1:9" ht="12" customHeight="1" x14ac:dyDescent="0.15">
      <c r="A746" s="3"/>
      <c r="B746" s="2"/>
      <c r="C746" s="2"/>
      <c r="D746" s="2"/>
      <c r="E746" s="2"/>
      <c r="F746" s="2"/>
      <c r="G746" s="2"/>
      <c r="I746" s="2"/>
    </row>
    <row r="747" spans="1:9" ht="12" customHeight="1" x14ac:dyDescent="0.15">
      <c r="A747" s="3"/>
      <c r="B747" s="2"/>
      <c r="C747" s="2"/>
      <c r="D747" s="2"/>
      <c r="E747" s="2"/>
      <c r="F747" s="2"/>
      <c r="G747" s="2"/>
      <c r="I747" s="2"/>
    </row>
    <row r="748" spans="1:9" ht="12" customHeight="1" x14ac:dyDescent="0.15">
      <c r="A748" s="3"/>
      <c r="B748" s="2"/>
      <c r="C748" s="2"/>
      <c r="D748" s="2"/>
      <c r="E748" s="2"/>
      <c r="F748" s="2"/>
      <c r="G748" s="2"/>
      <c r="I748" s="2"/>
    </row>
    <row r="749" spans="1:9" ht="12" customHeight="1" x14ac:dyDescent="0.15">
      <c r="A749" s="3"/>
      <c r="B749" s="2"/>
      <c r="C749" s="2"/>
      <c r="D749" s="2"/>
      <c r="E749" s="2"/>
      <c r="F749" s="2"/>
      <c r="G749" s="2"/>
      <c r="I749" s="2"/>
    </row>
    <row r="750" spans="1:9" ht="12" customHeight="1" x14ac:dyDescent="0.15">
      <c r="A750" s="3"/>
      <c r="B750" s="2"/>
      <c r="C750" s="2"/>
      <c r="D750" s="2"/>
      <c r="E750" s="2"/>
      <c r="F750" s="2"/>
      <c r="G750" s="2"/>
      <c r="I750" s="2"/>
    </row>
    <row r="751" spans="1:9" ht="12" customHeight="1" x14ac:dyDescent="0.15">
      <c r="A751" s="3"/>
      <c r="B751" s="2"/>
      <c r="C751" s="2"/>
      <c r="D751" s="2"/>
      <c r="E751" s="2"/>
      <c r="F751" s="2"/>
      <c r="G751" s="2"/>
      <c r="I751" s="2"/>
    </row>
    <row r="752" spans="1:9" ht="12" customHeight="1" x14ac:dyDescent="0.15">
      <c r="A752" s="3"/>
      <c r="B752" s="2"/>
      <c r="C752" s="2"/>
      <c r="D752" s="2"/>
      <c r="E752" s="2"/>
      <c r="F752" s="2"/>
      <c r="G752" s="2"/>
      <c r="I752" s="2"/>
    </row>
    <row r="753" spans="1:9" ht="12" customHeight="1" x14ac:dyDescent="0.15">
      <c r="A753" s="3"/>
      <c r="B753" s="2"/>
      <c r="C753" s="2"/>
      <c r="D753" s="2"/>
      <c r="E753" s="2"/>
      <c r="F753" s="2"/>
      <c r="G753" s="2"/>
      <c r="I753" s="2"/>
    </row>
    <row r="754" spans="1:9" ht="12" customHeight="1" x14ac:dyDescent="0.15">
      <c r="A754" s="3"/>
      <c r="B754" s="2"/>
      <c r="C754" s="2"/>
      <c r="D754" s="2"/>
      <c r="E754" s="2"/>
      <c r="F754" s="2"/>
      <c r="G754" s="2"/>
      <c r="I754" s="2"/>
    </row>
    <row r="755" spans="1:9" ht="12" customHeight="1" x14ac:dyDescent="0.15">
      <c r="A755" s="3"/>
      <c r="B755" s="2"/>
      <c r="C755" s="2"/>
      <c r="D755" s="2"/>
      <c r="E755" s="2"/>
      <c r="F755" s="2"/>
      <c r="G755" s="2"/>
      <c r="I755" s="2"/>
    </row>
    <row r="756" spans="1:9" ht="12" customHeight="1" x14ac:dyDescent="0.15">
      <c r="A756" s="3"/>
      <c r="B756" s="2"/>
      <c r="C756" s="2"/>
      <c r="D756" s="2"/>
      <c r="E756" s="2"/>
      <c r="F756" s="2"/>
      <c r="G756" s="2"/>
      <c r="I756" s="2"/>
    </row>
    <row r="757" spans="1:9" ht="12" customHeight="1" x14ac:dyDescent="0.15">
      <c r="A757" s="3"/>
      <c r="B757" s="2"/>
      <c r="C757" s="2"/>
      <c r="D757" s="2"/>
      <c r="E757" s="2"/>
      <c r="F757" s="2"/>
      <c r="G757" s="2"/>
      <c r="I757" s="2"/>
    </row>
    <row r="758" spans="1:9" ht="12" customHeight="1" x14ac:dyDescent="0.15">
      <c r="A758" s="3"/>
      <c r="B758" s="2"/>
      <c r="C758" s="2"/>
      <c r="D758" s="2"/>
      <c r="E758" s="2"/>
      <c r="F758" s="2"/>
      <c r="G758" s="2"/>
      <c r="I758" s="2"/>
    </row>
    <row r="759" spans="1:9" ht="12" customHeight="1" x14ac:dyDescent="0.15">
      <c r="A759" s="3"/>
      <c r="B759" s="2"/>
      <c r="C759" s="2"/>
      <c r="D759" s="2"/>
      <c r="E759" s="2"/>
      <c r="F759" s="2"/>
      <c r="G759" s="2"/>
      <c r="I759" s="2"/>
    </row>
    <row r="760" spans="1:9" ht="12" customHeight="1" x14ac:dyDescent="0.15">
      <c r="A760" s="3"/>
      <c r="B760" s="2"/>
      <c r="C760" s="2"/>
      <c r="D760" s="2"/>
      <c r="E760" s="2"/>
      <c r="F760" s="2"/>
      <c r="G760" s="2"/>
      <c r="I760" s="2"/>
    </row>
    <row r="761" spans="1:9" ht="12" customHeight="1" x14ac:dyDescent="0.15">
      <c r="A761" s="3"/>
      <c r="B761" s="2"/>
      <c r="C761" s="2"/>
      <c r="D761" s="2"/>
      <c r="E761" s="2"/>
      <c r="F761" s="2"/>
      <c r="G761" s="2"/>
      <c r="I761" s="2"/>
    </row>
    <row r="762" spans="1:9" ht="12" customHeight="1" x14ac:dyDescent="0.15">
      <c r="A762" s="3"/>
      <c r="B762" s="2"/>
      <c r="C762" s="2"/>
      <c r="D762" s="2"/>
      <c r="E762" s="2"/>
      <c r="F762" s="2"/>
      <c r="G762" s="2"/>
      <c r="I762" s="2"/>
    </row>
    <row r="763" spans="1:9" ht="12" customHeight="1" x14ac:dyDescent="0.15">
      <c r="A763" s="3"/>
      <c r="B763" s="2"/>
      <c r="C763" s="2"/>
      <c r="D763" s="2"/>
      <c r="E763" s="2"/>
      <c r="F763" s="2"/>
      <c r="G763" s="2"/>
      <c r="I763" s="2"/>
    </row>
    <row r="764" spans="1:9" ht="12" customHeight="1" x14ac:dyDescent="0.15">
      <c r="A764" s="3"/>
      <c r="B764" s="2"/>
      <c r="C764" s="2"/>
      <c r="D764" s="2"/>
      <c r="E764" s="2"/>
      <c r="F764" s="2"/>
      <c r="G764" s="2"/>
      <c r="I764" s="2"/>
    </row>
    <row r="765" spans="1:9" ht="12" customHeight="1" x14ac:dyDescent="0.15">
      <c r="A765" s="3"/>
      <c r="B765" s="2"/>
      <c r="C765" s="2"/>
      <c r="D765" s="2"/>
      <c r="E765" s="2"/>
      <c r="F765" s="2"/>
      <c r="G765" s="2"/>
      <c r="I765" s="2"/>
    </row>
    <row r="766" spans="1:9" ht="12" customHeight="1" x14ac:dyDescent="0.15">
      <c r="A766" s="3"/>
      <c r="B766" s="2"/>
      <c r="C766" s="2"/>
      <c r="D766" s="2"/>
      <c r="E766" s="2"/>
      <c r="F766" s="2"/>
      <c r="G766" s="2"/>
      <c r="I766" s="2"/>
    </row>
    <row r="767" spans="1:9" ht="12" customHeight="1" x14ac:dyDescent="0.15">
      <c r="A767" s="3"/>
      <c r="B767" s="2"/>
      <c r="C767" s="2"/>
      <c r="D767" s="2"/>
      <c r="E767" s="2"/>
      <c r="F767" s="2"/>
      <c r="G767" s="2"/>
      <c r="I767" s="2"/>
    </row>
    <row r="768" spans="1:9" ht="12" customHeight="1" x14ac:dyDescent="0.15">
      <c r="A768" s="3"/>
      <c r="B768" s="2"/>
      <c r="C768" s="2"/>
      <c r="D768" s="2"/>
      <c r="E768" s="2"/>
      <c r="F768" s="2"/>
      <c r="G768" s="2"/>
      <c r="I768" s="2"/>
    </row>
    <row r="769" spans="1:9" ht="12" customHeight="1" x14ac:dyDescent="0.15">
      <c r="A769" s="3"/>
      <c r="B769" s="2"/>
      <c r="C769" s="2"/>
      <c r="D769" s="2"/>
      <c r="E769" s="2"/>
      <c r="F769" s="2"/>
      <c r="G769" s="2"/>
      <c r="I769" s="2"/>
    </row>
    <row r="770" spans="1:9" ht="12" customHeight="1" x14ac:dyDescent="0.15">
      <c r="A770" s="3"/>
      <c r="B770" s="2"/>
      <c r="C770" s="2"/>
      <c r="D770" s="2"/>
      <c r="E770" s="2"/>
      <c r="F770" s="2"/>
      <c r="G770" s="2"/>
      <c r="I770" s="2"/>
    </row>
    <row r="771" spans="1:9" ht="12" customHeight="1" x14ac:dyDescent="0.15">
      <c r="A771" s="3"/>
      <c r="B771" s="2"/>
      <c r="C771" s="2"/>
      <c r="D771" s="2"/>
      <c r="E771" s="2"/>
      <c r="F771" s="2"/>
      <c r="G771" s="2"/>
      <c r="I771" s="2"/>
    </row>
    <row r="772" spans="1:9" ht="12" customHeight="1" x14ac:dyDescent="0.15">
      <c r="A772" s="3"/>
      <c r="B772" s="2"/>
      <c r="C772" s="2"/>
      <c r="D772" s="2"/>
      <c r="E772" s="2"/>
      <c r="F772" s="2"/>
      <c r="G772" s="2"/>
      <c r="I772" s="2"/>
    </row>
    <row r="773" spans="1:9" ht="12" customHeight="1" x14ac:dyDescent="0.15">
      <c r="A773" s="3"/>
      <c r="B773" s="2"/>
      <c r="C773" s="2"/>
      <c r="D773" s="2"/>
      <c r="E773" s="2"/>
      <c r="F773" s="2"/>
      <c r="G773" s="2"/>
      <c r="I773" s="2"/>
    </row>
    <row r="774" spans="1:9" ht="12" customHeight="1" x14ac:dyDescent="0.15">
      <c r="A774" s="3"/>
      <c r="B774" s="2"/>
      <c r="C774" s="2"/>
      <c r="D774" s="2"/>
      <c r="E774" s="2"/>
      <c r="F774" s="2"/>
      <c r="G774" s="2"/>
      <c r="I774" s="2"/>
    </row>
    <row r="775" spans="1:9" ht="12" customHeight="1" x14ac:dyDescent="0.15">
      <c r="A775" s="3"/>
      <c r="B775" s="2"/>
      <c r="C775" s="2"/>
      <c r="D775" s="2"/>
      <c r="E775" s="2"/>
      <c r="F775" s="2"/>
      <c r="G775" s="2"/>
      <c r="I775" s="2"/>
    </row>
    <row r="776" spans="1:9" ht="12" customHeight="1" x14ac:dyDescent="0.15">
      <c r="A776" s="3"/>
      <c r="B776" s="2"/>
      <c r="C776" s="2"/>
      <c r="D776" s="2"/>
      <c r="E776" s="2"/>
      <c r="F776" s="2"/>
      <c r="G776" s="2"/>
      <c r="I776" s="2"/>
    </row>
    <row r="777" spans="1:9" ht="12" customHeight="1" x14ac:dyDescent="0.15">
      <c r="A777" s="3"/>
      <c r="B777" s="2"/>
      <c r="C777" s="2"/>
      <c r="D777" s="2"/>
      <c r="E777" s="2"/>
      <c r="F777" s="2"/>
      <c r="G777" s="2"/>
      <c r="I777" s="2"/>
    </row>
    <row r="778" spans="1:9" ht="12" customHeight="1" x14ac:dyDescent="0.15">
      <c r="A778" s="3"/>
      <c r="B778" s="2"/>
      <c r="C778" s="2"/>
      <c r="D778" s="2"/>
      <c r="E778" s="2"/>
      <c r="F778" s="2"/>
      <c r="G778" s="2"/>
      <c r="I778" s="2"/>
    </row>
    <row r="779" spans="1:9" ht="12" customHeight="1" x14ac:dyDescent="0.15">
      <c r="A779" s="3"/>
      <c r="B779" s="2"/>
      <c r="C779" s="2"/>
      <c r="D779" s="2"/>
      <c r="E779" s="2"/>
      <c r="F779" s="2"/>
      <c r="G779" s="2"/>
      <c r="I779" s="2"/>
    </row>
    <row r="780" spans="1:9" ht="12" customHeight="1" x14ac:dyDescent="0.15">
      <c r="A780" s="3"/>
      <c r="B780" s="2"/>
      <c r="C780" s="2"/>
      <c r="D780" s="2"/>
      <c r="E780" s="2"/>
      <c r="F780" s="2"/>
      <c r="G780" s="2"/>
      <c r="I780" s="2"/>
    </row>
    <row r="781" spans="1:9" ht="12" customHeight="1" x14ac:dyDescent="0.15">
      <c r="A781" s="3"/>
      <c r="B781" s="2"/>
      <c r="C781" s="2"/>
      <c r="D781" s="2"/>
      <c r="E781" s="2"/>
      <c r="F781" s="2"/>
      <c r="G781" s="2"/>
      <c r="I781" s="2"/>
    </row>
    <row r="782" spans="1:9" ht="12" customHeight="1" x14ac:dyDescent="0.15">
      <c r="A782" s="3"/>
      <c r="B782" s="2"/>
      <c r="C782" s="2"/>
      <c r="D782" s="2"/>
      <c r="E782" s="2"/>
      <c r="F782" s="2"/>
      <c r="G782" s="2"/>
      <c r="I782" s="2"/>
    </row>
    <row r="783" spans="1:9" ht="12" customHeight="1" x14ac:dyDescent="0.15">
      <c r="A783" s="3"/>
      <c r="B783" s="2"/>
      <c r="C783" s="2"/>
      <c r="D783" s="2"/>
      <c r="E783" s="2"/>
      <c r="F783" s="2"/>
      <c r="G783" s="2"/>
      <c r="I783" s="2"/>
    </row>
    <row r="784" spans="1:9" ht="12" customHeight="1" x14ac:dyDescent="0.15">
      <c r="A784" s="3"/>
      <c r="B784" s="2"/>
      <c r="C784" s="2"/>
      <c r="D784" s="2"/>
      <c r="E784" s="2"/>
      <c r="F784" s="2"/>
      <c r="G784" s="2"/>
      <c r="I784" s="2"/>
    </row>
    <row r="785" spans="1:9" ht="12" customHeight="1" x14ac:dyDescent="0.15">
      <c r="A785" s="3"/>
      <c r="B785" s="2"/>
      <c r="C785" s="2"/>
      <c r="D785" s="2"/>
      <c r="E785" s="2"/>
      <c r="F785" s="2"/>
      <c r="G785" s="2"/>
      <c r="I785" s="2"/>
    </row>
    <row r="786" spans="1:9" ht="12" customHeight="1" x14ac:dyDescent="0.15">
      <c r="A786" s="3"/>
      <c r="B786" s="2"/>
      <c r="C786" s="2"/>
      <c r="D786" s="2"/>
      <c r="E786" s="2"/>
      <c r="F786" s="2"/>
      <c r="G786" s="2"/>
      <c r="I786" s="2"/>
    </row>
    <row r="787" spans="1:9" ht="12" customHeight="1" x14ac:dyDescent="0.15">
      <c r="A787" s="3"/>
      <c r="B787" s="2"/>
      <c r="C787" s="2"/>
      <c r="D787" s="2"/>
      <c r="E787" s="2"/>
      <c r="F787" s="2"/>
      <c r="G787" s="2"/>
      <c r="I787" s="2"/>
    </row>
    <row r="788" spans="1:9" ht="12" customHeight="1" x14ac:dyDescent="0.15">
      <c r="A788" s="3"/>
      <c r="B788" s="2"/>
      <c r="C788" s="2"/>
      <c r="D788" s="2"/>
      <c r="E788" s="2"/>
      <c r="F788" s="2"/>
      <c r="G788" s="2"/>
      <c r="I788" s="2"/>
    </row>
    <row r="789" spans="1:9" ht="12" customHeight="1" x14ac:dyDescent="0.15">
      <c r="A789" s="3"/>
      <c r="B789" s="2"/>
      <c r="C789" s="2"/>
      <c r="D789" s="2"/>
      <c r="E789" s="2"/>
      <c r="F789" s="2"/>
      <c r="G789" s="2"/>
      <c r="I789" s="2"/>
    </row>
    <row r="790" spans="1:9" ht="12" customHeight="1" x14ac:dyDescent="0.15">
      <c r="A790" s="3"/>
      <c r="B790" s="2"/>
      <c r="C790" s="2"/>
      <c r="D790" s="2"/>
      <c r="E790" s="2"/>
      <c r="F790" s="2"/>
      <c r="G790" s="2"/>
      <c r="I790" s="2"/>
    </row>
    <row r="791" spans="1:9" ht="12" customHeight="1" x14ac:dyDescent="0.15">
      <c r="A791" s="3"/>
      <c r="B791" s="2"/>
      <c r="C791" s="2"/>
      <c r="D791" s="2"/>
      <c r="E791" s="2"/>
      <c r="F791" s="2"/>
      <c r="G791" s="2"/>
      <c r="I791" s="2"/>
    </row>
    <row r="792" spans="1:9" ht="12" customHeight="1" x14ac:dyDescent="0.15">
      <c r="A792" s="3"/>
      <c r="B792" s="2"/>
      <c r="C792" s="2"/>
      <c r="D792" s="2"/>
      <c r="E792" s="2"/>
      <c r="F792" s="2"/>
      <c r="G792" s="2"/>
      <c r="I792" s="2"/>
    </row>
    <row r="793" spans="1:9" ht="12" customHeight="1" x14ac:dyDescent="0.15">
      <c r="A793" s="3"/>
      <c r="B793" s="2"/>
      <c r="C793" s="2"/>
      <c r="D793" s="2"/>
      <c r="E793" s="2"/>
      <c r="F793" s="2"/>
      <c r="G793" s="2"/>
      <c r="I793" s="2"/>
    </row>
    <row r="794" spans="1:9" ht="12" customHeight="1" x14ac:dyDescent="0.15">
      <c r="A794" s="3"/>
      <c r="B794" s="2"/>
      <c r="C794" s="2"/>
      <c r="D794" s="2"/>
      <c r="E794" s="2"/>
      <c r="F794" s="2"/>
      <c r="G794" s="2"/>
      <c r="I794" s="2"/>
    </row>
    <row r="795" spans="1:9" ht="12" customHeight="1" x14ac:dyDescent="0.15">
      <c r="A795" s="3"/>
      <c r="B795" s="2"/>
      <c r="C795" s="2"/>
      <c r="D795" s="2"/>
      <c r="E795" s="2"/>
      <c r="F795" s="2"/>
      <c r="G795" s="2"/>
      <c r="I795" s="2"/>
    </row>
    <row r="796" spans="1:9" ht="12" customHeight="1" x14ac:dyDescent="0.15">
      <c r="A796" s="3"/>
      <c r="B796" s="2"/>
      <c r="C796" s="2"/>
      <c r="D796" s="2"/>
      <c r="E796" s="2"/>
      <c r="F796" s="2"/>
      <c r="G796" s="2"/>
      <c r="I796" s="2"/>
    </row>
    <row r="797" spans="1:9" ht="12" customHeight="1" x14ac:dyDescent="0.15">
      <c r="A797" s="3"/>
      <c r="B797" s="2"/>
      <c r="C797" s="2"/>
      <c r="D797" s="2"/>
      <c r="E797" s="2"/>
      <c r="F797" s="2"/>
      <c r="G797" s="2"/>
      <c r="I797" s="2"/>
    </row>
    <row r="798" spans="1:9" ht="12" customHeight="1" x14ac:dyDescent="0.15">
      <c r="A798" s="3"/>
      <c r="B798" s="2"/>
      <c r="C798" s="2"/>
      <c r="D798" s="2"/>
      <c r="E798" s="2"/>
      <c r="F798" s="2"/>
      <c r="G798" s="2"/>
      <c r="I798" s="2"/>
    </row>
    <row r="799" spans="1:9" ht="12" customHeight="1" x14ac:dyDescent="0.15">
      <c r="A799" s="3"/>
      <c r="B799" s="2"/>
      <c r="C799" s="2"/>
      <c r="D799" s="2"/>
      <c r="E799" s="2"/>
      <c r="F799" s="2"/>
      <c r="G799" s="2"/>
      <c r="I799" s="2"/>
    </row>
    <row r="800" spans="1:9" ht="12" customHeight="1" x14ac:dyDescent="0.15">
      <c r="A800" s="3"/>
      <c r="B800" s="2"/>
      <c r="C800" s="2"/>
      <c r="D800" s="2"/>
      <c r="E800" s="2"/>
      <c r="F800" s="2"/>
      <c r="G800" s="2"/>
      <c r="I800" s="2"/>
    </row>
    <row r="801" spans="1:9" ht="12" customHeight="1" x14ac:dyDescent="0.15">
      <c r="A801" s="3"/>
      <c r="B801" s="2"/>
      <c r="C801" s="2"/>
      <c r="D801" s="2"/>
      <c r="E801" s="2"/>
      <c r="F801" s="2"/>
      <c r="G801" s="2"/>
      <c r="I801" s="2"/>
    </row>
    <row r="802" spans="1:9" ht="12" customHeight="1" x14ac:dyDescent="0.15">
      <c r="A802" s="3"/>
      <c r="B802" s="2"/>
      <c r="C802" s="2"/>
      <c r="D802" s="2"/>
      <c r="E802" s="2"/>
      <c r="F802" s="2"/>
      <c r="G802" s="2"/>
      <c r="I802" s="2"/>
    </row>
    <row r="803" spans="1:9" ht="12" customHeight="1" x14ac:dyDescent="0.15">
      <c r="A803" s="3"/>
      <c r="B803" s="2"/>
      <c r="C803" s="2"/>
      <c r="D803" s="2"/>
      <c r="E803" s="2"/>
      <c r="F803" s="2"/>
      <c r="G803" s="2"/>
      <c r="I803" s="2"/>
    </row>
    <row r="804" spans="1:9" ht="12" customHeight="1" x14ac:dyDescent="0.15">
      <c r="A804" s="3"/>
      <c r="B804" s="2"/>
      <c r="C804" s="2"/>
      <c r="D804" s="2"/>
      <c r="E804" s="2"/>
      <c r="F804" s="2"/>
      <c r="G804" s="2"/>
      <c r="I804" s="2"/>
    </row>
    <row r="805" spans="1:9" ht="12" customHeight="1" x14ac:dyDescent="0.15">
      <c r="A805" s="3"/>
      <c r="B805" s="2"/>
      <c r="C805" s="2"/>
      <c r="D805" s="2"/>
      <c r="E805" s="2"/>
      <c r="F805" s="2"/>
      <c r="G805" s="2"/>
      <c r="I805" s="2"/>
    </row>
    <row r="806" spans="1:9" ht="12" customHeight="1" x14ac:dyDescent="0.15">
      <c r="A806" s="3"/>
      <c r="B806" s="2"/>
      <c r="C806" s="2"/>
      <c r="D806" s="2"/>
      <c r="E806" s="2"/>
      <c r="F806" s="2"/>
      <c r="G806" s="2"/>
      <c r="I806" s="2"/>
    </row>
    <row r="807" spans="1:9" ht="12" customHeight="1" x14ac:dyDescent="0.15">
      <c r="A807" s="3"/>
      <c r="B807" s="2"/>
      <c r="C807" s="2"/>
      <c r="D807" s="2"/>
      <c r="E807" s="2"/>
      <c r="F807" s="2"/>
      <c r="G807" s="2"/>
      <c r="I807" s="2"/>
    </row>
    <row r="808" spans="1:9" ht="12" customHeight="1" x14ac:dyDescent="0.15">
      <c r="A808" s="3"/>
      <c r="B808" s="2"/>
      <c r="C808" s="2"/>
      <c r="D808" s="2"/>
      <c r="E808" s="2"/>
      <c r="F808" s="2"/>
      <c r="G808" s="2"/>
      <c r="I808" s="2"/>
    </row>
    <row r="809" spans="1:9" ht="12" customHeight="1" x14ac:dyDescent="0.15">
      <c r="A809" s="3"/>
      <c r="B809" s="2"/>
      <c r="C809" s="2"/>
      <c r="D809" s="2"/>
      <c r="E809" s="2"/>
      <c r="F809" s="2"/>
      <c r="G809" s="2"/>
      <c r="I809" s="2"/>
    </row>
    <row r="810" spans="1:9" ht="12" customHeight="1" x14ac:dyDescent="0.15">
      <c r="A810" s="3"/>
      <c r="B810" s="2"/>
      <c r="C810" s="2"/>
      <c r="D810" s="2"/>
      <c r="E810" s="2"/>
      <c r="F810" s="2"/>
      <c r="G810" s="2"/>
      <c r="I810" s="2"/>
    </row>
    <row r="811" spans="1:9" ht="12" customHeight="1" x14ac:dyDescent="0.15">
      <c r="A811" s="3"/>
      <c r="B811" s="2"/>
      <c r="C811" s="2"/>
      <c r="D811" s="2"/>
      <c r="E811" s="2"/>
      <c r="F811" s="2"/>
      <c r="G811" s="2"/>
      <c r="I811" s="2"/>
    </row>
    <row r="812" spans="1:9" ht="12" customHeight="1" x14ac:dyDescent="0.15">
      <c r="A812" s="3"/>
      <c r="B812" s="2"/>
      <c r="C812" s="2"/>
      <c r="D812" s="2"/>
      <c r="E812" s="2"/>
      <c r="F812" s="2"/>
      <c r="G812" s="2"/>
      <c r="I812" s="2"/>
    </row>
    <row r="813" spans="1:9" ht="12" customHeight="1" x14ac:dyDescent="0.15">
      <c r="A813" s="3"/>
      <c r="B813" s="2"/>
      <c r="C813" s="2"/>
      <c r="D813" s="2"/>
      <c r="E813" s="2"/>
      <c r="F813" s="2"/>
      <c r="G813" s="2"/>
      <c r="I813" s="2"/>
    </row>
    <row r="814" spans="1:9" ht="12" customHeight="1" x14ac:dyDescent="0.15">
      <c r="A814" s="3"/>
      <c r="B814" s="2"/>
      <c r="C814" s="2"/>
      <c r="D814" s="2"/>
      <c r="E814" s="2"/>
      <c r="F814" s="2"/>
      <c r="G814" s="2"/>
      <c r="I814" s="2"/>
    </row>
    <row r="815" spans="1:9" ht="12" customHeight="1" x14ac:dyDescent="0.15">
      <c r="A815" s="3"/>
      <c r="B815" s="2"/>
      <c r="C815" s="2"/>
      <c r="D815" s="2"/>
      <c r="E815" s="2"/>
      <c r="F815" s="2"/>
      <c r="G815" s="2"/>
      <c r="I815" s="2"/>
    </row>
    <row r="816" spans="1:9" ht="12" customHeight="1" x14ac:dyDescent="0.15">
      <c r="A816" s="3"/>
      <c r="B816" s="2"/>
      <c r="C816" s="2"/>
      <c r="D816" s="2"/>
      <c r="E816" s="2"/>
      <c r="F816" s="2"/>
      <c r="G816" s="2"/>
      <c r="I816" s="2"/>
    </row>
    <row r="817" spans="1:9" ht="12" customHeight="1" x14ac:dyDescent="0.15">
      <c r="A817" s="3"/>
      <c r="B817" s="2"/>
      <c r="C817" s="2"/>
      <c r="D817" s="2"/>
      <c r="E817" s="2"/>
      <c r="F817" s="2"/>
      <c r="G817" s="2"/>
      <c r="I817" s="2"/>
    </row>
    <row r="818" spans="1:9" ht="12" customHeight="1" x14ac:dyDescent="0.15">
      <c r="A818" s="3"/>
      <c r="B818" s="2"/>
      <c r="C818" s="2"/>
      <c r="D818" s="2"/>
      <c r="E818" s="2"/>
      <c r="F818" s="2"/>
      <c r="G818" s="2"/>
      <c r="I818" s="2"/>
    </row>
    <row r="819" spans="1:9" ht="12" customHeight="1" x14ac:dyDescent="0.15">
      <c r="A819" s="3"/>
      <c r="B819" s="2"/>
      <c r="C819" s="2"/>
      <c r="D819" s="2"/>
      <c r="E819" s="2"/>
      <c r="F819" s="2"/>
      <c r="G819" s="2"/>
      <c r="I819" s="2"/>
    </row>
    <row r="820" spans="1:9" ht="12" customHeight="1" x14ac:dyDescent="0.15">
      <c r="A820" s="3"/>
      <c r="B820" s="2"/>
      <c r="C820" s="2"/>
      <c r="D820" s="2"/>
      <c r="E820" s="2"/>
      <c r="F820" s="2"/>
      <c r="G820" s="2"/>
      <c r="I820" s="2"/>
    </row>
    <row r="821" spans="1:9" ht="12" customHeight="1" x14ac:dyDescent="0.15">
      <c r="A821" s="3"/>
      <c r="B821" s="2"/>
      <c r="C821" s="2"/>
      <c r="D821" s="2"/>
      <c r="E821" s="2"/>
      <c r="F821" s="2"/>
      <c r="G821" s="2"/>
      <c r="I821" s="2"/>
    </row>
    <row r="822" spans="1:9" ht="12" customHeight="1" x14ac:dyDescent="0.15">
      <c r="A822" s="3"/>
      <c r="B822" s="2"/>
      <c r="C822" s="2"/>
      <c r="D822" s="2"/>
      <c r="E822" s="2"/>
      <c r="F822" s="2"/>
      <c r="G822" s="2"/>
      <c r="I822" s="2"/>
    </row>
    <row r="823" spans="1:9" ht="12" customHeight="1" x14ac:dyDescent="0.15">
      <c r="A823" s="3"/>
      <c r="B823" s="2"/>
      <c r="C823" s="2"/>
      <c r="D823" s="2"/>
      <c r="E823" s="2"/>
      <c r="F823" s="2"/>
      <c r="G823" s="2"/>
      <c r="I823" s="2"/>
    </row>
    <row r="824" spans="1:9" ht="12" customHeight="1" x14ac:dyDescent="0.15">
      <c r="A824" s="3"/>
      <c r="B824" s="2"/>
      <c r="C824" s="2"/>
      <c r="D824" s="2"/>
      <c r="E824" s="2"/>
      <c r="F824" s="2"/>
      <c r="G824" s="2"/>
      <c r="I824" s="2"/>
    </row>
    <row r="825" spans="1:9" ht="12" customHeight="1" x14ac:dyDescent="0.15">
      <c r="A825" s="3"/>
      <c r="B825" s="2"/>
      <c r="C825" s="2"/>
      <c r="D825" s="2"/>
      <c r="E825" s="2"/>
      <c r="F825" s="2"/>
      <c r="G825" s="2"/>
      <c r="I825" s="2"/>
    </row>
    <row r="826" spans="1:9" ht="12" customHeight="1" x14ac:dyDescent="0.15">
      <c r="A826" s="3"/>
      <c r="B826" s="2"/>
      <c r="C826" s="2"/>
      <c r="D826" s="2"/>
      <c r="E826" s="2"/>
      <c r="F826" s="2"/>
      <c r="G826" s="2"/>
      <c r="I826" s="2"/>
    </row>
    <row r="827" spans="1:9" ht="12" customHeight="1" x14ac:dyDescent="0.15">
      <c r="A827" s="3"/>
      <c r="B827" s="2"/>
      <c r="C827" s="2"/>
      <c r="D827" s="2"/>
      <c r="E827" s="2"/>
      <c r="F827" s="2"/>
      <c r="G827" s="2"/>
      <c r="I827" s="2"/>
    </row>
    <row r="828" spans="1:9" ht="12" customHeight="1" x14ac:dyDescent="0.15">
      <c r="A828" s="3"/>
      <c r="B828" s="2"/>
      <c r="C828" s="2"/>
      <c r="D828" s="2"/>
      <c r="E828" s="2"/>
      <c r="F828" s="2"/>
      <c r="G828" s="2"/>
      <c r="I828" s="2"/>
    </row>
    <row r="829" spans="1:9" ht="12" customHeight="1" x14ac:dyDescent="0.15">
      <c r="A829" s="3"/>
      <c r="B829" s="2"/>
      <c r="C829" s="2"/>
      <c r="D829" s="2"/>
      <c r="E829" s="2"/>
      <c r="F829" s="2"/>
      <c r="G829" s="2"/>
      <c r="I829" s="2"/>
    </row>
    <row r="830" spans="1:9" ht="12" customHeight="1" x14ac:dyDescent="0.15">
      <c r="A830" s="3"/>
      <c r="B830" s="2"/>
      <c r="C830" s="2"/>
      <c r="D830" s="2"/>
      <c r="E830" s="2"/>
      <c r="F830" s="2"/>
      <c r="G830" s="2"/>
      <c r="I830" s="2"/>
    </row>
    <row r="831" spans="1:9" ht="12" customHeight="1" x14ac:dyDescent="0.15">
      <c r="A831" s="3"/>
      <c r="B831" s="2"/>
      <c r="C831" s="2"/>
      <c r="D831" s="2"/>
      <c r="E831" s="2"/>
      <c r="F831" s="2"/>
      <c r="G831" s="2"/>
      <c r="I831" s="2"/>
    </row>
    <row r="832" spans="1:9" ht="12" customHeight="1" x14ac:dyDescent="0.15">
      <c r="A832" s="3"/>
      <c r="B832" s="2"/>
      <c r="C832" s="2"/>
      <c r="D832" s="2"/>
      <c r="E832" s="2"/>
      <c r="F832" s="2"/>
      <c r="G832" s="2"/>
      <c r="I832" s="2"/>
    </row>
    <row r="833" spans="1:9" ht="12" customHeight="1" x14ac:dyDescent="0.15">
      <c r="A833" s="3"/>
      <c r="B833" s="2"/>
      <c r="C833" s="2"/>
      <c r="D833" s="2"/>
      <c r="E833" s="2"/>
      <c r="F833" s="2"/>
      <c r="G833" s="2"/>
      <c r="I833" s="2"/>
    </row>
    <row r="834" spans="1:9" ht="12" customHeight="1" x14ac:dyDescent="0.15">
      <c r="A834" s="3"/>
      <c r="B834" s="2"/>
      <c r="C834" s="2"/>
      <c r="D834" s="2"/>
      <c r="E834" s="2"/>
      <c r="F834" s="2"/>
      <c r="G834" s="2"/>
      <c r="I834" s="2"/>
    </row>
    <row r="835" spans="1:9" ht="12" customHeight="1" x14ac:dyDescent="0.15">
      <c r="A835" s="3"/>
      <c r="B835" s="2"/>
      <c r="C835" s="2"/>
      <c r="D835" s="2"/>
      <c r="E835" s="2"/>
      <c r="F835" s="2"/>
      <c r="G835" s="2"/>
      <c r="I835" s="2"/>
    </row>
    <row r="836" spans="1:9" ht="12" customHeight="1" x14ac:dyDescent="0.15">
      <c r="A836" s="3"/>
      <c r="B836" s="2"/>
      <c r="C836" s="2"/>
      <c r="D836" s="2"/>
      <c r="E836" s="2"/>
      <c r="F836" s="2"/>
      <c r="G836" s="2"/>
      <c r="I836" s="2"/>
    </row>
    <row r="837" spans="1:9" ht="12" customHeight="1" x14ac:dyDescent="0.15">
      <c r="A837" s="3"/>
      <c r="B837" s="2"/>
      <c r="C837" s="2"/>
      <c r="D837" s="2"/>
      <c r="E837" s="2"/>
      <c r="F837" s="2"/>
      <c r="G837" s="2"/>
      <c r="I837" s="2"/>
    </row>
    <row r="838" spans="1:9" ht="12" customHeight="1" x14ac:dyDescent="0.15">
      <c r="A838" s="3"/>
      <c r="B838" s="2"/>
      <c r="C838" s="2"/>
      <c r="D838" s="2"/>
      <c r="E838" s="2"/>
      <c r="F838" s="2"/>
      <c r="G838" s="2"/>
      <c r="I838" s="2"/>
    </row>
    <row r="839" spans="1:9" ht="12" customHeight="1" x14ac:dyDescent="0.15">
      <c r="A839" s="3"/>
      <c r="B839" s="2"/>
      <c r="C839" s="2"/>
      <c r="D839" s="2"/>
      <c r="E839" s="2"/>
      <c r="F839" s="2"/>
      <c r="G839" s="2"/>
      <c r="I839" s="2"/>
    </row>
    <row r="840" spans="1:9" ht="12" customHeight="1" x14ac:dyDescent="0.15">
      <c r="A840" s="3"/>
      <c r="B840" s="2"/>
      <c r="C840" s="2"/>
      <c r="D840" s="2"/>
      <c r="E840" s="2"/>
      <c r="F840" s="2"/>
      <c r="G840" s="2"/>
      <c r="I840" s="2"/>
    </row>
    <row r="841" spans="1:9" ht="12" customHeight="1" x14ac:dyDescent="0.15">
      <c r="A841" s="3"/>
      <c r="B841" s="2"/>
      <c r="C841" s="2"/>
      <c r="D841" s="2"/>
      <c r="E841" s="2"/>
      <c r="F841" s="2"/>
      <c r="G841" s="2"/>
      <c r="I841" s="2"/>
    </row>
    <row r="842" spans="1:9" ht="12" customHeight="1" x14ac:dyDescent="0.15">
      <c r="A842" s="3"/>
      <c r="B842" s="2"/>
      <c r="C842" s="2"/>
      <c r="D842" s="2"/>
      <c r="E842" s="2"/>
      <c r="F842" s="2"/>
      <c r="G842" s="2"/>
      <c r="I842" s="2"/>
    </row>
    <row r="843" spans="1:9" ht="12" customHeight="1" x14ac:dyDescent="0.15">
      <c r="A843" s="3"/>
      <c r="B843" s="2"/>
      <c r="C843" s="2"/>
      <c r="D843" s="2"/>
      <c r="E843" s="2"/>
      <c r="F843" s="2"/>
      <c r="G843" s="2"/>
      <c r="I843" s="2"/>
    </row>
    <row r="844" spans="1:9" ht="12" customHeight="1" x14ac:dyDescent="0.15">
      <c r="A844" s="3"/>
      <c r="B844" s="2"/>
      <c r="C844" s="2"/>
      <c r="D844" s="2"/>
      <c r="E844" s="2"/>
      <c r="F844" s="2"/>
      <c r="G844" s="2"/>
      <c r="I844" s="2"/>
    </row>
    <row r="845" spans="1:9" ht="12" customHeight="1" x14ac:dyDescent="0.15">
      <c r="A845" s="3"/>
      <c r="B845" s="2"/>
      <c r="C845" s="2"/>
      <c r="D845" s="2"/>
      <c r="E845" s="2"/>
      <c r="F845" s="2"/>
      <c r="G845" s="2"/>
      <c r="I845" s="2"/>
    </row>
    <row r="846" spans="1:9" ht="12" customHeight="1" x14ac:dyDescent="0.15">
      <c r="A846" s="3"/>
      <c r="B846" s="2"/>
      <c r="C846" s="2"/>
      <c r="D846" s="2"/>
      <c r="E846" s="2"/>
      <c r="F846" s="2"/>
      <c r="G846" s="2"/>
      <c r="I846" s="2"/>
    </row>
    <row r="847" spans="1:9" ht="12" customHeight="1" x14ac:dyDescent="0.15">
      <c r="A847" s="3"/>
      <c r="B847" s="2"/>
      <c r="C847" s="2"/>
      <c r="D847" s="2"/>
      <c r="E847" s="2"/>
      <c r="F847" s="2"/>
      <c r="G847" s="2"/>
      <c r="I847" s="2"/>
    </row>
    <row r="848" spans="1:9" ht="12" customHeight="1" x14ac:dyDescent="0.15">
      <c r="A848" s="3"/>
      <c r="B848" s="2"/>
      <c r="C848" s="2"/>
      <c r="D848" s="2"/>
      <c r="E848" s="2"/>
      <c r="F848" s="2"/>
      <c r="G848" s="2"/>
      <c r="I848" s="2"/>
    </row>
    <row r="849" spans="1:9" ht="12" customHeight="1" x14ac:dyDescent="0.15">
      <c r="A849" s="3"/>
      <c r="B849" s="2"/>
      <c r="C849" s="2"/>
      <c r="D849" s="2"/>
      <c r="E849" s="2"/>
      <c r="F849" s="2"/>
      <c r="G849" s="2"/>
      <c r="I849" s="2"/>
    </row>
    <row r="850" spans="1:9" ht="12" customHeight="1" x14ac:dyDescent="0.15">
      <c r="A850" s="3"/>
      <c r="B850" s="2"/>
      <c r="C850" s="2"/>
      <c r="D850" s="2"/>
      <c r="E850" s="2"/>
      <c r="F850" s="2"/>
      <c r="G850" s="2"/>
      <c r="I850" s="2"/>
    </row>
    <row r="851" spans="1:9" ht="12" customHeight="1" x14ac:dyDescent="0.15">
      <c r="A851" s="3"/>
      <c r="B851" s="2"/>
      <c r="C851" s="2"/>
      <c r="D851" s="2"/>
      <c r="E851" s="2"/>
      <c r="F851" s="2"/>
      <c r="G851" s="2"/>
      <c r="I851" s="2"/>
    </row>
    <row r="852" spans="1:9" ht="12" customHeight="1" x14ac:dyDescent="0.15">
      <c r="A852" s="3"/>
      <c r="B852" s="2"/>
      <c r="C852" s="2"/>
      <c r="D852" s="2"/>
      <c r="E852" s="2"/>
      <c r="F852" s="2"/>
      <c r="G852" s="2"/>
      <c r="I852" s="2"/>
    </row>
    <row r="853" spans="1:9" ht="12" customHeight="1" x14ac:dyDescent="0.15">
      <c r="A853" s="3"/>
      <c r="B853" s="2"/>
      <c r="C853" s="2"/>
      <c r="D853" s="2"/>
      <c r="E853" s="2"/>
      <c r="F853" s="2"/>
      <c r="G853" s="2"/>
      <c r="I853" s="2"/>
    </row>
    <row r="854" spans="1:9" ht="12" customHeight="1" x14ac:dyDescent="0.15">
      <c r="A854" s="3"/>
      <c r="B854" s="2"/>
      <c r="C854" s="2"/>
      <c r="D854" s="2"/>
      <c r="E854" s="2"/>
      <c r="F854" s="2"/>
      <c r="G854" s="2"/>
      <c r="I854" s="2"/>
    </row>
    <row r="855" spans="1:9" ht="12" customHeight="1" x14ac:dyDescent="0.15">
      <c r="A855" s="3"/>
      <c r="B855" s="2"/>
      <c r="C855" s="2"/>
      <c r="D855" s="2"/>
      <c r="E855" s="2"/>
      <c r="F855" s="2"/>
      <c r="G855" s="2"/>
      <c r="I855" s="2"/>
    </row>
    <row r="856" spans="1:9" ht="12" customHeight="1" x14ac:dyDescent="0.15">
      <c r="A856" s="3"/>
      <c r="B856" s="2"/>
      <c r="C856" s="2"/>
      <c r="D856" s="2"/>
      <c r="E856" s="2"/>
      <c r="F856" s="2"/>
      <c r="G856" s="2"/>
      <c r="I856" s="2"/>
    </row>
    <row r="857" spans="1:9" ht="12" customHeight="1" x14ac:dyDescent="0.15">
      <c r="A857" s="3"/>
      <c r="B857" s="2"/>
      <c r="C857" s="2"/>
      <c r="D857" s="2"/>
      <c r="E857" s="2"/>
      <c r="F857" s="2"/>
      <c r="G857" s="2"/>
      <c r="I857" s="2"/>
    </row>
    <row r="858" spans="1:9" ht="12" customHeight="1" x14ac:dyDescent="0.15">
      <c r="A858" s="3"/>
      <c r="B858" s="2"/>
      <c r="C858" s="2"/>
      <c r="D858" s="2"/>
      <c r="E858" s="2"/>
      <c r="F858" s="2"/>
      <c r="G858" s="2"/>
      <c r="I858" s="2"/>
    </row>
    <row r="859" spans="1:9" ht="12" customHeight="1" x14ac:dyDescent="0.15">
      <c r="A859" s="3"/>
      <c r="B859" s="2"/>
      <c r="C859" s="2"/>
      <c r="D859" s="2"/>
      <c r="E859" s="2"/>
      <c r="F859" s="2"/>
      <c r="G859" s="2"/>
      <c r="I859" s="2"/>
    </row>
    <row r="860" spans="1:9" ht="12" customHeight="1" x14ac:dyDescent="0.15">
      <c r="A860" s="3"/>
      <c r="B860" s="2"/>
      <c r="C860" s="2"/>
      <c r="D860" s="2"/>
      <c r="E860" s="2"/>
      <c r="F860" s="2"/>
      <c r="G860" s="2"/>
      <c r="I860" s="2"/>
    </row>
    <row r="861" spans="1:9" ht="12" customHeight="1" x14ac:dyDescent="0.15">
      <c r="A861" s="3"/>
      <c r="B861" s="2"/>
      <c r="C861" s="2"/>
      <c r="D861" s="2"/>
      <c r="E861" s="2"/>
      <c r="F861" s="2"/>
      <c r="G861" s="2"/>
      <c r="I861" s="2"/>
    </row>
    <row r="862" spans="1:9" ht="12" customHeight="1" x14ac:dyDescent="0.15">
      <c r="A862" s="3"/>
      <c r="B862" s="2"/>
      <c r="C862" s="2"/>
      <c r="D862" s="2"/>
      <c r="E862" s="2"/>
      <c r="F862" s="2"/>
      <c r="G862" s="2"/>
      <c r="I862" s="2"/>
    </row>
    <row r="863" spans="1:9" ht="12" customHeight="1" x14ac:dyDescent="0.15">
      <c r="A863" s="3"/>
      <c r="B863" s="2"/>
      <c r="C863" s="2"/>
      <c r="D863" s="2"/>
      <c r="E863" s="2"/>
      <c r="F863" s="2"/>
      <c r="G863" s="2"/>
      <c r="I863" s="2"/>
    </row>
    <row r="864" spans="1:9" ht="12" customHeight="1" x14ac:dyDescent="0.15">
      <c r="A864" s="3"/>
      <c r="B864" s="2"/>
      <c r="C864" s="2"/>
      <c r="D864" s="2"/>
      <c r="E864" s="2"/>
      <c r="F864" s="2"/>
      <c r="G864" s="2"/>
      <c r="I864" s="2"/>
    </row>
    <row r="865" spans="1:9" ht="12" customHeight="1" x14ac:dyDescent="0.15">
      <c r="A865" s="3"/>
      <c r="B865" s="2"/>
      <c r="C865" s="2"/>
      <c r="D865" s="2"/>
      <c r="E865" s="2"/>
      <c r="F865" s="2"/>
      <c r="G865" s="2"/>
      <c r="I865" s="2"/>
    </row>
    <row r="866" spans="1:9" ht="12" customHeight="1" x14ac:dyDescent="0.15">
      <c r="A866" s="3"/>
      <c r="B866" s="2"/>
      <c r="C866" s="2"/>
      <c r="D866" s="2"/>
      <c r="E866" s="2"/>
      <c r="F866" s="2"/>
      <c r="G866" s="2"/>
      <c r="I866" s="2"/>
    </row>
    <row r="867" spans="1:9" ht="12" customHeight="1" x14ac:dyDescent="0.15">
      <c r="A867" s="3"/>
      <c r="B867" s="2"/>
      <c r="C867" s="2"/>
      <c r="D867" s="2"/>
      <c r="E867" s="2"/>
      <c r="F867" s="2"/>
      <c r="G867" s="2"/>
      <c r="I867" s="2"/>
    </row>
    <row r="868" spans="1:9" ht="12" customHeight="1" x14ac:dyDescent="0.15">
      <c r="A868" s="3"/>
      <c r="B868" s="2"/>
      <c r="C868" s="2"/>
      <c r="D868" s="2"/>
      <c r="E868" s="2"/>
      <c r="F868" s="2"/>
      <c r="G868" s="2"/>
      <c r="I868" s="2"/>
    </row>
    <row r="869" spans="1:9" ht="12" customHeight="1" x14ac:dyDescent="0.15">
      <c r="A869" s="3"/>
      <c r="B869" s="2"/>
      <c r="C869" s="2"/>
      <c r="D869" s="2"/>
      <c r="E869" s="2"/>
      <c r="F869" s="2"/>
      <c r="G869" s="2"/>
      <c r="I869" s="2"/>
    </row>
    <row r="870" spans="1:9" ht="12" customHeight="1" x14ac:dyDescent="0.15">
      <c r="A870" s="3"/>
      <c r="B870" s="2"/>
      <c r="C870" s="2"/>
      <c r="D870" s="2"/>
      <c r="E870" s="2"/>
      <c r="F870" s="2"/>
      <c r="G870" s="2"/>
      <c r="I870" s="2"/>
    </row>
    <row r="871" spans="1:9" ht="12" customHeight="1" x14ac:dyDescent="0.15">
      <c r="A871" s="3"/>
      <c r="B871" s="2"/>
      <c r="C871" s="2"/>
      <c r="D871" s="2"/>
      <c r="E871" s="2"/>
      <c r="F871" s="2"/>
      <c r="G871" s="2"/>
      <c r="I871" s="2"/>
    </row>
    <row r="872" spans="1:9" ht="12" customHeight="1" x14ac:dyDescent="0.15">
      <c r="A872" s="3"/>
      <c r="B872" s="2"/>
      <c r="C872" s="2"/>
      <c r="D872" s="2"/>
      <c r="E872" s="2"/>
      <c r="F872" s="2"/>
      <c r="G872" s="2"/>
      <c r="I872" s="2"/>
    </row>
    <row r="873" spans="1:9" ht="12" customHeight="1" x14ac:dyDescent="0.15">
      <c r="A873" s="3"/>
      <c r="B873" s="2"/>
      <c r="C873" s="2"/>
      <c r="D873" s="2"/>
      <c r="E873" s="2"/>
      <c r="F873" s="2"/>
      <c r="G873" s="2"/>
      <c r="I873" s="2"/>
    </row>
    <row r="874" spans="1:9" ht="12" customHeight="1" x14ac:dyDescent="0.15">
      <c r="A874" s="3"/>
      <c r="B874" s="2"/>
      <c r="C874" s="2"/>
      <c r="D874" s="2"/>
      <c r="E874" s="2"/>
      <c r="F874" s="2"/>
      <c r="G874" s="2"/>
      <c r="I874" s="2"/>
    </row>
    <row r="875" spans="1:9" ht="12" customHeight="1" x14ac:dyDescent="0.15">
      <c r="A875" s="3"/>
      <c r="B875" s="2"/>
      <c r="C875" s="2"/>
      <c r="D875" s="2"/>
      <c r="E875" s="2"/>
      <c r="F875" s="2"/>
      <c r="G875" s="2"/>
      <c r="I875" s="2"/>
    </row>
    <row r="876" spans="1:9" ht="12" customHeight="1" x14ac:dyDescent="0.15">
      <c r="A876" s="3"/>
      <c r="B876" s="2"/>
      <c r="C876" s="2"/>
      <c r="D876" s="2"/>
      <c r="E876" s="2"/>
      <c r="F876" s="2"/>
      <c r="G876" s="2"/>
      <c r="I876" s="2"/>
    </row>
    <row r="877" spans="1:9" ht="12" customHeight="1" x14ac:dyDescent="0.15">
      <c r="A877" s="3"/>
      <c r="B877" s="2"/>
      <c r="C877" s="2"/>
      <c r="D877" s="2"/>
      <c r="E877" s="2"/>
      <c r="F877" s="2"/>
      <c r="G877" s="2"/>
      <c r="I877" s="2"/>
    </row>
    <row r="878" spans="1:9" ht="12" customHeight="1" x14ac:dyDescent="0.15">
      <c r="A878" s="3"/>
      <c r="B878" s="2"/>
      <c r="C878" s="2"/>
      <c r="D878" s="2"/>
      <c r="E878" s="2"/>
      <c r="F878" s="2"/>
      <c r="G878" s="2"/>
      <c r="I878" s="2"/>
    </row>
    <row r="879" spans="1:9" ht="12" customHeight="1" x14ac:dyDescent="0.15">
      <c r="A879" s="3"/>
      <c r="B879" s="2"/>
      <c r="C879" s="2"/>
      <c r="D879" s="2"/>
      <c r="E879" s="2"/>
      <c r="F879" s="2"/>
      <c r="G879" s="2"/>
      <c r="I879" s="2"/>
    </row>
    <row r="880" spans="1:9" ht="12" customHeight="1" x14ac:dyDescent="0.15">
      <c r="A880" s="3"/>
      <c r="B880" s="2"/>
      <c r="C880" s="2"/>
      <c r="D880" s="2"/>
      <c r="E880" s="2"/>
      <c r="F880" s="2"/>
      <c r="G880" s="2"/>
      <c r="I880" s="2"/>
    </row>
    <row r="881" spans="1:9" ht="12" customHeight="1" x14ac:dyDescent="0.15">
      <c r="A881" s="3"/>
      <c r="B881" s="2"/>
      <c r="C881" s="2"/>
      <c r="D881" s="2"/>
      <c r="E881" s="2"/>
      <c r="F881" s="2"/>
      <c r="G881" s="2"/>
      <c r="I881" s="2"/>
    </row>
    <row r="882" spans="1:9" ht="12" customHeight="1" x14ac:dyDescent="0.15">
      <c r="A882" s="3"/>
      <c r="B882" s="2"/>
      <c r="C882" s="2"/>
      <c r="D882" s="2"/>
      <c r="E882" s="2"/>
      <c r="F882" s="2"/>
      <c r="G882" s="2"/>
      <c r="I882" s="2"/>
    </row>
    <row r="883" spans="1:9" ht="12" customHeight="1" x14ac:dyDescent="0.15">
      <c r="A883" s="3"/>
      <c r="B883" s="2"/>
      <c r="C883" s="2"/>
      <c r="D883" s="2"/>
      <c r="E883" s="2"/>
      <c r="F883" s="2"/>
      <c r="G883" s="2"/>
      <c r="I883" s="2"/>
    </row>
    <row r="884" spans="1:9" ht="12" customHeight="1" x14ac:dyDescent="0.15">
      <c r="A884" s="3"/>
      <c r="B884" s="2"/>
      <c r="C884" s="2"/>
      <c r="D884" s="2"/>
      <c r="E884" s="2"/>
      <c r="F884" s="2"/>
      <c r="G884" s="2"/>
      <c r="I884" s="2"/>
    </row>
    <row r="885" spans="1:9" ht="12" customHeight="1" x14ac:dyDescent="0.15">
      <c r="A885" s="3"/>
      <c r="B885" s="2"/>
      <c r="C885" s="2"/>
      <c r="D885" s="2"/>
      <c r="E885" s="2"/>
      <c r="F885" s="2"/>
      <c r="G885" s="2"/>
      <c r="I885" s="2"/>
    </row>
    <row r="886" spans="1:9" ht="12" customHeight="1" x14ac:dyDescent="0.15">
      <c r="A886" s="3"/>
      <c r="B886" s="2"/>
      <c r="C886" s="2"/>
      <c r="D886" s="2"/>
      <c r="E886" s="2"/>
      <c r="F886" s="2"/>
      <c r="G886" s="2"/>
      <c r="I886" s="2"/>
    </row>
    <row r="887" spans="1:9" ht="12" customHeight="1" x14ac:dyDescent="0.15">
      <c r="A887" s="3"/>
      <c r="B887" s="2"/>
      <c r="C887" s="2"/>
      <c r="D887" s="2"/>
      <c r="E887" s="2"/>
      <c r="F887" s="2"/>
      <c r="G887" s="2"/>
      <c r="I887" s="2"/>
    </row>
    <row r="888" spans="1:9" ht="12" customHeight="1" x14ac:dyDescent="0.15">
      <c r="A888" s="3"/>
      <c r="B888" s="2"/>
      <c r="C888" s="2"/>
      <c r="D888" s="2"/>
      <c r="E888" s="2"/>
      <c r="F888" s="2"/>
      <c r="G888" s="2"/>
      <c r="I888" s="2"/>
    </row>
    <row r="889" spans="1:9" ht="12" customHeight="1" x14ac:dyDescent="0.15">
      <c r="A889" s="3"/>
      <c r="B889" s="2"/>
      <c r="C889" s="2"/>
      <c r="D889" s="2"/>
      <c r="E889" s="2"/>
      <c r="F889" s="2"/>
      <c r="G889" s="2"/>
      <c r="I889" s="2"/>
    </row>
    <row r="890" spans="1:9" ht="12" customHeight="1" x14ac:dyDescent="0.15">
      <c r="A890" s="3"/>
      <c r="B890" s="2"/>
      <c r="C890" s="2"/>
      <c r="D890" s="2"/>
      <c r="E890" s="2"/>
      <c r="F890" s="2"/>
      <c r="G890" s="2"/>
      <c r="I890" s="2"/>
    </row>
    <row r="891" spans="1:9" ht="12" customHeight="1" x14ac:dyDescent="0.15">
      <c r="A891" s="3"/>
      <c r="B891" s="2"/>
      <c r="C891" s="2"/>
      <c r="D891" s="2"/>
      <c r="E891" s="2"/>
      <c r="F891" s="2"/>
      <c r="G891" s="2"/>
      <c r="I891" s="2"/>
    </row>
    <row r="892" spans="1:9" ht="12" customHeight="1" x14ac:dyDescent="0.15">
      <c r="A892" s="3"/>
      <c r="B892" s="2"/>
      <c r="C892" s="2"/>
      <c r="D892" s="2"/>
      <c r="E892" s="2"/>
      <c r="F892" s="2"/>
      <c r="G892" s="2"/>
      <c r="I892" s="2"/>
    </row>
    <row r="893" spans="1:9" ht="12" customHeight="1" x14ac:dyDescent="0.15">
      <c r="A893" s="3"/>
      <c r="B893" s="2"/>
      <c r="C893" s="2"/>
      <c r="D893" s="2"/>
      <c r="E893" s="2"/>
      <c r="F893" s="2"/>
      <c r="G893" s="2"/>
      <c r="I893" s="2"/>
    </row>
    <row r="894" spans="1:9" ht="12" customHeight="1" x14ac:dyDescent="0.15">
      <c r="A894" s="3"/>
      <c r="B894" s="2"/>
      <c r="C894" s="2"/>
      <c r="D894" s="2"/>
      <c r="E894" s="2"/>
      <c r="F894" s="2"/>
      <c r="G894" s="2"/>
      <c r="I894" s="2"/>
    </row>
    <row r="895" spans="1:9" ht="12" customHeight="1" x14ac:dyDescent="0.15">
      <c r="A895" s="3"/>
      <c r="B895" s="2"/>
      <c r="C895" s="2"/>
      <c r="D895" s="2"/>
      <c r="E895" s="2"/>
      <c r="F895" s="2"/>
      <c r="G895" s="2"/>
      <c r="I895" s="2"/>
    </row>
    <row r="896" spans="1:9" ht="12" customHeight="1" x14ac:dyDescent="0.15">
      <c r="A896" s="3"/>
      <c r="B896" s="2"/>
      <c r="C896" s="2"/>
      <c r="D896" s="2"/>
      <c r="E896" s="2"/>
      <c r="F896" s="2"/>
      <c r="G896" s="2"/>
      <c r="I896" s="2"/>
    </row>
    <row r="897" spans="1:9" ht="12" customHeight="1" x14ac:dyDescent="0.15">
      <c r="A897" s="3"/>
      <c r="B897" s="2"/>
      <c r="C897" s="2"/>
      <c r="D897" s="2"/>
      <c r="E897" s="2"/>
      <c r="F897" s="2"/>
      <c r="G897" s="2"/>
      <c r="I897" s="2"/>
    </row>
    <row r="898" spans="1:9" ht="12" customHeight="1" x14ac:dyDescent="0.15">
      <c r="A898" s="3"/>
      <c r="B898" s="2"/>
      <c r="C898" s="2"/>
      <c r="D898" s="2"/>
      <c r="E898" s="2"/>
      <c r="F898" s="2"/>
      <c r="G898" s="2"/>
      <c r="I898" s="2"/>
    </row>
    <row r="899" spans="1:9" ht="12" customHeight="1" x14ac:dyDescent="0.15">
      <c r="A899" s="3"/>
      <c r="B899" s="2"/>
      <c r="C899" s="2"/>
      <c r="D899" s="2"/>
      <c r="E899" s="2"/>
      <c r="F899" s="2"/>
      <c r="G899" s="2"/>
      <c r="I899" s="2"/>
    </row>
    <row r="900" spans="1:9" ht="12" customHeight="1" x14ac:dyDescent="0.15">
      <c r="A900" s="3"/>
      <c r="B900" s="2"/>
      <c r="C900" s="2"/>
      <c r="D900" s="2"/>
      <c r="E900" s="2"/>
      <c r="F900" s="2"/>
      <c r="G900" s="2"/>
      <c r="I900" s="2"/>
    </row>
    <row r="901" spans="1:9" ht="12" customHeight="1" x14ac:dyDescent="0.15">
      <c r="A901" s="3"/>
      <c r="B901" s="2"/>
      <c r="C901" s="2"/>
      <c r="D901" s="2"/>
      <c r="E901" s="2"/>
      <c r="F901" s="2"/>
      <c r="G901" s="2"/>
      <c r="I901" s="2"/>
    </row>
    <row r="902" spans="1:9" ht="12" customHeight="1" x14ac:dyDescent="0.15">
      <c r="A902" s="3"/>
      <c r="B902" s="2"/>
      <c r="C902" s="2"/>
      <c r="D902" s="2"/>
      <c r="E902" s="2"/>
      <c r="F902" s="2"/>
      <c r="G902" s="2"/>
      <c r="I902" s="2"/>
    </row>
    <row r="903" spans="1:9" ht="12" customHeight="1" x14ac:dyDescent="0.15">
      <c r="A903" s="3"/>
      <c r="B903" s="2"/>
      <c r="C903" s="2"/>
      <c r="D903" s="2"/>
      <c r="E903" s="2"/>
      <c r="F903" s="2"/>
      <c r="G903" s="2"/>
      <c r="I903" s="2"/>
    </row>
    <row r="904" spans="1:9" ht="12" customHeight="1" x14ac:dyDescent="0.15">
      <c r="A904" s="3"/>
      <c r="B904" s="2"/>
      <c r="C904" s="2"/>
      <c r="D904" s="2"/>
      <c r="E904" s="2"/>
      <c r="F904" s="2"/>
      <c r="G904" s="2"/>
      <c r="I904" s="2"/>
    </row>
    <row r="905" spans="1:9" ht="12" customHeight="1" x14ac:dyDescent="0.15">
      <c r="A905" s="3"/>
      <c r="B905" s="2"/>
      <c r="C905" s="2"/>
      <c r="D905" s="2"/>
      <c r="E905" s="2"/>
      <c r="F905" s="2"/>
      <c r="G905" s="2"/>
      <c r="I905" s="2"/>
    </row>
    <row r="906" spans="1:9" ht="12" customHeight="1" x14ac:dyDescent="0.15">
      <c r="A906" s="3"/>
      <c r="B906" s="2"/>
      <c r="C906" s="2"/>
      <c r="D906" s="2"/>
      <c r="E906" s="2"/>
      <c r="F906" s="2"/>
      <c r="G906" s="2"/>
      <c r="I906" s="2"/>
    </row>
    <row r="907" spans="1:9" ht="12" customHeight="1" x14ac:dyDescent="0.15">
      <c r="A907" s="3"/>
      <c r="B907" s="2"/>
      <c r="C907" s="2"/>
      <c r="D907" s="2"/>
      <c r="E907" s="2"/>
      <c r="F907" s="2"/>
      <c r="G907" s="2"/>
      <c r="I907" s="2"/>
    </row>
    <row r="908" spans="1:9" ht="12" customHeight="1" x14ac:dyDescent="0.15">
      <c r="A908" s="3"/>
      <c r="B908" s="2"/>
      <c r="C908" s="2"/>
      <c r="D908" s="2"/>
      <c r="E908" s="2"/>
      <c r="F908" s="2"/>
      <c r="G908" s="2"/>
      <c r="I908" s="2"/>
    </row>
    <row r="909" spans="1:9" ht="12" customHeight="1" x14ac:dyDescent="0.15">
      <c r="A909" s="3"/>
      <c r="B909" s="2"/>
      <c r="C909" s="2"/>
      <c r="D909" s="2"/>
      <c r="E909" s="2"/>
      <c r="F909" s="2"/>
      <c r="G909" s="2"/>
      <c r="I909" s="2"/>
    </row>
    <row r="910" spans="1:9" ht="12" customHeight="1" x14ac:dyDescent="0.15">
      <c r="A910" s="3"/>
      <c r="B910" s="2"/>
      <c r="C910" s="2"/>
      <c r="D910" s="2"/>
      <c r="E910" s="2"/>
      <c r="F910" s="2"/>
      <c r="G910" s="2"/>
      <c r="I910" s="2"/>
    </row>
    <row r="911" spans="1:9" ht="12" customHeight="1" x14ac:dyDescent="0.15">
      <c r="A911" s="3"/>
      <c r="B911" s="2"/>
      <c r="C911" s="2"/>
      <c r="D911" s="2"/>
      <c r="E911" s="2"/>
      <c r="F911" s="2"/>
      <c r="G911" s="2"/>
      <c r="I911" s="2"/>
    </row>
    <row r="912" spans="1:9" ht="12" customHeight="1" x14ac:dyDescent="0.15">
      <c r="A912" s="3"/>
      <c r="B912" s="2"/>
      <c r="C912" s="2"/>
      <c r="D912" s="2"/>
      <c r="E912" s="2"/>
      <c r="F912" s="2"/>
      <c r="G912" s="2"/>
      <c r="I912" s="2"/>
    </row>
    <row r="913" spans="1:9" ht="12" customHeight="1" x14ac:dyDescent="0.15">
      <c r="A913" s="3"/>
      <c r="B913" s="2"/>
      <c r="C913" s="2"/>
      <c r="D913" s="2"/>
      <c r="E913" s="2"/>
      <c r="F913" s="2"/>
      <c r="G913" s="2"/>
      <c r="I913" s="2"/>
    </row>
    <row r="914" spans="1:9" ht="12" customHeight="1" x14ac:dyDescent="0.15">
      <c r="A914" s="3"/>
      <c r="B914" s="2"/>
      <c r="C914" s="2"/>
      <c r="D914" s="2"/>
      <c r="E914" s="2"/>
      <c r="F914" s="2"/>
      <c r="G914" s="2"/>
      <c r="I914" s="2"/>
    </row>
    <row r="915" spans="1:9" ht="12" customHeight="1" x14ac:dyDescent="0.15">
      <c r="A915" s="3"/>
      <c r="B915" s="2"/>
      <c r="C915" s="2"/>
      <c r="D915" s="2"/>
      <c r="E915" s="2"/>
      <c r="F915" s="2"/>
      <c r="G915" s="2"/>
      <c r="I915" s="2"/>
    </row>
    <row r="916" spans="1:9" ht="12" customHeight="1" x14ac:dyDescent="0.15">
      <c r="A916" s="3"/>
      <c r="B916" s="2"/>
      <c r="C916" s="2"/>
      <c r="D916" s="2"/>
      <c r="E916" s="2"/>
      <c r="F916" s="2"/>
      <c r="G916" s="2"/>
      <c r="I916" s="2"/>
    </row>
    <row r="917" spans="1:9" ht="12" customHeight="1" x14ac:dyDescent="0.15">
      <c r="A917" s="3"/>
      <c r="B917" s="2"/>
      <c r="C917" s="2"/>
      <c r="D917" s="2"/>
      <c r="E917" s="2"/>
      <c r="F917" s="2"/>
      <c r="G917" s="2"/>
      <c r="I917" s="2"/>
    </row>
    <row r="918" spans="1:9" ht="12" customHeight="1" x14ac:dyDescent="0.15">
      <c r="A918" s="3"/>
      <c r="B918" s="2"/>
      <c r="C918" s="2"/>
      <c r="D918" s="2"/>
      <c r="E918" s="2"/>
      <c r="F918" s="2"/>
      <c r="G918" s="2"/>
      <c r="I918" s="2"/>
    </row>
    <row r="919" spans="1:9" ht="12" customHeight="1" x14ac:dyDescent="0.15">
      <c r="A919" s="3"/>
      <c r="B919" s="2"/>
      <c r="C919" s="2"/>
      <c r="D919" s="2"/>
      <c r="E919" s="2"/>
      <c r="F919" s="2"/>
      <c r="G919" s="2"/>
      <c r="I919" s="2"/>
    </row>
    <row r="920" spans="1:9" ht="12" customHeight="1" x14ac:dyDescent="0.15">
      <c r="A920" s="3"/>
      <c r="B920" s="2"/>
      <c r="C920" s="2"/>
      <c r="D920" s="2"/>
      <c r="E920" s="2"/>
      <c r="F920" s="2"/>
      <c r="G920" s="2"/>
      <c r="I920" s="2"/>
    </row>
    <row r="921" spans="1:9" ht="12" customHeight="1" x14ac:dyDescent="0.15">
      <c r="A921" s="3"/>
      <c r="B921" s="2"/>
      <c r="C921" s="2"/>
      <c r="D921" s="2"/>
      <c r="E921" s="2"/>
      <c r="F921" s="2"/>
      <c r="G921" s="2"/>
      <c r="I921" s="2"/>
    </row>
    <row r="922" spans="1:9" ht="12" customHeight="1" x14ac:dyDescent="0.15">
      <c r="A922" s="3"/>
      <c r="B922" s="2"/>
      <c r="C922" s="2"/>
      <c r="D922" s="2"/>
      <c r="E922" s="2"/>
      <c r="F922" s="2"/>
      <c r="G922" s="2"/>
      <c r="I922" s="2"/>
    </row>
    <row r="923" spans="1:9" ht="12" customHeight="1" x14ac:dyDescent="0.15">
      <c r="A923" s="3"/>
      <c r="B923" s="2"/>
      <c r="C923" s="2"/>
      <c r="D923" s="2"/>
      <c r="E923" s="2"/>
      <c r="F923" s="2"/>
      <c r="G923" s="2"/>
      <c r="I923" s="2"/>
    </row>
    <row r="924" spans="1:9" ht="12" customHeight="1" x14ac:dyDescent="0.15">
      <c r="A924" s="3"/>
      <c r="B924" s="2"/>
      <c r="C924" s="2"/>
      <c r="D924" s="2"/>
      <c r="E924" s="2"/>
      <c r="F924" s="2"/>
      <c r="G924" s="2"/>
      <c r="I924" s="2"/>
    </row>
    <row r="925" spans="1:9" ht="12" customHeight="1" x14ac:dyDescent="0.15">
      <c r="A925" s="3"/>
      <c r="B925" s="2"/>
      <c r="C925" s="2"/>
      <c r="D925" s="2"/>
      <c r="E925" s="2"/>
      <c r="F925" s="2"/>
      <c r="G925" s="2"/>
      <c r="I925" s="2"/>
    </row>
    <row r="926" spans="1:9" ht="12" customHeight="1" x14ac:dyDescent="0.15">
      <c r="A926" s="3"/>
      <c r="B926" s="2"/>
      <c r="C926" s="2"/>
      <c r="D926" s="2"/>
      <c r="E926" s="2"/>
      <c r="F926" s="2"/>
      <c r="G926" s="2"/>
      <c r="I926" s="2"/>
    </row>
    <row r="927" spans="1:9" ht="12" customHeight="1" x14ac:dyDescent="0.15">
      <c r="A927" s="3"/>
      <c r="B927" s="2"/>
      <c r="C927" s="2"/>
      <c r="D927" s="2"/>
      <c r="E927" s="2"/>
      <c r="F927" s="2"/>
      <c r="G927" s="2"/>
      <c r="I927" s="2"/>
    </row>
    <row r="928" spans="1:9" ht="12" customHeight="1" x14ac:dyDescent="0.15">
      <c r="A928" s="3"/>
      <c r="B928" s="2"/>
      <c r="C928" s="2"/>
      <c r="D928" s="2"/>
      <c r="E928" s="2"/>
      <c r="F928" s="2"/>
      <c r="G928" s="2"/>
      <c r="I928" s="2"/>
    </row>
    <row r="929" spans="1:9" ht="12" customHeight="1" x14ac:dyDescent="0.15">
      <c r="A929" s="3"/>
      <c r="B929" s="2"/>
      <c r="C929" s="2"/>
      <c r="D929" s="2"/>
      <c r="E929" s="2"/>
      <c r="F929" s="2"/>
      <c r="G929" s="2"/>
      <c r="I929" s="2"/>
    </row>
    <row r="930" spans="1:9" ht="12" customHeight="1" x14ac:dyDescent="0.15">
      <c r="A930" s="3"/>
      <c r="B930" s="2"/>
      <c r="C930" s="2"/>
      <c r="D930" s="2"/>
      <c r="E930" s="2"/>
      <c r="F930" s="2"/>
      <c r="G930" s="2"/>
      <c r="I930" s="2"/>
    </row>
    <row r="931" spans="1:9" ht="12" customHeight="1" x14ac:dyDescent="0.15">
      <c r="A931" s="3"/>
      <c r="B931" s="2"/>
      <c r="C931" s="2"/>
      <c r="D931" s="2"/>
      <c r="E931" s="2"/>
      <c r="F931" s="2"/>
      <c r="G931" s="2"/>
      <c r="I931" s="2"/>
    </row>
    <row r="932" spans="1:9" ht="12" customHeight="1" x14ac:dyDescent="0.15">
      <c r="A932" s="3"/>
      <c r="B932" s="2"/>
      <c r="C932" s="2"/>
      <c r="D932" s="2"/>
      <c r="E932" s="2"/>
      <c r="F932" s="2"/>
      <c r="G932" s="2"/>
      <c r="I932" s="2"/>
    </row>
    <row r="933" spans="1:9" ht="12" customHeight="1" x14ac:dyDescent="0.15">
      <c r="A933" s="3"/>
      <c r="B933" s="2"/>
      <c r="C933" s="2"/>
      <c r="D933" s="2"/>
      <c r="E933" s="2"/>
      <c r="F933" s="2"/>
      <c r="G933" s="2"/>
      <c r="I933" s="2"/>
    </row>
    <row r="934" spans="1:9" ht="12" customHeight="1" x14ac:dyDescent="0.15">
      <c r="A934" s="3"/>
      <c r="B934" s="2"/>
      <c r="C934" s="2"/>
      <c r="D934" s="2"/>
      <c r="E934" s="2"/>
      <c r="F934" s="2"/>
      <c r="G934" s="2"/>
      <c r="I934" s="2"/>
    </row>
    <row r="935" spans="1:9" ht="12" customHeight="1" x14ac:dyDescent="0.15">
      <c r="A935" s="3"/>
      <c r="B935" s="2"/>
      <c r="C935" s="2"/>
      <c r="D935" s="2"/>
      <c r="E935" s="2"/>
      <c r="F935" s="2"/>
      <c r="G935" s="2"/>
      <c r="I935" s="2"/>
    </row>
    <row r="936" spans="1:9" ht="12" customHeight="1" x14ac:dyDescent="0.15">
      <c r="A936" s="3"/>
      <c r="B936" s="2"/>
      <c r="C936" s="2"/>
      <c r="D936" s="2"/>
      <c r="E936" s="2"/>
      <c r="F936" s="2"/>
      <c r="G936" s="2"/>
      <c r="I936" s="2"/>
    </row>
    <row r="937" spans="1:9" ht="12" customHeight="1" x14ac:dyDescent="0.15">
      <c r="A937" s="3"/>
      <c r="B937" s="2"/>
      <c r="C937" s="2"/>
      <c r="D937" s="2"/>
      <c r="E937" s="2"/>
      <c r="F937" s="2"/>
      <c r="G937" s="2"/>
      <c r="I937" s="2"/>
    </row>
    <row r="938" spans="1:9" ht="12" customHeight="1" x14ac:dyDescent="0.15">
      <c r="A938" s="3"/>
      <c r="B938" s="2"/>
      <c r="C938" s="2"/>
      <c r="D938" s="2"/>
      <c r="E938" s="2"/>
      <c r="F938" s="2"/>
      <c r="G938" s="2"/>
      <c r="I938" s="2"/>
    </row>
    <row r="939" spans="1:9" ht="12" customHeight="1" x14ac:dyDescent="0.15">
      <c r="A939" s="3"/>
      <c r="B939" s="2"/>
      <c r="C939" s="2"/>
      <c r="D939" s="2"/>
      <c r="E939" s="2"/>
      <c r="F939" s="2"/>
      <c r="G939" s="2"/>
      <c r="I939" s="2"/>
    </row>
    <row r="940" spans="1:9" ht="12" customHeight="1" x14ac:dyDescent="0.15">
      <c r="A940" s="3"/>
      <c r="B940" s="2"/>
      <c r="C940" s="2"/>
      <c r="D940" s="2"/>
      <c r="E940" s="2"/>
      <c r="F940" s="2"/>
      <c r="G940" s="2"/>
      <c r="I940" s="2"/>
    </row>
    <row r="941" spans="1:9" ht="12" customHeight="1" x14ac:dyDescent="0.15">
      <c r="A941" s="3"/>
      <c r="B941" s="2"/>
      <c r="C941" s="2"/>
      <c r="D941" s="2"/>
      <c r="E941" s="2"/>
      <c r="F941" s="2"/>
      <c r="G941" s="2"/>
      <c r="I941" s="2"/>
    </row>
    <row r="942" spans="1:9" ht="12" customHeight="1" x14ac:dyDescent="0.15">
      <c r="A942" s="3"/>
      <c r="B942" s="2"/>
      <c r="C942" s="2"/>
      <c r="D942" s="2"/>
      <c r="E942" s="2"/>
      <c r="F942" s="2"/>
      <c r="G942" s="2"/>
      <c r="I942" s="2"/>
    </row>
    <row r="943" spans="1:9" ht="12" customHeight="1" x14ac:dyDescent="0.15">
      <c r="A943" s="3"/>
      <c r="B943" s="2"/>
      <c r="C943" s="2"/>
      <c r="D943" s="2"/>
      <c r="E943" s="2"/>
      <c r="F943" s="2"/>
      <c r="G943" s="2"/>
      <c r="I943" s="2"/>
    </row>
    <row r="944" spans="1:9" ht="12" customHeight="1" x14ac:dyDescent="0.15">
      <c r="A944" s="3"/>
      <c r="B944" s="2"/>
      <c r="C944" s="2"/>
      <c r="D944" s="2"/>
      <c r="E944" s="2"/>
      <c r="F944" s="2"/>
      <c r="G944" s="2"/>
      <c r="I944" s="2"/>
    </row>
    <row r="945" spans="1:9" ht="12" customHeight="1" x14ac:dyDescent="0.15">
      <c r="A945" s="3"/>
      <c r="B945" s="2"/>
      <c r="C945" s="2"/>
      <c r="D945" s="2"/>
      <c r="E945" s="2"/>
      <c r="F945" s="2"/>
      <c r="G945" s="2"/>
      <c r="I945" s="2"/>
    </row>
    <row r="946" spans="1:9" ht="12" customHeight="1" x14ac:dyDescent="0.15">
      <c r="A946" s="3"/>
      <c r="B946" s="2"/>
      <c r="C946" s="2"/>
      <c r="D946" s="2"/>
      <c r="E946" s="2"/>
      <c r="F946" s="2"/>
      <c r="G946" s="2"/>
      <c r="I946" s="2"/>
    </row>
    <row r="947" spans="1:9" ht="12" customHeight="1" x14ac:dyDescent="0.15">
      <c r="A947" s="3"/>
      <c r="B947" s="2"/>
      <c r="C947" s="2"/>
      <c r="D947" s="2"/>
      <c r="E947" s="2"/>
      <c r="F947" s="2"/>
      <c r="G947" s="2"/>
      <c r="I947" s="2"/>
    </row>
    <row r="948" spans="1:9" ht="12" customHeight="1" x14ac:dyDescent="0.15">
      <c r="A948" s="3"/>
      <c r="B948" s="2"/>
      <c r="C948" s="2"/>
      <c r="D948" s="2"/>
      <c r="E948" s="2"/>
      <c r="F948" s="2"/>
      <c r="G948" s="2"/>
      <c r="I948" s="2"/>
    </row>
    <row r="949" spans="1:9" ht="12" customHeight="1" x14ac:dyDescent="0.15">
      <c r="A949" s="3"/>
      <c r="B949" s="2"/>
      <c r="C949" s="2"/>
      <c r="D949" s="2"/>
      <c r="E949" s="2"/>
      <c r="F949" s="2"/>
      <c r="G949" s="2"/>
      <c r="I949" s="2"/>
    </row>
    <row r="950" spans="1:9" ht="12" customHeight="1" x14ac:dyDescent="0.15">
      <c r="A950" s="3"/>
      <c r="B950" s="2"/>
      <c r="C950" s="2"/>
      <c r="D950" s="2"/>
      <c r="E950" s="2"/>
      <c r="F950" s="2"/>
      <c r="G950" s="2"/>
      <c r="I950" s="2"/>
    </row>
    <row r="951" spans="1:9" ht="12" customHeight="1" x14ac:dyDescent="0.15">
      <c r="A951" s="3"/>
      <c r="B951" s="2"/>
      <c r="C951" s="2"/>
      <c r="D951" s="2"/>
      <c r="E951" s="2"/>
      <c r="F951" s="2"/>
      <c r="G951" s="2"/>
      <c r="I951" s="2"/>
    </row>
    <row r="952" spans="1:9" ht="12" customHeight="1" x14ac:dyDescent="0.15">
      <c r="A952" s="3"/>
      <c r="B952" s="2"/>
      <c r="C952" s="2"/>
      <c r="D952" s="2"/>
      <c r="E952" s="2"/>
      <c r="F952" s="2"/>
      <c r="G952" s="2"/>
      <c r="I952" s="2"/>
    </row>
    <row r="953" spans="1:9" ht="12" customHeight="1" x14ac:dyDescent="0.15">
      <c r="A953" s="3"/>
      <c r="B953" s="2"/>
      <c r="C953" s="2"/>
      <c r="D953" s="2"/>
      <c r="E953" s="2"/>
      <c r="F953" s="2"/>
      <c r="G953" s="2"/>
      <c r="I953" s="2"/>
    </row>
    <row r="954" spans="1:9" ht="12" customHeight="1" x14ac:dyDescent="0.15">
      <c r="A954" s="3"/>
      <c r="B954" s="2"/>
      <c r="C954" s="2"/>
      <c r="D954" s="2"/>
      <c r="E954" s="2"/>
      <c r="F954" s="2"/>
      <c r="G954" s="2"/>
      <c r="I954" s="2"/>
    </row>
    <row r="955" spans="1:9" ht="12" customHeight="1" x14ac:dyDescent="0.15">
      <c r="A955" s="3"/>
      <c r="B955" s="2"/>
      <c r="C955" s="2"/>
      <c r="D955" s="2"/>
      <c r="E955" s="2"/>
      <c r="F955" s="2"/>
      <c r="G955" s="2"/>
      <c r="I955" s="2"/>
    </row>
    <row r="956" spans="1:9" ht="12" customHeight="1" x14ac:dyDescent="0.15">
      <c r="A956" s="3"/>
      <c r="B956" s="2"/>
      <c r="C956" s="2"/>
      <c r="D956" s="2"/>
      <c r="E956" s="2"/>
      <c r="F956" s="2"/>
      <c r="G956" s="2"/>
      <c r="I956" s="2"/>
    </row>
    <row r="957" spans="1:9" ht="12" customHeight="1" x14ac:dyDescent="0.15">
      <c r="A957" s="3"/>
      <c r="B957" s="2"/>
      <c r="C957" s="2"/>
      <c r="D957" s="2"/>
      <c r="E957" s="2"/>
      <c r="F957" s="2"/>
      <c r="G957" s="2"/>
      <c r="I957" s="2"/>
    </row>
    <row r="958" spans="1:9" ht="12" customHeight="1" x14ac:dyDescent="0.15">
      <c r="A958" s="3"/>
      <c r="B958" s="2"/>
      <c r="C958" s="2"/>
      <c r="D958" s="2"/>
      <c r="E958" s="2"/>
      <c r="F958" s="2"/>
      <c r="G958" s="2"/>
      <c r="I958" s="2"/>
    </row>
    <row r="959" spans="1:9" ht="12" customHeight="1" x14ac:dyDescent="0.15">
      <c r="A959" s="3"/>
      <c r="B959" s="2"/>
      <c r="C959" s="2"/>
      <c r="D959" s="2"/>
      <c r="E959" s="2"/>
      <c r="F959" s="2"/>
      <c r="G959" s="2"/>
      <c r="I959" s="2"/>
    </row>
    <row r="960" spans="1:9" ht="12" customHeight="1" x14ac:dyDescent="0.15">
      <c r="A960" s="3"/>
      <c r="B960" s="2"/>
      <c r="C960" s="2"/>
      <c r="D960" s="2"/>
      <c r="E960" s="2"/>
      <c r="F960" s="2"/>
      <c r="G960" s="2"/>
      <c r="I960" s="2"/>
    </row>
    <row r="961" spans="1:9" ht="12" customHeight="1" x14ac:dyDescent="0.15">
      <c r="A961" s="3"/>
      <c r="B961" s="2"/>
      <c r="C961" s="2"/>
      <c r="D961" s="2"/>
      <c r="E961" s="2"/>
      <c r="F961" s="2"/>
      <c r="G961" s="2"/>
      <c r="I961" s="2"/>
    </row>
    <row r="962" spans="1:9" ht="12" customHeight="1" x14ac:dyDescent="0.15">
      <c r="A962" s="3"/>
      <c r="B962" s="2"/>
      <c r="C962" s="2"/>
      <c r="D962" s="2"/>
      <c r="E962" s="2"/>
      <c r="F962" s="2"/>
      <c r="G962" s="2"/>
      <c r="I962" s="2"/>
    </row>
    <row r="963" spans="1:9" ht="12" customHeight="1" x14ac:dyDescent="0.15">
      <c r="A963" s="3"/>
      <c r="B963" s="2"/>
      <c r="C963" s="2"/>
      <c r="D963" s="2"/>
      <c r="E963" s="2"/>
      <c r="F963" s="2"/>
      <c r="G963" s="2"/>
      <c r="I963" s="2"/>
    </row>
    <row r="964" spans="1:9" ht="12" customHeight="1" x14ac:dyDescent="0.15">
      <c r="A964" s="3"/>
      <c r="B964" s="2"/>
      <c r="C964" s="2"/>
      <c r="D964" s="2"/>
      <c r="E964" s="2"/>
      <c r="F964" s="2"/>
      <c r="G964" s="2"/>
      <c r="I964" s="2"/>
    </row>
    <row r="965" spans="1:9" ht="12" customHeight="1" x14ac:dyDescent="0.15">
      <c r="A965" s="3"/>
      <c r="B965" s="2"/>
      <c r="C965" s="2"/>
      <c r="D965" s="2"/>
      <c r="E965" s="2"/>
      <c r="F965" s="2"/>
      <c r="G965" s="2"/>
      <c r="I965" s="2"/>
    </row>
    <row r="966" spans="1:9" ht="12" customHeight="1" x14ac:dyDescent="0.15">
      <c r="A966" s="3"/>
      <c r="B966" s="2"/>
      <c r="C966" s="2"/>
      <c r="D966" s="2"/>
      <c r="E966" s="2"/>
      <c r="F966" s="2"/>
      <c r="G966" s="2"/>
      <c r="I966" s="2"/>
    </row>
    <row r="967" spans="1:9" ht="12" customHeight="1" x14ac:dyDescent="0.15">
      <c r="A967" s="3"/>
      <c r="B967" s="2"/>
      <c r="C967" s="2"/>
      <c r="D967" s="2"/>
      <c r="E967" s="2"/>
      <c r="F967" s="2"/>
      <c r="G967" s="2"/>
      <c r="I967" s="2"/>
    </row>
    <row r="968" spans="1:9" ht="12" customHeight="1" x14ac:dyDescent="0.15">
      <c r="A968" s="3"/>
      <c r="B968" s="2"/>
      <c r="C968" s="2"/>
      <c r="D968" s="2"/>
      <c r="E968" s="2"/>
      <c r="F968" s="2"/>
      <c r="G968" s="2"/>
      <c r="I968" s="2"/>
    </row>
    <row r="969" spans="1:9" ht="12" customHeight="1" x14ac:dyDescent="0.15">
      <c r="A969" s="3"/>
      <c r="B969" s="2"/>
      <c r="C969" s="2"/>
      <c r="D969" s="2"/>
      <c r="E969" s="2"/>
      <c r="F969" s="2"/>
      <c r="G969" s="2"/>
      <c r="I969" s="2"/>
    </row>
    <row r="970" spans="1:9" ht="12" customHeight="1" x14ac:dyDescent="0.15">
      <c r="A970" s="3"/>
      <c r="B970" s="2"/>
      <c r="C970" s="2"/>
      <c r="D970" s="2"/>
      <c r="E970" s="2"/>
      <c r="F970" s="2"/>
      <c r="G970" s="2"/>
      <c r="I970" s="2"/>
    </row>
    <row r="971" spans="1:9" ht="12" customHeight="1" x14ac:dyDescent="0.15">
      <c r="A971" s="3"/>
      <c r="B971" s="2"/>
      <c r="C971" s="2"/>
      <c r="D971" s="2"/>
      <c r="E971" s="2"/>
      <c r="F971" s="2"/>
      <c r="G971" s="2"/>
      <c r="I971" s="2"/>
    </row>
    <row r="972" spans="1:9" ht="12" customHeight="1" x14ac:dyDescent="0.15">
      <c r="A972" s="3"/>
      <c r="B972" s="2"/>
      <c r="C972" s="2"/>
      <c r="D972" s="2"/>
      <c r="E972" s="2"/>
      <c r="F972" s="2"/>
      <c r="G972" s="2"/>
      <c r="I972" s="2"/>
    </row>
    <row r="973" spans="1:9" ht="12" customHeight="1" x14ac:dyDescent="0.15">
      <c r="A973" s="3"/>
      <c r="B973" s="2"/>
      <c r="C973" s="2"/>
      <c r="D973" s="2"/>
      <c r="E973" s="2"/>
      <c r="F973" s="2"/>
      <c r="G973" s="2"/>
      <c r="I973" s="2"/>
    </row>
    <row r="974" spans="1:9" ht="12" customHeight="1" x14ac:dyDescent="0.15">
      <c r="A974" s="3"/>
      <c r="B974" s="2"/>
      <c r="C974" s="2"/>
      <c r="D974" s="2"/>
      <c r="E974" s="2"/>
      <c r="F974" s="2"/>
      <c r="G974" s="2"/>
      <c r="I974" s="2"/>
    </row>
    <row r="975" spans="1:9" ht="12" customHeight="1" x14ac:dyDescent="0.15">
      <c r="A975" s="3"/>
      <c r="B975" s="2"/>
      <c r="C975" s="2"/>
      <c r="D975" s="2"/>
      <c r="E975" s="2"/>
      <c r="F975" s="2"/>
      <c r="G975" s="2"/>
      <c r="I975" s="2"/>
    </row>
    <row r="976" spans="1:9" ht="12" customHeight="1" x14ac:dyDescent="0.15">
      <c r="A976" s="3"/>
      <c r="B976" s="2"/>
      <c r="C976" s="2"/>
      <c r="D976" s="2"/>
      <c r="E976" s="2"/>
      <c r="F976" s="2"/>
      <c r="G976" s="2"/>
      <c r="I976" s="2"/>
    </row>
    <row r="977" spans="1:9" ht="12" customHeight="1" x14ac:dyDescent="0.15">
      <c r="A977" s="3"/>
      <c r="B977" s="2"/>
      <c r="C977" s="2"/>
      <c r="D977" s="2"/>
      <c r="E977" s="2"/>
      <c r="F977" s="2"/>
      <c r="G977" s="2"/>
      <c r="I977" s="2"/>
    </row>
    <row r="978" spans="1:9" ht="12" customHeight="1" x14ac:dyDescent="0.15">
      <c r="A978" s="3"/>
      <c r="B978" s="2"/>
      <c r="C978" s="2"/>
      <c r="D978" s="2"/>
      <c r="E978" s="2"/>
      <c r="F978" s="2"/>
      <c r="G978" s="2"/>
      <c r="I978" s="2"/>
    </row>
    <row r="979" spans="1:9" ht="12" customHeight="1" x14ac:dyDescent="0.15">
      <c r="A979" s="3"/>
      <c r="B979" s="2"/>
      <c r="C979" s="2"/>
      <c r="D979" s="2"/>
      <c r="E979" s="2"/>
      <c r="F979" s="2"/>
      <c r="G979" s="2"/>
      <c r="I979" s="2"/>
    </row>
    <row r="980" spans="1:9" ht="12" customHeight="1" x14ac:dyDescent="0.15">
      <c r="A980" s="3"/>
      <c r="B980" s="2"/>
      <c r="C980" s="2"/>
      <c r="D980" s="2"/>
      <c r="E980" s="2"/>
      <c r="F980" s="2"/>
      <c r="G980" s="2"/>
      <c r="I980" s="2"/>
    </row>
    <row r="981" spans="1:9" ht="12" customHeight="1" x14ac:dyDescent="0.15">
      <c r="A981" s="3"/>
      <c r="B981" s="2"/>
      <c r="C981" s="2"/>
      <c r="D981" s="2"/>
      <c r="E981" s="2"/>
      <c r="F981" s="2"/>
      <c r="G981" s="2"/>
      <c r="I981" s="2"/>
    </row>
    <row r="982" spans="1:9" ht="12" customHeight="1" x14ac:dyDescent="0.15">
      <c r="A982" s="3"/>
      <c r="B982" s="2"/>
      <c r="C982" s="2"/>
      <c r="D982" s="2"/>
      <c r="E982" s="2"/>
      <c r="F982" s="2"/>
      <c r="G982" s="2"/>
      <c r="I982" s="2"/>
    </row>
    <row r="983" spans="1:9" ht="12" customHeight="1" x14ac:dyDescent="0.15">
      <c r="A983" s="3"/>
      <c r="B983" s="2"/>
      <c r="C983" s="2"/>
      <c r="D983" s="2"/>
      <c r="E983" s="2"/>
      <c r="F983" s="2"/>
      <c r="G983" s="2"/>
      <c r="I983" s="2"/>
    </row>
    <row r="984" spans="1:9" ht="12" customHeight="1" x14ac:dyDescent="0.15">
      <c r="A984" s="3"/>
      <c r="B984" s="2"/>
      <c r="C984" s="2"/>
      <c r="D984" s="2"/>
      <c r="E984" s="2"/>
      <c r="F984" s="2"/>
      <c r="G984" s="2"/>
      <c r="I984" s="2"/>
    </row>
    <row r="985" spans="1:9" ht="12" customHeight="1" x14ac:dyDescent="0.15">
      <c r="A985" s="3"/>
      <c r="B985" s="2"/>
      <c r="C985" s="2"/>
      <c r="D985" s="2"/>
      <c r="E985" s="2"/>
      <c r="F985" s="2"/>
      <c r="G985" s="2"/>
      <c r="I985" s="2"/>
    </row>
    <row r="986" spans="1:9" ht="12" customHeight="1" x14ac:dyDescent="0.15">
      <c r="A986" s="3"/>
      <c r="B986" s="2"/>
      <c r="C986" s="2"/>
      <c r="D986" s="2"/>
      <c r="E986" s="2"/>
      <c r="F986" s="2"/>
      <c r="G986" s="2"/>
      <c r="I986" s="2"/>
    </row>
    <row r="987" spans="1:9" ht="12" customHeight="1" x14ac:dyDescent="0.15">
      <c r="A987" s="3"/>
      <c r="B987" s="2"/>
      <c r="C987" s="2"/>
      <c r="D987" s="2"/>
      <c r="E987" s="2"/>
      <c r="F987" s="2"/>
      <c r="G987" s="2"/>
      <c r="I987" s="2"/>
    </row>
    <row r="988" spans="1:9" ht="12" customHeight="1" x14ac:dyDescent="0.15">
      <c r="A988" s="3"/>
      <c r="B988" s="2"/>
      <c r="C988" s="2"/>
      <c r="D988" s="2"/>
      <c r="E988" s="2"/>
      <c r="F988" s="2"/>
      <c r="G988" s="2"/>
      <c r="I988" s="2"/>
    </row>
    <row r="989" spans="1:9" ht="12" customHeight="1" x14ac:dyDescent="0.15">
      <c r="A989" s="3"/>
      <c r="B989" s="2"/>
      <c r="C989" s="2"/>
      <c r="D989" s="2"/>
      <c r="E989" s="2"/>
      <c r="F989" s="2"/>
      <c r="G989" s="2"/>
      <c r="I989" s="2"/>
    </row>
    <row r="990" spans="1:9" ht="12" customHeight="1" x14ac:dyDescent="0.15">
      <c r="A990" s="3"/>
      <c r="B990" s="2"/>
      <c r="C990" s="2"/>
      <c r="D990" s="2"/>
      <c r="E990" s="2"/>
      <c r="F990" s="2"/>
      <c r="G990" s="2"/>
      <c r="I990" s="2"/>
    </row>
    <row r="991" spans="1:9" ht="12" customHeight="1" x14ac:dyDescent="0.15">
      <c r="A991" s="3"/>
      <c r="B991" s="2"/>
      <c r="C991" s="2"/>
      <c r="D991" s="2"/>
      <c r="E991" s="2"/>
      <c r="F991" s="2"/>
      <c r="G991" s="2"/>
      <c r="I991" s="2"/>
    </row>
    <row r="992" spans="1:9" ht="12" customHeight="1" x14ac:dyDescent="0.15">
      <c r="A992" s="3"/>
      <c r="B992" s="2"/>
      <c r="C992" s="2"/>
      <c r="D992" s="2"/>
      <c r="E992" s="2"/>
      <c r="F992" s="2"/>
      <c r="G992" s="2"/>
      <c r="I992" s="2"/>
    </row>
    <row r="993" spans="1:9" ht="12" customHeight="1" x14ac:dyDescent="0.15">
      <c r="A993" s="3"/>
      <c r="B993" s="2"/>
      <c r="C993" s="2"/>
      <c r="D993" s="2"/>
      <c r="E993" s="2"/>
      <c r="F993" s="2"/>
      <c r="G993" s="2"/>
      <c r="I993" s="2"/>
    </row>
    <row r="994" spans="1:9" ht="12" customHeight="1" x14ac:dyDescent="0.15">
      <c r="A994" s="3"/>
      <c r="B994" s="2"/>
      <c r="C994" s="2"/>
      <c r="D994" s="2"/>
      <c r="E994" s="2"/>
      <c r="F994" s="2"/>
      <c r="G994" s="2"/>
      <c r="I994" s="2"/>
    </row>
    <row r="995" spans="1:9" ht="12" customHeight="1" x14ac:dyDescent="0.15">
      <c r="A995" s="3"/>
      <c r="B995" s="2"/>
      <c r="C995" s="2"/>
      <c r="D995" s="2"/>
      <c r="E995" s="2"/>
      <c r="F995" s="2"/>
      <c r="G995" s="2"/>
      <c r="I995" s="2"/>
    </row>
    <row r="996" spans="1:9" ht="12" customHeight="1" x14ac:dyDescent="0.15">
      <c r="A996" s="3"/>
      <c r="B996" s="2"/>
      <c r="C996" s="2"/>
      <c r="D996" s="2"/>
      <c r="E996" s="2"/>
      <c r="F996" s="2"/>
      <c r="G996" s="2"/>
      <c r="I996" s="2"/>
    </row>
    <row r="997" spans="1:9" ht="12" customHeight="1" x14ac:dyDescent="0.15">
      <c r="A997" s="3"/>
      <c r="B997" s="2"/>
      <c r="C997" s="2"/>
      <c r="D997" s="2"/>
      <c r="E997" s="2"/>
      <c r="F997" s="2"/>
      <c r="G997" s="2"/>
      <c r="I997" s="2"/>
    </row>
    <row r="998" spans="1:9" ht="12" customHeight="1" x14ac:dyDescent="0.15">
      <c r="A998" s="3"/>
      <c r="B998" s="2"/>
      <c r="C998" s="2"/>
      <c r="D998" s="2"/>
      <c r="E998" s="2"/>
      <c r="F998" s="2"/>
      <c r="G998" s="2"/>
      <c r="I998" s="2"/>
    </row>
    <row r="999" spans="1:9" ht="12" customHeight="1" x14ac:dyDescent="0.15">
      <c r="A999" s="3"/>
      <c r="B999" s="2"/>
      <c r="C999" s="2"/>
      <c r="D999" s="2"/>
      <c r="E999" s="2"/>
      <c r="F999" s="2"/>
      <c r="G999" s="2"/>
      <c r="I999" s="2"/>
    </row>
    <row r="1000" spans="1:9" ht="12" customHeight="1" x14ac:dyDescent="0.15">
      <c r="A1000" s="3"/>
      <c r="B1000" s="2"/>
      <c r="C1000" s="2"/>
      <c r="D1000" s="2"/>
      <c r="E1000" s="2"/>
      <c r="F1000" s="2"/>
      <c r="G1000" s="2"/>
      <c r="I1000" s="2"/>
    </row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Y1000"/>
  <sheetViews>
    <sheetView workbookViewId="0"/>
  </sheetViews>
  <sheetFormatPr baseColWidth="10" defaultColWidth="12.6640625" defaultRowHeight="15" customHeight="1" x14ac:dyDescent="0.15"/>
  <cols>
    <col min="2" max="2" width="14.6640625" customWidth="1"/>
    <col min="3" max="3" width="13.1640625" customWidth="1"/>
    <col min="4" max="4" width="14.6640625" customWidth="1"/>
    <col min="5" max="5" width="15.6640625" customWidth="1"/>
  </cols>
  <sheetData>
    <row r="1" spans="1:25" ht="15.75" customHeight="1" x14ac:dyDescent="0.2">
      <c r="A1" s="123" t="s">
        <v>347</v>
      </c>
      <c r="B1" s="124" t="s">
        <v>348</v>
      </c>
      <c r="C1" s="125" t="s">
        <v>349</v>
      </c>
      <c r="D1" s="124" t="s">
        <v>350</v>
      </c>
      <c r="E1" s="124" t="s">
        <v>351</v>
      </c>
      <c r="F1" s="126"/>
    </row>
    <row r="2" spans="1:25" ht="15.75" customHeight="1" x14ac:dyDescent="0.2">
      <c r="A2" s="127" t="s">
        <v>55</v>
      </c>
      <c r="B2" s="128"/>
      <c r="C2" s="128"/>
      <c r="D2" s="129" t="s">
        <v>352</v>
      </c>
      <c r="E2" s="129"/>
    </row>
    <row r="3" spans="1:25" ht="15.75" customHeight="1" x14ac:dyDescent="0.2">
      <c r="A3" s="130" t="s">
        <v>62</v>
      </c>
      <c r="B3" s="131"/>
      <c r="C3" s="131"/>
      <c r="D3" s="132">
        <f t="shared" ref="D3:D4" si="0">ABS(B3-C3)</f>
        <v>0</v>
      </c>
      <c r="E3" s="132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</row>
    <row r="4" spans="1:25" ht="15.75" customHeight="1" x14ac:dyDescent="0.2">
      <c r="A4" s="130" t="s">
        <v>66</v>
      </c>
      <c r="B4" s="131"/>
      <c r="C4" s="131"/>
      <c r="D4" s="132">
        <f t="shared" si="0"/>
        <v>0</v>
      </c>
      <c r="E4" s="132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</row>
    <row r="5" spans="1:25" ht="15.75" customHeight="1" x14ac:dyDescent="0.2">
      <c r="A5" s="127" t="s">
        <v>68</v>
      </c>
      <c r="B5" s="128"/>
      <c r="C5" s="128"/>
      <c r="D5" s="132"/>
      <c r="E5" s="129"/>
    </row>
    <row r="6" spans="1:25" ht="15.75" customHeight="1" x14ac:dyDescent="0.2">
      <c r="A6" s="127" t="s">
        <v>69</v>
      </c>
      <c r="B6" s="131"/>
      <c r="C6" s="131"/>
      <c r="D6" s="132">
        <f t="shared" ref="D6:D8" si="1">ABS(B6-C6)</f>
        <v>0</v>
      </c>
      <c r="E6" s="132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</row>
    <row r="7" spans="1:25" ht="15.75" customHeight="1" x14ac:dyDescent="0.2">
      <c r="A7" s="127" t="s">
        <v>73</v>
      </c>
      <c r="B7" s="131"/>
      <c r="C7" s="131"/>
      <c r="D7" s="132">
        <f t="shared" si="1"/>
        <v>0</v>
      </c>
      <c r="E7" s="132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</row>
    <row r="8" spans="1:25" ht="15.75" customHeight="1" x14ac:dyDescent="0.2">
      <c r="A8" s="123" t="s">
        <v>75</v>
      </c>
      <c r="B8" s="131"/>
      <c r="C8" s="131"/>
      <c r="D8" s="132">
        <f t="shared" si="1"/>
        <v>0</v>
      </c>
      <c r="E8" s="132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</row>
    <row r="9" spans="1:25" ht="15.75" customHeight="1" x14ac:dyDescent="0.2">
      <c r="A9" s="127" t="s">
        <v>80</v>
      </c>
      <c r="B9" s="128"/>
      <c r="C9" s="128"/>
      <c r="D9" s="132"/>
      <c r="E9" s="129"/>
    </row>
    <row r="10" spans="1:25" ht="15.75" customHeight="1" x14ac:dyDescent="0.2">
      <c r="A10" s="127" t="s">
        <v>83</v>
      </c>
      <c r="B10" s="128"/>
      <c r="C10" s="128"/>
      <c r="D10" s="132"/>
      <c r="E10" s="129"/>
    </row>
    <row r="11" spans="1:25" ht="15.75" customHeight="1" x14ac:dyDescent="0.2">
      <c r="A11" s="127" t="s">
        <v>85</v>
      </c>
      <c r="B11" s="128"/>
      <c r="C11" s="128"/>
      <c r="D11" s="132">
        <f>ABS(B11-C11)</f>
        <v>0</v>
      </c>
      <c r="E11" s="129"/>
    </row>
    <row r="12" spans="1:25" ht="15.75" customHeight="1" x14ac:dyDescent="0.2">
      <c r="A12" s="127" t="s">
        <v>90</v>
      </c>
      <c r="B12" s="128"/>
      <c r="C12" s="128"/>
      <c r="D12" s="132"/>
      <c r="E12" s="129"/>
    </row>
    <row r="13" spans="1:25" ht="15.75" customHeight="1" x14ac:dyDescent="0.2">
      <c r="A13" s="127" t="s">
        <v>92</v>
      </c>
      <c r="B13" s="131"/>
      <c r="C13" s="131"/>
      <c r="D13" s="132">
        <f t="shared" ref="D13:D14" si="2">ABS(B13-C13)</f>
        <v>0</v>
      </c>
      <c r="E13" s="132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</row>
    <row r="14" spans="1:25" ht="15.75" customHeight="1" x14ac:dyDescent="0.2">
      <c r="A14" s="127" t="s">
        <v>93</v>
      </c>
      <c r="B14" s="131"/>
      <c r="C14" s="131"/>
      <c r="D14" s="132">
        <f t="shared" si="2"/>
        <v>0</v>
      </c>
      <c r="E14" s="132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</row>
    <row r="15" spans="1:25" ht="15.75" customHeight="1" x14ac:dyDescent="0.2">
      <c r="A15" s="127" t="s">
        <v>96</v>
      </c>
      <c r="B15" s="128"/>
      <c r="C15" s="128"/>
      <c r="D15" s="132"/>
      <c r="E15" s="129"/>
    </row>
    <row r="16" spans="1:25" ht="15.75" customHeight="1" x14ac:dyDescent="0.2">
      <c r="A16" s="127" t="s">
        <v>97</v>
      </c>
      <c r="B16" s="131"/>
      <c r="C16" s="131"/>
      <c r="D16" s="132">
        <f t="shared" ref="D16:D18" si="3">ABS(B16-C16)</f>
        <v>0</v>
      </c>
      <c r="E16" s="132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</row>
    <row r="17" spans="1:25" ht="15.75" customHeight="1" x14ac:dyDescent="0.2">
      <c r="A17" s="127" t="s">
        <v>99</v>
      </c>
      <c r="B17" s="128"/>
      <c r="C17" s="128"/>
      <c r="D17" s="132">
        <f t="shared" si="3"/>
        <v>0</v>
      </c>
      <c r="E17" s="129"/>
    </row>
    <row r="18" spans="1:25" ht="15.75" customHeight="1" x14ac:dyDescent="0.2">
      <c r="A18" s="127" t="s">
        <v>101</v>
      </c>
      <c r="B18" s="131"/>
      <c r="C18" s="131"/>
      <c r="D18" s="132">
        <f t="shared" si="3"/>
        <v>0</v>
      </c>
      <c r="E18" s="132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</row>
    <row r="19" spans="1:25" ht="15.75" customHeight="1" x14ac:dyDescent="0.2">
      <c r="A19" s="127" t="s">
        <v>103</v>
      </c>
      <c r="B19" s="128"/>
      <c r="C19" s="128"/>
      <c r="D19" s="132"/>
      <c r="E19" s="129"/>
    </row>
    <row r="20" spans="1:25" ht="15.75" customHeight="1" x14ac:dyDescent="0.2">
      <c r="A20" s="127" t="s">
        <v>104</v>
      </c>
      <c r="B20" s="128"/>
      <c r="C20" s="128"/>
      <c r="D20" s="132"/>
      <c r="E20" s="129"/>
    </row>
    <row r="21" spans="1:25" ht="15.75" customHeight="1" x14ac:dyDescent="0.2">
      <c r="A21" s="127" t="s">
        <v>107</v>
      </c>
      <c r="B21" s="128"/>
      <c r="C21" s="128"/>
      <c r="D21" s="132"/>
      <c r="E21" s="129"/>
    </row>
    <row r="22" spans="1:25" ht="15.75" customHeight="1" x14ac:dyDescent="0.2">
      <c r="A22" s="127" t="s">
        <v>111</v>
      </c>
      <c r="B22" s="131"/>
      <c r="C22" s="131"/>
      <c r="D22" s="132">
        <f>ABS(B22-C22)</f>
        <v>0</v>
      </c>
      <c r="E22" s="132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</row>
    <row r="23" spans="1:25" ht="15.75" customHeight="1" x14ac:dyDescent="0.2">
      <c r="A23" s="127" t="s">
        <v>113</v>
      </c>
      <c r="B23" s="128"/>
      <c r="C23" s="128"/>
      <c r="D23" s="132"/>
      <c r="E23" s="129"/>
    </row>
    <row r="24" spans="1:25" ht="15.75" customHeight="1" x14ac:dyDescent="0.2">
      <c r="A24" s="127" t="s">
        <v>114</v>
      </c>
      <c r="B24" s="128"/>
      <c r="C24" s="128"/>
      <c r="D24" s="132"/>
      <c r="E24" s="129"/>
    </row>
    <row r="25" spans="1:25" ht="15.75" customHeight="1" x14ac:dyDescent="0.2">
      <c r="A25" s="127" t="s">
        <v>116</v>
      </c>
      <c r="B25" s="128"/>
      <c r="C25" s="128"/>
      <c r="D25" s="132"/>
      <c r="E25" s="129"/>
    </row>
    <row r="26" spans="1:25" ht="15.75" customHeight="1" x14ac:dyDescent="0.2">
      <c r="A26" s="127" t="s">
        <v>119</v>
      </c>
      <c r="B26" s="128"/>
      <c r="C26" s="128"/>
      <c r="D26" s="132"/>
      <c r="E26" s="129"/>
    </row>
    <row r="27" spans="1:25" ht="15.75" customHeight="1" x14ac:dyDescent="0.2">
      <c r="A27" s="127" t="s">
        <v>121</v>
      </c>
      <c r="B27" s="128"/>
      <c r="C27" s="128"/>
      <c r="D27" s="132"/>
      <c r="E27" s="129"/>
    </row>
    <row r="28" spans="1:25" ht="15.75" customHeight="1" x14ac:dyDescent="0.2">
      <c r="A28" s="127" t="s">
        <v>122</v>
      </c>
      <c r="B28" s="128"/>
      <c r="C28" s="128"/>
      <c r="D28" s="132"/>
      <c r="E28" s="129"/>
    </row>
    <row r="29" spans="1:25" ht="15.75" customHeight="1" x14ac:dyDescent="0.2">
      <c r="A29" s="127" t="s">
        <v>123</v>
      </c>
      <c r="B29" s="128"/>
      <c r="C29" s="128"/>
      <c r="D29" s="132"/>
      <c r="E29" s="129"/>
    </row>
    <row r="30" spans="1:25" ht="15.75" customHeight="1" x14ac:dyDescent="0.2">
      <c r="A30" s="127" t="s">
        <v>126</v>
      </c>
      <c r="B30" s="128"/>
      <c r="C30" s="128"/>
      <c r="D30" s="132"/>
      <c r="E30" s="129"/>
    </row>
    <row r="31" spans="1:25" ht="15.75" customHeight="1" x14ac:dyDescent="0.2">
      <c r="A31" s="127" t="s">
        <v>127</v>
      </c>
      <c r="B31" s="128"/>
      <c r="C31" s="128"/>
      <c r="D31" s="132"/>
      <c r="E31" s="129"/>
    </row>
    <row r="32" spans="1:25" ht="15.75" customHeight="1" x14ac:dyDescent="0.2">
      <c r="A32" s="127" t="s">
        <v>128</v>
      </c>
      <c r="B32" s="131"/>
      <c r="C32" s="131"/>
      <c r="D32" s="132">
        <f t="shared" ref="D32:D33" si="4">ABS(B32-C32)</f>
        <v>0</v>
      </c>
      <c r="E32" s="132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</row>
    <row r="33" spans="1:25" ht="15.75" customHeight="1" x14ac:dyDescent="0.2">
      <c r="A33" s="127" t="s">
        <v>130</v>
      </c>
      <c r="B33" s="131"/>
      <c r="C33" s="131"/>
      <c r="D33" s="132">
        <f t="shared" si="4"/>
        <v>0</v>
      </c>
      <c r="E33" s="132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</row>
    <row r="34" spans="1:25" ht="15.75" customHeight="1" x14ac:dyDescent="0.2">
      <c r="A34" s="127" t="s">
        <v>132</v>
      </c>
      <c r="B34" s="128"/>
      <c r="C34" s="128"/>
      <c r="D34" s="132"/>
      <c r="E34" s="129"/>
    </row>
    <row r="35" spans="1:25" ht="15.75" customHeight="1" x14ac:dyDescent="0.2">
      <c r="A35" s="127" t="s">
        <v>133</v>
      </c>
      <c r="B35" s="128"/>
      <c r="C35" s="128"/>
      <c r="D35" s="132"/>
      <c r="E35" s="129"/>
    </row>
    <row r="36" spans="1:25" ht="15.75" customHeight="1" x14ac:dyDescent="0.2">
      <c r="A36" s="127" t="s">
        <v>135</v>
      </c>
      <c r="B36" s="128"/>
      <c r="C36" s="128"/>
      <c r="D36" s="132"/>
      <c r="E36" s="129"/>
    </row>
    <row r="37" spans="1:25" ht="15.75" customHeight="1" x14ac:dyDescent="0.2">
      <c r="A37" s="127" t="s">
        <v>136</v>
      </c>
      <c r="B37" s="131"/>
      <c r="C37" s="131"/>
      <c r="D37" s="132">
        <f t="shared" ref="D37:D43" si="5">ABS(B37-C37)</f>
        <v>0</v>
      </c>
      <c r="E37" s="132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</row>
    <row r="38" spans="1:25" ht="15.75" customHeight="1" x14ac:dyDescent="0.2">
      <c r="A38" s="127" t="s">
        <v>138</v>
      </c>
      <c r="B38" s="128"/>
      <c r="C38" s="128"/>
      <c r="D38" s="132">
        <f t="shared" si="5"/>
        <v>0</v>
      </c>
      <c r="E38" s="129"/>
    </row>
    <row r="39" spans="1:25" ht="15.75" customHeight="1" x14ac:dyDescent="0.2">
      <c r="A39" s="127" t="s">
        <v>140</v>
      </c>
      <c r="B39" s="128"/>
      <c r="C39" s="128"/>
      <c r="D39" s="132">
        <f t="shared" si="5"/>
        <v>0</v>
      </c>
      <c r="E39" s="129"/>
    </row>
    <row r="40" spans="1:25" ht="15.75" customHeight="1" x14ac:dyDescent="0.2">
      <c r="A40" s="127" t="s">
        <v>141</v>
      </c>
      <c r="B40" s="128"/>
      <c r="C40" s="128"/>
      <c r="D40" s="132">
        <f t="shared" si="5"/>
        <v>0</v>
      </c>
      <c r="E40" s="129"/>
    </row>
    <row r="41" spans="1:25" ht="15.75" customHeight="1" x14ac:dyDescent="0.2">
      <c r="A41" s="127" t="s">
        <v>143</v>
      </c>
      <c r="B41" s="131"/>
      <c r="C41" s="131"/>
      <c r="D41" s="132">
        <f t="shared" si="5"/>
        <v>0</v>
      </c>
      <c r="E41" s="132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</row>
    <row r="42" spans="1:25" ht="15.75" customHeight="1" x14ac:dyDescent="0.2">
      <c r="A42" s="127" t="s">
        <v>144</v>
      </c>
      <c r="B42" s="131"/>
      <c r="C42" s="131"/>
      <c r="D42" s="132">
        <f t="shared" si="5"/>
        <v>0</v>
      </c>
      <c r="E42" s="132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</row>
    <row r="43" spans="1:25" ht="15.75" customHeight="1" x14ac:dyDescent="0.2">
      <c r="A43" s="127" t="s">
        <v>146</v>
      </c>
      <c r="B43" s="131"/>
      <c r="C43" s="131"/>
      <c r="D43" s="132">
        <f t="shared" si="5"/>
        <v>0</v>
      </c>
      <c r="E43" s="132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</row>
    <row r="44" spans="1:25" ht="15.75" customHeight="1" x14ac:dyDescent="0.2">
      <c r="A44" s="123" t="s">
        <v>353</v>
      </c>
      <c r="B44" s="133">
        <f t="shared" ref="B44:C44" si="6">COUNT(B2:B43)</f>
        <v>0</v>
      </c>
      <c r="C44" s="133">
        <f t="shared" si="6"/>
        <v>0</v>
      </c>
      <c r="D44" s="134"/>
      <c r="E44" s="134"/>
    </row>
    <row r="45" spans="1:25" ht="15.75" customHeight="1" x14ac:dyDescent="0.2">
      <c r="A45" s="135"/>
      <c r="B45" s="135"/>
      <c r="C45" s="136"/>
      <c r="D45" s="135"/>
      <c r="E45" s="135"/>
    </row>
    <row r="46" spans="1:25" ht="15.75" customHeight="1" x14ac:dyDescent="0.2">
      <c r="A46" s="135"/>
      <c r="B46" s="135"/>
      <c r="C46" s="136"/>
      <c r="D46" s="135"/>
      <c r="E46" s="135"/>
    </row>
    <row r="47" spans="1:25" ht="15.75" customHeight="1" x14ac:dyDescent="0.2">
      <c r="A47" s="123"/>
      <c r="B47" s="135"/>
      <c r="C47" s="136"/>
      <c r="D47" s="135"/>
      <c r="E47" s="135"/>
    </row>
    <row r="48" spans="1:25" ht="15.75" customHeight="1" x14ac:dyDescent="0.2">
      <c r="A48" s="123"/>
      <c r="B48" s="135"/>
      <c r="C48" s="136"/>
      <c r="D48" s="135"/>
      <c r="E48" s="135"/>
    </row>
    <row r="49" spans="1:5" ht="15.75" customHeight="1" x14ac:dyDescent="0.2">
      <c r="A49" s="123"/>
      <c r="B49" s="135"/>
      <c r="C49" s="135"/>
      <c r="D49" s="135"/>
      <c r="E49" s="135"/>
    </row>
    <row r="50" spans="1:5" ht="15.75" customHeight="1" x14ac:dyDescent="0.2">
      <c r="A50" s="123"/>
      <c r="B50" s="135"/>
      <c r="C50" s="135"/>
      <c r="D50" s="135"/>
      <c r="E50" s="135"/>
    </row>
    <row r="51" spans="1:5" ht="15.75" customHeight="1" x14ac:dyDescent="0.2">
      <c r="A51" s="123"/>
      <c r="B51" s="135"/>
      <c r="C51" s="135"/>
      <c r="D51" s="135"/>
      <c r="E51" s="135"/>
    </row>
    <row r="52" spans="1:5" ht="15.75" customHeight="1" x14ac:dyDescent="0.2">
      <c r="A52" s="123"/>
      <c r="B52" s="135"/>
      <c r="C52" s="135"/>
      <c r="D52" s="135"/>
      <c r="E52" s="135"/>
    </row>
    <row r="53" spans="1:5" ht="15.75" customHeight="1" x14ac:dyDescent="0.2">
      <c r="A53" s="123"/>
      <c r="B53" s="135"/>
      <c r="C53" s="135"/>
      <c r="D53" s="135"/>
      <c r="E53" s="135"/>
    </row>
    <row r="54" spans="1:5" ht="15.75" customHeight="1" x14ac:dyDescent="0.2">
      <c r="A54" s="123"/>
      <c r="B54" s="135"/>
      <c r="C54" s="135"/>
      <c r="D54" s="135"/>
      <c r="E54" s="135"/>
    </row>
    <row r="55" spans="1:5" ht="15.75" customHeight="1" x14ac:dyDescent="0.2">
      <c r="A55" s="123"/>
      <c r="B55" s="135"/>
      <c r="C55" s="135"/>
      <c r="D55" s="135"/>
      <c r="E55" s="135"/>
    </row>
    <row r="56" spans="1:5" ht="15.75" customHeight="1" x14ac:dyDescent="0.2">
      <c r="A56" s="123"/>
      <c r="B56" s="135"/>
      <c r="C56" s="135"/>
      <c r="D56" s="135"/>
      <c r="E56" s="135"/>
    </row>
    <row r="57" spans="1:5" ht="15.75" customHeight="1" x14ac:dyDescent="0.2">
      <c r="A57" s="123"/>
      <c r="B57" s="135"/>
      <c r="C57" s="135"/>
      <c r="D57" s="135"/>
      <c r="E57" s="135"/>
    </row>
    <row r="58" spans="1:5" ht="15.75" customHeight="1" x14ac:dyDescent="0.2">
      <c r="A58" s="123"/>
      <c r="B58" s="135"/>
      <c r="C58" s="135"/>
      <c r="D58" s="135"/>
      <c r="E58" s="135"/>
    </row>
    <row r="59" spans="1:5" ht="15.75" customHeight="1" x14ac:dyDescent="0.2">
      <c r="A59" s="123"/>
      <c r="B59" s="135"/>
      <c r="C59" s="135"/>
      <c r="D59" s="135"/>
      <c r="E59" s="135"/>
    </row>
    <row r="60" spans="1:5" ht="15.75" customHeight="1" x14ac:dyDescent="0.2">
      <c r="A60" s="123"/>
      <c r="B60" s="135"/>
      <c r="C60" s="135"/>
      <c r="D60" s="135"/>
      <c r="E60" s="135"/>
    </row>
    <row r="61" spans="1:5" ht="15.75" customHeight="1" x14ac:dyDescent="0.2">
      <c r="A61" s="123"/>
      <c r="B61" s="135"/>
      <c r="C61" s="135"/>
      <c r="D61" s="135"/>
      <c r="E61" s="135"/>
    </row>
    <row r="62" spans="1:5" ht="15.75" customHeight="1" x14ac:dyDescent="0.2">
      <c r="A62" s="123"/>
      <c r="B62" s="135"/>
      <c r="C62" s="135"/>
      <c r="D62" s="135"/>
      <c r="E62" s="135"/>
    </row>
    <row r="63" spans="1:5" ht="15.75" customHeight="1" x14ac:dyDescent="0.2">
      <c r="A63" s="123"/>
      <c r="B63" s="135"/>
      <c r="C63" s="135"/>
      <c r="D63" s="135"/>
      <c r="E63" s="135"/>
    </row>
    <row r="64" spans="1:5" ht="15.75" customHeight="1" x14ac:dyDescent="0.2">
      <c r="A64" s="123"/>
      <c r="B64" s="135"/>
      <c r="C64" s="135"/>
      <c r="D64" s="135"/>
      <c r="E64" s="135"/>
    </row>
    <row r="65" spans="1:5" ht="15.75" customHeight="1" x14ac:dyDescent="0.2">
      <c r="A65" s="123"/>
      <c r="B65" s="135"/>
      <c r="C65" s="135"/>
      <c r="D65" s="135"/>
      <c r="E65" s="135"/>
    </row>
    <row r="66" spans="1:5" ht="15.75" customHeight="1" x14ac:dyDescent="0.2">
      <c r="A66" s="123"/>
      <c r="B66" s="135"/>
      <c r="C66" s="135"/>
      <c r="D66" s="135"/>
      <c r="E66" s="135"/>
    </row>
    <row r="67" spans="1:5" ht="15.75" customHeight="1" x14ac:dyDescent="0.2">
      <c r="A67" s="123"/>
      <c r="B67" s="135"/>
      <c r="C67" s="135"/>
      <c r="D67" s="135"/>
      <c r="E67" s="135"/>
    </row>
    <row r="68" spans="1:5" ht="15.75" customHeight="1" x14ac:dyDescent="0.2">
      <c r="A68" s="123"/>
      <c r="B68" s="135"/>
      <c r="C68" s="135"/>
      <c r="D68" s="135"/>
      <c r="E68" s="135"/>
    </row>
    <row r="69" spans="1:5" ht="15.75" customHeight="1" x14ac:dyDescent="0.2">
      <c r="A69" s="123"/>
      <c r="B69" s="135"/>
      <c r="C69" s="135"/>
      <c r="D69" s="135"/>
      <c r="E69" s="135"/>
    </row>
    <row r="70" spans="1:5" ht="15.75" customHeight="1" x14ac:dyDescent="0.2">
      <c r="A70" s="123"/>
      <c r="B70" s="135"/>
      <c r="C70" s="135"/>
      <c r="D70" s="135"/>
      <c r="E70" s="135"/>
    </row>
    <row r="71" spans="1:5" ht="15.75" customHeight="1" x14ac:dyDescent="0.2">
      <c r="A71" s="123"/>
      <c r="B71" s="135"/>
      <c r="C71" s="135"/>
      <c r="D71" s="135"/>
      <c r="E71" s="135"/>
    </row>
    <row r="72" spans="1:5" ht="15.75" customHeight="1" x14ac:dyDescent="0.2">
      <c r="A72" s="123"/>
      <c r="B72" s="135"/>
      <c r="C72" s="135"/>
      <c r="D72" s="135"/>
      <c r="E72" s="135"/>
    </row>
    <row r="73" spans="1:5" ht="15.75" customHeight="1" x14ac:dyDescent="0.2">
      <c r="A73" s="123"/>
      <c r="B73" s="135"/>
      <c r="C73" s="135"/>
      <c r="D73" s="135"/>
      <c r="E73" s="135"/>
    </row>
    <row r="74" spans="1:5" ht="15.75" customHeight="1" x14ac:dyDescent="0.2">
      <c r="A74" s="123"/>
      <c r="B74" s="135"/>
      <c r="C74" s="135"/>
      <c r="D74" s="135"/>
      <c r="E74" s="135"/>
    </row>
    <row r="75" spans="1:5" ht="15.75" customHeight="1" x14ac:dyDescent="0.2">
      <c r="A75" s="123"/>
      <c r="B75" s="135"/>
      <c r="C75" s="135"/>
      <c r="D75" s="135"/>
      <c r="E75" s="135"/>
    </row>
    <row r="76" spans="1:5" ht="15.75" customHeight="1" x14ac:dyDescent="0.2">
      <c r="A76" s="123"/>
      <c r="B76" s="135"/>
      <c r="C76" s="135"/>
      <c r="D76" s="135"/>
      <c r="E76" s="135"/>
    </row>
    <row r="77" spans="1:5" ht="15.75" customHeight="1" x14ac:dyDescent="0.2">
      <c r="A77" s="123"/>
      <c r="B77" s="135"/>
      <c r="C77" s="135"/>
      <c r="D77" s="135"/>
      <c r="E77" s="135"/>
    </row>
    <row r="78" spans="1:5" ht="15.75" customHeight="1" x14ac:dyDescent="0.2">
      <c r="A78" s="123"/>
      <c r="B78" s="135"/>
      <c r="C78" s="135"/>
      <c r="D78" s="135"/>
      <c r="E78" s="135"/>
    </row>
    <row r="79" spans="1:5" ht="15.75" customHeight="1" x14ac:dyDescent="0.2">
      <c r="A79" s="123"/>
      <c r="B79" s="135"/>
      <c r="C79" s="135"/>
      <c r="D79" s="135"/>
      <c r="E79" s="135"/>
    </row>
    <row r="80" spans="1:5" ht="15.75" customHeight="1" x14ac:dyDescent="0.2">
      <c r="A80" s="123"/>
      <c r="B80" s="135"/>
      <c r="C80" s="135"/>
      <c r="D80" s="135"/>
      <c r="E80" s="135"/>
    </row>
    <row r="81" spans="1:5" ht="15.75" customHeight="1" x14ac:dyDescent="0.2">
      <c r="A81" s="123"/>
      <c r="B81" s="135"/>
      <c r="C81" s="135"/>
      <c r="D81" s="135"/>
      <c r="E81" s="135"/>
    </row>
    <row r="82" spans="1:5" ht="15.75" customHeight="1" x14ac:dyDescent="0.2">
      <c r="A82" s="123"/>
      <c r="B82" s="135"/>
      <c r="C82" s="135"/>
      <c r="D82" s="135"/>
      <c r="E82" s="135"/>
    </row>
    <row r="83" spans="1:5" ht="15.75" customHeight="1" x14ac:dyDescent="0.2">
      <c r="A83" s="123"/>
      <c r="B83" s="135"/>
      <c r="C83" s="135"/>
      <c r="D83" s="135"/>
      <c r="E83" s="135"/>
    </row>
    <row r="84" spans="1:5" ht="15.75" customHeight="1" x14ac:dyDescent="0.2">
      <c r="A84" s="123"/>
      <c r="B84" s="135"/>
      <c r="C84" s="135"/>
      <c r="D84" s="135"/>
      <c r="E84" s="135"/>
    </row>
    <row r="85" spans="1:5" ht="15.75" customHeight="1" x14ac:dyDescent="0.2">
      <c r="A85" s="123"/>
      <c r="B85" s="135"/>
      <c r="C85" s="135"/>
      <c r="D85" s="135"/>
      <c r="E85" s="135"/>
    </row>
    <row r="86" spans="1:5" ht="15.75" customHeight="1" x14ac:dyDescent="0.2">
      <c r="A86" s="123"/>
      <c r="B86" s="135"/>
      <c r="C86" s="135"/>
      <c r="D86" s="135"/>
      <c r="E86" s="135"/>
    </row>
    <row r="87" spans="1:5" ht="15.75" customHeight="1" x14ac:dyDescent="0.2">
      <c r="A87" s="123"/>
      <c r="B87" s="135"/>
      <c r="C87" s="135"/>
      <c r="D87" s="135"/>
      <c r="E87" s="135"/>
    </row>
    <row r="88" spans="1:5" ht="15.75" customHeight="1" x14ac:dyDescent="0.2">
      <c r="A88" s="123"/>
      <c r="B88" s="135"/>
      <c r="C88" s="135"/>
      <c r="D88" s="135"/>
      <c r="E88" s="135"/>
    </row>
    <row r="89" spans="1:5" ht="15.75" customHeight="1" x14ac:dyDescent="0.2">
      <c r="A89" s="123"/>
      <c r="B89" s="135"/>
      <c r="C89" s="135"/>
      <c r="D89" s="135"/>
      <c r="E89" s="135"/>
    </row>
    <row r="90" spans="1:5" ht="15.75" customHeight="1" x14ac:dyDescent="0.2">
      <c r="A90" s="123"/>
      <c r="B90" s="135"/>
      <c r="C90" s="135"/>
      <c r="D90" s="135"/>
      <c r="E90" s="135"/>
    </row>
    <row r="91" spans="1:5" ht="15.75" customHeight="1" x14ac:dyDescent="0.2">
      <c r="A91" s="123"/>
      <c r="B91" s="135"/>
      <c r="C91" s="135"/>
      <c r="D91" s="135"/>
      <c r="E91" s="135"/>
    </row>
    <row r="92" spans="1:5" ht="15.75" customHeight="1" x14ac:dyDescent="0.2">
      <c r="A92" s="123"/>
      <c r="B92" s="135"/>
      <c r="C92" s="135"/>
      <c r="D92" s="135"/>
      <c r="E92" s="135"/>
    </row>
    <row r="93" spans="1:5" ht="15.75" customHeight="1" x14ac:dyDescent="0.2">
      <c r="A93" s="123"/>
      <c r="B93" s="135"/>
      <c r="C93" s="135"/>
      <c r="D93" s="135"/>
      <c r="E93" s="135"/>
    </row>
    <row r="94" spans="1:5" ht="15.75" customHeight="1" x14ac:dyDescent="0.2">
      <c r="A94" s="123"/>
      <c r="B94" s="135"/>
      <c r="C94" s="135"/>
      <c r="D94" s="135"/>
      <c r="E94" s="135"/>
    </row>
    <row r="95" spans="1:5" ht="15.75" customHeight="1" x14ac:dyDescent="0.2">
      <c r="A95" s="123"/>
      <c r="B95" s="135"/>
      <c r="C95" s="135"/>
      <c r="D95" s="135"/>
      <c r="E95" s="135"/>
    </row>
    <row r="96" spans="1:5" ht="15.75" customHeight="1" x14ac:dyDescent="0.2">
      <c r="A96" s="123"/>
      <c r="B96" s="135"/>
      <c r="C96" s="135"/>
      <c r="D96" s="135"/>
      <c r="E96" s="135"/>
    </row>
    <row r="97" spans="1:5" ht="15.75" customHeight="1" x14ac:dyDescent="0.2">
      <c r="A97" s="123"/>
      <c r="B97" s="135"/>
      <c r="C97" s="135"/>
      <c r="D97" s="135"/>
      <c r="E97" s="135"/>
    </row>
    <row r="98" spans="1:5" ht="15.75" customHeight="1" x14ac:dyDescent="0.2">
      <c r="A98" s="123"/>
      <c r="B98" s="135"/>
      <c r="C98" s="135"/>
      <c r="D98" s="135"/>
      <c r="E98" s="135"/>
    </row>
    <row r="99" spans="1:5" ht="15.75" customHeight="1" x14ac:dyDescent="0.2">
      <c r="A99" s="123"/>
      <c r="B99" s="135"/>
      <c r="C99" s="135"/>
      <c r="D99" s="135"/>
      <c r="E99" s="135"/>
    </row>
    <row r="100" spans="1:5" ht="15.75" customHeight="1" x14ac:dyDescent="0.2">
      <c r="A100" s="123"/>
      <c r="B100" s="135"/>
      <c r="C100" s="135"/>
      <c r="D100" s="135"/>
      <c r="E100" s="135"/>
    </row>
    <row r="101" spans="1:5" ht="15.75" customHeight="1" x14ac:dyDescent="0.2">
      <c r="A101" s="123"/>
      <c r="B101" s="135"/>
      <c r="C101" s="135"/>
      <c r="D101" s="135"/>
      <c r="E101" s="135"/>
    </row>
    <row r="102" spans="1:5" ht="15.75" customHeight="1" x14ac:dyDescent="0.2">
      <c r="A102" s="123"/>
      <c r="B102" s="135"/>
      <c r="C102" s="135"/>
      <c r="D102" s="135"/>
      <c r="E102" s="135"/>
    </row>
    <row r="103" spans="1:5" ht="15.75" customHeight="1" x14ac:dyDescent="0.2">
      <c r="A103" s="123"/>
      <c r="B103" s="135"/>
      <c r="C103" s="135"/>
      <c r="D103" s="135"/>
      <c r="E103" s="135"/>
    </row>
    <row r="104" spans="1:5" ht="15.75" customHeight="1" x14ac:dyDescent="0.2">
      <c r="A104" s="123"/>
      <c r="B104" s="135"/>
      <c r="C104" s="135"/>
      <c r="D104" s="135"/>
      <c r="E104" s="135"/>
    </row>
    <row r="105" spans="1:5" ht="15.75" customHeight="1" x14ac:dyDescent="0.2">
      <c r="A105" s="123"/>
      <c r="B105" s="135"/>
      <c r="C105" s="135"/>
      <c r="D105" s="135"/>
      <c r="E105" s="135"/>
    </row>
    <row r="106" spans="1:5" ht="15.75" customHeight="1" x14ac:dyDescent="0.2">
      <c r="A106" s="123"/>
      <c r="B106" s="135"/>
      <c r="C106" s="135"/>
      <c r="D106" s="135"/>
      <c r="E106" s="135"/>
    </row>
    <row r="107" spans="1:5" ht="15.75" customHeight="1" x14ac:dyDescent="0.2">
      <c r="A107" s="123"/>
      <c r="B107" s="135"/>
      <c r="C107" s="135"/>
      <c r="D107" s="135"/>
      <c r="E107" s="135"/>
    </row>
    <row r="108" spans="1:5" ht="15.75" customHeight="1" x14ac:dyDescent="0.2">
      <c r="A108" s="123"/>
      <c r="B108" s="135"/>
      <c r="C108" s="135"/>
      <c r="D108" s="135"/>
      <c r="E108" s="135"/>
    </row>
    <row r="109" spans="1:5" ht="15.75" customHeight="1" x14ac:dyDescent="0.2">
      <c r="A109" s="123"/>
      <c r="B109" s="135"/>
      <c r="C109" s="135"/>
      <c r="D109" s="135"/>
      <c r="E109" s="135"/>
    </row>
    <row r="110" spans="1:5" ht="15.75" customHeight="1" x14ac:dyDescent="0.2">
      <c r="A110" s="123"/>
      <c r="B110" s="135"/>
      <c r="C110" s="135"/>
      <c r="D110" s="135"/>
      <c r="E110" s="135"/>
    </row>
    <row r="111" spans="1:5" ht="15.75" customHeight="1" x14ac:dyDescent="0.2">
      <c r="A111" s="123"/>
      <c r="B111" s="135"/>
      <c r="C111" s="135"/>
      <c r="D111" s="135"/>
      <c r="E111" s="135"/>
    </row>
    <row r="112" spans="1:5" ht="15.75" customHeight="1" x14ac:dyDescent="0.2">
      <c r="A112" s="123"/>
      <c r="B112" s="135"/>
      <c r="C112" s="135"/>
      <c r="D112" s="135"/>
      <c r="E112" s="135"/>
    </row>
    <row r="113" spans="1:5" ht="15.75" customHeight="1" x14ac:dyDescent="0.2">
      <c r="A113" s="123"/>
      <c r="B113" s="135"/>
      <c r="C113" s="135"/>
      <c r="D113" s="135"/>
      <c r="E113" s="135"/>
    </row>
    <row r="114" spans="1:5" ht="15.75" customHeight="1" x14ac:dyDescent="0.2">
      <c r="A114" s="123"/>
      <c r="B114" s="135"/>
      <c r="C114" s="135"/>
      <c r="D114" s="135"/>
      <c r="E114" s="135"/>
    </row>
    <row r="115" spans="1:5" ht="15.75" customHeight="1" x14ac:dyDescent="0.2">
      <c r="A115" s="123"/>
      <c r="B115" s="135"/>
      <c r="C115" s="135"/>
      <c r="D115" s="135"/>
      <c r="E115" s="135"/>
    </row>
    <row r="116" spans="1:5" ht="15.75" customHeight="1" x14ac:dyDescent="0.2">
      <c r="A116" s="123"/>
      <c r="B116" s="135"/>
      <c r="C116" s="135"/>
      <c r="D116" s="135"/>
      <c r="E116" s="135"/>
    </row>
    <row r="117" spans="1:5" ht="15.75" customHeight="1" x14ac:dyDescent="0.2">
      <c r="A117" s="123"/>
      <c r="B117" s="135"/>
      <c r="C117" s="135"/>
      <c r="D117" s="135"/>
      <c r="E117" s="135"/>
    </row>
    <row r="118" spans="1:5" ht="15.75" customHeight="1" x14ac:dyDescent="0.2">
      <c r="A118" s="123"/>
      <c r="B118" s="135"/>
      <c r="C118" s="135"/>
      <c r="D118" s="135"/>
      <c r="E118" s="135"/>
    </row>
    <row r="119" spans="1:5" ht="15.75" customHeight="1" x14ac:dyDescent="0.2">
      <c r="A119" s="123"/>
      <c r="B119" s="135"/>
      <c r="C119" s="135"/>
      <c r="D119" s="135"/>
      <c r="E119" s="135"/>
    </row>
    <row r="120" spans="1:5" ht="15.75" customHeight="1" x14ac:dyDescent="0.2">
      <c r="A120" s="123"/>
      <c r="B120" s="135"/>
      <c r="C120" s="135"/>
      <c r="D120" s="135"/>
      <c r="E120" s="135"/>
    </row>
    <row r="121" spans="1:5" ht="15.75" customHeight="1" x14ac:dyDescent="0.2">
      <c r="A121" s="123"/>
      <c r="B121" s="135"/>
      <c r="C121" s="135"/>
      <c r="D121" s="135"/>
      <c r="E121" s="135"/>
    </row>
    <row r="122" spans="1:5" ht="15.75" customHeight="1" x14ac:dyDescent="0.2">
      <c r="A122" s="123"/>
      <c r="B122" s="135"/>
      <c r="C122" s="135"/>
      <c r="D122" s="135"/>
      <c r="E122" s="135"/>
    </row>
    <row r="123" spans="1:5" ht="15.75" customHeight="1" x14ac:dyDescent="0.2">
      <c r="A123" s="123"/>
      <c r="B123" s="135"/>
      <c r="C123" s="135"/>
      <c r="D123" s="135"/>
      <c r="E123" s="135"/>
    </row>
    <row r="124" spans="1:5" ht="15.75" customHeight="1" x14ac:dyDescent="0.2">
      <c r="A124" s="123"/>
      <c r="B124" s="135"/>
      <c r="C124" s="135"/>
      <c r="D124" s="135"/>
      <c r="E124" s="135"/>
    </row>
    <row r="125" spans="1:5" ht="15.75" customHeight="1" x14ac:dyDescent="0.2">
      <c r="A125" s="123"/>
      <c r="B125" s="135"/>
      <c r="C125" s="135"/>
      <c r="D125" s="135"/>
      <c r="E125" s="135"/>
    </row>
    <row r="126" spans="1:5" ht="15.75" customHeight="1" x14ac:dyDescent="0.2">
      <c r="A126" s="123"/>
      <c r="B126" s="135"/>
      <c r="C126" s="135"/>
      <c r="D126" s="135"/>
      <c r="E126" s="135"/>
    </row>
    <row r="127" spans="1:5" ht="15.75" customHeight="1" x14ac:dyDescent="0.2">
      <c r="A127" s="123"/>
      <c r="B127" s="135"/>
      <c r="C127" s="135"/>
      <c r="D127" s="135"/>
      <c r="E127" s="135"/>
    </row>
    <row r="128" spans="1:5" ht="15.75" customHeight="1" x14ac:dyDescent="0.2">
      <c r="A128" s="123"/>
      <c r="B128" s="135"/>
      <c r="C128" s="135"/>
      <c r="D128" s="135"/>
      <c r="E128" s="135"/>
    </row>
    <row r="129" spans="1:5" ht="15.75" customHeight="1" x14ac:dyDescent="0.2">
      <c r="A129" s="123"/>
      <c r="B129" s="135"/>
      <c r="C129" s="135"/>
      <c r="D129" s="135"/>
      <c r="E129" s="135"/>
    </row>
    <row r="130" spans="1:5" ht="15.75" customHeight="1" x14ac:dyDescent="0.2">
      <c r="A130" s="123"/>
      <c r="B130" s="135"/>
      <c r="C130" s="135"/>
      <c r="D130" s="135"/>
      <c r="E130" s="135"/>
    </row>
    <row r="131" spans="1:5" ht="15.75" customHeight="1" x14ac:dyDescent="0.2">
      <c r="A131" s="123"/>
      <c r="B131" s="135"/>
      <c r="C131" s="135"/>
      <c r="D131" s="135"/>
      <c r="E131" s="135"/>
    </row>
    <row r="132" spans="1:5" ht="15.75" customHeight="1" x14ac:dyDescent="0.2">
      <c r="A132" s="123"/>
      <c r="B132" s="135"/>
      <c r="C132" s="135"/>
      <c r="D132" s="135"/>
      <c r="E132" s="135"/>
    </row>
    <row r="133" spans="1:5" ht="15.75" customHeight="1" x14ac:dyDescent="0.2">
      <c r="A133" s="123"/>
      <c r="B133" s="135"/>
      <c r="C133" s="135"/>
      <c r="D133" s="135"/>
      <c r="E133" s="135"/>
    </row>
    <row r="134" spans="1:5" ht="15.75" customHeight="1" x14ac:dyDescent="0.2">
      <c r="A134" s="123"/>
      <c r="B134" s="135"/>
      <c r="C134" s="135"/>
      <c r="D134" s="135"/>
      <c r="E134" s="135"/>
    </row>
    <row r="135" spans="1:5" ht="15.75" customHeight="1" x14ac:dyDescent="0.2">
      <c r="A135" s="123"/>
      <c r="B135" s="135"/>
      <c r="C135" s="135"/>
      <c r="D135" s="135"/>
      <c r="E135" s="135"/>
    </row>
    <row r="136" spans="1:5" ht="15.75" customHeight="1" x14ac:dyDescent="0.2">
      <c r="A136" s="123"/>
      <c r="B136" s="135"/>
      <c r="C136" s="135"/>
      <c r="D136" s="135"/>
      <c r="E136" s="135"/>
    </row>
    <row r="137" spans="1:5" ht="15.75" customHeight="1" x14ac:dyDescent="0.2">
      <c r="A137" s="123"/>
      <c r="B137" s="135"/>
      <c r="C137" s="135"/>
      <c r="D137" s="135"/>
      <c r="E137" s="135"/>
    </row>
    <row r="138" spans="1:5" ht="15.75" customHeight="1" x14ac:dyDescent="0.2">
      <c r="A138" s="123"/>
      <c r="B138" s="135"/>
      <c r="C138" s="135"/>
      <c r="D138" s="135"/>
      <c r="E138" s="135"/>
    </row>
    <row r="139" spans="1:5" ht="15.75" customHeight="1" x14ac:dyDescent="0.2">
      <c r="A139" s="123"/>
      <c r="B139" s="135"/>
      <c r="C139" s="135"/>
      <c r="D139" s="135"/>
      <c r="E139" s="135"/>
    </row>
    <row r="140" spans="1:5" ht="15.75" customHeight="1" x14ac:dyDescent="0.2">
      <c r="A140" s="123"/>
      <c r="B140" s="135"/>
      <c r="C140" s="135"/>
      <c r="D140" s="135"/>
      <c r="E140" s="135"/>
    </row>
    <row r="141" spans="1:5" ht="15.75" customHeight="1" x14ac:dyDescent="0.2">
      <c r="A141" s="123"/>
      <c r="B141" s="135"/>
      <c r="C141" s="135"/>
      <c r="D141" s="135"/>
      <c r="E141" s="135"/>
    </row>
    <row r="142" spans="1:5" ht="15.75" customHeight="1" x14ac:dyDescent="0.2">
      <c r="A142" s="123"/>
      <c r="B142" s="135"/>
      <c r="C142" s="135"/>
      <c r="D142" s="135"/>
      <c r="E142" s="135"/>
    </row>
    <row r="143" spans="1:5" ht="15.75" customHeight="1" x14ac:dyDescent="0.2">
      <c r="A143" s="123"/>
      <c r="B143" s="135"/>
      <c r="C143" s="135"/>
      <c r="D143" s="135"/>
      <c r="E143" s="135"/>
    </row>
    <row r="144" spans="1:5" ht="15.75" customHeight="1" x14ac:dyDescent="0.2">
      <c r="A144" s="123"/>
      <c r="B144" s="135"/>
      <c r="C144" s="135"/>
      <c r="D144" s="135"/>
      <c r="E144" s="135"/>
    </row>
    <row r="145" spans="1:5" ht="15.75" customHeight="1" x14ac:dyDescent="0.2">
      <c r="A145" s="123"/>
      <c r="B145" s="135"/>
      <c r="C145" s="135"/>
      <c r="D145" s="135"/>
      <c r="E145" s="135"/>
    </row>
    <row r="146" spans="1:5" ht="15.75" customHeight="1" x14ac:dyDescent="0.2">
      <c r="A146" s="123"/>
      <c r="B146" s="135"/>
      <c r="C146" s="135"/>
      <c r="D146" s="135"/>
      <c r="E146" s="135"/>
    </row>
    <row r="147" spans="1:5" ht="15.75" customHeight="1" x14ac:dyDescent="0.2">
      <c r="A147" s="123"/>
      <c r="B147" s="135"/>
      <c r="C147" s="135"/>
      <c r="D147" s="135"/>
      <c r="E147" s="135"/>
    </row>
    <row r="148" spans="1:5" ht="15.75" customHeight="1" x14ac:dyDescent="0.2">
      <c r="A148" s="123"/>
      <c r="B148" s="135"/>
      <c r="C148" s="135"/>
      <c r="D148" s="135"/>
      <c r="E148" s="135"/>
    </row>
    <row r="149" spans="1:5" ht="15.75" customHeight="1" x14ac:dyDescent="0.2">
      <c r="A149" s="123"/>
      <c r="B149" s="135"/>
      <c r="C149" s="135"/>
      <c r="D149" s="135"/>
      <c r="E149" s="135"/>
    </row>
    <row r="150" spans="1:5" ht="15.75" customHeight="1" x14ac:dyDescent="0.2">
      <c r="A150" s="123"/>
      <c r="B150" s="135"/>
      <c r="C150" s="135"/>
      <c r="D150" s="135"/>
      <c r="E150" s="135"/>
    </row>
    <row r="151" spans="1:5" ht="15.75" customHeight="1" x14ac:dyDescent="0.2">
      <c r="A151" s="123"/>
      <c r="B151" s="135"/>
      <c r="C151" s="135"/>
      <c r="D151" s="135"/>
      <c r="E151" s="135"/>
    </row>
    <row r="152" spans="1:5" ht="15.75" customHeight="1" x14ac:dyDescent="0.2">
      <c r="A152" s="123"/>
      <c r="B152" s="135"/>
      <c r="C152" s="135"/>
      <c r="D152" s="135"/>
      <c r="E152" s="135"/>
    </row>
    <row r="153" spans="1:5" ht="15.75" customHeight="1" x14ac:dyDescent="0.2">
      <c r="A153" s="123"/>
      <c r="B153" s="135"/>
      <c r="C153" s="135"/>
      <c r="D153" s="135"/>
      <c r="E153" s="135"/>
    </row>
    <row r="154" spans="1:5" ht="15.75" customHeight="1" x14ac:dyDescent="0.2">
      <c r="A154" s="123"/>
      <c r="B154" s="135"/>
      <c r="C154" s="135"/>
      <c r="D154" s="135"/>
      <c r="E154" s="135"/>
    </row>
    <row r="155" spans="1:5" ht="15.75" customHeight="1" x14ac:dyDescent="0.2">
      <c r="A155" s="123"/>
      <c r="B155" s="135"/>
      <c r="C155" s="135"/>
      <c r="D155" s="135"/>
      <c r="E155" s="135"/>
    </row>
    <row r="156" spans="1:5" ht="15.75" customHeight="1" x14ac:dyDescent="0.2">
      <c r="A156" s="123"/>
      <c r="B156" s="135"/>
      <c r="C156" s="135"/>
      <c r="D156" s="135"/>
      <c r="E156" s="135"/>
    </row>
    <row r="157" spans="1:5" ht="15.75" customHeight="1" x14ac:dyDescent="0.2">
      <c r="A157" s="123"/>
      <c r="B157" s="135"/>
      <c r="C157" s="135"/>
      <c r="D157" s="135"/>
      <c r="E157" s="135"/>
    </row>
    <row r="158" spans="1:5" ht="15.75" customHeight="1" x14ac:dyDescent="0.2">
      <c r="A158" s="123"/>
      <c r="B158" s="135"/>
      <c r="C158" s="135"/>
      <c r="D158" s="135"/>
      <c r="E158" s="135"/>
    </row>
    <row r="159" spans="1:5" ht="15.75" customHeight="1" x14ac:dyDescent="0.2">
      <c r="A159" s="123"/>
      <c r="B159" s="135"/>
      <c r="C159" s="135"/>
      <c r="D159" s="135"/>
      <c r="E159" s="135"/>
    </row>
    <row r="160" spans="1:5" ht="15.75" customHeight="1" x14ac:dyDescent="0.2">
      <c r="A160" s="123"/>
      <c r="B160" s="135"/>
      <c r="C160" s="135"/>
      <c r="D160" s="135"/>
      <c r="E160" s="135"/>
    </row>
    <row r="161" spans="1:5" ht="15.75" customHeight="1" x14ac:dyDescent="0.2">
      <c r="A161" s="123"/>
      <c r="B161" s="135"/>
      <c r="C161" s="135"/>
      <c r="D161" s="135"/>
      <c r="E161" s="135"/>
    </row>
    <row r="162" spans="1:5" ht="15.75" customHeight="1" x14ac:dyDescent="0.2">
      <c r="A162" s="123"/>
      <c r="B162" s="135"/>
      <c r="C162" s="135"/>
      <c r="D162" s="135"/>
      <c r="E162" s="135"/>
    </row>
    <row r="163" spans="1:5" ht="15.75" customHeight="1" x14ac:dyDescent="0.2">
      <c r="A163" s="123"/>
      <c r="B163" s="135"/>
      <c r="C163" s="135"/>
      <c r="D163" s="135"/>
      <c r="E163" s="135"/>
    </row>
    <row r="164" spans="1:5" ht="15.75" customHeight="1" x14ac:dyDescent="0.2">
      <c r="A164" s="123"/>
      <c r="B164" s="135"/>
      <c r="C164" s="135"/>
      <c r="D164" s="135"/>
      <c r="E164" s="135"/>
    </row>
    <row r="165" spans="1:5" ht="15.75" customHeight="1" x14ac:dyDescent="0.2">
      <c r="A165" s="123"/>
      <c r="B165" s="135"/>
      <c r="C165" s="135"/>
      <c r="D165" s="135"/>
      <c r="E165" s="135"/>
    </row>
    <row r="166" spans="1:5" ht="15.75" customHeight="1" x14ac:dyDescent="0.2">
      <c r="A166" s="123"/>
      <c r="B166" s="135"/>
      <c r="C166" s="135"/>
      <c r="D166" s="135"/>
      <c r="E166" s="135"/>
    </row>
    <row r="167" spans="1:5" ht="15.75" customHeight="1" x14ac:dyDescent="0.2">
      <c r="A167" s="123"/>
      <c r="B167" s="135"/>
      <c r="C167" s="135"/>
      <c r="D167" s="135"/>
      <c r="E167" s="135"/>
    </row>
    <row r="168" spans="1:5" ht="15.75" customHeight="1" x14ac:dyDescent="0.2">
      <c r="A168" s="123"/>
      <c r="B168" s="135"/>
      <c r="C168" s="135"/>
      <c r="D168" s="135"/>
      <c r="E168" s="135"/>
    </row>
    <row r="169" spans="1:5" ht="15.75" customHeight="1" x14ac:dyDescent="0.2">
      <c r="A169" s="123"/>
      <c r="B169" s="135"/>
      <c r="C169" s="135"/>
      <c r="D169" s="135"/>
      <c r="E169" s="135"/>
    </row>
    <row r="170" spans="1:5" ht="15.75" customHeight="1" x14ac:dyDescent="0.2">
      <c r="A170" s="123"/>
      <c r="B170" s="135"/>
      <c r="C170" s="135"/>
      <c r="D170" s="135"/>
      <c r="E170" s="135"/>
    </row>
    <row r="171" spans="1:5" ht="15.75" customHeight="1" x14ac:dyDescent="0.2">
      <c r="A171" s="123"/>
      <c r="B171" s="135"/>
      <c r="C171" s="135"/>
      <c r="D171" s="135"/>
      <c r="E171" s="135"/>
    </row>
    <row r="172" spans="1:5" ht="15.75" customHeight="1" x14ac:dyDescent="0.2">
      <c r="A172" s="123"/>
      <c r="B172" s="135"/>
      <c r="C172" s="135"/>
      <c r="D172" s="135"/>
      <c r="E172" s="135"/>
    </row>
    <row r="173" spans="1:5" ht="15.75" customHeight="1" x14ac:dyDescent="0.2">
      <c r="A173" s="123"/>
      <c r="B173" s="135"/>
      <c r="C173" s="135"/>
      <c r="D173" s="135"/>
      <c r="E173" s="135"/>
    </row>
    <row r="174" spans="1:5" ht="15.75" customHeight="1" x14ac:dyDescent="0.2">
      <c r="A174" s="123"/>
      <c r="B174" s="135"/>
      <c r="C174" s="135"/>
      <c r="D174" s="135"/>
      <c r="E174" s="135"/>
    </row>
    <row r="175" spans="1:5" ht="15.75" customHeight="1" x14ac:dyDescent="0.2">
      <c r="A175" s="123"/>
      <c r="B175" s="135"/>
      <c r="C175" s="135"/>
      <c r="D175" s="135"/>
      <c r="E175" s="135"/>
    </row>
    <row r="176" spans="1:5" ht="15.75" customHeight="1" x14ac:dyDescent="0.2">
      <c r="A176" s="123"/>
      <c r="B176" s="135"/>
      <c r="C176" s="135"/>
      <c r="D176" s="135"/>
      <c r="E176" s="135"/>
    </row>
    <row r="177" spans="1:5" ht="15.75" customHeight="1" x14ac:dyDescent="0.2">
      <c r="A177" s="123"/>
      <c r="B177" s="135"/>
      <c r="C177" s="135"/>
      <c r="D177" s="135"/>
      <c r="E177" s="135"/>
    </row>
    <row r="178" spans="1:5" ht="15.75" customHeight="1" x14ac:dyDescent="0.2">
      <c r="A178" s="123"/>
      <c r="B178" s="135"/>
      <c r="C178" s="135"/>
      <c r="D178" s="135"/>
      <c r="E178" s="135"/>
    </row>
    <row r="179" spans="1:5" ht="15.75" customHeight="1" x14ac:dyDescent="0.2">
      <c r="A179" s="123"/>
      <c r="B179" s="135"/>
      <c r="C179" s="135"/>
      <c r="D179" s="135"/>
      <c r="E179" s="135"/>
    </row>
    <row r="180" spans="1:5" ht="15.75" customHeight="1" x14ac:dyDescent="0.2">
      <c r="A180" s="123"/>
      <c r="B180" s="135"/>
      <c r="C180" s="135"/>
      <c r="D180" s="135"/>
      <c r="E180" s="135"/>
    </row>
    <row r="181" spans="1:5" ht="15.75" customHeight="1" x14ac:dyDescent="0.2">
      <c r="A181" s="123"/>
      <c r="B181" s="135"/>
      <c r="C181" s="135"/>
      <c r="D181" s="135"/>
      <c r="E181" s="135"/>
    </row>
    <row r="182" spans="1:5" ht="15.75" customHeight="1" x14ac:dyDescent="0.2">
      <c r="A182" s="123"/>
      <c r="B182" s="135"/>
      <c r="C182" s="135"/>
      <c r="D182" s="135"/>
      <c r="E182" s="135"/>
    </row>
    <row r="183" spans="1:5" ht="15.75" customHeight="1" x14ac:dyDescent="0.2">
      <c r="A183" s="123"/>
      <c r="B183" s="135"/>
      <c r="C183" s="135"/>
      <c r="D183" s="135"/>
      <c r="E183" s="135"/>
    </row>
    <row r="184" spans="1:5" ht="15.75" customHeight="1" x14ac:dyDescent="0.2">
      <c r="A184" s="123"/>
      <c r="B184" s="135"/>
      <c r="C184" s="135"/>
      <c r="D184" s="135"/>
      <c r="E184" s="135"/>
    </row>
    <row r="185" spans="1:5" ht="15.75" customHeight="1" x14ac:dyDescent="0.2">
      <c r="A185" s="123"/>
      <c r="B185" s="135"/>
      <c r="C185" s="135"/>
      <c r="D185" s="135"/>
      <c r="E185" s="135"/>
    </row>
    <row r="186" spans="1:5" ht="15.75" customHeight="1" x14ac:dyDescent="0.2">
      <c r="A186" s="123"/>
      <c r="B186" s="135"/>
      <c r="C186" s="135"/>
      <c r="D186" s="135"/>
      <c r="E186" s="135"/>
    </row>
    <row r="187" spans="1:5" ht="15.75" customHeight="1" x14ac:dyDescent="0.2">
      <c r="A187" s="123"/>
      <c r="B187" s="135"/>
      <c r="C187" s="135"/>
      <c r="D187" s="135"/>
      <c r="E187" s="135"/>
    </row>
    <row r="188" spans="1:5" ht="15.75" customHeight="1" x14ac:dyDescent="0.2">
      <c r="A188" s="123"/>
      <c r="B188" s="135"/>
      <c r="C188" s="135"/>
      <c r="D188" s="135"/>
      <c r="E188" s="135"/>
    </row>
    <row r="189" spans="1:5" ht="15.75" customHeight="1" x14ac:dyDescent="0.2">
      <c r="A189" s="123"/>
      <c r="B189" s="135"/>
      <c r="C189" s="135"/>
      <c r="D189" s="135"/>
      <c r="E189" s="135"/>
    </row>
    <row r="190" spans="1:5" ht="15.75" customHeight="1" x14ac:dyDescent="0.2">
      <c r="A190" s="123"/>
      <c r="B190" s="135"/>
      <c r="C190" s="135"/>
      <c r="D190" s="135"/>
      <c r="E190" s="135"/>
    </row>
    <row r="191" spans="1:5" ht="15.75" customHeight="1" x14ac:dyDescent="0.2">
      <c r="A191" s="123"/>
      <c r="B191" s="135"/>
      <c r="C191" s="135"/>
      <c r="D191" s="135"/>
      <c r="E191" s="135"/>
    </row>
    <row r="192" spans="1:5" ht="15.75" customHeight="1" x14ac:dyDescent="0.2">
      <c r="A192" s="123"/>
      <c r="B192" s="135"/>
      <c r="C192" s="135"/>
      <c r="D192" s="135"/>
      <c r="E192" s="135"/>
    </row>
    <row r="193" spans="1:5" ht="15.75" customHeight="1" x14ac:dyDescent="0.2">
      <c r="A193" s="123"/>
      <c r="B193" s="135"/>
      <c r="C193" s="135"/>
      <c r="D193" s="135"/>
      <c r="E193" s="135"/>
    </row>
    <row r="194" spans="1:5" ht="15.75" customHeight="1" x14ac:dyDescent="0.2">
      <c r="A194" s="123"/>
      <c r="B194" s="135"/>
      <c r="C194" s="135"/>
      <c r="D194" s="135"/>
      <c r="E194" s="135"/>
    </row>
    <row r="195" spans="1:5" ht="15.75" customHeight="1" x14ac:dyDescent="0.2">
      <c r="A195" s="123"/>
      <c r="B195" s="135"/>
      <c r="C195" s="135"/>
      <c r="D195" s="135"/>
      <c r="E195" s="135"/>
    </row>
    <row r="196" spans="1:5" ht="15.75" customHeight="1" x14ac:dyDescent="0.2">
      <c r="A196" s="123"/>
      <c r="B196" s="135"/>
      <c r="C196" s="135"/>
      <c r="D196" s="135"/>
      <c r="E196" s="135"/>
    </row>
    <row r="197" spans="1:5" ht="15.75" customHeight="1" x14ac:dyDescent="0.2">
      <c r="A197" s="123"/>
      <c r="B197" s="135"/>
      <c r="C197" s="135"/>
      <c r="D197" s="135"/>
      <c r="E197" s="135"/>
    </row>
    <row r="198" spans="1:5" ht="15.75" customHeight="1" x14ac:dyDescent="0.2">
      <c r="A198" s="123"/>
      <c r="B198" s="135"/>
      <c r="C198" s="135"/>
      <c r="D198" s="135"/>
      <c r="E198" s="135"/>
    </row>
    <row r="199" spans="1:5" ht="15.75" customHeight="1" x14ac:dyDescent="0.2">
      <c r="A199" s="123"/>
      <c r="B199" s="135"/>
      <c r="C199" s="135"/>
      <c r="D199" s="135"/>
      <c r="E199" s="135"/>
    </row>
    <row r="200" spans="1:5" ht="15.75" customHeight="1" x14ac:dyDescent="0.2">
      <c r="A200" s="123"/>
      <c r="B200" s="135"/>
      <c r="C200" s="135"/>
      <c r="D200" s="135"/>
      <c r="E200" s="135"/>
    </row>
    <row r="201" spans="1:5" ht="15.75" customHeight="1" x14ac:dyDescent="0.2">
      <c r="A201" s="123"/>
      <c r="B201" s="135"/>
      <c r="C201" s="135"/>
      <c r="D201" s="135"/>
      <c r="E201" s="135"/>
    </row>
    <row r="202" spans="1:5" ht="15.75" customHeight="1" x14ac:dyDescent="0.2">
      <c r="A202" s="123"/>
      <c r="B202" s="135"/>
      <c r="C202" s="135"/>
      <c r="D202" s="135"/>
      <c r="E202" s="135"/>
    </row>
    <row r="203" spans="1:5" ht="15.75" customHeight="1" x14ac:dyDescent="0.2">
      <c r="A203" s="123"/>
      <c r="B203" s="135"/>
      <c r="C203" s="135"/>
      <c r="D203" s="135"/>
      <c r="E203" s="135"/>
    </row>
    <row r="204" spans="1:5" ht="15.75" customHeight="1" x14ac:dyDescent="0.2">
      <c r="A204" s="123"/>
      <c r="B204" s="135"/>
      <c r="C204" s="135"/>
      <c r="D204" s="135"/>
      <c r="E204" s="135"/>
    </row>
    <row r="205" spans="1:5" ht="15.75" customHeight="1" x14ac:dyDescent="0.2">
      <c r="A205" s="123"/>
      <c r="B205" s="135"/>
      <c r="C205" s="135"/>
      <c r="D205" s="135"/>
      <c r="E205" s="135"/>
    </row>
    <row r="206" spans="1:5" ht="15.75" customHeight="1" x14ac:dyDescent="0.2">
      <c r="A206" s="123"/>
      <c r="B206" s="135"/>
      <c r="C206" s="135"/>
      <c r="D206" s="135"/>
      <c r="E206" s="135"/>
    </row>
    <row r="207" spans="1:5" ht="15.75" customHeight="1" x14ac:dyDescent="0.2">
      <c r="A207" s="123"/>
      <c r="B207" s="135"/>
      <c r="C207" s="135"/>
      <c r="D207" s="135"/>
      <c r="E207" s="135"/>
    </row>
    <row r="208" spans="1:5" ht="15.75" customHeight="1" x14ac:dyDescent="0.2">
      <c r="A208" s="123"/>
      <c r="B208" s="135"/>
      <c r="C208" s="135"/>
      <c r="D208" s="135"/>
      <c r="E208" s="135"/>
    </row>
    <row r="209" spans="1:5" ht="15.75" customHeight="1" x14ac:dyDescent="0.2">
      <c r="A209" s="123"/>
      <c r="B209" s="135"/>
      <c r="C209" s="135"/>
      <c r="D209" s="135"/>
      <c r="E209" s="135"/>
    </row>
    <row r="210" spans="1:5" ht="15.75" customHeight="1" x14ac:dyDescent="0.2">
      <c r="A210" s="123"/>
      <c r="B210" s="135"/>
      <c r="C210" s="135"/>
      <c r="D210" s="135"/>
      <c r="E210" s="135"/>
    </row>
    <row r="211" spans="1:5" ht="15.75" customHeight="1" x14ac:dyDescent="0.2">
      <c r="A211" s="123"/>
      <c r="B211" s="135"/>
      <c r="C211" s="135"/>
      <c r="D211" s="135"/>
      <c r="E211" s="135"/>
    </row>
    <row r="212" spans="1:5" ht="15.75" customHeight="1" x14ac:dyDescent="0.2">
      <c r="A212" s="123"/>
      <c r="B212" s="135"/>
      <c r="C212" s="135"/>
      <c r="D212" s="135"/>
      <c r="E212" s="135"/>
    </row>
    <row r="213" spans="1:5" ht="15.75" customHeight="1" x14ac:dyDescent="0.2">
      <c r="A213" s="123"/>
      <c r="B213" s="135"/>
      <c r="C213" s="135"/>
      <c r="D213" s="135"/>
      <c r="E213" s="135"/>
    </row>
    <row r="214" spans="1:5" ht="15.75" customHeight="1" x14ac:dyDescent="0.2">
      <c r="A214" s="123"/>
      <c r="B214" s="135"/>
      <c r="C214" s="135"/>
      <c r="D214" s="135"/>
      <c r="E214" s="135"/>
    </row>
    <row r="215" spans="1:5" ht="15.75" customHeight="1" x14ac:dyDescent="0.2">
      <c r="A215" s="123"/>
      <c r="B215" s="135"/>
      <c r="C215" s="135"/>
      <c r="D215" s="135"/>
      <c r="E215" s="135"/>
    </row>
    <row r="216" spans="1:5" ht="15.75" customHeight="1" x14ac:dyDescent="0.2">
      <c r="A216" s="123"/>
      <c r="B216" s="135"/>
      <c r="C216" s="135"/>
      <c r="D216" s="135"/>
      <c r="E216" s="135"/>
    </row>
    <row r="217" spans="1:5" ht="15.75" customHeight="1" x14ac:dyDescent="0.2">
      <c r="A217" s="123"/>
      <c r="B217" s="135"/>
      <c r="C217" s="135"/>
      <c r="D217" s="135"/>
      <c r="E217" s="135"/>
    </row>
    <row r="218" spans="1:5" ht="15.75" customHeight="1" x14ac:dyDescent="0.2">
      <c r="A218" s="123"/>
      <c r="B218" s="135"/>
      <c r="C218" s="135"/>
      <c r="D218" s="135"/>
      <c r="E218" s="135"/>
    </row>
    <row r="219" spans="1:5" ht="15.75" customHeight="1" x14ac:dyDescent="0.2">
      <c r="A219" s="123"/>
      <c r="B219" s="135"/>
      <c r="C219" s="135"/>
      <c r="D219" s="135"/>
      <c r="E219" s="135"/>
    </row>
    <row r="220" spans="1:5" ht="15.75" customHeight="1" x14ac:dyDescent="0.2">
      <c r="A220" s="123"/>
      <c r="B220" s="135"/>
      <c r="C220" s="135"/>
      <c r="D220" s="135"/>
      <c r="E220" s="135"/>
    </row>
    <row r="221" spans="1:5" ht="15.75" customHeight="1" x14ac:dyDescent="0.2">
      <c r="A221" s="123"/>
      <c r="B221" s="135"/>
      <c r="C221" s="135"/>
      <c r="D221" s="135"/>
      <c r="E221" s="135"/>
    </row>
    <row r="222" spans="1:5" ht="15.75" customHeight="1" x14ac:dyDescent="0.2">
      <c r="A222" s="123"/>
      <c r="B222" s="135"/>
      <c r="C222" s="135"/>
      <c r="D222" s="135"/>
      <c r="E222" s="135"/>
    </row>
    <row r="223" spans="1:5" ht="15.75" customHeight="1" x14ac:dyDescent="0.2">
      <c r="A223" s="123"/>
      <c r="B223" s="135"/>
      <c r="C223" s="135"/>
      <c r="D223" s="135"/>
      <c r="E223" s="135"/>
    </row>
    <row r="224" spans="1:5" ht="15.75" customHeight="1" x14ac:dyDescent="0.2">
      <c r="A224" s="123"/>
      <c r="B224" s="135"/>
      <c r="C224" s="135"/>
      <c r="D224" s="135"/>
      <c r="E224" s="135"/>
    </row>
    <row r="225" spans="1:5" ht="15.75" customHeight="1" x14ac:dyDescent="0.2">
      <c r="A225" s="123"/>
      <c r="B225" s="135"/>
      <c r="C225" s="135"/>
      <c r="D225" s="135"/>
      <c r="E225" s="135"/>
    </row>
    <row r="226" spans="1:5" ht="15.75" customHeight="1" x14ac:dyDescent="0.2">
      <c r="A226" s="123"/>
      <c r="B226" s="135"/>
      <c r="C226" s="135"/>
      <c r="D226" s="135"/>
      <c r="E226" s="135"/>
    </row>
    <row r="227" spans="1:5" ht="15.75" customHeight="1" x14ac:dyDescent="0.2">
      <c r="A227" s="123"/>
      <c r="B227" s="135"/>
      <c r="C227" s="135"/>
      <c r="D227" s="135"/>
      <c r="E227" s="135"/>
    </row>
    <row r="228" spans="1:5" ht="15.75" customHeight="1" x14ac:dyDescent="0.2">
      <c r="A228" s="123"/>
      <c r="B228" s="135"/>
      <c r="C228" s="135"/>
      <c r="D228" s="135"/>
      <c r="E228" s="135"/>
    </row>
    <row r="229" spans="1:5" ht="15.75" customHeight="1" x14ac:dyDescent="0.2">
      <c r="A229" s="123"/>
      <c r="B229" s="135"/>
      <c r="C229" s="135"/>
      <c r="D229" s="135"/>
      <c r="E229" s="135"/>
    </row>
    <row r="230" spans="1:5" ht="15.75" customHeight="1" x14ac:dyDescent="0.2">
      <c r="A230" s="123"/>
      <c r="B230" s="135"/>
      <c r="C230" s="135"/>
      <c r="D230" s="135"/>
      <c r="E230" s="135"/>
    </row>
    <row r="231" spans="1:5" ht="15.75" customHeight="1" x14ac:dyDescent="0.2">
      <c r="A231" s="123"/>
      <c r="B231" s="135"/>
      <c r="C231" s="135"/>
      <c r="D231" s="135"/>
      <c r="E231" s="135"/>
    </row>
    <row r="232" spans="1:5" ht="15.75" customHeight="1" x14ac:dyDescent="0.2">
      <c r="A232" s="123"/>
      <c r="B232" s="135"/>
      <c r="C232" s="135"/>
      <c r="D232" s="135"/>
      <c r="E232" s="135"/>
    </row>
    <row r="233" spans="1:5" ht="15.75" customHeight="1" x14ac:dyDescent="0.2">
      <c r="A233" s="123"/>
      <c r="B233" s="135"/>
      <c r="C233" s="135"/>
      <c r="D233" s="135"/>
      <c r="E233" s="135"/>
    </row>
    <row r="234" spans="1:5" ht="15.75" customHeight="1" x14ac:dyDescent="0.2">
      <c r="A234" s="123"/>
      <c r="B234" s="135"/>
      <c r="C234" s="135"/>
      <c r="D234" s="135"/>
      <c r="E234" s="135"/>
    </row>
    <row r="235" spans="1:5" ht="15.75" customHeight="1" x14ac:dyDescent="0.2">
      <c r="A235" s="123"/>
      <c r="B235" s="135"/>
      <c r="C235" s="135"/>
      <c r="D235" s="135"/>
      <c r="E235" s="135"/>
    </row>
    <row r="236" spans="1:5" ht="15.75" customHeight="1" x14ac:dyDescent="0.2">
      <c r="A236" s="123"/>
      <c r="B236" s="135"/>
      <c r="C236" s="135"/>
      <c r="D236" s="135"/>
      <c r="E236" s="135"/>
    </row>
    <row r="237" spans="1:5" ht="15.75" customHeight="1" x14ac:dyDescent="0.2">
      <c r="A237" s="123"/>
      <c r="B237" s="135"/>
      <c r="C237" s="135"/>
      <c r="D237" s="135"/>
      <c r="E237" s="135"/>
    </row>
    <row r="238" spans="1:5" ht="15.75" customHeight="1" x14ac:dyDescent="0.2">
      <c r="A238" s="123"/>
      <c r="B238" s="135"/>
      <c r="C238" s="135"/>
      <c r="D238" s="135"/>
      <c r="E238" s="135"/>
    </row>
    <row r="239" spans="1:5" ht="15.75" customHeight="1" x14ac:dyDescent="0.2">
      <c r="A239" s="123"/>
      <c r="B239" s="135"/>
      <c r="C239" s="135"/>
      <c r="D239" s="135"/>
      <c r="E239" s="135"/>
    </row>
    <row r="240" spans="1:5" ht="15.75" customHeight="1" x14ac:dyDescent="0.2">
      <c r="A240" s="123"/>
      <c r="B240" s="135"/>
      <c r="C240" s="135"/>
      <c r="D240" s="135"/>
      <c r="E240" s="135"/>
    </row>
    <row r="241" spans="1:5" ht="15.75" customHeight="1" x14ac:dyDescent="0.2">
      <c r="A241" s="123"/>
      <c r="B241" s="135"/>
      <c r="C241" s="135"/>
      <c r="D241" s="135"/>
      <c r="E241" s="135"/>
    </row>
    <row r="242" spans="1:5" ht="15.75" customHeight="1" x14ac:dyDescent="0.2">
      <c r="A242" s="123"/>
      <c r="B242" s="135"/>
      <c r="C242" s="135"/>
      <c r="D242" s="135"/>
      <c r="E242" s="135"/>
    </row>
    <row r="243" spans="1:5" ht="15.75" customHeight="1" x14ac:dyDescent="0.2">
      <c r="A243" s="123"/>
      <c r="B243" s="135"/>
      <c r="C243" s="135"/>
      <c r="D243" s="135"/>
      <c r="E243" s="135"/>
    </row>
    <row r="244" spans="1:5" ht="15.75" customHeight="1" x14ac:dyDescent="0.2">
      <c r="A244" s="123"/>
      <c r="B244" s="135"/>
      <c r="C244" s="135"/>
      <c r="D244" s="135"/>
      <c r="E244" s="135"/>
    </row>
    <row r="245" spans="1:5" ht="15.75" customHeight="1" x14ac:dyDescent="0.15"/>
    <row r="246" spans="1:5" ht="15.75" customHeight="1" x14ac:dyDescent="0.15"/>
    <row r="247" spans="1:5" ht="15.75" customHeight="1" x14ac:dyDescent="0.15"/>
    <row r="248" spans="1:5" ht="15.75" customHeight="1" x14ac:dyDescent="0.15"/>
    <row r="249" spans="1:5" ht="15.75" customHeight="1" x14ac:dyDescent="0.15"/>
    <row r="250" spans="1:5" ht="15.75" customHeight="1" x14ac:dyDescent="0.15"/>
    <row r="251" spans="1:5" ht="15.75" customHeight="1" x14ac:dyDescent="0.15"/>
    <row r="252" spans="1:5" ht="15.75" customHeight="1" x14ac:dyDescent="0.15"/>
    <row r="253" spans="1:5" ht="15.75" customHeight="1" x14ac:dyDescent="0.15"/>
    <row r="254" spans="1:5" ht="15.75" customHeight="1" x14ac:dyDescent="0.15"/>
    <row r="255" spans="1:5" ht="15.75" customHeight="1" x14ac:dyDescent="0.15"/>
    <row r="256" spans="1:5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X1000"/>
  <sheetViews>
    <sheetView workbookViewId="0"/>
  </sheetViews>
  <sheetFormatPr baseColWidth="10" defaultColWidth="12.6640625" defaultRowHeight="15" customHeight="1" x14ac:dyDescent="0.15"/>
  <cols>
    <col min="2" max="2" width="14.6640625" customWidth="1"/>
    <col min="3" max="3" width="16.83203125" customWidth="1"/>
    <col min="4" max="4" width="11.33203125" customWidth="1"/>
  </cols>
  <sheetData>
    <row r="1" spans="1:24" ht="15.75" customHeight="1" x14ac:dyDescent="0.15">
      <c r="B1" s="137" t="s">
        <v>354</v>
      </c>
      <c r="C1" s="137" t="s">
        <v>355</v>
      </c>
      <c r="D1" s="137" t="s">
        <v>356</v>
      </c>
    </row>
    <row r="2" spans="1:24" ht="15.75" customHeight="1" x14ac:dyDescent="0.15">
      <c r="A2" s="111" t="s">
        <v>357</v>
      </c>
      <c r="B2" s="109"/>
      <c r="C2" s="138"/>
      <c r="D2" s="138"/>
    </row>
    <row r="3" spans="1:24" ht="15.75" customHeight="1" x14ac:dyDescent="0.15">
      <c r="A3" s="111" t="s">
        <v>358</v>
      </c>
      <c r="B3" s="109"/>
      <c r="C3" s="138"/>
      <c r="D3" s="138"/>
    </row>
    <row r="4" spans="1:24" ht="15.75" customHeight="1" x14ac:dyDescent="0.15">
      <c r="A4" s="111" t="s">
        <v>359</v>
      </c>
      <c r="B4" s="109"/>
      <c r="C4" s="138"/>
      <c r="D4" s="138"/>
    </row>
    <row r="5" spans="1:24" ht="15.75" customHeight="1" x14ac:dyDescent="0.15">
      <c r="A5" s="108" t="s">
        <v>353</v>
      </c>
      <c r="B5" s="137"/>
      <c r="C5" s="139"/>
      <c r="D5" s="139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</row>
    <row r="6" spans="1:24" ht="15.75" customHeight="1" x14ac:dyDescent="0.15"/>
    <row r="7" spans="1:24" ht="15.75" customHeight="1" x14ac:dyDescent="0.15"/>
    <row r="8" spans="1:24" ht="15.75" customHeight="1" x14ac:dyDescent="0.15"/>
    <row r="9" spans="1:24" ht="15.75" customHeight="1" x14ac:dyDescent="0.15"/>
    <row r="10" spans="1:24" ht="15.75" customHeight="1" x14ac:dyDescent="0.15"/>
    <row r="11" spans="1:24" ht="15.75" customHeight="1" x14ac:dyDescent="0.15"/>
    <row r="12" spans="1:24" ht="15.75" customHeight="1" x14ac:dyDescent="0.15"/>
    <row r="13" spans="1:24" ht="15.75" customHeight="1" x14ac:dyDescent="0.15"/>
    <row r="14" spans="1:24" ht="15.75" customHeight="1" x14ac:dyDescent="0.15"/>
    <row r="15" spans="1:24" ht="15.75" customHeight="1" x14ac:dyDescent="0.15"/>
    <row r="16" spans="1:24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H43"/>
  <sheetViews>
    <sheetView workbookViewId="0"/>
  </sheetViews>
  <sheetFormatPr baseColWidth="10" defaultColWidth="12.6640625" defaultRowHeight="15" customHeight="1" x14ac:dyDescent="0.15"/>
  <cols>
    <col min="1" max="1" width="22.1640625" customWidth="1"/>
    <col min="2" max="2" width="12.6640625" customWidth="1"/>
    <col min="3" max="3" width="10.1640625" customWidth="1"/>
    <col min="4" max="4" width="14.6640625" customWidth="1"/>
    <col min="5" max="5" width="5.5" customWidth="1"/>
    <col min="6" max="6" width="8.6640625" customWidth="1"/>
    <col min="7" max="7" width="10" customWidth="1"/>
    <col min="8" max="8" width="6.33203125" customWidth="1"/>
  </cols>
  <sheetData>
    <row r="1" spans="1:8" ht="15" customHeight="1" x14ac:dyDescent="0.15">
      <c r="A1" s="140" t="s">
        <v>1</v>
      </c>
      <c r="B1" s="140" t="s">
        <v>2</v>
      </c>
      <c r="C1" s="140" t="s">
        <v>3</v>
      </c>
      <c r="D1" s="140" t="s">
        <v>4</v>
      </c>
      <c r="E1" s="140" t="s">
        <v>5</v>
      </c>
      <c r="F1" s="140" t="s">
        <v>6</v>
      </c>
      <c r="G1" s="140" t="s">
        <v>7</v>
      </c>
      <c r="H1" s="140" t="s">
        <v>8</v>
      </c>
    </row>
    <row r="2" spans="1:8" ht="15" customHeight="1" x14ac:dyDescent="0.15">
      <c r="A2" s="141" t="s">
        <v>149</v>
      </c>
      <c r="B2" s="141" t="s">
        <v>150</v>
      </c>
      <c r="C2" s="141" t="s">
        <v>55</v>
      </c>
      <c r="D2" s="141" t="s">
        <v>151</v>
      </c>
      <c r="E2" s="141" t="s">
        <v>152</v>
      </c>
      <c r="F2" s="141">
        <v>17.936900000000001</v>
      </c>
      <c r="G2" s="141">
        <v>-66.873800000000003</v>
      </c>
      <c r="H2" s="141">
        <v>5</v>
      </c>
    </row>
    <row r="3" spans="1:8" ht="15" customHeight="1" x14ac:dyDescent="0.15">
      <c r="A3" s="141" t="s">
        <v>154</v>
      </c>
      <c r="B3" s="141" t="s">
        <v>155</v>
      </c>
      <c r="C3" s="141" t="s">
        <v>62</v>
      </c>
      <c r="D3" s="141" t="s">
        <v>156</v>
      </c>
      <c r="E3" s="141" t="s">
        <v>157</v>
      </c>
      <c r="F3" s="141">
        <v>18.382000000000001</v>
      </c>
      <c r="G3" s="141">
        <v>-67.488299999999995</v>
      </c>
      <c r="H3" s="141">
        <v>15</v>
      </c>
    </row>
    <row r="4" spans="1:8" ht="15" customHeight="1" x14ac:dyDescent="0.15">
      <c r="A4" s="141" t="s">
        <v>159</v>
      </c>
      <c r="B4" s="141" t="s">
        <v>155</v>
      </c>
      <c r="C4" s="141" t="s">
        <v>66</v>
      </c>
      <c r="D4" s="141" t="s">
        <v>156</v>
      </c>
      <c r="E4" s="141" t="s">
        <v>157</v>
      </c>
      <c r="F4" s="141">
        <v>18.38158</v>
      </c>
      <c r="G4" s="141">
        <v>-67.488600000000005</v>
      </c>
      <c r="H4" s="141">
        <v>20</v>
      </c>
    </row>
    <row r="5" spans="1:8" ht="15" customHeight="1" x14ac:dyDescent="0.15">
      <c r="A5" s="141" t="s">
        <v>160</v>
      </c>
      <c r="B5" s="141" t="s">
        <v>161</v>
      </c>
      <c r="C5" s="141" t="s">
        <v>68</v>
      </c>
      <c r="D5" s="141" t="s">
        <v>151</v>
      </c>
      <c r="E5" s="141" t="s">
        <v>152</v>
      </c>
      <c r="F5" s="141">
        <v>17.888269999999999</v>
      </c>
      <c r="G5" s="141">
        <v>-66.997799999999998</v>
      </c>
      <c r="H5" s="141">
        <v>20</v>
      </c>
    </row>
    <row r="6" spans="1:8" ht="15" customHeight="1" x14ac:dyDescent="0.15">
      <c r="A6" s="141" t="s">
        <v>163</v>
      </c>
      <c r="B6" s="141" t="s">
        <v>164</v>
      </c>
      <c r="C6" s="141" t="s">
        <v>69</v>
      </c>
      <c r="D6" s="141" t="s">
        <v>165</v>
      </c>
      <c r="E6" s="141" t="s">
        <v>166</v>
      </c>
      <c r="F6" s="141">
        <v>18.385439999999999</v>
      </c>
      <c r="G6" s="141">
        <v>-65.6297</v>
      </c>
      <c r="H6" s="141">
        <v>5</v>
      </c>
    </row>
    <row r="7" spans="1:8" ht="15" customHeight="1" x14ac:dyDescent="0.15">
      <c r="A7" s="141" t="s">
        <v>168</v>
      </c>
      <c r="B7" s="141" t="s">
        <v>169</v>
      </c>
      <c r="C7" s="141" t="s">
        <v>73</v>
      </c>
      <c r="D7" s="141" t="s">
        <v>170</v>
      </c>
      <c r="E7" s="141" t="s">
        <v>166</v>
      </c>
      <c r="F7" s="141">
        <v>18.089639999999999</v>
      </c>
      <c r="G7" s="141">
        <v>-65.590100000000007</v>
      </c>
      <c r="H7" s="141">
        <v>15</v>
      </c>
    </row>
    <row r="8" spans="1:8" ht="15" customHeight="1" x14ac:dyDescent="0.15">
      <c r="A8" s="141" t="s">
        <v>173</v>
      </c>
      <c r="B8" s="141" t="s">
        <v>155</v>
      </c>
      <c r="C8" s="141" t="s">
        <v>75</v>
      </c>
      <c r="D8" s="141" t="s">
        <v>156</v>
      </c>
      <c r="E8" s="141" t="s">
        <v>157</v>
      </c>
      <c r="F8" s="141">
        <v>18.377469999999999</v>
      </c>
      <c r="G8" s="141">
        <v>-67.483999999999995</v>
      </c>
      <c r="H8" s="141">
        <v>30</v>
      </c>
    </row>
    <row r="9" spans="1:8" ht="15" customHeight="1" x14ac:dyDescent="0.15">
      <c r="A9" s="141" t="s">
        <v>174</v>
      </c>
      <c r="B9" s="141" t="s">
        <v>175</v>
      </c>
      <c r="C9" s="141" t="s">
        <v>80</v>
      </c>
      <c r="D9" s="141" t="s">
        <v>176</v>
      </c>
      <c r="E9" s="141" t="s">
        <v>177</v>
      </c>
      <c r="F9" s="141">
        <v>17.915330000000001</v>
      </c>
      <c r="G9" s="141">
        <v>-66.214100000000002</v>
      </c>
      <c r="H9" s="141">
        <v>10</v>
      </c>
    </row>
    <row r="10" spans="1:8" ht="15" customHeight="1" x14ac:dyDescent="0.15">
      <c r="A10" s="141" t="s">
        <v>179</v>
      </c>
      <c r="B10" s="141" t="s">
        <v>180</v>
      </c>
      <c r="C10" s="141" t="s">
        <v>83</v>
      </c>
      <c r="D10" s="141" t="s">
        <v>181</v>
      </c>
      <c r="E10" s="141" t="s">
        <v>177</v>
      </c>
      <c r="F10" s="141">
        <v>17.895019999999999</v>
      </c>
      <c r="G10" s="141">
        <v>-66.528400000000005</v>
      </c>
      <c r="H10" s="141">
        <v>10</v>
      </c>
    </row>
    <row r="11" spans="1:8" ht="15" customHeight="1" x14ac:dyDescent="0.15">
      <c r="A11" s="141" t="s">
        <v>182</v>
      </c>
      <c r="B11" s="141" t="s">
        <v>183</v>
      </c>
      <c r="C11" s="141" t="s">
        <v>85</v>
      </c>
      <c r="D11" s="141" t="s">
        <v>165</v>
      </c>
      <c r="E11" s="141" t="s">
        <v>184</v>
      </c>
      <c r="F11" s="141">
        <v>18.489550000000001</v>
      </c>
      <c r="G11" s="141">
        <v>-66.373599999999996</v>
      </c>
      <c r="H11" s="141">
        <v>10</v>
      </c>
    </row>
    <row r="12" spans="1:8" ht="15" customHeight="1" x14ac:dyDescent="0.15">
      <c r="A12" s="141" t="s">
        <v>186</v>
      </c>
      <c r="B12" s="141" t="s">
        <v>150</v>
      </c>
      <c r="C12" s="141" t="s">
        <v>90</v>
      </c>
      <c r="D12" s="141" t="s">
        <v>151</v>
      </c>
      <c r="E12" s="141" t="s">
        <v>152</v>
      </c>
      <c r="F12" s="141">
        <v>17.936199999999999</v>
      </c>
      <c r="G12" s="141">
        <v>-66.888400000000004</v>
      </c>
      <c r="H12" s="141">
        <v>10</v>
      </c>
    </row>
    <row r="13" spans="1:8" ht="15" customHeight="1" x14ac:dyDescent="0.15">
      <c r="A13" s="141" t="s">
        <v>187</v>
      </c>
      <c r="B13" s="141" t="s">
        <v>188</v>
      </c>
      <c r="C13" s="141" t="s">
        <v>92</v>
      </c>
      <c r="D13" s="141" t="s">
        <v>170</v>
      </c>
      <c r="E13" s="141" t="s">
        <v>166</v>
      </c>
      <c r="F13" s="141">
        <v>18.32779</v>
      </c>
      <c r="G13" s="141">
        <v>-65.331999999999994</v>
      </c>
      <c r="H13" s="141">
        <v>10</v>
      </c>
    </row>
    <row r="14" spans="1:8" ht="15" customHeight="1" x14ac:dyDescent="0.15">
      <c r="A14" s="141" t="s">
        <v>190</v>
      </c>
      <c r="B14" s="141" t="s">
        <v>188</v>
      </c>
      <c r="C14" s="141" t="s">
        <v>93</v>
      </c>
      <c r="D14" s="141" t="s">
        <v>170</v>
      </c>
      <c r="E14" s="141" t="s">
        <v>166</v>
      </c>
      <c r="F14" s="141">
        <v>18.275870000000001</v>
      </c>
      <c r="G14" s="141">
        <v>-65.277299999999997</v>
      </c>
      <c r="H14" s="141">
        <v>20</v>
      </c>
    </row>
    <row r="15" spans="1:8" ht="15" customHeight="1" x14ac:dyDescent="0.15">
      <c r="A15" s="141" t="s">
        <v>191</v>
      </c>
      <c r="B15" s="141" t="s">
        <v>180</v>
      </c>
      <c r="C15" s="141" t="s">
        <v>96</v>
      </c>
      <c r="D15" s="141" t="s">
        <v>181</v>
      </c>
      <c r="E15" s="141" t="s">
        <v>177</v>
      </c>
      <c r="F15" s="141">
        <v>17.904</v>
      </c>
      <c r="G15" s="141">
        <v>-66.608599999999996</v>
      </c>
      <c r="H15" s="141">
        <v>20</v>
      </c>
    </row>
    <row r="16" spans="1:8" ht="15" customHeight="1" x14ac:dyDescent="0.15">
      <c r="A16" s="141" t="s">
        <v>192</v>
      </c>
      <c r="B16" s="141" t="s">
        <v>164</v>
      </c>
      <c r="C16" s="141" t="s">
        <v>97</v>
      </c>
      <c r="D16" s="141" t="s">
        <v>165</v>
      </c>
      <c r="E16" s="141" t="s">
        <v>166</v>
      </c>
      <c r="F16" s="141">
        <v>18.360330000000001</v>
      </c>
      <c r="G16" s="141">
        <v>-65.530900000000003</v>
      </c>
      <c r="H16" s="141">
        <v>5</v>
      </c>
    </row>
    <row r="17" spans="1:8" ht="15" customHeight="1" x14ac:dyDescent="0.15">
      <c r="A17" s="141" t="s">
        <v>193</v>
      </c>
      <c r="B17" s="141" t="s">
        <v>194</v>
      </c>
      <c r="C17" s="141" t="s">
        <v>99</v>
      </c>
      <c r="D17" s="141" t="s">
        <v>165</v>
      </c>
      <c r="E17" s="141" t="s">
        <v>184</v>
      </c>
      <c r="F17" s="141">
        <v>18.462219999999999</v>
      </c>
      <c r="G17" s="141">
        <v>-66.051699999999997</v>
      </c>
      <c r="H17" s="141">
        <v>5</v>
      </c>
    </row>
    <row r="18" spans="1:8" ht="15" customHeight="1" x14ac:dyDescent="0.15">
      <c r="A18" s="141" t="s">
        <v>195</v>
      </c>
      <c r="B18" s="141" t="s">
        <v>169</v>
      </c>
      <c r="C18" s="141" t="s">
        <v>101</v>
      </c>
      <c r="D18" s="141" t="s">
        <v>170</v>
      </c>
      <c r="E18" s="141" t="s">
        <v>166</v>
      </c>
      <c r="F18" s="141">
        <v>18.080570000000002</v>
      </c>
      <c r="G18" s="141">
        <v>-65.487899999999996</v>
      </c>
      <c r="H18" s="141">
        <v>10</v>
      </c>
    </row>
    <row r="19" spans="1:8" ht="15" customHeight="1" x14ac:dyDescent="0.15">
      <c r="A19" s="141" t="s">
        <v>196</v>
      </c>
      <c r="B19" s="141" t="s">
        <v>161</v>
      </c>
      <c r="C19" s="141" t="s">
        <v>103</v>
      </c>
      <c r="D19" s="141" t="s">
        <v>151</v>
      </c>
      <c r="E19" s="141" t="s">
        <v>152</v>
      </c>
      <c r="F19" s="141">
        <v>17.897600000000001</v>
      </c>
      <c r="G19" s="141">
        <v>-66.959900000000005</v>
      </c>
      <c r="H19" s="141">
        <v>20</v>
      </c>
    </row>
    <row r="20" spans="1:8" ht="15" customHeight="1" x14ac:dyDescent="0.15">
      <c r="A20" s="141" t="s">
        <v>197</v>
      </c>
      <c r="B20" s="141" t="s">
        <v>198</v>
      </c>
      <c r="C20" s="141" t="s">
        <v>104</v>
      </c>
      <c r="D20" s="141" t="s">
        <v>199</v>
      </c>
      <c r="E20" s="141" t="s">
        <v>157</v>
      </c>
      <c r="F20" s="141">
        <v>18.0017</v>
      </c>
      <c r="G20" s="141">
        <v>-67.329899999999995</v>
      </c>
      <c r="H20" s="141">
        <v>5</v>
      </c>
    </row>
    <row r="21" spans="1:8" ht="15" customHeight="1" x14ac:dyDescent="0.15">
      <c r="A21" s="141" t="s">
        <v>201</v>
      </c>
      <c r="B21" s="141" t="s">
        <v>202</v>
      </c>
      <c r="C21" s="141" t="s">
        <v>107</v>
      </c>
      <c r="D21" s="141" t="s">
        <v>199</v>
      </c>
      <c r="E21" s="141" t="s">
        <v>157</v>
      </c>
      <c r="F21" s="141">
        <v>18.17202</v>
      </c>
      <c r="G21" s="141">
        <v>-67.253</v>
      </c>
      <c r="H21" s="141">
        <v>20</v>
      </c>
    </row>
    <row r="22" spans="1:8" ht="15" customHeight="1" x14ac:dyDescent="0.15">
      <c r="A22" s="141" t="s">
        <v>204</v>
      </c>
      <c r="B22" s="141" t="s">
        <v>188</v>
      </c>
      <c r="C22" s="141" t="s">
        <v>111</v>
      </c>
      <c r="D22" s="141" t="s">
        <v>170</v>
      </c>
      <c r="E22" s="141" t="s">
        <v>166</v>
      </c>
      <c r="F22" s="141">
        <v>18.304929999999999</v>
      </c>
      <c r="G22" s="141">
        <v>-65.327699999999993</v>
      </c>
      <c r="H22" s="141">
        <v>5</v>
      </c>
    </row>
    <row r="23" spans="1:8" ht="15" customHeight="1" x14ac:dyDescent="0.15">
      <c r="A23" s="141" t="s">
        <v>205</v>
      </c>
      <c r="B23" s="141" t="s">
        <v>202</v>
      </c>
      <c r="C23" s="141" t="s">
        <v>113</v>
      </c>
      <c r="D23" s="141" t="s">
        <v>199</v>
      </c>
      <c r="E23" s="141" t="s">
        <v>157</v>
      </c>
      <c r="F23" s="141">
        <v>18.233529999999998</v>
      </c>
      <c r="G23" s="141">
        <v>-67.200599999999994</v>
      </c>
      <c r="H23" s="141">
        <v>10</v>
      </c>
    </row>
    <row r="24" spans="1:8" ht="15" customHeight="1" x14ac:dyDescent="0.15">
      <c r="A24" s="141" t="s">
        <v>206</v>
      </c>
      <c r="B24" s="141" t="s">
        <v>202</v>
      </c>
      <c r="C24" s="141" t="s">
        <v>114</v>
      </c>
      <c r="D24" s="141" t="s">
        <v>199</v>
      </c>
      <c r="E24" s="141" t="s">
        <v>157</v>
      </c>
      <c r="F24" s="141">
        <v>18.233499999999999</v>
      </c>
      <c r="G24" s="141">
        <v>-67.200900000000004</v>
      </c>
      <c r="H24" s="141">
        <v>20</v>
      </c>
    </row>
    <row r="25" spans="1:8" ht="15" customHeight="1" x14ac:dyDescent="0.15">
      <c r="A25" s="141" t="s">
        <v>208</v>
      </c>
      <c r="B25" s="141" t="s">
        <v>209</v>
      </c>
      <c r="C25" s="141" t="s">
        <v>116</v>
      </c>
      <c r="D25" s="141" t="s">
        <v>181</v>
      </c>
      <c r="E25" s="141" t="s">
        <v>177</v>
      </c>
      <c r="F25" s="141">
        <v>17.964880000000001</v>
      </c>
      <c r="G25" s="141">
        <v>-66.756500000000003</v>
      </c>
      <c r="H25" s="141">
        <v>5</v>
      </c>
    </row>
    <row r="26" spans="1:8" ht="15" customHeight="1" x14ac:dyDescent="0.15">
      <c r="A26" s="141" t="s">
        <v>210</v>
      </c>
      <c r="B26" s="141" t="s">
        <v>209</v>
      </c>
      <c r="C26" s="141" t="s">
        <v>119</v>
      </c>
      <c r="D26" s="141" t="s">
        <v>181</v>
      </c>
      <c r="E26" s="141" t="s">
        <v>177</v>
      </c>
      <c r="F26" s="141">
        <v>17.960930000000001</v>
      </c>
      <c r="G26" s="141">
        <v>-66.752899999999997</v>
      </c>
      <c r="H26" s="141">
        <v>10</v>
      </c>
    </row>
    <row r="27" spans="1:8" ht="15" customHeight="1" x14ac:dyDescent="0.15">
      <c r="A27" s="141" t="s">
        <v>211</v>
      </c>
      <c r="B27" s="141" t="s">
        <v>209</v>
      </c>
      <c r="C27" s="141" t="s">
        <v>121</v>
      </c>
      <c r="D27" s="141" t="s">
        <v>181</v>
      </c>
      <c r="E27" s="141" t="s">
        <v>177</v>
      </c>
      <c r="F27" s="141">
        <v>17.959530000000001</v>
      </c>
      <c r="G27" s="141">
        <v>-66.747</v>
      </c>
      <c r="H27" s="141">
        <v>20</v>
      </c>
    </row>
    <row r="28" spans="1:8" ht="15" customHeight="1" x14ac:dyDescent="0.15">
      <c r="A28" s="141" t="s">
        <v>212</v>
      </c>
      <c r="B28" s="141" t="s">
        <v>161</v>
      </c>
      <c r="C28" s="141" t="s">
        <v>122</v>
      </c>
      <c r="D28" s="141" t="s">
        <v>151</v>
      </c>
      <c r="E28" s="141" t="s">
        <v>152</v>
      </c>
      <c r="F28" s="141">
        <v>17.93937</v>
      </c>
      <c r="G28" s="141">
        <v>-67.050700000000006</v>
      </c>
      <c r="H28" s="141">
        <v>5</v>
      </c>
    </row>
    <row r="29" spans="1:8" ht="15" customHeight="1" x14ac:dyDescent="0.15">
      <c r="A29" s="141" t="s">
        <v>213</v>
      </c>
      <c r="B29" s="141" t="s">
        <v>161</v>
      </c>
      <c r="C29" s="141" t="s">
        <v>123</v>
      </c>
      <c r="D29" s="141" t="s">
        <v>151</v>
      </c>
      <c r="E29" s="141" t="s">
        <v>152</v>
      </c>
      <c r="F29" s="141">
        <v>17.934719999999999</v>
      </c>
      <c r="G29" s="141">
        <v>-67.048500000000004</v>
      </c>
      <c r="H29" s="141">
        <v>10</v>
      </c>
    </row>
    <row r="30" spans="1:8" ht="15" customHeight="1" x14ac:dyDescent="0.15">
      <c r="A30" s="141" t="s">
        <v>214</v>
      </c>
      <c r="B30" s="141" t="s">
        <v>198</v>
      </c>
      <c r="C30" s="141" t="s">
        <v>126</v>
      </c>
      <c r="D30" s="141" t="s">
        <v>199</v>
      </c>
      <c r="E30" s="141" t="s">
        <v>157</v>
      </c>
      <c r="F30" s="141">
        <v>18.14658</v>
      </c>
      <c r="G30" s="141">
        <v>-67.247600000000006</v>
      </c>
      <c r="H30" s="141">
        <v>5</v>
      </c>
    </row>
    <row r="31" spans="1:8" ht="15" customHeight="1" x14ac:dyDescent="0.15">
      <c r="A31" s="141" t="s">
        <v>215</v>
      </c>
      <c r="B31" s="141" t="s">
        <v>198</v>
      </c>
      <c r="C31" s="141" t="s">
        <v>127</v>
      </c>
      <c r="D31" s="141" t="s">
        <v>199</v>
      </c>
      <c r="E31" s="141" t="s">
        <v>157</v>
      </c>
      <c r="F31" s="141">
        <v>18.146529999999998</v>
      </c>
      <c r="G31" s="141">
        <v>-67.248000000000005</v>
      </c>
      <c r="H31" s="141">
        <v>10</v>
      </c>
    </row>
    <row r="32" spans="1:8" ht="15" customHeight="1" x14ac:dyDescent="0.15">
      <c r="A32" s="141" t="s">
        <v>216</v>
      </c>
      <c r="B32" s="141" t="s">
        <v>164</v>
      </c>
      <c r="C32" s="141" t="s">
        <v>128</v>
      </c>
      <c r="D32" s="141" t="s">
        <v>165</v>
      </c>
      <c r="E32" s="141" t="s">
        <v>166</v>
      </c>
      <c r="F32" s="141">
        <v>18.354659999999999</v>
      </c>
      <c r="G32" s="141">
        <v>-65.567099999999996</v>
      </c>
      <c r="H32" s="141">
        <v>20</v>
      </c>
    </row>
    <row r="33" spans="1:8" ht="15" customHeight="1" x14ac:dyDescent="0.15">
      <c r="A33" s="141" t="s">
        <v>217</v>
      </c>
      <c r="B33" s="141" t="s">
        <v>164</v>
      </c>
      <c r="C33" s="141" t="s">
        <v>130</v>
      </c>
      <c r="D33" s="141" t="s">
        <v>165</v>
      </c>
      <c r="E33" s="141" t="s">
        <v>166</v>
      </c>
      <c r="F33" s="141">
        <v>18.335370000000001</v>
      </c>
      <c r="G33" s="141">
        <v>-65.565600000000003</v>
      </c>
      <c r="H33" s="141">
        <v>10</v>
      </c>
    </row>
    <row r="34" spans="1:8" ht="15" customHeight="1" x14ac:dyDescent="0.15">
      <c r="A34" s="141" t="s">
        <v>218</v>
      </c>
      <c r="B34" s="141" t="s">
        <v>175</v>
      </c>
      <c r="C34" s="141" t="s">
        <v>132</v>
      </c>
      <c r="D34" s="141" t="s">
        <v>176</v>
      </c>
      <c r="E34" s="141" t="s">
        <v>177</v>
      </c>
      <c r="F34" s="141">
        <v>17.9346</v>
      </c>
      <c r="G34" s="141">
        <v>-66.302499999999995</v>
      </c>
      <c r="H34" s="141">
        <v>5</v>
      </c>
    </row>
    <row r="35" spans="1:8" ht="15" customHeight="1" x14ac:dyDescent="0.15">
      <c r="A35" s="141" t="s">
        <v>219</v>
      </c>
      <c r="B35" s="141" t="s">
        <v>198</v>
      </c>
      <c r="C35" s="141" t="s">
        <v>133</v>
      </c>
      <c r="D35" s="141" t="s">
        <v>199</v>
      </c>
      <c r="E35" s="141" t="s">
        <v>157</v>
      </c>
      <c r="F35" s="141">
        <v>17.991160000000001</v>
      </c>
      <c r="G35" s="141">
        <v>-67.233199999999997</v>
      </c>
      <c r="H35" s="141">
        <v>10</v>
      </c>
    </row>
    <row r="36" spans="1:8" ht="15" customHeight="1" x14ac:dyDescent="0.15">
      <c r="A36" s="141" t="s">
        <v>220</v>
      </c>
      <c r="B36" s="141" t="s">
        <v>202</v>
      </c>
      <c r="C36" s="141" t="s">
        <v>135</v>
      </c>
      <c r="D36" s="141" t="s">
        <v>199</v>
      </c>
      <c r="E36" s="141" t="s">
        <v>157</v>
      </c>
      <c r="F36" s="141">
        <v>18.189299999999999</v>
      </c>
      <c r="G36" s="141">
        <v>-67.191900000000004</v>
      </c>
      <c r="H36" s="141">
        <v>5</v>
      </c>
    </row>
    <row r="37" spans="1:8" ht="15" customHeight="1" x14ac:dyDescent="0.15">
      <c r="A37" s="141" t="s">
        <v>221</v>
      </c>
      <c r="B37" s="141" t="s">
        <v>169</v>
      </c>
      <c r="C37" s="141" t="s">
        <v>136</v>
      </c>
      <c r="D37" s="141" t="s">
        <v>170</v>
      </c>
      <c r="E37" s="141" t="s">
        <v>166</v>
      </c>
      <c r="F37" s="141">
        <v>18.13869</v>
      </c>
      <c r="G37" s="141">
        <v>-65.197100000000006</v>
      </c>
      <c r="H37" s="141">
        <v>30</v>
      </c>
    </row>
    <row r="38" spans="1:8" ht="15" customHeight="1" x14ac:dyDescent="0.15">
      <c r="A38" s="141" t="s">
        <v>222</v>
      </c>
      <c r="B38" s="141" t="s">
        <v>198</v>
      </c>
      <c r="C38" s="141" t="s">
        <v>138</v>
      </c>
      <c r="D38" s="141" t="s">
        <v>199</v>
      </c>
      <c r="E38" s="141" t="s">
        <v>157</v>
      </c>
      <c r="F38" s="141">
        <v>18.163039999999999</v>
      </c>
      <c r="G38" s="141">
        <v>-67.273700000000005</v>
      </c>
      <c r="H38" s="141">
        <v>10</v>
      </c>
    </row>
    <row r="39" spans="1:8" ht="15" customHeight="1" x14ac:dyDescent="0.15">
      <c r="A39" s="141" t="s">
        <v>224</v>
      </c>
      <c r="B39" s="141" t="s">
        <v>198</v>
      </c>
      <c r="C39" s="141" t="s">
        <v>140</v>
      </c>
      <c r="D39" s="141" t="s">
        <v>199</v>
      </c>
      <c r="E39" s="141" t="s">
        <v>157</v>
      </c>
      <c r="F39" s="141">
        <v>18.16517</v>
      </c>
      <c r="G39" s="141">
        <v>-67.275199999999998</v>
      </c>
      <c r="H39" s="141">
        <v>20</v>
      </c>
    </row>
    <row r="40" spans="1:8" ht="15" customHeight="1" x14ac:dyDescent="0.15">
      <c r="A40" s="141" t="s">
        <v>225</v>
      </c>
      <c r="B40" s="141" t="s">
        <v>198</v>
      </c>
      <c r="C40" s="141" t="s">
        <v>141</v>
      </c>
      <c r="D40" s="141" t="s">
        <v>199</v>
      </c>
      <c r="E40" s="141" t="s">
        <v>157</v>
      </c>
      <c r="F40" s="141">
        <v>18.166370000000001</v>
      </c>
      <c r="G40" s="141">
        <v>-67.276300000000006</v>
      </c>
      <c r="H40" s="141">
        <v>30</v>
      </c>
    </row>
    <row r="41" spans="1:8" ht="15" customHeight="1" x14ac:dyDescent="0.15">
      <c r="A41" s="141" t="s">
        <v>226</v>
      </c>
      <c r="B41" s="141" t="s">
        <v>227</v>
      </c>
      <c r="C41" s="141" t="s">
        <v>143</v>
      </c>
      <c r="D41" s="141" t="s">
        <v>199</v>
      </c>
      <c r="E41" s="141" t="s">
        <v>157</v>
      </c>
      <c r="F41" s="141">
        <v>18.350719999999999</v>
      </c>
      <c r="G41" s="141">
        <v>-67.266900000000007</v>
      </c>
      <c r="H41" s="141">
        <v>5</v>
      </c>
    </row>
    <row r="42" spans="1:8" ht="15" customHeight="1" x14ac:dyDescent="0.15">
      <c r="A42" s="141" t="s">
        <v>228</v>
      </c>
      <c r="B42" s="141" t="s">
        <v>227</v>
      </c>
      <c r="C42" s="141" t="s">
        <v>144</v>
      </c>
      <c r="D42" s="141" t="s">
        <v>199</v>
      </c>
      <c r="E42" s="141" t="s">
        <v>157</v>
      </c>
      <c r="F42" s="141">
        <v>18.34732</v>
      </c>
      <c r="G42" s="141">
        <v>-67.27</v>
      </c>
      <c r="H42" s="141">
        <v>10</v>
      </c>
    </row>
    <row r="43" spans="1:8" ht="15" customHeight="1" x14ac:dyDescent="0.15">
      <c r="A43" s="141" t="s">
        <v>229</v>
      </c>
      <c r="B43" s="141" t="s">
        <v>227</v>
      </c>
      <c r="C43" s="141" t="s">
        <v>146</v>
      </c>
      <c r="D43" s="141" t="s">
        <v>199</v>
      </c>
      <c r="E43" s="141" t="s">
        <v>157</v>
      </c>
      <c r="F43" s="141">
        <v>18.346520000000002</v>
      </c>
      <c r="G43" s="141">
        <v>-67.271199999999993</v>
      </c>
      <c r="H43" s="141">
        <v>20</v>
      </c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Raw Data</vt:lpstr>
      <vt:lpstr>data_tac</vt:lpstr>
      <vt:lpstr>Adjusted_Raw Data</vt:lpstr>
      <vt:lpstr>Data_Stats</vt:lpstr>
      <vt:lpstr>Table 1</vt:lpstr>
      <vt:lpstr>Table 2_Sampling_Stats</vt:lpstr>
      <vt:lpstr>Table 3_HydroLab QAQC</vt:lpstr>
      <vt:lpstr>Table 4</vt:lpstr>
      <vt:lpstr>PRCRMP_dates_vs_CCRI</vt:lpstr>
      <vt:lpstr>PRCRMP_dates_CCRI_stats</vt:lpstr>
      <vt:lpstr>Site_Meta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Travis A Courtney</cp:lastModifiedBy>
  <dcterms:created xsi:type="dcterms:W3CDTF">2023-08-23T21:20:35Z</dcterms:created>
  <dcterms:modified xsi:type="dcterms:W3CDTF">2023-11-27T21:17:23Z</dcterms:modified>
</cp:coreProperties>
</file>