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2/"/>
    </mc:Choice>
  </mc:AlternateContent>
  <xr:revisionPtr revIDLastSave="39" documentId="11_4A44F7FD1F1AAE2435CF12D93807FD3C654C8955" xr6:coauthVersionLast="47" xr6:coauthVersionMax="47" xr10:uidLastSave="{329E82BA-BAE0-488C-893A-897320C500BA}"/>
  <bookViews>
    <workbookView xWindow="-120" yWindow="-120" windowWidth="29040" windowHeight="15720" activeTab="4" xr2:uid="{00000000-000D-0000-FFFF-FFFF00000000}"/>
  </bookViews>
  <sheets>
    <sheet name="TSS" sheetId="1" r:id="rId1"/>
    <sheet name="Ent" sheetId="2" r:id="rId2"/>
    <sheet name="SS" sheetId="3" r:id="rId3"/>
    <sheet name="BOD" sheetId="4" r:id="rId4"/>
    <sheet name="Chlor.a" sheetId="5" r:id="rId5"/>
    <sheet name="Turbidity" sheetId="6" r:id="rId6"/>
    <sheet name="DIC" sheetId="7" r:id="rId7"/>
    <sheet name="All DIC raw data" sheetId="8" r:id="rId8"/>
    <sheet name="TA" sheetId="9" r:id="rId9"/>
    <sheet name="All TA raw data" sheetId="10" r:id="rId10"/>
    <sheet name="NOx_PO4" sheetId="11" r:id="rId11"/>
    <sheet name="TK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t1j5CjylIx1w+R9JFDccNAmWdUxJ1Rm4Vtf85SSz2pg="/>
    </ext>
  </extLst>
</workbook>
</file>

<file path=xl/calcChain.xml><?xml version="1.0" encoding="utf-8"?>
<calcChain xmlns="http://schemas.openxmlformats.org/spreadsheetml/2006/main">
  <c r="Q38" i="5" l="1"/>
  <c r="Q15" i="5"/>
  <c r="L60" i="4"/>
  <c r="D40" i="12"/>
  <c r="D38" i="12"/>
  <c r="D36" i="12"/>
  <c r="D35" i="12"/>
  <c r="D26" i="12"/>
  <c r="D7" i="12"/>
  <c r="D4" i="12"/>
  <c r="Q50" i="5"/>
  <c r="Q49" i="5"/>
  <c r="Q48" i="5"/>
  <c r="Q47" i="5"/>
  <c r="Q46" i="5"/>
  <c r="Q45" i="5"/>
  <c r="Q44" i="5"/>
  <c r="Q43" i="5"/>
  <c r="Q42" i="5"/>
  <c r="Q41" i="5"/>
  <c r="Q40" i="5"/>
  <c r="Q39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7" i="4"/>
  <c r="L96" i="4"/>
  <c r="L95" i="4"/>
  <c r="L94" i="4"/>
  <c r="L93" i="4"/>
  <c r="L92" i="4"/>
  <c r="L91" i="4"/>
  <c r="L90" i="4"/>
  <c r="L89" i="4"/>
  <c r="L88" i="4"/>
  <c r="L87" i="4"/>
  <c r="L86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59" i="4"/>
  <c r="L58" i="4"/>
  <c r="L57" i="4"/>
  <c r="L56" i="4"/>
  <c r="L55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4" i="4"/>
  <c r="L33" i="4"/>
  <c r="L32" i="4"/>
  <c r="L31" i="4"/>
  <c r="L30" i="4"/>
  <c r="L29" i="4"/>
  <c r="L28" i="4"/>
  <c r="L27" i="4"/>
  <c r="L26" i="4"/>
  <c r="L25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The volume was changed to liters, it was in ml.
======</t>
        </r>
      </text>
    </comment>
  </commentList>
</comments>
</file>

<file path=xl/sharedStrings.xml><?xml version="1.0" encoding="utf-8"?>
<sst xmlns="http://schemas.openxmlformats.org/spreadsheetml/2006/main" count="9459" uniqueCount="1187">
  <si>
    <t>Sample ID</t>
  </si>
  <si>
    <t>Cellulose weight (g)</t>
  </si>
  <si>
    <t>Date  collected</t>
  </si>
  <si>
    <t>Time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</si>
  <si>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</si>
  <si>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</si>
  <si>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</si>
  <si>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</si>
  <si>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</si>
  <si>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</si>
  <si>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</si>
  <si>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</si>
  <si>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Analyst</t>
  </si>
  <si>
    <t>Result (mg/L)</t>
  </si>
  <si>
    <t>QA Flag</t>
  </si>
  <si>
    <t>Note</t>
  </si>
  <si>
    <t xml:space="preserve">Cellulose </t>
  </si>
  <si>
    <t>N/A</t>
  </si>
  <si>
    <t>NA</t>
  </si>
  <si>
    <t>E0016165</t>
  </si>
  <si>
    <t>MR/JC</t>
  </si>
  <si>
    <t>A</t>
  </si>
  <si>
    <t>OK</t>
  </si>
  <si>
    <t>TSS_52</t>
  </si>
  <si>
    <t>E0016160</t>
  </si>
  <si>
    <t>MR</t>
  </si>
  <si>
    <t>TSS_53</t>
  </si>
  <si>
    <t>E0016172</t>
  </si>
  <si>
    <t>TSS_54</t>
  </si>
  <si>
    <t>E0016171</t>
  </si>
  <si>
    <t>TSS_55</t>
  </si>
  <si>
    <t>E0016162</t>
  </si>
  <si>
    <t>E0016166</t>
  </si>
  <si>
    <t>TSS_57</t>
  </si>
  <si>
    <t>E0016161</t>
  </si>
  <si>
    <t>TSS_61</t>
  </si>
  <si>
    <t>E0016164</t>
  </si>
  <si>
    <t>TSS_60</t>
  </si>
  <si>
    <t>E0016169</t>
  </si>
  <si>
    <t>E0016168</t>
  </si>
  <si>
    <t>TSS_56</t>
  </si>
  <si>
    <t>E0016163</t>
  </si>
  <si>
    <t>TSS_58</t>
  </si>
  <si>
    <t>E0016286</t>
  </si>
  <si>
    <t>TSS_64</t>
  </si>
  <si>
    <t>E0016181</t>
  </si>
  <si>
    <t>TSS_59</t>
  </si>
  <si>
    <t>E0016285</t>
  </si>
  <si>
    <t>TSS_275</t>
  </si>
  <si>
    <t>F0021231</t>
  </si>
  <si>
    <t>TSS_264</t>
  </si>
  <si>
    <t>F0021240</t>
  </si>
  <si>
    <t>TSS_242</t>
  </si>
  <si>
    <t>F0021131</t>
  </si>
  <si>
    <t>TSS_286</t>
  </si>
  <si>
    <t>F0021136</t>
  </si>
  <si>
    <t>TSS_253</t>
  </si>
  <si>
    <t>F0021226</t>
  </si>
  <si>
    <t>TSS_297</t>
  </si>
  <si>
    <t>F0021221</t>
  </si>
  <si>
    <t>TSS_209</t>
  </si>
  <si>
    <t>F0021141</t>
  </si>
  <si>
    <t>TSS_220</t>
  </si>
  <si>
    <t>F0021137</t>
  </si>
  <si>
    <t>TSS_231</t>
  </si>
  <si>
    <t>Blank</t>
  </si>
  <si>
    <t>F0021403</t>
  </si>
  <si>
    <t>TSS_330</t>
  </si>
  <si>
    <t>F0021383</t>
  </si>
  <si>
    <t>TSS_308</t>
  </si>
  <si>
    <t>F0021328</t>
  </si>
  <si>
    <t>TSS_341</t>
  </si>
  <si>
    <t>F0021378</t>
  </si>
  <si>
    <t>F0021398</t>
  </si>
  <si>
    <t>F0021397</t>
  </si>
  <si>
    <t>TSS_396</t>
  </si>
  <si>
    <t>F0021327</t>
  </si>
  <si>
    <t>MR, LJCM</t>
  </si>
  <si>
    <t>TSS_319</t>
  </si>
  <si>
    <t>F0021377</t>
  </si>
  <si>
    <t>TSS_385</t>
  </si>
  <si>
    <t>F0021329</t>
  </si>
  <si>
    <t>TSS_363</t>
  </si>
  <si>
    <t>F0021324</t>
  </si>
  <si>
    <t>TSS_418</t>
  </si>
  <si>
    <t>F0021399</t>
  </si>
  <si>
    <t>TSS_407</t>
  </si>
  <si>
    <t>F0021376</t>
  </si>
  <si>
    <t>TSS_429</t>
  </si>
  <si>
    <t>F0021381</t>
  </si>
  <si>
    <t>TSS_440</t>
  </si>
  <si>
    <t>F0021390</t>
  </si>
  <si>
    <t>TSS_462</t>
  </si>
  <si>
    <t>H0015184</t>
  </si>
  <si>
    <t>TSS_352</t>
  </si>
  <si>
    <t>H0015172</t>
  </si>
  <si>
    <t>TSS_451</t>
  </si>
  <si>
    <t>H0015182</t>
  </si>
  <si>
    <t>H0015165</t>
  </si>
  <si>
    <t>H0015166</t>
  </si>
  <si>
    <t>TSS_473</t>
  </si>
  <si>
    <t>F0021100</t>
  </si>
  <si>
    <t>TSS_539</t>
  </si>
  <si>
    <t>H0015175</t>
  </si>
  <si>
    <t>TSS_528</t>
  </si>
  <si>
    <t>H0015179</t>
  </si>
  <si>
    <t>TSS_517</t>
  </si>
  <si>
    <t>F0021095</t>
  </si>
  <si>
    <t>TSS_506</t>
  </si>
  <si>
    <t>H0015169</t>
  </si>
  <si>
    <t>TSS_550</t>
  </si>
  <si>
    <t>H0015181</t>
  </si>
  <si>
    <t>TSS_561</t>
  </si>
  <si>
    <t>H0015174</t>
  </si>
  <si>
    <t>TSS_572</t>
  </si>
  <si>
    <t>H0015180</t>
  </si>
  <si>
    <t>TSS_583</t>
  </si>
  <si>
    <t>H0015186</t>
  </si>
  <si>
    <t>F0021103</t>
  </si>
  <si>
    <t>LJCR, MR</t>
  </si>
  <si>
    <t>F0021099</t>
  </si>
  <si>
    <t>TSS_374</t>
  </si>
  <si>
    <t>H0015173</t>
  </si>
  <si>
    <t>TSS_594</t>
  </si>
  <si>
    <t>H0015167</t>
  </si>
  <si>
    <t>TSS_616</t>
  </si>
  <si>
    <t>H0015164</t>
  </si>
  <si>
    <t>TSS_484</t>
  </si>
  <si>
    <t>F0021097</t>
  </si>
  <si>
    <t>Date collected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</si>
  <si>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</si>
  <si>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</si>
  <si>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</si>
  <si>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</si>
  <si>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</si>
  <si>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</si>
  <si>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</si>
  <si>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</si>
  <si>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</si>
  <si>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</si>
  <si>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Notes</t>
  </si>
  <si>
    <t>Serratia marcenses</t>
  </si>
  <si>
    <t>&lt; 1</t>
  </si>
  <si>
    <t>Lot Verified</t>
  </si>
  <si>
    <t>Aerococcus viridans</t>
  </si>
  <si>
    <t>Enterococcus faecium</t>
  </si>
  <si>
    <t>&gt; 2419.6</t>
  </si>
  <si>
    <t>Ent_47</t>
  </si>
  <si>
    <t>Fisrt field data sampling</t>
  </si>
  <si>
    <t>Ent_48</t>
  </si>
  <si>
    <t>Ent_49</t>
  </si>
  <si>
    <t>Ent_55</t>
  </si>
  <si>
    <t>Ent_50</t>
  </si>
  <si>
    <t>Ent_53</t>
  </si>
  <si>
    <t>Ent_54</t>
  </si>
  <si>
    <t>Ent_65</t>
  </si>
  <si>
    <t>Ent_51</t>
  </si>
  <si>
    <t>Ent_56</t>
  </si>
  <si>
    <t>Ent_57</t>
  </si>
  <si>
    <t>Ent_278</t>
  </si>
  <si>
    <t>Ent_289</t>
  </si>
  <si>
    <t>Ent_300</t>
  </si>
  <si>
    <t>Ent_311</t>
  </si>
  <si>
    <t>Ent_333</t>
  </si>
  <si>
    <t>Ent_454</t>
  </si>
  <si>
    <t>MANO</t>
  </si>
  <si>
    <t>Ent_465</t>
  </si>
  <si>
    <t>Ent_476</t>
  </si>
  <si>
    <t>Ent_487</t>
  </si>
  <si>
    <t>Ent_498</t>
  </si>
  <si>
    <t>Ent_509</t>
  </si>
  <si>
    <t>Ent_520</t>
  </si>
  <si>
    <t>Ent_421</t>
  </si>
  <si>
    <t>MANO, JC</t>
  </si>
  <si>
    <t>Ent_432</t>
  </si>
  <si>
    <t>Ent_531</t>
  </si>
  <si>
    <t>Ent_410</t>
  </si>
  <si>
    <t>Ent_374</t>
  </si>
  <si>
    <t>MR, JC</t>
  </si>
  <si>
    <t>Ent_443</t>
  </si>
  <si>
    <t>Ent_542</t>
  </si>
  <si>
    <t>Ent_399</t>
  </si>
  <si>
    <t>Ent_355</t>
  </si>
  <si>
    <t>Ent_587</t>
  </si>
  <si>
    <t>Ent_377</t>
  </si>
  <si>
    <t>Ent_588</t>
  </si>
  <si>
    <t>Ent_388</t>
  </si>
  <si>
    <t>Ent_575</t>
  </si>
  <si>
    <t>Ent_564</t>
  </si>
  <si>
    <t>Ent_586</t>
  </si>
  <si>
    <t>Ent_553</t>
  </si>
  <si>
    <t>Date analysis</t>
  </si>
  <si>
    <t>Start time</t>
  </si>
  <si>
    <t>End time</t>
  </si>
  <si>
    <t>Results ml/L</t>
  </si>
  <si>
    <t>SS_58</t>
  </si>
  <si>
    <t>&lt; 0.1 ml</t>
  </si>
  <si>
    <t>First data field</t>
  </si>
  <si>
    <t>SS_56</t>
  </si>
  <si>
    <t>SS_57</t>
  </si>
  <si>
    <t>SS_55</t>
  </si>
  <si>
    <t>SS_60</t>
  </si>
  <si>
    <t>2nd data field</t>
  </si>
  <si>
    <t>SS_63</t>
  </si>
  <si>
    <t>SS_64</t>
  </si>
  <si>
    <t>SS_59</t>
  </si>
  <si>
    <t>3rd data field</t>
  </si>
  <si>
    <t>SS_61</t>
  </si>
  <si>
    <t>SS_67</t>
  </si>
  <si>
    <t>SS_62</t>
  </si>
  <si>
    <t>SS_274</t>
  </si>
  <si>
    <t>SS_285</t>
  </si>
  <si>
    <t>SS_296</t>
  </si>
  <si>
    <t>SS_263</t>
  </si>
  <si>
    <t>SS_252</t>
  </si>
  <si>
    <t>SS_241</t>
  </si>
  <si>
    <t>SS_208</t>
  </si>
  <si>
    <t>SS_219</t>
  </si>
  <si>
    <t>SS_230</t>
  </si>
  <si>
    <t>SS_329</t>
  </si>
  <si>
    <t>SS_340</t>
  </si>
  <si>
    <t>SS_307</t>
  </si>
  <si>
    <t>SS_395</t>
  </si>
  <si>
    <t>SS_318</t>
  </si>
  <si>
    <t>SS_384</t>
  </si>
  <si>
    <t>SS_362</t>
  </si>
  <si>
    <t>SS_461</t>
  </si>
  <si>
    <t>LJCM, MR</t>
  </si>
  <si>
    <t>2H 31 MIN. after the holding time of 48 h</t>
  </si>
  <si>
    <t>SS_351</t>
  </si>
  <si>
    <t>53 min after holding time of 48 h</t>
  </si>
  <si>
    <t>SS_450</t>
  </si>
  <si>
    <t>SS_406</t>
  </si>
  <si>
    <t>SS_417</t>
  </si>
  <si>
    <t>SS_428</t>
  </si>
  <si>
    <t>SS_439</t>
  </si>
  <si>
    <t>SS_472</t>
  </si>
  <si>
    <t>SS_538</t>
  </si>
  <si>
    <t>SS_527</t>
  </si>
  <si>
    <t>SS_516</t>
  </si>
  <si>
    <t>SS_505</t>
  </si>
  <si>
    <t>SS_549</t>
  </si>
  <si>
    <t>SS_560</t>
  </si>
  <si>
    <t>SS_571</t>
  </si>
  <si>
    <t>SS_582</t>
  </si>
  <si>
    <t>SS_373</t>
  </si>
  <si>
    <t>SS_483</t>
  </si>
  <si>
    <t>SS_593</t>
  </si>
  <si>
    <t>SS_615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</si>
  <si>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</si>
  <si>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</si>
  <si>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</si>
  <si>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</si>
  <si>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</si>
  <si>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</si>
  <si>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</si>
  <si>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</si>
  <si>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</si>
  <si>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9.55 AM</t>
  </si>
  <si>
    <t>R</t>
  </si>
  <si>
    <t>The DO gave an anormal reading. This value was not taken</t>
  </si>
  <si>
    <t>MR and JC</t>
  </si>
  <si>
    <t>nutrients</t>
  </si>
  <si>
    <t>clear bottle</t>
  </si>
  <si>
    <t>clear bottle. Sample repeated</t>
  </si>
  <si>
    <t>9.50 AM</t>
  </si>
  <si>
    <t>9.53 AM</t>
  </si>
  <si>
    <t>9.58 AM</t>
  </si>
  <si>
    <t>repeti la calibracion para limpiar de nuevo el stirrer</t>
  </si>
  <si>
    <t>QC las hice antes de completar 10 muestras</t>
  </si>
  <si>
    <t>10.25 AM</t>
  </si>
  <si>
    <t>3.35 PM</t>
  </si>
  <si>
    <t>3.44 PM</t>
  </si>
  <si>
    <t>3.38 PM</t>
  </si>
  <si>
    <t>3.47 PM</t>
  </si>
  <si>
    <t>5.37 pm</t>
  </si>
  <si>
    <t>BOD_611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</si>
  <si>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</si>
  <si>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</si>
  <si>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</si>
  <si>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</si>
  <si>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</si>
  <si>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</si>
  <si>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</si>
  <si>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</si>
  <si>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</si>
  <si>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</si>
  <si>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</si>
  <si>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</si>
  <si>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</si>
  <si>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</si>
  <si>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</si>
  <si>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</si>
  <si>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(228ug/L)</t>
  </si>
  <si>
    <t>Chl_a_54</t>
  </si>
  <si>
    <t>Chl_a_55</t>
  </si>
  <si>
    <t>Chl_a_53</t>
  </si>
  <si>
    <t>Chl_a_52</t>
  </si>
  <si>
    <t>Chl_a_57</t>
  </si>
  <si>
    <t>Chl_a_60</t>
  </si>
  <si>
    <t>Chl_a_61</t>
  </si>
  <si>
    <t>Chl_a_59</t>
  </si>
  <si>
    <t>Chl_a_64</t>
  </si>
  <si>
    <t>Chl_a_56</t>
  </si>
  <si>
    <t>Chl_a_58</t>
  </si>
  <si>
    <t>Chl_a_250</t>
  </si>
  <si>
    <t>Chl_a_294</t>
  </si>
  <si>
    <t>Chl_a_239</t>
  </si>
  <si>
    <t>Chl_a_283</t>
  </si>
  <si>
    <t>Chl_a_272</t>
  </si>
  <si>
    <t>Chl_a_261</t>
  </si>
  <si>
    <t>Chl_a_228</t>
  </si>
  <si>
    <t>Chl_a_206</t>
  </si>
  <si>
    <t>Chl_a_217</t>
  </si>
  <si>
    <t>Chl_a_327</t>
  </si>
  <si>
    <t>Chl_a_338</t>
  </si>
  <si>
    <t>Chl_a_305</t>
  </si>
  <si>
    <t>Chl_a_393</t>
  </si>
  <si>
    <t>Chl_a_316</t>
  </si>
  <si>
    <t>Chl_a_382</t>
  </si>
  <si>
    <t>Chl_a_360</t>
  </si>
  <si>
    <t>Chl_a_459</t>
  </si>
  <si>
    <t>Chl_a_349</t>
  </si>
  <si>
    <t>Chl_a_448</t>
  </si>
  <si>
    <t>Chl_a_404</t>
  </si>
  <si>
    <t>Chl_a_415</t>
  </si>
  <si>
    <t>Chl_a_426</t>
  </si>
  <si>
    <t>Chl_a_437</t>
  </si>
  <si>
    <t>Chl_a_470</t>
  </si>
  <si>
    <t>Chl_a_536</t>
  </si>
  <si>
    <t>Chl_a_525</t>
  </si>
  <si>
    <t>Chl_a_514</t>
  </si>
  <si>
    <t>Chl_a_503</t>
  </si>
  <si>
    <t>Chl_a_547</t>
  </si>
  <si>
    <t>Chl_a_558</t>
  </si>
  <si>
    <t>Chl_a_569</t>
  </si>
  <si>
    <t>Chl_a_580</t>
  </si>
  <si>
    <t>Chl_a_591</t>
  </si>
  <si>
    <t>Chl_a_613</t>
  </si>
  <si>
    <t>Chl_a_371</t>
  </si>
  <si>
    <t>Chl_a_481</t>
  </si>
  <si>
    <t>Chl_standard (23.6ug/L)</t>
  </si>
  <si>
    <t xml:space="preserve">Date Collected </t>
  </si>
  <si>
    <t xml:space="preserve">Time Collected </t>
  </si>
  <si>
    <t>Date Analyzed</t>
  </si>
  <si>
    <t>Time Analyzed</t>
  </si>
  <si>
    <t>NTU</t>
  </si>
  <si>
    <t>Turb_54</t>
  </si>
  <si>
    <t>Turb_55</t>
  </si>
  <si>
    <t>Turb_56</t>
  </si>
  <si>
    <t>JC</t>
  </si>
  <si>
    <t>Turb_57</t>
  </si>
  <si>
    <t>Turb_59</t>
  </si>
  <si>
    <t>Temperature 24oC</t>
  </si>
  <si>
    <t>Turb_62</t>
  </si>
  <si>
    <t>Turb_63</t>
  </si>
  <si>
    <t>Turb_62R</t>
  </si>
  <si>
    <t>Sample repeated at 26oC</t>
  </si>
  <si>
    <t>Turb_59R</t>
  </si>
  <si>
    <t>Turb_63R</t>
  </si>
  <si>
    <t>Turb_60</t>
  </si>
  <si>
    <t>Temperature 22oC</t>
  </si>
  <si>
    <t>Turb_61</t>
  </si>
  <si>
    <t>Turb_66</t>
  </si>
  <si>
    <t>Turb_58</t>
  </si>
  <si>
    <t>Turb_284</t>
  </si>
  <si>
    <t>Temperature 24.3oC</t>
  </si>
  <si>
    <t>Turb_273</t>
  </si>
  <si>
    <t>Temperature 24.1oC</t>
  </si>
  <si>
    <t>Turb_262</t>
  </si>
  <si>
    <t>Temperature 24.2oC</t>
  </si>
  <si>
    <t>Turb_240</t>
  </si>
  <si>
    <t>Temperature 24.4oC</t>
  </si>
  <si>
    <t>Turb_295</t>
  </si>
  <si>
    <t>Turb_251</t>
  </si>
  <si>
    <t>Turb_218</t>
  </si>
  <si>
    <t>Temperature 23.01oC</t>
  </si>
  <si>
    <t>Turb_207</t>
  </si>
  <si>
    <t>Temperature 23.07oC</t>
  </si>
  <si>
    <t>Turb_229</t>
  </si>
  <si>
    <t>Temperature 23.15oC</t>
  </si>
  <si>
    <t>Turb_306</t>
  </si>
  <si>
    <t>Turb_328</t>
  </si>
  <si>
    <t>Turb_339</t>
  </si>
  <si>
    <t>Turb_394</t>
  </si>
  <si>
    <t>LJCM</t>
  </si>
  <si>
    <t>Turb_317</t>
  </si>
  <si>
    <t>Turb_383</t>
  </si>
  <si>
    <t>Turb_361</t>
  </si>
  <si>
    <t>Turb_460</t>
  </si>
  <si>
    <t>Turb_350</t>
  </si>
  <si>
    <t>SE PASO EL HOLDING TIME POR 6 HORAS, 24 MIN</t>
  </si>
  <si>
    <t>Turb_449</t>
  </si>
  <si>
    <t>SE PASO EL HOLDING TIME POR 5 HORAS, 28 MIN</t>
  </si>
  <si>
    <t>Turb_405</t>
  </si>
  <si>
    <t>Turb_416</t>
  </si>
  <si>
    <t>Turb_427</t>
  </si>
  <si>
    <t>Turb_438</t>
  </si>
  <si>
    <t>Turb_471</t>
  </si>
  <si>
    <t>Turb_537</t>
  </si>
  <si>
    <t>Turb_526</t>
  </si>
  <si>
    <t>Turb_515</t>
  </si>
  <si>
    <t>Turb_504</t>
  </si>
  <si>
    <t>Turb_548</t>
  </si>
  <si>
    <t>Turb_559</t>
  </si>
  <si>
    <t>Turb_570</t>
  </si>
  <si>
    <t>Turb_581</t>
  </si>
  <si>
    <t>Turb_482</t>
  </si>
  <si>
    <t>Turb_614</t>
  </si>
  <si>
    <t>Turb_592</t>
  </si>
  <si>
    <t>Turb_372</t>
  </si>
  <si>
    <t>Date</t>
  </si>
  <si>
    <t>Time</t>
  </si>
  <si>
    <t>Port</t>
  </si>
  <si>
    <t>Salinity</t>
  </si>
  <si>
    <t>Temperature (°C)</t>
  </si>
  <si>
    <t>DIC (uM)</t>
  </si>
  <si>
    <t>CRM_204_1062</t>
  </si>
  <si>
    <t>C</t>
  </si>
  <si>
    <t>D</t>
  </si>
  <si>
    <t>E</t>
  </si>
  <si>
    <t>F</t>
  </si>
  <si>
    <t>G</t>
  </si>
  <si>
    <t>H</t>
  </si>
  <si>
    <t>I</t>
  </si>
  <si>
    <t>J</t>
  </si>
  <si>
    <t>K</t>
  </si>
  <si>
    <t>CRM_204_0765</t>
  </si>
  <si>
    <t>15:01.000</t>
  </si>
  <si>
    <t>17:35.000</t>
  </si>
  <si>
    <t>CRM_204_0529</t>
  </si>
  <si>
    <t>FAILED</t>
  </si>
  <si>
    <t>hyd. error</t>
  </si>
  <si>
    <t>CRM_204_0069</t>
  </si>
  <si>
    <t>CRM_204_0708</t>
  </si>
  <si>
    <t>CRM_204_0943</t>
  </si>
  <si>
    <t>CRM_204_0838</t>
  </si>
  <si>
    <t>CRM_206_0775</t>
  </si>
  <si>
    <t>TAC replaced air filters after this CRM and problem was fixed</t>
  </si>
  <si>
    <t>00:14.000</t>
  </si>
  <si>
    <t>Sample # In Batch</t>
  </si>
  <si>
    <t>Sample Name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</si>
  <si>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</si>
  <si>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</si>
  <si>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</si>
  <si>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</si>
  <si>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</si>
  <si>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</si>
  <si>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</si>
  <si>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</si>
  <si>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</si>
  <si>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</si>
  <si>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</si>
  <si>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Status</t>
  </si>
  <si>
    <t>Column1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</si>
  <si>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</si>
  <si>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</si>
  <si>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</si>
  <si>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</si>
  <si>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</si>
  <si>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</si>
  <si>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</si>
  <si>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</si>
  <si>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</si>
  <si>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</si>
  <si>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</si>
  <si>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</si>
  <si>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</si>
  <si>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</si>
  <si>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</si>
  <si>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</si>
  <si>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</si>
  <si>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</si>
  <si>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</si>
  <si>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</si>
  <si>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</si>
  <si>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0005S-1-1</t>
  </si>
  <si>
    <t>0006A-1-1</t>
  </si>
  <si>
    <t>1A</t>
  </si>
  <si>
    <t>Failed</t>
  </si>
  <si>
    <t>0006A-1-2</t>
  </si>
  <si>
    <t>0006A-1-3</t>
  </si>
  <si>
    <t>0006A-1-4</t>
  </si>
  <si>
    <t>0006A-1-5</t>
  </si>
  <si>
    <t>0006A-2-1</t>
  </si>
  <si>
    <t>0006A-2-2</t>
  </si>
  <si>
    <t>0006A-2-3</t>
  </si>
  <si>
    <t>0006A-2-4</t>
  </si>
  <si>
    <t>0006A-2-5</t>
  </si>
  <si>
    <t>0006B-1-1</t>
  </si>
  <si>
    <t>1B</t>
  </si>
  <si>
    <t>0006B-1-2</t>
  </si>
  <si>
    <t>0006B-1-3</t>
  </si>
  <si>
    <t>0006C-1-1</t>
  </si>
  <si>
    <t>1C</t>
  </si>
  <si>
    <t>0006C-1-2</t>
  </si>
  <si>
    <t>0006C-1-3</t>
  </si>
  <si>
    <t>0007S-1-1</t>
  </si>
  <si>
    <t>0007S-1-2</t>
  </si>
  <si>
    <t>0007S-1-3</t>
  </si>
  <si>
    <t>0007S-1-4</t>
  </si>
  <si>
    <t>0007S-1-5</t>
  </si>
  <si>
    <t>0007S-2-1</t>
  </si>
  <si>
    <t>Halted</t>
  </si>
  <si>
    <t>0008A-1-1</t>
  </si>
  <si>
    <t>0008A-1-2</t>
  </si>
  <si>
    <t>0008A-1-3</t>
  </si>
  <si>
    <t>0008A-1-4</t>
  </si>
  <si>
    <t>0008A-1-5</t>
  </si>
  <si>
    <t>0008A-2-1</t>
  </si>
  <si>
    <t>0008A-2-2</t>
  </si>
  <si>
    <t>0008A-2-3</t>
  </si>
  <si>
    <t>0008A-2-4</t>
  </si>
  <si>
    <t>0008A-2-5</t>
  </si>
  <si>
    <t>0008B-1-1</t>
  </si>
  <si>
    <t>0008B-1-2</t>
  </si>
  <si>
    <t>0008B-1-3</t>
  </si>
  <si>
    <t>0008B-1-4</t>
  </si>
  <si>
    <t>0008B-1-5</t>
  </si>
  <si>
    <t>0008B-2-1</t>
  </si>
  <si>
    <t>0008B-2-2</t>
  </si>
  <si>
    <t>0008B-2-3</t>
  </si>
  <si>
    <t>0008B-2-4</t>
  </si>
  <si>
    <t>0008B-2-5</t>
  </si>
  <si>
    <t>0008C-1-1</t>
  </si>
  <si>
    <t>0039A-1-1</t>
  </si>
  <si>
    <t>0039A-1-2</t>
  </si>
  <si>
    <t>0039A-1-3</t>
  </si>
  <si>
    <t>0039A-1-4</t>
  </si>
  <si>
    <t>0039A-1-5</t>
  </si>
  <si>
    <t>0039A-2-1</t>
  </si>
  <si>
    <t>0039A-2-2</t>
  </si>
  <si>
    <t>0039A-2-3</t>
  </si>
  <si>
    <t>0039A-2-4</t>
  </si>
  <si>
    <t>0039A-2-5</t>
  </si>
  <si>
    <t>0039B-1-1</t>
  </si>
  <si>
    <t>0039B-1-2</t>
  </si>
  <si>
    <t>0039B-1-3</t>
  </si>
  <si>
    <t>0039B-1-4</t>
  </si>
  <si>
    <t>0039B-1-5</t>
  </si>
  <si>
    <t>0039B-2-1</t>
  </si>
  <si>
    <t>0039B-2-2</t>
  </si>
  <si>
    <t>Excluded</t>
  </si>
  <si>
    <t>0039B-2-3</t>
  </si>
  <si>
    <t>0039B-2-4</t>
  </si>
  <si>
    <t>0039C-1-1</t>
  </si>
  <si>
    <t>0070A-1-1</t>
  </si>
  <si>
    <t>0070A-1-2</t>
  </si>
  <si>
    <t>0070A-1-3</t>
  </si>
  <si>
    <t>0070B-1-1</t>
  </si>
  <si>
    <t>0070B-1-2</t>
  </si>
  <si>
    <t>0070B-1-3</t>
  </si>
  <si>
    <t>0070C-1-1</t>
  </si>
  <si>
    <t>0070C-1-2</t>
  </si>
  <si>
    <t>0070C-1-3</t>
  </si>
  <si>
    <t>0071S-1-1</t>
  </si>
  <si>
    <t>0071S-1-2</t>
  </si>
  <si>
    <t>0071S-1-3</t>
  </si>
  <si>
    <t>0072S-1-1</t>
  </si>
  <si>
    <t>0072S-1-2</t>
  </si>
  <si>
    <t>0072S-1-3</t>
  </si>
  <si>
    <t>0073S-1-1</t>
  </si>
  <si>
    <t>0073S-1-2</t>
  </si>
  <si>
    <t>0073S-1-3</t>
  </si>
  <si>
    <t>0073S-1-4</t>
  </si>
  <si>
    <t>0074S-1-1</t>
  </si>
  <si>
    <t>0074S-1-2</t>
  </si>
  <si>
    <t>0074S-1-3</t>
  </si>
  <si>
    <t>0075S-1-1</t>
  </si>
  <si>
    <t>0075S-1-2</t>
  </si>
  <si>
    <t>0075S-1-3</t>
  </si>
  <si>
    <t>0076S-1-1</t>
  </si>
  <si>
    <t>0076S-1-2</t>
  </si>
  <si>
    <t>0076S-1-3</t>
  </si>
  <si>
    <t>0076S-1-4</t>
  </si>
  <si>
    <t>0076S-1-5</t>
  </si>
  <si>
    <t>0077S-1-1</t>
  </si>
  <si>
    <t>0077S-1-2</t>
  </si>
  <si>
    <t>0077S-1-3</t>
  </si>
  <si>
    <t>0077S-1-4</t>
  </si>
  <si>
    <t>0078S-1-1</t>
  </si>
  <si>
    <t>0078S-1-2</t>
  </si>
  <si>
    <t>0078S-1-3</t>
  </si>
  <si>
    <t>0078S-1-4</t>
  </si>
  <si>
    <t>0078S-1-5</t>
  </si>
  <si>
    <t>0079S-1-1</t>
  </si>
  <si>
    <t>0079S-1-2</t>
  </si>
  <si>
    <t>0079S-1-3</t>
  </si>
  <si>
    <t>NaHCO3</t>
  </si>
  <si>
    <t>0006S-1-1</t>
  </si>
  <si>
    <t>0008S-1-1</t>
  </si>
  <si>
    <t>0009S-1-1</t>
  </si>
  <si>
    <t>0010S-1-1</t>
  </si>
  <si>
    <t>0011S-1-1</t>
  </si>
  <si>
    <t>used_CRM_204_1062</t>
  </si>
  <si>
    <t>0012S-1-1</t>
  </si>
  <si>
    <t>used_CRM_1062</t>
  </si>
  <si>
    <t>0013S-1-1</t>
  </si>
  <si>
    <t>used_CRM_1062_CRM_204_1062</t>
  </si>
  <si>
    <t>0014S-1-1</t>
  </si>
  <si>
    <t>0015S-1-1</t>
  </si>
  <si>
    <t>0016S-1-1</t>
  </si>
  <si>
    <t>0017S-1-1</t>
  </si>
  <si>
    <t>0018A-1-1</t>
  </si>
  <si>
    <t>0018A-1-2</t>
  </si>
  <si>
    <t>0018A-1-3</t>
  </si>
  <si>
    <t>0018B-1-1</t>
  </si>
  <si>
    <t>0018B-1-2</t>
  </si>
  <si>
    <t>0018B-1-3</t>
  </si>
  <si>
    <t>0018C-1-1</t>
  </si>
  <si>
    <t>0018C-1-2</t>
  </si>
  <si>
    <t>0018C-1-3</t>
  </si>
  <si>
    <t>0018C-1-4</t>
  </si>
  <si>
    <t>0019S-1-1</t>
  </si>
  <si>
    <t>0019S-1-2</t>
  </si>
  <si>
    <t>0019S-1-3</t>
  </si>
  <si>
    <t>0020S-1-1</t>
  </si>
  <si>
    <t>0020S-1-2</t>
  </si>
  <si>
    <t>0020S-1-3</t>
  </si>
  <si>
    <t>0020S-1-4</t>
  </si>
  <si>
    <t>0021S-1-1</t>
  </si>
  <si>
    <t>0021S-1-2</t>
  </si>
  <si>
    <t>0021S-1-3</t>
  </si>
  <si>
    <t>0021S-1-4</t>
  </si>
  <si>
    <t>0022S-1-1</t>
  </si>
  <si>
    <t>0022S-1-2</t>
  </si>
  <si>
    <t>0022S-1-3</t>
  </si>
  <si>
    <t>0023S-1-1</t>
  </si>
  <si>
    <t>0023S-1-2</t>
  </si>
  <si>
    <t>0023S-1-3</t>
  </si>
  <si>
    <t>0023S-1-4</t>
  </si>
  <si>
    <t>0023S-1-5</t>
  </si>
  <si>
    <t>0023S-2-1</t>
  </si>
  <si>
    <t>0023S-2-2</t>
  </si>
  <si>
    <t>0023S-2-3</t>
  </si>
  <si>
    <t>0023S-2-4</t>
  </si>
  <si>
    <t>0024S-1-1</t>
  </si>
  <si>
    <t>0024S-1-2</t>
  </si>
  <si>
    <t>0024S-1-3</t>
  </si>
  <si>
    <t>0025S-1-1</t>
  </si>
  <si>
    <t>0025S-1-2</t>
  </si>
  <si>
    <t>0025S-1-3</t>
  </si>
  <si>
    <t>0025S-1-4</t>
  </si>
  <si>
    <t>0025S-1-5</t>
  </si>
  <si>
    <t>0025S-2-1</t>
  </si>
  <si>
    <t>0025S-2-2</t>
  </si>
  <si>
    <t>0025S-2-3</t>
  </si>
  <si>
    <t>0025S-2-4</t>
  </si>
  <si>
    <t>0025S-2-5</t>
  </si>
  <si>
    <t>0026S-1-1</t>
  </si>
  <si>
    <t>0026S-1-2</t>
  </si>
  <si>
    <t>0026S-1-3</t>
  </si>
  <si>
    <t>0027S-1-1</t>
  </si>
  <si>
    <t>0027S-1-2</t>
  </si>
  <si>
    <t>0027S-1-3</t>
  </si>
  <si>
    <t>0027S-1-4</t>
  </si>
  <si>
    <t>0028S-1-1</t>
  </si>
  <si>
    <t>0028S-1-2</t>
  </si>
  <si>
    <t>0028S-1-3</t>
  </si>
  <si>
    <t>0029S-1-1</t>
  </si>
  <si>
    <t>0029S-1-2</t>
  </si>
  <si>
    <t>0029S-1-3</t>
  </si>
  <si>
    <t>0030S-1-1</t>
  </si>
  <si>
    <t>0030S-1-2</t>
  </si>
  <si>
    <t>0030S-1-3</t>
  </si>
  <si>
    <t>0030S-1-4</t>
  </si>
  <si>
    <t>0030S-1-5</t>
  </si>
  <si>
    <t>0031S-1-1</t>
  </si>
  <si>
    <t>0031S-1-2</t>
  </si>
  <si>
    <t>0031S-1-3</t>
  </si>
  <si>
    <t>0031S-1-4</t>
  </si>
  <si>
    <t>0032S-1-1</t>
  </si>
  <si>
    <t>0032S-1-2</t>
  </si>
  <si>
    <t>0032S-1-3</t>
  </si>
  <si>
    <t>0032S-1-4</t>
  </si>
  <si>
    <t>0032S-1-5</t>
  </si>
  <si>
    <t>0033S-1-1</t>
  </si>
  <si>
    <t>0033S-1-2</t>
  </si>
  <si>
    <t>0033S-1-3</t>
  </si>
  <si>
    <t>0034S-1-1</t>
  </si>
  <si>
    <t>0034S-1-2</t>
  </si>
  <si>
    <t>0034S-1-3</t>
  </si>
  <si>
    <t>0035S-1-1</t>
  </si>
  <si>
    <t>0035S-1-2</t>
  </si>
  <si>
    <t>0035S-1-3</t>
  </si>
  <si>
    <t>0036S-1-1</t>
  </si>
  <si>
    <t>0036S-1-2</t>
  </si>
  <si>
    <t>0036S-1-3</t>
  </si>
  <si>
    <t>0036S-1-4</t>
  </si>
  <si>
    <t>0042S-1-1</t>
  </si>
  <si>
    <t>0008C-1-2</t>
  </si>
  <si>
    <t>0008C-1-3</t>
  </si>
  <si>
    <t>0009S-1-2</t>
  </si>
  <si>
    <t>0009S-1-3</t>
  </si>
  <si>
    <t>0009S-1-4</t>
  </si>
  <si>
    <t>0010S-1-2</t>
  </si>
  <si>
    <t>0010S-1-3</t>
  </si>
  <si>
    <t>0011S-1-2</t>
  </si>
  <si>
    <t>0011S-1-3</t>
  </si>
  <si>
    <t>0012S-1-2</t>
  </si>
  <si>
    <t>0012S-1-3</t>
  </si>
  <si>
    <t>0013S-1-2</t>
  </si>
  <si>
    <t>0013S-1-3</t>
  </si>
  <si>
    <t>0013S-1-4</t>
  </si>
  <si>
    <t>0013S-1-5</t>
  </si>
  <si>
    <t>0014S-1-2</t>
  </si>
  <si>
    <t>0014S-1-3</t>
  </si>
  <si>
    <t>0015S-1-2</t>
  </si>
  <si>
    <t>0015S-1-3</t>
  </si>
  <si>
    <t>0016S-1-2</t>
  </si>
  <si>
    <t>0016S-1-3</t>
  </si>
  <si>
    <t>0017S-1-2</t>
  </si>
  <si>
    <t>0017S-1-3</t>
  </si>
  <si>
    <t>0017S-1-4</t>
  </si>
  <si>
    <t>0018S-1-1</t>
  </si>
  <si>
    <t>0018S-1-2</t>
  </si>
  <si>
    <t>0018S-1-3</t>
  </si>
  <si>
    <t>0018S-1-4</t>
  </si>
  <si>
    <t>0018S-1-5</t>
  </si>
  <si>
    <t>0018S-2-1</t>
  </si>
  <si>
    <t>0018S-2-2</t>
  </si>
  <si>
    <t>0018S-2-3</t>
  </si>
  <si>
    <t>0018S-2-4</t>
  </si>
  <si>
    <t>0018S-2-5</t>
  </si>
  <si>
    <t>0019S-1-4</t>
  </si>
  <si>
    <t>0026S-1-4</t>
  </si>
  <si>
    <t>0027S-1-5</t>
  </si>
  <si>
    <t>0027S-2-1</t>
  </si>
  <si>
    <t>0027S-2-2</t>
  </si>
  <si>
    <t>0027S-2-3</t>
  </si>
  <si>
    <t>0005A-1-1</t>
  </si>
  <si>
    <t>0005A-1-2</t>
  </si>
  <si>
    <t>0005A-1-3</t>
  </si>
  <si>
    <t>0005A-1-4</t>
  </si>
  <si>
    <t>0005A-1-5</t>
  </si>
  <si>
    <t>0005B-1-1</t>
  </si>
  <si>
    <t>0005B-1-2</t>
  </si>
  <si>
    <t>0005B-1-3</t>
  </si>
  <si>
    <t>0005C-1-1</t>
  </si>
  <si>
    <t>0005C-1-2</t>
  </si>
  <si>
    <t>0005C-1-3</t>
  </si>
  <si>
    <t>0006S-1-2</t>
  </si>
  <si>
    <t>0006S-1-3</t>
  </si>
  <si>
    <t>0008S-1-2</t>
  </si>
  <si>
    <t>0008S-1-3</t>
  </si>
  <si>
    <t>0011S-1-4</t>
  </si>
  <si>
    <t>0017S-1-5</t>
  </si>
  <si>
    <t>0022S-1-4</t>
  </si>
  <si>
    <t>0028S-1-4</t>
  </si>
  <si>
    <t>NNaHCO3aHCO3</t>
  </si>
  <si>
    <t>0005A-2-1</t>
  </si>
  <si>
    <t>0005A-2-2</t>
  </si>
  <si>
    <t>0005A-2-3</t>
  </si>
  <si>
    <t>0005A-2-4</t>
  </si>
  <si>
    <t>0005A-2-5</t>
  </si>
  <si>
    <t>0005B-1-4</t>
  </si>
  <si>
    <t>0005B-1-5</t>
  </si>
  <si>
    <t>0005B-2-1</t>
  </si>
  <si>
    <t>New NaHCO3</t>
  </si>
  <si>
    <t>0033A-1-1</t>
  </si>
  <si>
    <t>CRM_204_1179</t>
  </si>
  <si>
    <t>0033A-1-2</t>
  </si>
  <si>
    <t>0033A-1-3</t>
  </si>
  <si>
    <t>0033A-1-4</t>
  </si>
  <si>
    <t>0033B-1-1</t>
  </si>
  <si>
    <t>0033B-1-2</t>
  </si>
  <si>
    <t>0033B-1-3</t>
  </si>
  <si>
    <t>0033C-1-1</t>
  </si>
  <si>
    <t>0033C-1-2</t>
  </si>
  <si>
    <t>0033C-1-3</t>
  </si>
  <si>
    <t>0037S-1-1</t>
  </si>
  <si>
    <t>0037S-1-2</t>
  </si>
  <si>
    <t>0037S-1-3</t>
  </si>
  <si>
    <t>0038S-1-1</t>
  </si>
  <si>
    <t>0038S-1-2</t>
  </si>
  <si>
    <t>0038S-1-3</t>
  </si>
  <si>
    <t>0039S-1-1</t>
  </si>
  <si>
    <t>0039S-1-2</t>
  </si>
  <si>
    <t>0039S-1-3</t>
  </si>
  <si>
    <t>0040S-1-1</t>
  </si>
  <si>
    <t>0040S-1-2</t>
  </si>
  <si>
    <t>0040S-1-3</t>
  </si>
  <si>
    <t>0041S-1-1</t>
  </si>
  <si>
    <t>0041S-1-2</t>
  </si>
  <si>
    <t>0041S-1-3</t>
  </si>
  <si>
    <t>0041S-1-4</t>
  </si>
  <si>
    <t>0042S-1-2</t>
  </si>
  <si>
    <t>0042S-1-3</t>
  </si>
  <si>
    <t>0042S-1-4</t>
  </si>
  <si>
    <t>0042S-1-5</t>
  </si>
  <si>
    <t>0043S-1-1</t>
  </si>
  <si>
    <t>0043S-1-2</t>
  </si>
  <si>
    <t>0043S-1-3</t>
  </si>
  <si>
    <t>0043S-1-4</t>
  </si>
  <si>
    <t>0044S-1-1</t>
  </si>
  <si>
    <t>0044S-1-2</t>
  </si>
  <si>
    <t>0044S-1-3</t>
  </si>
  <si>
    <t>0044S-1-4</t>
  </si>
  <si>
    <t>0044S-1-5</t>
  </si>
  <si>
    <t>0045S-1-1</t>
  </si>
  <si>
    <t>0045S-1-2</t>
  </si>
  <si>
    <t>0045S-1-3</t>
  </si>
  <si>
    <t>0045S-1-4</t>
  </si>
  <si>
    <t>0045S-1-5</t>
  </si>
  <si>
    <t>0046S-1-1</t>
  </si>
  <si>
    <t>0046S-1-2</t>
  </si>
  <si>
    <t>0046S-1-3</t>
  </si>
  <si>
    <t>0046S-1-4</t>
  </si>
  <si>
    <t>0046S-1-5</t>
  </si>
  <si>
    <t>0046S-2-1</t>
  </si>
  <si>
    <t>0046S-2-2</t>
  </si>
  <si>
    <t>0046S-2-3</t>
  </si>
  <si>
    <t>0046S-2-4</t>
  </si>
  <si>
    <t>0046S-2-5</t>
  </si>
  <si>
    <t>0047S-1-1</t>
  </si>
  <si>
    <t>0047S-1-2</t>
  </si>
  <si>
    <t>0047S-1-3</t>
  </si>
  <si>
    <t>0047S-1-4</t>
  </si>
  <si>
    <t>0047S-1-5</t>
  </si>
  <si>
    <t>0047S-2-1</t>
  </si>
  <si>
    <t>0047S-2-2</t>
  </si>
  <si>
    <t>0047S-2-3</t>
  </si>
  <si>
    <t>0047S-2-4</t>
  </si>
  <si>
    <t>0047S-2-5</t>
  </si>
  <si>
    <t>0048S-1-1</t>
  </si>
  <si>
    <t>0048S-1-2</t>
  </si>
  <si>
    <t>0048S-1-3</t>
  </si>
  <si>
    <t>0048S-1-4</t>
  </si>
  <si>
    <t>0048S-1-5</t>
  </si>
  <si>
    <t>0048S-2-1</t>
  </si>
  <si>
    <t>0008C-1-4</t>
  </si>
  <si>
    <t>0010S-1-4</t>
  </si>
  <si>
    <t>0010S-1-5</t>
  </si>
  <si>
    <t>0010S-2-1</t>
  </si>
  <si>
    <t>0010S-2-2</t>
  </si>
  <si>
    <t>0010S-2-3</t>
  </si>
  <si>
    <t>0010S-2-4</t>
  </si>
  <si>
    <t>0010S-2-5</t>
  </si>
  <si>
    <t>0011S-1-5</t>
  </si>
  <si>
    <t>0011S-2-1</t>
  </si>
  <si>
    <t>0011S-2-2</t>
  </si>
  <si>
    <t>0011S-2-3</t>
  </si>
  <si>
    <t>0011S-2-4</t>
  </si>
  <si>
    <t>0011S-2-5</t>
  </si>
  <si>
    <t>0012S-1-4</t>
  </si>
  <si>
    <t>0012S-1-5</t>
  </si>
  <si>
    <t>0012S-2-1</t>
  </si>
  <si>
    <t>0013A-1-1</t>
  </si>
  <si>
    <t>0013A-1-2</t>
  </si>
  <si>
    <t>0013A-1-3</t>
  </si>
  <si>
    <t>0013B-1-1</t>
  </si>
  <si>
    <t>0013B-1-2</t>
  </si>
  <si>
    <t>0013B-1-3</t>
  </si>
  <si>
    <t>0013B-1-4</t>
  </si>
  <si>
    <t>0013C-1-1</t>
  </si>
  <si>
    <t>0013C-1-2</t>
  </si>
  <si>
    <t>0013C-1-3</t>
  </si>
  <si>
    <t>0013C-1-4</t>
  </si>
  <si>
    <t>0013C-1-5</t>
  </si>
  <si>
    <t>0013C-2-1</t>
  </si>
  <si>
    <t>0013C-2-2</t>
  </si>
  <si>
    <t>0013C-2-3</t>
  </si>
  <si>
    <t>0013C-2-4</t>
  </si>
  <si>
    <t>0013C-2-5</t>
  </si>
  <si>
    <t>0014S-1-4</t>
  </si>
  <si>
    <t>0014S-1-5</t>
  </si>
  <si>
    <t>0014S-2-1</t>
  </si>
  <si>
    <t>0014S-2-2</t>
  </si>
  <si>
    <t>0014S-2-3</t>
  </si>
  <si>
    <t>0014S-2-4</t>
  </si>
  <si>
    <t>0014S-2-5</t>
  </si>
  <si>
    <t>0015S-1-4</t>
  </si>
  <si>
    <t>0015S-1-5</t>
  </si>
  <si>
    <t>0015S-2-1</t>
  </si>
  <si>
    <t>Not Used</t>
  </si>
  <si>
    <t>0015S-2-2</t>
  </si>
  <si>
    <t>0015S-2-3</t>
  </si>
  <si>
    <t>0015S-2-4</t>
  </si>
  <si>
    <t>0015S-2-5</t>
  </si>
  <si>
    <t>0015S-2-6</t>
  </si>
  <si>
    <t>0015S-2-7</t>
  </si>
  <si>
    <t>0015S-2-8</t>
  </si>
  <si>
    <t>0015S-2-9</t>
  </si>
  <si>
    <t>0015S-2-10</t>
  </si>
  <si>
    <t>0015S-2-11</t>
  </si>
  <si>
    <t>0015S-2-12</t>
  </si>
  <si>
    <t>0015S-2-13</t>
  </si>
  <si>
    <t>0010A-1-1</t>
  </si>
  <si>
    <t>CRM_206_0838</t>
  </si>
  <si>
    <t>0010A-1-2</t>
  </si>
  <si>
    <t>0010A-1-3</t>
  </si>
  <si>
    <t>0010A-1-4</t>
  </si>
  <si>
    <t>0010B-1-1</t>
  </si>
  <si>
    <t>0010B-1-2</t>
  </si>
  <si>
    <t>0010B-1-3</t>
  </si>
  <si>
    <t>0010C-1-1</t>
  </si>
  <si>
    <t>0010C-1-2</t>
  </si>
  <si>
    <t>0010C-1-3</t>
  </si>
  <si>
    <t>0012S-2-2</t>
  </si>
  <si>
    <t>0012S-2-3</t>
  </si>
  <si>
    <t>0012S-2-4</t>
  </si>
  <si>
    <t>0012S-2-5</t>
  </si>
  <si>
    <t>0013S-2-1</t>
  </si>
  <si>
    <t>0013S-2-2</t>
  </si>
  <si>
    <t>0013S-2-3</t>
  </si>
  <si>
    <t>0013S-2-4</t>
  </si>
  <si>
    <t>0013S-2-5</t>
  </si>
  <si>
    <t>0008S-1-4</t>
  </si>
  <si>
    <t>0008S-1-5</t>
  </si>
  <si>
    <t>0016S-1-4</t>
  </si>
  <si>
    <t>0016S-1-5</t>
  </si>
  <si>
    <t>0017S-2-1</t>
  </si>
  <si>
    <t>0017S-2-2</t>
  </si>
  <si>
    <t>0017S-2-3</t>
  </si>
  <si>
    <t>0017S-2-4</t>
  </si>
  <si>
    <t>0017S-2-5</t>
  </si>
  <si>
    <t>0019S-1-5</t>
  </si>
  <si>
    <t>0019S-2-1</t>
  </si>
  <si>
    <t>0034A-1-1</t>
  </si>
  <si>
    <t>0034A-1-2</t>
  </si>
  <si>
    <t>0034A-1-3</t>
  </si>
  <si>
    <t>0034B-1-1</t>
  </si>
  <si>
    <t>0034B-1-2</t>
  </si>
  <si>
    <t>0034B-1-3</t>
  </si>
  <si>
    <t>0034C-1-1</t>
  </si>
  <si>
    <t>0034C-1-2</t>
  </si>
  <si>
    <t>0034C-1-3</t>
  </si>
  <si>
    <t>0035S-1-4</t>
  </si>
  <si>
    <t>0037S-1-4</t>
  </si>
  <si>
    <t>0037S-1-5</t>
  </si>
  <si>
    <t>0038S-1-4</t>
  </si>
  <si>
    <t>Analysis Date</t>
  </si>
  <si>
    <t>TA (uM)</t>
  </si>
  <si>
    <t>Initials and notes</t>
  </si>
  <si>
    <t>CRM_204_0647</t>
  </si>
  <si>
    <t>MR, OK</t>
  </si>
  <si>
    <t>CRM_204_0823</t>
  </si>
  <si>
    <t>CRM_204_1001</t>
  </si>
  <si>
    <t>Hyd. error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</si>
  <si>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</si>
  <si>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</si>
  <si>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</si>
  <si>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</si>
  <si>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</si>
  <si>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</si>
  <si>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</si>
  <si>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</si>
  <si>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</si>
  <si>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</si>
  <si>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</si>
  <si>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</si>
  <si>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</si>
  <si>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Project</t>
  </si>
  <si>
    <t>Na2CO3</t>
  </si>
  <si>
    <t>Memo</t>
  </si>
  <si>
    <t>Sample Volume (ml)</t>
  </si>
  <si>
    <t>HCl Concentration (M)</t>
  </si>
  <si>
    <t>Temperature (C)</t>
  </si>
  <si>
    <t>Slope</t>
  </si>
  <si>
    <t>R^2</t>
  </si>
  <si>
    <t>End Volume (ml)</t>
  </si>
  <si>
    <t>Total Alkalinity (uM)</t>
  </si>
  <si>
    <t>Standard Deviation</t>
  </si>
  <si>
    <t>User</t>
  </si>
  <si>
    <t>0001S-1</t>
  </si>
  <si>
    <t>2nd quarter 10.13.23</t>
  </si>
  <si>
    <t>Canceled</t>
  </si>
  <si>
    <t>0002S-1</t>
  </si>
  <si>
    <t>0002S-2</t>
  </si>
  <si>
    <t>0002S-3</t>
  </si>
  <si>
    <t>0003S-1</t>
  </si>
  <si>
    <t>CRM_204_1239</t>
  </si>
  <si>
    <t>0003S-2</t>
  </si>
  <si>
    <t>0003S-3</t>
  </si>
  <si>
    <t>0004C-1</t>
  </si>
  <si>
    <t>HCl Calibration</t>
  </si>
  <si>
    <t>0004C-2</t>
  </si>
  <si>
    <t>1.09 %</t>
  </si>
  <si>
    <t>0004C-3</t>
  </si>
  <si>
    <t>0005S-1</t>
  </si>
  <si>
    <t>0005S-2</t>
  </si>
  <si>
    <t>0005S-3</t>
  </si>
  <si>
    <t>0005S-4</t>
  </si>
  <si>
    <t>0006S-1</t>
  </si>
  <si>
    <t>0007S-1</t>
  </si>
  <si>
    <t>&gt;30</t>
  </si>
  <si>
    <t>0008C-1</t>
  </si>
  <si>
    <t>0008C-2</t>
  </si>
  <si>
    <t>0.04 %</t>
  </si>
  <si>
    <t>0008C-3</t>
  </si>
  <si>
    <t>0009S-1</t>
  </si>
  <si>
    <t>0009S-2</t>
  </si>
  <si>
    <t>0009S-3</t>
  </si>
  <si>
    <t>0009S-4</t>
  </si>
  <si>
    <t>0009S-5</t>
  </si>
  <si>
    <t>0009S-6</t>
  </si>
  <si>
    <t>0010S-1</t>
  </si>
  <si>
    <t>0011S-1</t>
  </si>
  <si>
    <t>176(correct)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</si>
  <si>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</si>
  <si>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</si>
  <si>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</si>
  <si>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</si>
  <si>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</si>
  <si>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</si>
  <si>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</si>
  <si>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</si>
  <si>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</si>
  <si>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</si>
  <si>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</si>
  <si>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0022S-2</t>
  </si>
  <si>
    <t>0022S-3</t>
  </si>
  <si>
    <t>10.18.23</t>
  </si>
  <si>
    <t>0001C-1</t>
  </si>
  <si>
    <t>0001C-2</t>
  </si>
  <si>
    <t>0001C-3</t>
  </si>
  <si>
    <t>Syringe removed, initialized the system and star new anlalysis.</t>
  </si>
  <si>
    <t>0002S-4</t>
  </si>
  <si>
    <t>0002S-5</t>
  </si>
  <si>
    <t>0002S-6</t>
  </si>
  <si>
    <t>0004S-1</t>
  </si>
  <si>
    <t>RCM accurate</t>
  </si>
  <si>
    <t>The syringe was open again and screw with teflon</t>
  </si>
  <si>
    <t>0001S-2</t>
  </si>
  <si>
    <t>0001S-3</t>
  </si>
  <si>
    <t>0001S-4</t>
  </si>
  <si>
    <t>0001S-5</t>
  </si>
  <si>
    <t>0001S-6</t>
  </si>
  <si>
    <t>10.23.23</t>
  </si>
  <si>
    <t>0001S-7</t>
  </si>
  <si>
    <t>0001S-8</t>
  </si>
  <si>
    <t>0001S-9</t>
  </si>
  <si>
    <t>new CRM, recently used in DIC</t>
  </si>
  <si>
    <t>0008S-1</t>
  </si>
  <si>
    <t>Second quarter</t>
  </si>
  <si>
    <t>crm_204_1001</t>
  </si>
  <si>
    <t>New Na2CO3</t>
  </si>
  <si>
    <t>0002S-7</t>
  </si>
  <si>
    <t>0002S-8</t>
  </si>
  <si>
    <t>0002S-9</t>
  </si>
  <si>
    <t>0002S-10</t>
  </si>
  <si>
    <t>0002S-11</t>
  </si>
  <si>
    <t>0002S-12</t>
  </si>
  <si>
    <t>0002S-13</t>
  </si>
  <si>
    <t>0003C-1</t>
  </si>
  <si>
    <t>0003C-2</t>
  </si>
  <si>
    <t>0.12 %</t>
  </si>
  <si>
    <t>0003C-3</t>
  </si>
  <si>
    <t>NaN</t>
  </si>
  <si>
    <t>455 is the sample. I could not change the number after start</t>
  </si>
  <si>
    <t>0013S-2</t>
  </si>
  <si>
    <t>0023S-1</t>
  </si>
  <si>
    <t>0024S-1</t>
  </si>
  <si>
    <t>Date_Analyzed</t>
  </si>
  <si>
    <t>Bottle</t>
  </si>
  <si>
    <t>NOx (mg/L)</t>
  </si>
  <si>
    <t>PO4 (mg/L)</t>
  </si>
  <si>
    <t>&lt;0.001</t>
  </si>
  <si>
    <t>TKN (mg/L)</t>
  </si>
  <si>
    <t>TKN_corr (mg/L)</t>
  </si>
  <si>
    <t>&lt;0.2</t>
  </si>
  <si>
    <t>BOD_107</t>
  </si>
  <si>
    <t>BOD_107n</t>
  </si>
  <si>
    <t>BOD_125</t>
  </si>
  <si>
    <t>BOD_125n</t>
  </si>
  <si>
    <t>BOD_108</t>
  </si>
  <si>
    <t>BOD_109</t>
  </si>
  <si>
    <t>BOD_111</t>
  </si>
  <si>
    <t>BOD_112</t>
  </si>
  <si>
    <t>BOD_108+GGAn</t>
  </si>
  <si>
    <t>BOD_108n</t>
  </si>
  <si>
    <t>BOD_124</t>
  </si>
  <si>
    <t>BOD_126</t>
  </si>
  <si>
    <t>BOD_116</t>
  </si>
  <si>
    <t>BOD_120</t>
  </si>
  <si>
    <t>BOD_132</t>
  </si>
  <si>
    <t>BOD_122</t>
  </si>
  <si>
    <t>BOD_238</t>
  </si>
  <si>
    <t>BOD_249</t>
  </si>
  <si>
    <t>BOD_260</t>
  </si>
  <si>
    <t>BOD_260+GGAn</t>
  </si>
  <si>
    <t>BOD_260n</t>
  </si>
  <si>
    <t>BOD_271</t>
  </si>
  <si>
    <t>BOD_293</t>
  </si>
  <si>
    <t>BOD_282</t>
  </si>
  <si>
    <t>BOD_227</t>
  </si>
  <si>
    <t>BOD_205</t>
  </si>
  <si>
    <t>BOD_216n</t>
  </si>
  <si>
    <t>BOD_216+GGAn</t>
  </si>
  <si>
    <t>BOD_216</t>
  </si>
  <si>
    <t>BOD_326</t>
  </si>
  <si>
    <t>BOD_337</t>
  </si>
  <si>
    <t>BOD_304</t>
  </si>
  <si>
    <t>BOD_392</t>
  </si>
  <si>
    <t>BOD_315</t>
  </si>
  <si>
    <t>BOD_381</t>
  </si>
  <si>
    <t>BOD_359</t>
  </si>
  <si>
    <t>BOD_458</t>
  </si>
  <si>
    <t>BOD_359n</t>
  </si>
  <si>
    <t>BOD_359+GGAn</t>
  </si>
  <si>
    <t>BOD_348</t>
  </si>
  <si>
    <t>BOD_447</t>
  </si>
  <si>
    <t>BOD_403</t>
  </si>
  <si>
    <t>BOD_414</t>
  </si>
  <si>
    <t>BOD_447n</t>
  </si>
  <si>
    <t>BOD_447+GGAn</t>
  </si>
  <si>
    <t>BOD_425</t>
  </si>
  <si>
    <t>BOD_436</t>
  </si>
  <si>
    <t>BOD_436n</t>
  </si>
  <si>
    <t>BOD_436+GGAn</t>
  </si>
  <si>
    <t>BOD_469</t>
  </si>
  <si>
    <t>BOD_502</t>
  </si>
  <si>
    <t>BOD_502n</t>
  </si>
  <si>
    <t>BOD_502+GGAn</t>
  </si>
  <si>
    <t>BOD_513</t>
  </si>
  <si>
    <t>BOD_524</t>
  </si>
  <si>
    <t>BOD_535</t>
  </si>
  <si>
    <t>BOD_546</t>
  </si>
  <si>
    <t>BOD_557</t>
  </si>
  <si>
    <t>BOD_568</t>
  </si>
  <si>
    <t>BOD_579</t>
  </si>
  <si>
    <t>BOD_480</t>
  </si>
  <si>
    <t>BOD_612</t>
  </si>
  <si>
    <t>BOD_590</t>
  </si>
  <si>
    <t>BOD_370</t>
  </si>
  <si>
    <t>BOD_110</t>
  </si>
  <si>
    <t>BOD_117</t>
  </si>
  <si>
    <t>BOD_123</t>
  </si>
  <si>
    <t>BOD_123R</t>
  </si>
  <si>
    <t>BOD_115</t>
  </si>
  <si>
    <t>BOD_119</t>
  </si>
  <si>
    <t>BOD_121+GGAn</t>
  </si>
  <si>
    <t>BOD_121n</t>
  </si>
  <si>
    <t>BOD_131</t>
  </si>
  <si>
    <t>BOD_121</t>
  </si>
  <si>
    <t>BOD_237</t>
  </si>
  <si>
    <t>BOD_259</t>
  </si>
  <si>
    <t>BOD_270</t>
  </si>
  <si>
    <t>BOD_292</t>
  </si>
  <si>
    <t>BOD_281</t>
  </si>
  <si>
    <t>BOD_248</t>
  </si>
  <si>
    <t>BOD_226</t>
  </si>
  <si>
    <t>BOD_204</t>
  </si>
  <si>
    <t>BOD_215</t>
  </si>
  <si>
    <t>BOD_325</t>
  </si>
  <si>
    <t>BOD_336</t>
  </si>
  <si>
    <t>BOD_303</t>
  </si>
  <si>
    <t>BOD_325n</t>
  </si>
  <si>
    <t>BOD_325+GGAn</t>
  </si>
  <si>
    <t>BOD_391</t>
  </si>
  <si>
    <t>BOD_314</t>
  </si>
  <si>
    <t>BOD_380</t>
  </si>
  <si>
    <t>BOD_358</t>
  </si>
  <si>
    <t>BOD_457</t>
  </si>
  <si>
    <t>BOD_347</t>
  </si>
  <si>
    <t>BOD_446</t>
  </si>
  <si>
    <t>BOD_402</t>
  </si>
  <si>
    <t>BOD_413</t>
  </si>
  <si>
    <t>BOD_424</t>
  </si>
  <si>
    <t>BOD_435</t>
  </si>
  <si>
    <t>BOD_468</t>
  </si>
  <si>
    <t>BOD_501</t>
  </si>
  <si>
    <t>BOD_512</t>
  </si>
  <si>
    <t>BOD_523</t>
  </si>
  <si>
    <t>BOD_534</t>
  </si>
  <si>
    <t>BOD_545n</t>
  </si>
  <si>
    <t>BOD_545+GGAn</t>
  </si>
  <si>
    <t>BOD_545</t>
  </si>
  <si>
    <t>BOD_556</t>
  </si>
  <si>
    <t>BOD_567</t>
  </si>
  <si>
    <t>BOD_578</t>
  </si>
  <si>
    <t>BOD_479</t>
  </si>
  <si>
    <t>BOD_611n</t>
  </si>
  <si>
    <t>BOD_611+GGAn</t>
  </si>
  <si>
    <t>BOD_589</t>
  </si>
  <si>
    <t>BOD_369</t>
  </si>
  <si>
    <t>BOD_118</t>
  </si>
  <si>
    <t>BOD_113</t>
  </si>
  <si>
    <t>BOD_114</t>
  </si>
  <si>
    <t>&lt;0.01</t>
  </si>
  <si>
    <t>BOD_125n+GGAn</t>
  </si>
  <si>
    <t>regular sample with nutrients</t>
  </si>
  <si>
    <t>clear bottle, less volume, mix more in the bottle. This sample was not taking in consideration for QC</t>
  </si>
  <si>
    <t>Sample repeated at 26oC, TAC edit 0 to &lt;0.01</t>
  </si>
  <si>
    <t>SE PASO EL HOLDING TIME POR 8 HORAS, TAC edit 0 to &lt;0.01</t>
  </si>
  <si>
    <r>
      <t xml:space="preserve">TAC edit 0 to </t>
    </r>
    <r>
      <rPr>
        <sz val="12"/>
        <color theme="1"/>
        <rFont val="Calibri"/>
        <family val="2"/>
        <scheme val="minor"/>
      </rPr>
      <t>&lt;0.01</t>
    </r>
  </si>
  <si>
    <t>Ent_322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</si>
</sst>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m&quot;/&quot;d&quot;/&quot;yy"/>
    <numFmt numFmtId="165" formatCode="h&quot;:&quot;mm&quot; &quot;AM/PM"/>
    <numFmt numFmtId="166" formatCode="0.0000"/>
    <numFmt numFmtId="167" formatCode="00000"/>
    <numFmt numFmtId="168" formatCode="#,##0.0000"/>
    <numFmt numFmtId="169" formatCode="h&quot;:&quot;mm&quot;  &quot;AM/PM"/>
    <numFmt numFmtId="170" formatCode="#,##0.0"/>
    <numFmt numFmtId="171" formatCode="0.000"/>
    <numFmt numFmtId="172" formatCode="m/d/yyyy\ h:mm"/>
    <numFmt numFmtId="173" formatCode="m/d/yyyy\ h:mm:ss"/>
    <numFmt numFmtId="174" formatCode="mm/dd/yyyy\ h:mm:ss"/>
  </numFmts>
  <fonts count="3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Docs-Calibri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Times New Roman"/>
      <family val="1"/>
    </font>
    <font>
      <i/>
      <sz val="12"/>
      <color theme="1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9"/>
      <color rgb="FFF7981D"/>
      <name val="Calibri"/>
      <family val="2"/>
      <scheme val="minor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sz val="10"/>
      <color rgb="FFFF0000"/>
      <name val="Calibri"/>
      <family val="2"/>
    </font>
    <font>
      <b/>
      <sz val="12"/>
      <color rgb="FF000000"/>
      <name val="Calibri"/>
      <family val="2"/>
    </font>
    <font>
      <sz val="9"/>
      <color rgb="FF1F1F1F"/>
      <name val="Arial"/>
      <family val="2"/>
    </font>
    <font>
      <sz val="12"/>
      <color rgb="FF000000"/>
      <name val="Times New Roman"/>
      <family val="1"/>
    </font>
    <font>
      <sz val="12"/>
      <color rgb="FF1F1F1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1F1F1F"/>
      <name val="&quot;Google Sans&quot;"/>
    </font>
    <font>
      <sz val="12"/>
      <color rgb="FF434343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3"/>
      <color rgb="FF000000"/>
      <name val="Docs-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</borders>
  <cellStyleXfs count="1">
    <xf numFmtId="0" fontId="0" fillId="0" borderId="0"/>
  </cellStyleXfs>
  <cellXfs count="4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center" vertical="center" wrapText="1"/>
    </xf>
    <xf numFmtId="167" fontId="3" fillId="0" borderId="3" xfId="0" applyNumberFormat="1" applyFont="1" applyBorder="1" applyAlignment="1">
      <alignment horizontal="center" vertical="center" wrapText="1"/>
    </xf>
    <xf numFmtId="168" fontId="3" fillId="0" borderId="3" xfId="0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19" fontId="3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18" fontId="3" fillId="0" borderId="3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/>
    <xf numFmtId="4" fontId="3" fillId="3" borderId="3" xfId="0" applyNumberFormat="1" applyFont="1" applyFill="1" applyBorder="1" applyAlignment="1">
      <alignment horizontal="center" wrapText="1"/>
    </xf>
    <xf numFmtId="4" fontId="4" fillId="2" borderId="0" xfId="0" applyNumberFormat="1" applyFont="1" applyFill="1" applyAlignment="1">
      <alignment horizontal="center"/>
    </xf>
    <xf numFmtId="0" fontId="3" fillId="3" borderId="0" xfId="0" applyFont="1" applyFill="1"/>
    <xf numFmtId="18" fontId="3" fillId="3" borderId="3" xfId="0" applyNumberFormat="1" applyFont="1" applyFill="1" applyBorder="1" applyAlignment="1">
      <alignment horizontal="center" wrapText="1"/>
    </xf>
    <xf numFmtId="166" fontId="3" fillId="3" borderId="3" xfId="0" applyNumberFormat="1" applyFont="1" applyFill="1" applyBorder="1" applyAlignment="1">
      <alignment horizontal="center" wrapText="1"/>
    </xf>
    <xf numFmtId="18" fontId="3" fillId="3" borderId="3" xfId="0" applyNumberFormat="1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8" fontId="5" fillId="0" borderId="0" xfId="0" applyNumberFormat="1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165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8" fontId="6" fillId="3" borderId="3" xfId="0" applyNumberFormat="1" applyFont="1" applyFill="1" applyBorder="1" applyAlignment="1">
      <alignment horizontal="center" vertical="center" wrapText="1"/>
    </xf>
    <xf numFmtId="18" fontId="3" fillId="0" borderId="3" xfId="0" applyNumberFormat="1" applyFont="1" applyBorder="1" applyAlignment="1">
      <alignment horizontal="center" vertical="center"/>
    </xf>
    <xf numFmtId="167" fontId="7" fillId="2" borderId="3" xfId="0" applyNumberFormat="1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wrapText="1"/>
    </xf>
    <xf numFmtId="18" fontId="3" fillId="0" borderId="3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 wrapText="1"/>
    </xf>
    <xf numFmtId="168" fontId="7" fillId="2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wrapText="1"/>
    </xf>
    <xf numFmtId="168" fontId="7" fillId="2" borderId="2" xfId="0" applyNumberFormat="1" applyFont="1" applyFill="1" applyBorder="1" applyAlignment="1">
      <alignment horizontal="center" vertical="center" wrapText="1"/>
    </xf>
    <xf numFmtId="168" fontId="7" fillId="2" borderId="7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18" fontId="3" fillId="2" borderId="3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/>
    </xf>
    <xf numFmtId="168" fontId="3" fillId="0" borderId="2" xfId="0" applyNumberFormat="1" applyFont="1" applyBorder="1" applyAlignment="1">
      <alignment horizontal="center" vertical="center" wrapText="1"/>
    </xf>
    <xf numFmtId="168" fontId="3" fillId="0" borderId="7" xfId="0" applyNumberFormat="1" applyFont="1" applyBorder="1" applyAlignment="1">
      <alignment horizontal="center" vertical="center" wrapText="1"/>
    </xf>
    <xf numFmtId="18" fontId="7" fillId="2" borderId="3" xfId="0" applyNumberFormat="1" applyFont="1" applyFill="1" applyBorder="1" applyAlignment="1">
      <alignment horizontal="center"/>
    </xf>
    <xf numFmtId="168" fontId="3" fillId="0" borderId="6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7" fontId="7" fillId="0" borderId="3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7" fontId="7" fillId="2" borderId="4" xfId="0" applyNumberFormat="1" applyFont="1" applyFill="1" applyBorder="1" applyAlignment="1">
      <alignment horizontal="center"/>
    </xf>
    <xf numFmtId="18" fontId="3" fillId="0" borderId="0" xfId="0" applyNumberFormat="1" applyFont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/>
    </xf>
    <xf numFmtId="164" fontId="8" fillId="2" borderId="4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9" fontId="3" fillId="0" borderId="3" xfId="0" applyNumberFormat="1" applyFont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167" fontId="7" fillId="2" borderId="3" xfId="0" applyNumberFormat="1" applyFont="1" applyFill="1" applyBorder="1" applyAlignment="1">
      <alignment horizontal="left" wrapText="1"/>
    </xf>
    <xf numFmtId="164" fontId="7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9" fontId="7" fillId="2" borderId="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7" fontId="4" fillId="2" borderId="0" xfId="0" applyNumberFormat="1" applyFont="1" applyFill="1" applyAlignment="1">
      <alignment horizontal="center"/>
    </xf>
    <xf numFmtId="167" fontId="3" fillId="0" borderId="2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167" fontId="3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wrapText="1"/>
    </xf>
    <xf numFmtId="18" fontId="3" fillId="0" borderId="3" xfId="0" applyNumberFormat="1" applyFont="1" applyBorder="1" applyAlignment="1">
      <alignment horizontal="center" wrapText="1"/>
    </xf>
    <xf numFmtId="18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165" fontId="3" fillId="0" borderId="0" xfId="0" applyNumberFormat="1" applyFont="1" applyAlignment="1">
      <alignment horizontal="center" wrapText="1"/>
    </xf>
    <xf numFmtId="167" fontId="3" fillId="0" borderId="0" xfId="0" applyNumberFormat="1" applyFont="1" applyAlignment="1">
      <alignment horizontal="center" wrapText="1"/>
    </xf>
    <xf numFmtId="167" fontId="3" fillId="0" borderId="0" xfId="0" applyNumberFormat="1" applyFont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center" vertical="center" wrapText="1"/>
    </xf>
    <xf numFmtId="4" fontId="12" fillId="2" borderId="3" xfId="0" applyNumberFormat="1" applyFont="1" applyFill="1" applyBorder="1" applyAlignment="1">
      <alignment horizontal="center" vertical="center" wrapText="1"/>
    </xf>
    <xf numFmtId="4" fontId="12" fillId="0" borderId="3" xfId="0" applyNumberFormat="1" applyFont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165" fontId="15" fillId="2" borderId="3" xfId="0" applyNumberFormat="1" applyFont="1" applyFill="1" applyBorder="1" applyAlignment="1">
      <alignment horizontal="center" vertic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8" fontId="15" fillId="2" borderId="3" xfId="0" applyNumberFormat="1" applyFont="1" applyFill="1" applyBorder="1" applyAlignment="1">
      <alignment horizontal="center" vertical="center" wrapText="1"/>
    </xf>
    <xf numFmtId="4" fontId="15" fillId="2" borderId="3" xfId="0" applyNumberFormat="1" applyFont="1" applyFill="1" applyBorder="1" applyAlignment="1">
      <alignment horizontal="center" vertical="center" wrapText="1"/>
    </xf>
    <xf numFmtId="14" fontId="15" fillId="2" borderId="3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 wrapText="1"/>
    </xf>
    <xf numFmtId="167" fontId="15" fillId="2" borderId="3" xfId="0" applyNumberFormat="1" applyFont="1" applyFill="1" applyBorder="1" applyAlignment="1">
      <alignment horizontal="center" vertical="center" wrapText="1"/>
    </xf>
    <xf numFmtId="167" fontId="16" fillId="0" borderId="13" xfId="0" applyNumberFormat="1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164" fontId="15" fillId="4" borderId="3" xfId="0" applyNumberFormat="1" applyFont="1" applyFill="1" applyBorder="1" applyAlignment="1">
      <alignment horizontal="center" vertical="center" wrapText="1"/>
    </xf>
    <xf numFmtId="165" fontId="15" fillId="4" borderId="3" xfId="0" applyNumberFormat="1" applyFont="1" applyFill="1" applyBorder="1" applyAlignment="1">
      <alignment horizontal="center" vertical="center" wrapText="1"/>
    </xf>
    <xf numFmtId="18" fontId="15" fillId="4" borderId="3" xfId="0" applyNumberFormat="1" applyFont="1" applyFill="1" applyBorder="1" applyAlignment="1">
      <alignment horizontal="center" vertical="center" wrapText="1"/>
    </xf>
    <xf numFmtId="4" fontId="15" fillId="4" borderId="3" xfId="0" applyNumberFormat="1" applyFont="1" applyFill="1" applyBorder="1" applyAlignment="1">
      <alignment horizontal="center" vertical="center" wrapText="1"/>
    </xf>
    <xf numFmtId="14" fontId="15" fillId="4" borderId="3" xfId="0" applyNumberFormat="1" applyFont="1" applyFill="1" applyBorder="1" applyAlignment="1">
      <alignment horizontal="center" vertical="center" wrapText="1"/>
    </xf>
    <xf numFmtId="167" fontId="15" fillId="4" borderId="3" xfId="0" applyNumberFormat="1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2" borderId="3" xfId="0" applyFont="1" applyFill="1" applyBorder="1" applyAlignment="1">
      <alignment horizontal="center" vertical="center"/>
    </xf>
    <xf numFmtId="167" fontId="16" fillId="2" borderId="13" xfId="0" applyNumberFormat="1" applyFont="1" applyFill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 wrapText="1"/>
    </xf>
    <xf numFmtId="0" fontId="5" fillId="2" borderId="0" xfId="0" applyFont="1" applyFill="1"/>
    <xf numFmtId="0" fontId="17" fillId="0" borderId="0" xfId="0" applyFont="1"/>
    <xf numFmtId="0" fontId="5" fillId="2" borderId="0" xfId="0" applyFont="1" applyFill="1" applyAlignment="1">
      <alignment wrapText="1"/>
    </xf>
    <xf numFmtId="0" fontId="18" fillId="2" borderId="0" xfId="0" applyFont="1" applyFill="1" applyAlignment="1">
      <alignment horizontal="left" wrapText="1"/>
    </xf>
    <xf numFmtId="0" fontId="19" fillId="2" borderId="0" xfId="0" applyFont="1" applyFill="1" applyAlignment="1">
      <alignment vertical="center" wrapText="1"/>
    </xf>
    <xf numFmtId="0" fontId="15" fillId="0" borderId="0" xfId="0" applyFont="1" applyAlignment="1">
      <alignment vertical="center"/>
    </xf>
    <xf numFmtId="165" fontId="20" fillId="2" borderId="3" xfId="0" applyNumberFormat="1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18" fontId="20" fillId="2" borderId="3" xfId="0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center"/>
    </xf>
    <xf numFmtId="18" fontId="15" fillId="4" borderId="3" xfId="0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18" fontId="15" fillId="2" borderId="3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18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5" fontId="15" fillId="4" borderId="3" xfId="0" applyNumberFormat="1" applyFont="1" applyFill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 wrapText="1"/>
    </xf>
    <xf numFmtId="4" fontId="15" fillId="2" borderId="0" xfId="0" applyNumberFormat="1" applyFont="1" applyFill="1" applyAlignment="1">
      <alignment horizontal="center" vertical="center" wrapText="1"/>
    </xf>
    <xf numFmtId="164" fontId="15" fillId="2" borderId="0" xfId="0" applyNumberFormat="1" applyFont="1" applyFill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5" fontId="18" fillId="2" borderId="0" xfId="0" applyNumberFormat="1" applyFont="1" applyFill="1" applyAlignment="1">
      <alignment horizontal="center" vertical="center"/>
    </xf>
    <xf numFmtId="18" fontId="18" fillId="2" borderId="0" xfId="0" applyNumberFormat="1" applyFont="1" applyFill="1" applyAlignment="1">
      <alignment horizontal="center" vertical="center"/>
    </xf>
    <xf numFmtId="4" fontId="18" fillId="2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8" fontId="15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vertical="center" wrapText="1"/>
    </xf>
    <xf numFmtId="165" fontId="15" fillId="2" borderId="14" xfId="0" applyNumberFormat="1" applyFont="1" applyFill="1" applyBorder="1" applyAlignment="1">
      <alignment vertical="center" wrapText="1"/>
    </xf>
    <xf numFmtId="164" fontId="15" fillId="2" borderId="14" xfId="0" applyNumberFormat="1" applyFont="1" applyFill="1" applyBorder="1" applyAlignment="1">
      <alignment vertical="center" wrapText="1"/>
    </xf>
    <xf numFmtId="165" fontId="15" fillId="2" borderId="14" xfId="0" applyNumberFormat="1" applyFont="1" applyFill="1" applyBorder="1" applyAlignment="1">
      <alignment horizontal="center" vertical="center" wrapText="1"/>
    </xf>
    <xf numFmtId="4" fontId="15" fillId="2" borderId="14" xfId="0" applyNumberFormat="1" applyFont="1" applyFill="1" applyBorder="1" applyAlignment="1">
      <alignment horizontal="center" vertical="center" wrapText="1"/>
    </xf>
    <xf numFmtId="165" fontId="15" fillId="2" borderId="4" xfId="0" applyNumberFormat="1" applyFont="1" applyFill="1" applyBorder="1" applyAlignment="1">
      <alignment vertical="center" wrapText="1"/>
    </xf>
    <xf numFmtId="164" fontId="15" fillId="2" borderId="4" xfId="0" applyNumberFormat="1" applyFont="1" applyFill="1" applyBorder="1" applyAlignment="1">
      <alignment vertical="center" wrapText="1"/>
    </xf>
    <xf numFmtId="165" fontId="15" fillId="2" borderId="4" xfId="0" applyNumberFormat="1" applyFont="1" applyFill="1" applyBorder="1" applyAlignment="1">
      <alignment horizontal="center" vertical="center" wrapText="1"/>
    </xf>
    <xf numFmtId="4" fontId="15" fillId="2" borderId="4" xfId="0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64" fontId="21" fillId="0" borderId="3" xfId="0" applyNumberFormat="1" applyFont="1" applyBorder="1" applyAlignment="1">
      <alignment horizontal="center" vertical="center" wrapText="1"/>
    </xf>
    <xf numFmtId="4" fontId="21" fillId="0" borderId="3" xfId="0" applyNumberFormat="1" applyFont="1" applyBorder="1" applyAlignment="1">
      <alignment horizontal="center" vertical="center" wrapText="1"/>
    </xf>
    <xf numFmtId="171" fontId="21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5" borderId="3" xfId="0" applyFont="1" applyFill="1" applyBorder="1" applyAlignment="1">
      <alignment horizontal="center" wrapText="1"/>
    </xf>
    <xf numFmtId="4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wrapText="1"/>
    </xf>
    <xf numFmtId="171" fontId="7" fillId="0" borderId="15" xfId="0" applyNumberFormat="1" applyFont="1" applyBorder="1" applyAlignment="1">
      <alignment horizontal="center" wrapText="1"/>
    </xf>
    <xf numFmtId="4" fontId="7" fillId="0" borderId="15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18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1" fontId="7" fillId="0" borderId="3" xfId="0" applyNumberFormat="1" applyFont="1" applyBorder="1" applyAlignment="1">
      <alignment horizontal="center" vertical="center"/>
    </xf>
    <xf numFmtId="171" fontId="7" fillId="0" borderId="15" xfId="0" applyNumberFormat="1" applyFont="1" applyBorder="1" applyAlignment="1">
      <alignment horizontal="center"/>
    </xf>
    <xf numFmtId="4" fontId="7" fillId="0" borderId="15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18" fontId="7" fillId="0" borderId="3" xfId="0" applyNumberFormat="1" applyFont="1" applyBorder="1" applyAlignment="1">
      <alignment horizontal="center"/>
    </xf>
    <xf numFmtId="17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 wrapText="1"/>
    </xf>
    <xf numFmtId="165" fontId="7" fillId="0" borderId="3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22" fillId="2" borderId="4" xfId="0" applyFont="1" applyFill="1" applyBorder="1"/>
    <xf numFmtId="0" fontId="7" fillId="2" borderId="3" xfId="0" applyFont="1" applyFill="1" applyBorder="1" applyAlignment="1">
      <alignment horizontal="left" vertical="center" wrapText="1"/>
    </xf>
    <xf numFmtId="171" fontId="4" fillId="2" borderId="3" xfId="0" applyNumberFormat="1" applyFont="1" applyFill="1" applyBorder="1" applyAlignment="1">
      <alignment horizontal="center"/>
    </xf>
    <xf numFmtId="171" fontId="7" fillId="2" borderId="3" xfId="0" applyNumberFormat="1" applyFont="1" applyFill="1" applyBorder="1" applyAlignment="1">
      <alignment horizontal="center"/>
    </xf>
    <xf numFmtId="4" fontId="3" fillId="0" borderId="3" xfId="0" applyNumberFormat="1" applyFont="1" applyBorder="1" applyAlignment="1">
      <alignment horizontal="center" vertical="center"/>
    </xf>
    <xf numFmtId="171" fontId="3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vertical="center" wrapText="1"/>
    </xf>
    <xf numFmtId="14" fontId="7" fillId="0" borderId="3" xfId="0" applyNumberFormat="1" applyFont="1" applyBorder="1" applyAlignment="1">
      <alignment horizontal="center" vertical="center"/>
    </xf>
    <xf numFmtId="18" fontId="5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8" fontId="3" fillId="2" borderId="3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71" fontId="3" fillId="2" borderId="3" xfId="0" applyNumberFormat="1" applyFont="1" applyFill="1" applyBorder="1" applyAlignment="1">
      <alignment horizontal="center" vertical="center"/>
    </xf>
    <xf numFmtId="164" fontId="23" fillId="2" borderId="3" xfId="0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horizontal="center" vertical="center"/>
    </xf>
    <xf numFmtId="171" fontId="3" fillId="2" borderId="4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 vertical="center" wrapText="1"/>
    </xf>
    <xf numFmtId="4" fontId="3" fillId="0" borderId="3" xfId="0" applyNumberFormat="1" applyFont="1" applyBorder="1" applyAlignment="1">
      <alignment horizontal="center"/>
    </xf>
    <xf numFmtId="18" fontId="3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8" fontId="6" fillId="2" borderId="3" xfId="0" applyNumberFormat="1" applyFont="1" applyFill="1" applyBorder="1" applyAlignment="1">
      <alignment horizontal="center" vertical="center" wrapText="1"/>
    </xf>
    <xf numFmtId="18" fontId="6" fillId="2" borderId="3" xfId="0" applyNumberFormat="1" applyFont="1" applyFill="1" applyBorder="1" applyAlignment="1">
      <alignment horizontal="center"/>
    </xf>
    <xf numFmtId="0" fontId="20" fillId="0" borderId="3" xfId="0" applyFont="1" applyBorder="1" applyAlignment="1">
      <alignment horizontal="left" vertical="center" wrapText="1"/>
    </xf>
    <xf numFmtId="14" fontId="7" fillId="2" borderId="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/>
    <xf numFmtId="0" fontId="15" fillId="0" borderId="0" xfId="0" applyFont="1"/>
    <xf numFmtId="0" fontId="2" fillId="0" borderId="3" xfId="0" applyFont="1" applyBorder="1" applyAlignment="1">
      <alignment horizontal="center"/>
    </xf>
    <xf numFmtId="46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46" fontId="3" fillId="4" borderId="3" xfId="0" applyNumberFormat="1" applyFont="1" applyFill="1" applyBorder="1" applyAlignment="1">
      <alignment horizontal="center"/>
    </xf>
    <xf numFmtId="0" fontId="7" fillId="4" borderId="3" xfId="0" applyFont="1" applyFill="1" applyBorder="1"/>
    <xf numFmtId="4" fontId="3" fillId="4" borderId="3" xfId="0" applyNumberFormat="1" applyFont="1" applyFill="1" applyBorder="1" applyAlignment="1">
      <alignment horizontal="center"/>
    </xf>
    <xf numFmtId="1" fontId="7" fillId="4" borderId="3" xfId="0" applyNumberFormat="1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46" fontId="3" fillId="2" borderId="3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20" fontId="3" fillId="2" borderId="3" xfId="0" applyNumberFormat="1" applyFont="1" applyFill="1" applyBorder="1" applyAlignment="1">
      <alignment horizontal="center"/>
    </xf>
    <xf numFmtId="46" fontId="3" fillId="0" borderId="3" xfId="0" applyNumberFormat="1" applyFont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24" fillId="4" borderId="3" xfId="0" applyFont="1" applyFill="1" applyBorder="1"/>
    <xf numFmtId="1" fontId="7" fillId="2" borderId="3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6" borderId="3" xfId="0" applyFont="1" applyFill="1" applyBorder="1" applyAlignment="1">
      <alignment horizontal="center"/>
    </xf>
    <xf numFmtId="14" fontId="3" fillId="6" borderId="3" xfId="0" applyNumberFormat="1" applyFont="1" applyFill="1" applyBorder="1" applyAlignment="1">
      <alignment horizontal="center"/>
    </xf>
    <xf numFmtId="46" fontId="3" fillId="6" borderId="3" xfId="0" applyNumberFormat="1" applyFont="1" applyFill="1" applyBorder="1" applyAlignment="1">
      <alignment horizontal="center"/>
    </xf>
    <xf numFmtId="0" fontId="24" fillId="6" borderId="3" xfId="0" applyFont="1" applyFill="1" applyBorder="1"/>
    <xf numFmtId="4" fontId="3" fillId="6" borderId="3" xfId="0" applyNumberFormat="1" applyFont="1" applyFill="1" applyBorder="1" applyAlignment="1">
      <alignment horizontal="center"/>
    </xf>
    <xf numFmtId="1" fontId="7" fillId="6" borderId="3" xfId="0" applyNumberFormat="1" applyFont="1" applyFill="1" applyBorder="1" applyAlignment="1">
      <alignment horizontal="center"/>
    </xf>
    <xf numFmtId="46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46" fontId="5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25" fillId="7" borderId="16" xfId="0" applyFont="1" applyFill="1" applyBorder="1"/>
    <xf numFmtId="0" fontId="25" fillId="7" borderId="17" xfId="0" applyFont="1" applyFill="1" applyBorder="1"/>
    <xf numFmtId="0" fontId="25" fillId="7" borderId="18" xfId="0" applyFont="1" applyFill="1" applyBorder="1"/>
    <xf numFmtId="0" fontId="26" fillId="8" borderId="16" xfId="0" applyFont="1" applyFill="1" applyBorder="1"/>
    <xf numFmtId="0" fontId="26" fillId="8" borderId="17" xfId="0" applyFont="1" applyFill="1" applyBorder="1"/>
    <xf numFmtId="0" fontId="26" fillId="8" borderId="17" xfId="0" applyFont="1" applyFill="1" applyBorder="1" applyAlignment="1">
      <alignment horizontal="right"/>
    </xf>
    <xf numFmtId="172" fontId="26" fillId="8" borderId="17" xfId="0" applyNumberFormat="1" applyFont="1" applyFill="1" applyBorder="1" applyAlignment="1">
      <alignment horizontal="center"/>
    </xf>
    <xf numFmtId="0" fontId="26" fillId="8" borderId="18" xfId="0" applyFont="1" applyFill="1" applyBorder="1" applyAlignment="1">
      <alignment horizontal="right"/>
    </xf>
    <xf numFmtId="0" fontId="26" fillId="0" borderId="16" xfId="0" applyFont="1" applyBorder="1"/>
    <xf numFmtId="0" fontId="26" fillId="0" borderId="17" xfId="0" applyFont="1" applyBorder="1"/>
    <xf numFmtId="0" fontId="26" fillId="0" borderId="17" xfId="0" applyFont="1" applyBorder="1" applyAlignment="1">
      <alignment horizontal="right"/>
    </xf>
    <xf numFmtId="172" fontId="26" fillId="0" borderId="17" xfId="0" applyNumberFormat="1" applyFont="1" applyBorder="1" applyAlignment="1">
      <alignment horizontal="center"/>
    </xf>
    <xf numFmtId="0" fontId="26" fillId="0" borderId="18" xfId="0" applyFont="1" applyBorder="1" applyAlignment="1">
      <alignment horizontal="right"/>
    </xf>
    <xf numFmtId="173" fontId="26" fillId="8" borderId="17" xfId="0" applyNumberFormat="1" applyFont="1" applyFill="1" applyBorder="1"/>
    <xf numFmtId="173" fontId="26" fillId="0" borderId="17" xfId="0" applyNumberFormat="1" applyFont="1" applyBorder="1"/>
    <xf numFmtId="0" fontId="26" fillId="6" borderId="16" xfId="0" applyFont="1" applyFill="1" applyBorder="1"/>
    <xf numFmtId="0" fontId="26" fillId="6" borderId="17" xfId="0" applyFont="1" applyFill="1" applyBorder="1"/>
    <xf numFmtId="0" fontId="26" fillId="6" borderId="17" xfId="0" applyFont="1" applyFill="1" applyBorder="1" applyAlignment="1">
      <alignment horizontal="right"/>
    </xf>
    <xf numFmtId="172" fontId="26" fillId="6" borderId="17" xfId="0" applyNumberFormat="1" applyFont="1" applyFill="1" applyBorder="1" applyAlignment="1">
      <alignment horizontal="center"/>
    </xf>
    <xf numFmtId="0" fontId="26" fillId="6" borderId="18" xfId="0" applyFont="1" applyFill="1" applyBorder="1" applyAlignment="1">
      <alignment horizontal="right"/>
    </xf>
    <xf numFmtId="0" fontId="26" fillId="9" borderId="0" xfId="0" applyFont="1" applyFill="1"/>
    <xf numFmtId="173" fontId="26" fillId="9" borderId="0" xfId="0" applyNumberFormat="1" applyFont="1" applyFill="1"/>
    <xf numFmtId="0" fontId="26" fillId="0" borderId="19" xfId="0" applyFont="1" applyBorder="1"/>
    <xf numFmtId="0" fontId="26" fillId="0" borderId="20" xfId="0" applyFont="1" applyBorder="1"/>
    <xf numFmtId="0" fontId="26" fillId="0" borderId="20" xfId="0" applyFont="1" applyBorder="1" applyAlignment="1">
      <alignment horizontal="right"/>
    </xf>
    <xf numFmtId="172" fontId="26" fillId="0" borderId="20" xfId="0" applyNumberFormat="1" applyFont="1" applyBorder="1" applyAlignment="1">
      <alignment horizontal="center"/>
    </xf>
    <xf numFmtId="0" fontId="26" fillId="0" borderId="21" xfId="0" applyFont="1" applyBorder="1" applyAlignment="1">
      <alignment horizontal="right"/>
    </xf>
    <xf numFmtId="0" fontId="26" fillId="8" borderId="19" xfId="0" applyFont="1" applyFill="1" applyBorder="1"/>
    <xf numFmtId="0" fontId="26" fillId="8" borderId="20" xfId="0" applyFont="1" applyFill="1" applyBorder="1"/>
    <xf numFmtId="0" fontId="26" fillId="8" borderId="20" xfId="0" applyFont="1" applyFill="1" applyBorder="1" applyAlignment="1">
      <alignment horizontal="right"/>
    </xf>
    <xf numFmtId="172" fontId="26" fillId="8" borderId="20" xfId="0" applyNumberFormat="1" applyFont="1" applyFill="1" applyBorder="1" applyAlignment="1">
      <alignment horizontal="center"/>
    </xf>
    <xf numFmtId="0" fontId="26" fillId="8" borderId="21" xfId="0" applyFont="1" applyFill="1" applyBorder="1" applyAlignment="1">
      <alignment horizontal="right"/>
    </xf>
    <xf numFmtId="0" fontId="26" fillId="6" borderId="19" xfId="0" applyFont="1" applyFill="1" applyBorder="1"/>
    <xf numFmtId="0" fontId="26" fillId="6" borderId="20" xfId="0" applyFont="1" applyFill="1" applyBorder="1"/>
    <xf numFmtId="0" fontId="26" fillId="6" borderId="20" xfId="0" applyFont="1" applyFill="1" applyBorder="1" applyAlignment="1">
      <alignment horizontal="right"/>
    </xf>
    <xf numFmtId="172" fontId="26" fillId="6" borderId="20" xfId="0" applyNumberFormat="1" applyFont="1" applyFill="1" applyBorder="1" applyAlignment="1">
      <alignment horizontal="center"/>
    </xf>
    <xf numFmtId="0" fontId="26" fillId="6" borderId="21" xfId="0" applyFont="1" applyFill="1" applyBorder="1" applyAlignment="1">
      <alignment horizontal="right"/>
    </xf>
    <xf numFmtId="173" fontId="26" fillId="0" borderId="20" xfId="0" applyNumberFormat="1" applyFont="1" applyBorder="1"/>
    <xf numFmtId="0" fontId="26" fillId="8" borderId="18" xfId="0" applyFont="1" applyFill="1" applyBorder="1"/>
    <xf numFmtId="0" fontId="26" fillId="6" borderId="0" xfId="0" applyFont="1" applyFill="1"/>
    <xf numFmtId="173" fontId="26" fillId="6" borderId="0" xfId="0" applyNumberFormat="1" applyFont="1" applyFill="1"/>
    <xf numFmtId="173" fontId="26" fillId="8" borderId="20" xfId="0" applyNumberFormat="1" applyFont="1" applyFill="1" applyBorder="1"/>
    <xf numFmtId="173" fontId="5" fillId="0" borderId="0" xfId="0" applyNumberFormat="1" applyFont="1"/>
    <xf numFmtId="0" fontId="2" fillId="0" borderId="0" xfId="0" applyFont="1" applyAlignment="1">
      <alignment horizontal="center" vertical="center"/>
    </xf>
    <xf numFmtId="0" fontId="27" fillId="2" borderId="3" xfId="0" applyFont="1" applyFill="1" applyBorder="1" applyAlignment="1">
      <alignment horizontal="center"/>
    </xf>
    <xf numFmtId="0" fontId="2" fillId="0" borderId="0" xfId="0" applyFont="1"/>
    <xf numFmtId="0" fontId="21" fillId="0" borderId="0" xfId="0" applyFont="1"/>
    <xf numFmtId="0" fontId="3" fillId="4" borderId="0" xfId="0" applyFont="1" applyFill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7" fillId="4" borderId="17" xfId="0" applyFont="1" applyFill="1" applyBorder="1"/>
    <xf numFmtId="4" fontId="7" fillId="4" borderId="17" xfId="0" applyNumberFormat="1" applyFont="1" applyFill="1" applyBorder="1" applyAlignment="1">
      <alignment horizontal="center" wrapText="1"/>
    </xf>
    <xf numFmtId="4" fontId="3" fillId="4" borderId="3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7" fillId="0" borderId="0" xfId="0" applyFont="1"/>
    <xf numFmtId="0" fontId="3" fillId="4" borderId="3" xfId="0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4" borderId="17" xfId="0" applyFont="1" applyFill="1" applyBorder="1" applyAlignment="1">
      <alignment horizontal="center" wrapText="1"/>
    </xf>
    <xf numFmtId="0" fontId="28" fillId="2" borderId="3" xfId="0" applyFon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7" fillId="4" borderId="20" xfId="0" applyFont="1" applyFill="1" applyBorder="1" applyAlignment="1">
      <alignment horizontal="center" wrapText="1"/>
    </xf>
    <xf numFmtId="4" fontId="7" fillId="4" borderId="20" xfId="0" applyNumberFormat="1" applyFont="1" applyFill="1" applyBorder="1" applyAlignment="1">
      <alignment horizontal="center" wrapText="1"/>
    </xf>
    <xf numFmtId="0" fontId="0" fillId="4" borderId="0" xfId="0" applyFill="1"/>
    <xf numFmtId="14" fontId="0" fillId="4" borderId="0" xfId="0" applyNumberFormat="1" applyFill="1" applyAlignment="1">
      <alignment horizontal="center"/>
    </xf>
    <xf numFmtId="4" fontId="0" fillId="4" borderId="3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4" fontId="3" fillId="2" borderId="0" xfId="0" applyNumberFormat="1" applyFont="1" applyFill="1" applyAlignment="1">
      <alignment vertical="center"/>
    </xf>
    <xf numFmtId="22" fontId="3" fillId="2" borderId="0" xfId="0" applyNumberFormat="1" applyFont="1" applyFill="1"/>
    <xf numFmtId="0" fontId="3" fillId="9" borderId="0" xfId="0" applyFont="1" applyFill="1"/>
    <xf numFmtId="0" fontId="7" fillId="9" borderId="0" xfId="0" applyFont="1" applyFill="1"/>
    <xf numFmtId="0" fontId="29" fillId="9" borderId="0" xfId="0" applyFont="1" applyFill="1"/>
    <xf numFmtId="0" fontId="0" fillId="0" borderId="0" xfId="0" applyAlignment="1">
      <alignment vertical="center"/>
    </xf>
    <xf numFmtId="0" fontId="7" fillId="2" borderId="0" xfId="0" applyFont="1" applyFill="1"/>
    <xf numFmtId="0" fontId="26" fillId="0" borderId="18" xfId="0" applyFont="1" applyBorder="1"/>
    <xf numFmtId="0" fontId="7" fillId="6" borderId="16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 wrapText="1"/>
    </xf>
    <xf numFmtId="0" fontId="7" fillId="6" borderId="18" xfId="0" applyFont="1" applyFill="1" applyBorder="1" applyAlignment="1">
      <alignment wrapText="1"/>
    </xf>
    <xf numFmtId="0" fontId="7" fillId="6" borderId="0" xfId="0" applyFont="1" applyFill="1"/>
    <xf numFmtId="0" fontId="5" fillId="6" borderId="0" xfId="0" applyFont="1" applyFill="1"/>
    <xf numFmtId="0" fontId="7" fillId="8" borderId="16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 wrapText="1"/>
    </xf>
    <xf numFmtId="0" fontId="7" fillId="8" borderId="18" xfId="0" applyFont="1" applyFill="1" applyBorder="1" applyAlignment="1">
      <alignment wrapText="1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 wrapText="1"/>
    </xf>
    <xf numFmtId="174" fontId="7" fillId="0" borderId="17" xfId="0" applyNumberFormat="1" applyFont="1" applyBorder="1" applyAlignment="1">
      <alignment horizontal="center" wrapText="1"/>
    </xf>
    <xf numFmtId="0" fontId="7" fillId="0" borderId="18" xfId="0" applyFont="1" applyBorder="1" applyAlignment="1">
      <alignment wrapText="1"/>
    </xf>
    <xf numFmtId="173" fontId="7" fillId="8" borderId="17" xfId="0" applyNumberFormat="1" applyFont="1" applyFill="1" applyBorder="1" applyAlignment="1">
      <alignment horizontal="center" wrapText="1"/>
    </xf>
    <xf numFmtId="173" fontId="7" fillId="0" borderId="17" xfId="0" applyNumberFormat="1" applyFont="1" applyBorder="1" applyAlignment="1">
      <alignment horizontal="center" wrapText="1"/>
    </xf>
    <xf numFmtId="173" fontId="7" fillId="6" borderId="17" xfId="0" applyNumberFormat="1" applyFont="1" applyFill="1" applyBorder="1" applyAlignment="1">
      <alignment horizontal="center" wrapText="1"/>
    </xf>
    <xf numFmtId="174" fontId="7" fillId="8" borderId="17" xfId="0" applyNumberFormat="1" applyFont="1" applyFill="1" applyBorder="1" applyAlignment="1">
      <alignment horizontal="center" wrapText="1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6" borderId="0" xfId="0" applyFont="1" applyFill="1" applyAlignment="1">
      <alignment wrapText="1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wrapText="1"/>
    </xf>
    <xf numFmtId="0" fontId="7" fillId="8" borderId="19" xfId="0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" wrapText="1"/>
    </xf>
    <xf numFmtId="0" fontId="7" fillId="8" borderId="21" xfId="0" applyFont="1" applyFill="1" applyBorder="1" applyAlignment="1">
      <alignment wrapText="1"/>
    </xf>
    <xf numFmtId="173" fontId="7" fillId="8" borderId="20" xfId="0" applyNumberFormat="1" applyFont="1" applyFill="1" applyBorder="1" applyAlignment="1">
      <alignment horizontal="center" wrapText="1"/>
    </xf>
    <xf numFmtId="173" fontId="7" fillId="0" borderId="20" xfId="0" applyNumberFormat="1" applyFont="1" applyBorder="1" applyAlignment="1">
      <alignment horizontal="center" wrapText="1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wrapText="1"/>
    </xf>
    <xf numFmtId="173" fontId="7" fillId="2" borderId="20" xfId="0" applyNumberFormat="1" applyFont="1" applyFill="1" applyBorder="1" applyAlignment="1">
      <alignment horizontal="center" wrapText="1"/>
    </xf>
    <xf numFmtId="0" fontId="7" fillId="2" borderId="21" xfId="0" applyFont="1" applyFill="1" applyBorder="1" applyAlignment="1">
      <alignment wrapText="1"/>
    </xf>
    <xf numFmtId="174" fontId="7" fillId="8" borderId="20" xfId="0" applyNumberFormat="1" applyFont="1" applyFill="1" applyBorder="1" applyAlignment="1">
      <alignment horizontal="center" wrapText="1"/>
    </xf>
    <xf numFmtId="174" fontId="7" fillId="0" borderId="20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/>
    <xf numFmtId="14" fontId="7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14" fontId="7" fillId="0" borderId="0" xfId="0" applyNumberFormat="1" applyFont="1"/>
    <xf numFmtId="0" fontId="7" fillId="0" borderId="0" xfId="0" applyFont="1" applyAlignment="1">
      <alignment horizontal="right"/>
    </xf>
    <xf numFmtId="0" fontId="5" fillId="0" borderId="0" xfId="0" applyFont="1"/>
    <xf numFmtId="0" fontId="7" fillId="2" borderId="0" xfId="0" applyFont="1" applyFill="1" applyAlignment="1">
      <alignment horizontal="right"/>
    </xf>
    <xf numFmtId="0" fontId="30" fillId="0" borderId="0" xfId="0" applyFont="1"/>
    <xf numFmtId="0" fontId="31" fillId="0" borderId="0" xfId="0" applyFont="1"/>
    <xf numFmtId="167" fontId="3" fillId="0" borderId="2" xfId="0" applyNumberFormat="1" applyFont="1" applyBorder="1" applyAlignment="1">
      <alignment horizontal="left" vertical="center" wrapText="1"/>
    </xf>
    <xf numFmtId="0" fontId="11" fillId="0" borderId="6" xfId="0" applyFont="1" applyBorder="1"/>
    <xf numFmtId="167" fontId="3" fillId="0" borderId="2" xfId="0" applyNumberFormat="1" applyFont="1" applyBorder="1" applyAlignment="1">
      <alignment horizontal="center" vertical="center" wrapText="1"/>
    </xf>
    <xf numFmtId="0" fontId="11" fillId="0" borderId="7" xfId="0" applyFont="1" applyBorder="1"/>
    <xf numFmtId="167" fontId="7" fillId="2" borderId="2" xfId="0" applyNumberFormat="1" applyFont="1" applyFill="1" applyBorder="1" applyAlignment="1">
      <alignment horizontal="left" vertical="center" wrapText="1"/>
    </xf>
    <xf numFmtId="167" fontId="7" fillId="2" borderId="2" xfId="0" applyNumberFormat="1" applyFont="1" applyFill="1" applyBorder="1" applyAlignment="1">
      <alignment horizontal="left" vertical="center"/>
    </xf>
    <xf numFmtId="167" fontId="7" fillId="2" borderId="10" xfId="0" applyNumberFormat="1" applyFont="1" applyFill="1" applyBorder="1" applyAlignment="1">
      <alignment horizontal="left" vertical="center" wrapText="1"/>
    </xf>
    <xf numFmtId="0" fontId="11" fillId="0" borderId="11" xfId="0" applyFont="1" applyBorder="1"/>
    <xf numFmtId="0" fontId="11" fillId="0" borderId="12" xfId="0" applyFont="1" applyBorder="1"/>
    <xf numFmtId="167" fontId="3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7" fillId="8" borderId="17" xfId="0" applyFont="1" applyFill="1" applyBorder="1" applyAlignment="1">
      <alignment wrapText="1"/>
    </xf>
    <xf numFmtId="0" fontId="11" fillId="0" borderId="17" xfId="0" applyFont="1" applyBorder="1"/>
    <xf numFmtId="0" fontId="11" fillId="0" borderId="18" xfId="0" applyFont="1" applyBorder="1"/>
    <xf numFmtId="0" fontId="7" fillId="0" borderId="1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8"/>
  <sheetViews>
    <sheetView workbookViewId="0">
      <pane ySplit="1" topLeftCell="A2" activePane="bottomLeft" state="frozen"/>
      <selection pane="bottomLeft" activeCell="B3" sqref="B3"/>
    </sheetView>
  </sheetViews>
  <sheetFormatPr defaultColWidth="11.125" defaultRowHeight="15" customHeight="1"/>
  <cols>
    <col min="1" max="1" width="9.375" customWidth="1"/>
    <col min="2" max="3" width="8.5" customWidth="1"/>
    <col min="4" max="4" width="9" customWidth="1"/>
    <col min="5" max="5" width="9.375" customWidth="1"/>
    <col min="6" max="6" width="10" customWidth="1"/>
    <col min="7" max="8" width="8.875" customWidth="1"/>
    <col min="9" max="9" width="9" customWidth="1"/>
    <col min="10" max="11" width="8.875" customWidth="1"/>
    <col min="12" max="12" width="9.5" customWidth="1"/>
    <col min="13" max="13" width="11.125" customWidth="1"/>
    <col min="14" max="14" width="7.875" customWidth="1"/>
    <col min="15" max="16" width="7.5" customWidth="1"/>
    <col min="17" max="17" width="7.875" customWidth="1"/>
    <col min="18" max="29" width="10.5" customWidth="1"/>
  </cols>
  <sheetData>
    <row r="1" spans="1:29" ht="6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.75" customHeight="1">
      <c r="A2" s="10" t="s">
        <v>16</v>
      </c>
      <c r="B2" s="11">
        <v>100.8</v>
      </c>
      <c r="C2" s="12" t="s">
        <v>17</v>
      </c>
      <c r="D2" s="13" t="s">
        <v>17</v>
      </c>
      <c r="E2" s="12">
        <v>45188</v>
      </c>
      <c r="F2" s="13">
        <v>0.42083333333333334</v>
      </c>
      <c r="G2" s="11">
        <v>112.2</v>
      </c>
      <c r="H2" s="14">
        <v>1</v>
      </c>
      <c r="I2" s="11">
        <v>209.2</v>
      </c>
      <c r="J2" s="11">
        <v>209.3</v>
      </c>
      <c r="K2" s="11" t="s">
        <v>18</v>
      </c>
      <c r="L2" s="14" t="s">
        <v>19</v>
      </c>
      <c r="M2" s="15" t="s">
        <v>20</v>
      </c>
      <c r="N2" s="11">
        <f t="shared" ref="N2:N58" si="0">(J2-G2)/H2</f>
        <v>97.100000000000009</v>
      </c>
      <c r="O2" s="16" t="s">
        <v>21</v>
      </c>
      <c r="P2" s="16" t="s">
        <v>22</v>
      </c>
      <c r="Q2" s="17"/>
      <c r="R2" s="18"/>
      <c r="S2" s="17"/>
      <c r="T2" s="9"/>
      <c r="U2" s="17"/>
      <c r="V2" s="17"/>
      <c r="W2" s="17"/>
      <c r="X2" s="17"/>
      <c r="Y2" s="17"/>
      <c r="Z2" s="17"/>
      <c r="AA2" s="17"/>
      <c r="AB2" s="17"/>
      <c r="AC2" s="17"/>
    </row>
    <row r="3" spans="1:29" ht="15.75">
      <c r="A3" s="10" t="s">
        <v>23</v>
      </c>
      <c r="B3" s="11" t="s">
        <v>17</v>
      </c>
      <c r="C3" s="12">
        <v>45188</v>
      </c>
      <c r="D3" s="19">
        <v>0.42986111111111114</v>
      </c>
      <c r="E3" s="12">
        <v>45188</v>
      </c>
      <c r="F3" s="13">
        <v>0.48402777777777778</v>
      </c>
      <c r="G3" s="11">
        <v>110.3</v>
      </c>
      <c r="H3" s="14">
        <v>1</v>
      </c>
      <c r="I3" s="11">
        <v>115</v>
      </c>
      <c r="J3" s="11">
        <v>115.4</v>
      </c>
      <c r="K3" s="11" t="s">
        <v>18</v>
      </c>
      <c r="L3" s="14" t="s">
        <v>24</v>
      </c>
      <c r="M3" s="15" t="s">
        <v>25</v>
      </c>
      <c r="N3" s="11">
        <f t="shared" si="0"/>
        <v>5.1000000000000085</v>
      </c>
      <c r="O3" s="16" t="s">
        <v>21</v>
      </c>
      <c r="P3" s="16" t="s">
        <v>22</v>
      </c>
      <c r="Q3" s="20"/>
      <c r="R3" s="18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15.75">
      <c r="A4" s="10" t="s">
        <v>26</v>
      </c>
      <c r="B4" s="11" t="s">
        <v>17</v>
      </c>
      <c r="C4" s="12">
        <v>45188</v>
      </c>
      <c r="D4" s="19">
        <v>0.375</v>
      </c>
      <c r="E4" s="12">
        <v>45188</v>
      </c>
      <c r="F4" s="13">
        <v>0.4909722222222222</v>
      </c>
      <c r="G4" s="11">
        <v>109.2</v>
      </c>
      <c r="H4" s="14">
        <v>1</v>
      </c>
      <c r="I4" s="11">
        <v>113.5</v>
      </c>
      <c r="J4" s="11">
        <v>113.6</v>
      </c>
      <c r="K4" s="11" t="s">
        <v>18</v>
      </c>
      <c r="L4" s="14" t="s">
        <v>27</v>
      </c>
      <c r="M4" s="15" t="s">
        <v>25</v>
      </c>
      <c r="N4" s="11">
        <f t="shared" si="0"/>
        <v>4.3999999999999915</v>
      </c>
      <c r="O4" s="16" t="s">
        <v>21</v>
      </c>
      <c r="P4" s="16" t="s">
        <v>22</v>
      </c>
      <c r="Q4" s="20"/>
      <c r="R4" s="18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5.75" customHeight="1">
      <c r="A5" s="10" t="s">
        <v>28</v>
      </c>
      <c r="B5" s="11" t="s">
        <v>17</v>
      </c>
      <c r="C5" s="12">
        <v>45188</v>
      </c>
      <c r="D5" s="19">
        <v>0.40763888888888888</v>
      </c>
      <c r="E5" s="12">
        <v>45188</v>
      </c>
      <c r="F5" s="13">
        <v>0.49930555555555556</v>
      </c>
      <c r="G5" s="11">
        <v>109.7</v>
      </c>
      <c r="H5" s="14">
        <v>1</v>
      </c>
      <c r="I5" s="11">
        <v>118.2</v>
      </c>
      <c r="J5" s="11">
        <v>117.2</v>
      </c>
      <c r="K5" s="11">
        <v>117.1</v>
      </c>
      <c r="L5" s="14" t="s">
        <v>29</v>
      </c>
      <c r="M5" s="15" t="s">
        <v>25</v>
      </c>
      <c r="N5" s="11">
        <f t="shared" si="0"/>
        <v>7.5</v>
      </c>
      <c r="O5" s="16" t="s">
        <v>21</v>
      </c>
      <c r="P5" s="16" t="s">
        <v>22</v>
      </c>
      <c r="Q5" s="20"/>
      <c r="R5" s="18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5.75" customHeight="1">
      <c r="A6" s="10" t="s">
        <v>30</v>
      </c>
      <c r="B6" s="11" t="s">
        <v>17</v>
      </c>
      <c r="C6" s="12">
        <v>45188</v>
      </c>
      <c r="D6" s="19">
        <v>0.33333333333333331</v>
      </c>
      <c r="E6" s="12">
        <v>45188</v>
      </c>
      <c r="F6" s="13">
        <v>0.50694444444444442</v>
      </c>
      <c r="G6" s="11">
        <v>110.7</v>
      </c>
      <c r="H6" s="14">
        <v>1</v>
      </c>
      <c r="I6" s="11">
        <v>118.4</v>
      </c>
      <c r="J6" s="11">
        <v>117.9</v>
      </c>
      <c r="K6" s="11">
        <v>117.4</v>
      </c>
      <c r="L6" s="14" t="s">
        <v>31</v>
      </c>
      <c r="M6" s="15" t="s">
        <v>25</v>
      </c>
      <c r="N6" s="11">
        <f t="shared" si="0"/>
        <v>7.2000000000000028</v>
      </c>
      <c r="O6" s="16" t="s">
        <v>21</v>
      </c>
      <c r="P6" s="16" t="s">
        <v>22</v>
      </c>
      <c r="Q6" s="20"/>
      <c r="R6" s="18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5.75" customHeight="1">
      <c r="A7" s="10" t="s">
        <v>16</v>
      </c>
      <c r="B7" s="11">
        <v>100.8</v>
      </c>
      <c r="C7" s="12" t="s">
        <v>17</v>
      </c>
      <c r="D7" s="13" t="s">
        <v>17</v>
      </c>
      <c r="E7" s="12">
        <v>45188</v>
      </c>
      <c r="F7" s="13">
        <v>0.42083333333333334</v>
      </c>
      <c r="G7" s="11">
        <v>110.2</v>
      </c>
      <c r="H7" s="14">
        <v>1</v>
      </c>
      <c r="I7" s="11">
        <v>208.1</v>
      </c>
      <c r="J7" s="11">
        <v>208.1</v>
      </c>
      <c r="K7" s="11" t="s">
        <v>18</v>
      </c>
      <c r="L7" s="14" t="s">
        <v>32</v>
      </c>
      <c r="M7" s="15" t="s">
        <v>25</v>
      </c>
      <c r="N7" s="11">
        <f t="shared" si="0"/>
        <v>97.899999999999991</v>
      </c>
      <c r="O7" s="16" t="s">
        <v>21</v>
      </c>
      <c r="P7" s="16" t="s">
        <v>22</v>
      </c>
      <c r="Q7" s="17"/>
      <c r="R7" s="1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15.75" customHeight="1">
      <c r="A8" s="10" t="s">
        <v>33</v>
      </c>
      <c r="B8" s="11" t="s">
        <v>17</v>
      </c>
      <c r="C8" s="12">
        <v>45189</v>
      </c>
      <c r="D8" s="21">
        <v>0.37152777777777779</v>
      </c>
      <c r="E8" s="12">
        <v>45189</v>
      </c>
      <c r="F8" s="13">
        <v>0.52152777777777781</v>
      </c>
      <c r="G8" s="11">
        <v>111.1</v>
      </c>
      <c r="H8" s="14">
        <v>1</v>
      </c>
      <c r="I8" s="11">
        <v>116.4</v>
      </c>
      <c r="J8" s="11">
        <v>116</v>
      </c>
      <c r="K8" s="11" t="s">
        <v>18</v>
      </c>
      <c r="L8" s="22" t="s">
        <v>34</v>
      </c>
      <c r="M8" s="15" t="s">
        <v>25</v>
      </c>
      <c r="N8" s="11">
        <f t="shared" si="0"/>
        <v>4.9000000000000057</v>
      </c>
      <c r="O8" s="16" t="s">
        <v>21</v>
      </c>
      <c r="P8" s="16" t="s">
        <v>22</v>
      </c>
      <c r="Q8" s="20"/>
      <c r="R8" s="18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5.75" customHeight="1">
      <c r="A9" s="10" t="s">
        <v>35</v>
      </c>
      <c r="B9" s="11" t="s">
        <v>17</v>
      </c>
      <c r="C9" s="12">
        <v>45189</v>
      </c>
      <c r="D9" s="21">
        <v>0.43402777777777779</v>
      </c>
      <c r="E9" s="12">
        <v>45189</v>
      </c>
      <c r="F9" s="13">
        <v>0.5229166666666667</v>
      </c>
      <c r="G9" s="11">
        <v>111.1</v>
      </c>
      <c r="H9" s="14">
        <v>1</v>
      </c>
      <c r="I9" s="11">
        <v>118.2</v>
      </c>
      <c r="J9" s="11">
        <v>118.5</v>
      </c>
      <c r="K9" s="11" t="s">
        <v>18</v>
      </c>
      <c r="L9" s="22" t="s">
        <v>36</v>
      </c>
      <c r="M9" s="15" t="s">
        <v>25</v>
      </c>
      <c r="N9" s="11">
        <f t="shared" si="0"/>
        <v>7.4000000000000057</v>
      </c>
      <c r="O9" s="16" t="s">
        <v>21</v>
      </c>
      <c r="P9" s="16" t="s">
        <v>22</v>
      </c>
      <c r="Q9" s="20"/>
      <c r="R9" s="18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5.75" customHeight="1">
      <c r="A10" s="10" t="s">
        <v>37</v>
      </c>
      <c r="B10" s="11" t="s">
        <v>17</v>
      </c>
      <c r="C10" s="12">
        <v>45189</v>
      </c>
      <c r="D10" s="21">
        <v>0.40972222222222221</v>
      </c>
      <c r="E10" s="12">
        <v>45189</v>
      </c>
      <c r="F10" s="13">
        <v>0.52430555555555558</v>
      </c>
      <c r="G10" s="11">
        <v>111.2</v>
      </c>
      <c r="H10" s="14">
        <v>1</v>
      </c>
      <c r="I10" s="11">
        <v>117.2</v>
      </c>
      <c r="J10" s="11">
        <v>117.5</v>
      </c>
      <c r="K10" s="11" t="s">
        <v>18</v>
      </c>
      <c r="L10" s="22" t="s">
        <v>38</v>
      </c>
      <c r="M10" s="15" t="s">
        <v>25</v>
      </c>
      <c r="N10" s="11">
        <f t="shared" si="0"/>
        <v>6.2999999999999972</v>
      </c>
      <c r="O10" s="16" t="s">
        <v>21</v>
      </c>
      <c r="P10" s="16" t="s">
        <v>22</v>
      </c>
      <c r="Q10" s="20"/>
      <c r="R10" s="18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5.75" customHeight="1">
      <c r="A11" s="10" t="s">
        <v>16</v>
      </c>
      <c r="B11" s="11">
        <v>100.9</v>
      </c>
      <c r="C11" s="12" t="s">
        <v>17</v>
      </c>
      <c r="D11" s="13" t="s">
        <v>17</v>
      </c>
      <c r="E11" s="12">
        <v>45190</v>
      </c>
      <c r="F11" s="13">
        <v>0.59722222222222221</v>
      </c>
      <c r="G11" s="11">
        <v>110.3</v>
      </c>
      <c r="H11" s="14">
        <v>1</v>
      </c>
      <c r="I11" s="11">
        <v>207.7</v>
      </c>
      <c r="J11" s="11">
        <v>207</v>
      </c>
      <c r="K11" s="11" t="s">
        <v>18</v>
      </c>
      <c r="L11" s="22" t="s">
        <v>39</v>
      </c>
      <c r="M11" s="15" t="s">
        <v>25</v>
      </c>
      <c r="N11" s="11">
        <f t="shared" si="0"/>
        <v>96.7</v>
      </c>
      <c r="O11" s="16" t="s">
        <v>21</v>
      </c>
      <c r="P11" s="16" t="s">
        <v>22</v>
      </c>
      <c r="Q11" s="20"/>
      <c r="R11" s="18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5.75" customHeight="1">
      <c r="A12" s="10" t="s">
        <v>40</v>
      </c>
      <c r="B12" s="11" t="s">
        <v>17</v>
      </c>
      <c r="C12" s="12">
        <v>45190</v>
      </c>
      <c r="D12" s="13">
        <v>0.36805555555555558</v>
      </c>
      <c r="E12" s="12">
        <v>45190</v>
      </c>
      <c r="F12" s="13">
        <v>0.6</v>
      </c>
      <c r="G12" s="11">
        <v>111.3</v>
      </c>
      <c r="H12" s="14">
        <v>1</v>
      </c>
      <c r="I12" s="11">
        <v>116.7</v>
      </c>
      <c r="J12" s="11">
        <v>116.8</v>
      </c>
      <c r="K12" s="11" t="s">
        <v>18</v>
      </c>
      <c r="L12" s="22" t="s">
        <v>41</v>
      </c>
      <c r="M12" s="15" t="s">
        <v>25</v>
      </c>
      <c r="N12" s="11">
        <f t="shared" si="0"/>
        <v>5.5</v>
      </c>
      <c r="O12" s="16" t="s">
        <v>21</v>
      </c>
      <c r="P12" s="16" t="s">
        <v>22</v>
      </c>
      <c r="Q12" s="20"/>
      <c r="R12" s="18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5.75" customHeight="1">
      <c r="A13" s="10" t="s">
        <v>42</v>
      </c>
      <c r="B13" s="11" t="s">
        <v>17</v>
      </c>
      <c r="C13" s="12">
        <v>45190</v>
      </c>
      <c r="D13" s="13">
        <v>0.40555555555555556</v>
      </c>
      <c r="E13" s="12">
        <v>45190</v>
      </c>
      <c r="F13" s="13">
        <v>0.59236111111111112</v>
      </c>
      <c r="G13" s="11">
        <v>111.1</v>
      </c>
      <c r="H13" s="14">
        <v>1</v>
      </c>
      <c r="I13" s="11">
        <v>116.4</v>
      </c>
      <c r="J13" s="11">
        <v>116.3</v>
      </c>
      <c r="K13" s="11" t="s">
        <v>18</v>
      </c>
      <c r="L13" s="22" t="s">
        <v>43</v>
      </c>
      <c r="M13" s="15" t="s">
        <v>25</v>
      </c>
      <c r="N13" s="11">
        <f t="shared" si="0"/>
        <v>5.2000000000000028</v>
      </c>
      <c r="O13" s="16" t="s">
        <v>21</v>
      </c>
      <c r="P13" s="16" t="s">
        <v>22</v>
      </c>
      <c r="Q13" s="20"/>
      <c r="R13" s="18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5.75" customHeight="1">
      <c r="A14" s="10" t="s">
        <v>44</v>
      </c>
      <c r="B14" s="11" t="s">
        <v>17</v>
      </c>
      <c r="C14" s="12">
        <v>45190</v>
      </c>
      <c r="D14" s="13">
        <v>0.44722222222222224</v>
      </c>
      <c r="E14" s="12">
        <v>45190</v>
      </c>
      <c r="F14" s="13">
        <v>0.6020833333333333</v>
      </c>
      <c r="G14" s="23">
        <v>110</v>
      </c>
      <c r="H14" s="14">
        <v>1</v>
      </c>
      <c r="I14" s="23">
        <v>115.2</v>
      </c>
      <c r="J14" s="23">
        <v>115.1</v>
      </c>
      <c r="K14" s="11" t="s">
        <v>18</v>
      </c>
      <c r="L14" s="22" t="s">
        <v>45</v>
      </c>
      <c r="M14" s="15" t="s">
        <v>25</v>
      </c>
      <c r="N14" s="11">
        <f t="shared" si="0"/>
        <v>5.0999999999999943</v>
      </c>
      <c r="O14" s="16" t="s">
        <v>21</v>
      </c>
      <c r="P14" s="16" t="s">
        <v>22</v>
      </c>
      <c r="Q14" s="24"/>
      <c r="R14" s="18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18.75" customHeight="1">
      <c r="A15" s="10" t="s">
        <v>46</v>
      </c>
      <c r="B15" s="11" t="s">
        <v>17</v>
      </c>
      <c r="C15" s="12">
        <v>45190</v>
      </c>
      <c r="D15" s="13">
        <v>0.47569444444444442</v>
      </c>
      <c r="E15" s="12">
        <v>45190</v>
      </c>
      <c r="F15" s="13">
        <v>0.59791666666666665</v>
      </c>
      <c r="G15" s="25">
        <v>109.8</v>
      </c>
      <c r="H15" s="14">
        <v>1</v>
      </c>
      <c r="I15" s="25">
        <v>114.9</v>
      </c>
      <c r="J15" s="26">
        <v>114.6</v>
      </c>
      <c r="K15" s="11" t="s">
        <v>18</v>
      </c>
      <c r="L15" s="22" t="s">
        <v>47</v>
      </c>
      <c r="M15" s="15" t="s">
        <v>25</v>
      </c>
      <c r="N15" s="11">
        <f t="shared" si="0"/>
        <v>4.7999999999999972</v>
      </c>
      <c r="O15" s="16" t="s">
        <v>21</v>
      </c>
      <c r="P15" s="16" t="s">
        <v>22</v>
      </c>
      <c r="Q15" s="27"/>
      <c r="R15" s="18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ht="15.75" customHeight="1">
      <c r="A16" s="10" t="s">
        <v>48</v>
      </c>
      <c r="B16" s="11" t="s">
        <v>17</v>
      </c>
      <c r="C16" s="12">
        <v>45203</v>
      </c>
      <c r="D16" s="21">
        <v>0.3840277777777778</v>
      </c>
      <c r="E16" s="12">
        <v>45203</v>
      </c>
      <c r="F16" s="28">
        <v>0.58194444444444449</v>
      </c>
      <c r="G16" s="25">
        <v>104.5</v>
      </c>
      <c r="H16" s="14">
        <v>1</v>
      </c>
      <c r="I16" s="25">
        <v>109.5</v>
      </c>
      <c r="J16" s="25">
        <v>109.5</v>
      </c>
      <c r="K16" s="11" t="s">
        <v>18</v>
      </c>
      <c r="L16" s="29" t="s">
        <v>49</v>
      </c>
      <c r="M16" s="15" t="s">
        <v>25</v>
      </c>
      <c r="N16" s="11">
        <f t="shared" si="0"/>
        <v>5</v>
      </c>
      <c r="O16" s="16" t="s">
        <v>21</v>
      </c>
      <c r="P16" s="16" t="s">
        <v>22</v>
      </c>
      <c r="Q16" s="27"/>
      <c r="R16" s="18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spans="1:29" ht="15.75" customHeight="1">
      <c r="A17" s="10" t="s">
        <v>50</v>
      </c>
      <c r="B17" s="11" t="s">
        <v>17</v>
      </c>
      <c r="C17" s="12">
        <v>45203</v>
      </c>
      <c r="D17" s="13">
        <v>0.36736111111111114</v>
      </c>
      <c r="E17" s="12">
        <v>45203</v>
      </c>
      <c r="F17" s="28">
        <v>0.58750000000000002</v>
      </c>
      <c r="G17" s="25">
        <v>104.3</v>
      </c>
      <c r="H17" s="14">
        <v>1</v>
      </c>
      <c r="I17" s="25">
        <v>110</v>
      </c>
      <c r="J17" s="25">
        <v>110</v>
      </c>
      <c r="K17" s="11" t="s">
        <v>18</v>
      </c>
      <c r="L17" s="29" t="s">
        <v>51</v>
      </c>
      <c r="M17" s="15" t="s">
        <v>25</v>
      </c>
      <c r="N17" s="11">
        <f t="shared" si="0"/>
        <v>5.7000000000000028</v>
      </c>
      <c r="O17" s="16" t="s">
        <v>21</v>
      </c>
      <c r="P17" s="16" t="s">
        <v>22</v>
      </c>
      <c r="Q17" s="27"/>
      <c r="R17" s="18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5.75" customHeight="1">
      <c r="A18" s="10" t="s">
        <v>52</v>
      </c>
      <c r="B18" s="11" t="s">
        <v>17</v>
      </c>
      <c r="C18" s="12">
        <v>45203</v>
      </c>
      <c r="D18" s="13">
        <v>0.30555555555555558</v>
      </c>
      <c r="E18" s="12">
        <v>45203</v>
      </c>
      <c r="F18" s="28">
        <v>0.59305555555555556</v>
      </c>
      <c r="G18" s="25">
        <v>105.4</v>
      </c>
      <c r="H18" s="14">
        <v>1</v>
      </c>
      <c r="I18" s="25">
        <v>111.9</v>
      </c>
      <c r="J18" s="25">
        <v>111.9</v>
      </c>
      <c r="K18" s="11" t="s">
        <v>18</v>
      </c>
      <c r="L18" s="29" t="s">
        <v>53</v>
      </c>
      <c r="M18" s="15" t="s">
        <v>25</v>
      </c>
      <c r="N18" s="11">
        <f t="shared" si="0"/>
        <v>6.5</v>
      </c>
      <c r="O18" s="16" t="s">
        <v>21</v>
      </c>
      <c r="P18" s="16" t="s">
        <v>22</v>
      </c>
      <c r="Q18" s="27"/>
      <c r="R18" s="18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ht="15.75" customHeight="1">
      <c r="A19" s="10" t="s">
        <v>54</v>
      </c>
      <c r="B19" s="11" t="s">
        <v>17</v>
      </c>
      <c r="C19" s="12">
        <v>45203</v>
      </c>
      <c r="D19" s="13">
        <v>0.43472222222222223</v>
      </c>
      <c r="E19" s="12">
        <v>45203</v>
      </c>
      <c r="F19" s="28">
        <v>0.6</v>
      </c>
      <c r="G19" s="25">
        <v>105.3</v>
      </c>
      <c r="H19" s="14">
        <v>1</v>
      </c>
      <c r="I19" s="25">
        <v>112</v>
      </c>
      <c r="J19" s="25">
        <v>111.8</v>
      </c>
      <c r="K19" s="11" t="s">
        <v>18</v>
      </c>
      <c r="L19" s="29" t="s">
        <v>55</v>
      </c>
      <c r="M19" s="15" t="s">
        <v>25</v>
      </c>
      <c r="N19" s="11">
        <f t="shared" si="0"/>
        <v>6.5</v>
      </c>
      <c r="O19" s="16" t="s">
        <v>21</v>
      </c>
      <c r="P19" s="16" t="s">
        <v>22</v>
      </c>
      <c r="Q19" s="27"/>
      <c r="R19" s="18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ht="15.75" customHeight="1">
      <c r="A20" s="10" t="s">
        <v>56</v>
      </c>
      <c r="B20" s="11" t="s">
        <v>17</v>
      </c>
      <c r="C20" s="12">
        <v>45203</v>
      </c>
      <c r="D20" s="13">
        <v>0.34236111111111112</v>
      </c>
      <c r="E20" s="12">
        <v>45203</v>
      </c>
      <c r="F20" s="28">
        <v>0.60277777777777775</v>
      </c>
      <c r="G20" s="25">
        <v>104.8</v>
      </c>
      <c r="H20" s="14">
        <v>1</v>
      </c>
      <c r="I20" s="25">
        <v>108.9</v>
      </c>
      <c r="J20" s="25">
        <v>108.9</v>
      </c>
      <c r="K20" s="11" t="s">
        <v>18</v>
      </c>
      <c r="L20" s="29" t="s">
        <v>57</v>
      </c>
      <c r="M20" s="15" t="s">
        <v>25</v>
      </c>
      <c r="N20" s="11">
        <f t="shared" si="0"/>
        <v>4.1000000000000085</v>
      </c>
      <c r="O20" s="16" t="s">
        <v>21</v>
      </c>
      <c r="P20" s="16" t="s">
        <v>22</v>
      </c>
      <c r="Q20" s="27"/>
      <c r="R20" s="18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15.75" customHeight="1">
      <c r="A21" s="10" t="s">
        <v>58</v>
      </c>
      <c r="B21" s="11" t="s">
        <v>17</v>
      </c>
      <c r="C21" s="12">
        <v>45203</v>
      </c>
      <c r="D21" s="13">
        <v>0.41666666666666669</v>
      </c>
      <c r="E21" s="12">
        <v>45203</v>
      </c>
      <c r="F21" s="28">
        <v>0.60763888888888884</v>
      </c>
      <c r="G21" s="25">
        <v>105.2</v>
      </c>
      <c r="H21" s="14">
        <v>1</v>
      </c>
      <c r="I21" s="25">
        <v>113.2</v>
      </c>
      <c r="J21" s="25">
        <v>113.8</v>
      </c>
      <c r="K21" s="11" t="s">
        <v>18</v>
      </c>
      <c r="L21" s="29" t="s">
        <v>59</v>
      </c>
      <c r="M21" s="15" t="s">
        <v>25</v>
      </c>
      <c r="N21" s="11">
        <f t="shared" si="0"/>
        <v>8.5999999999999943</v>
      </c>
      <c r="O21" s="16" t="s">
        <v>21</v>
      </c>
      <c r="P21" s="16" t="s">
        <v>22</v>
      </c>
      <c r="Q21" s="27"/>
      <c r="R21" s="18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ht="15.75" customHeight="1">
      <c r="A22" s="10" t="s">
        <v>60</v>
      </c>
      <c r="B22" s="11" t="s">
        <v>17</v>
      </c>
      <c r="C22" s="12">
        <v>45204</v>
      </c>
      <c r="D22" s="13">
        <v>0.39583333333333331</v>
      </c>
      <c r="E22" s="12">
        <v>45204</v>
      </c>
      <c r="F22" s="30">
        <v>0.62013888888888891</v>
      </c>
      <c r="G22" s="23">
        <v>104.8</v>
      </c>
      <c r="H22" s="14">
        <v>1</v>
      </c>
      <c r="I22" s="23">
        <v>109.4</v>
      </c>
      <c r="J22" s="23">
        <v>108.9</v>
      </c>
      <c r="K22" s="11" t="s">
        <v>18</v>
      </c>
      <c r="L22" s="31" t="s">
        <v>61</v>
      </c>
      <c r="M22" s="15" t="s">
        <v>25</v>
      </c>
      <c r="N22" s="11">
        <f t="shared" si="0"/>
        <v>4.1000000000000085</v>
      </c>
      <c r="O22" s="16" t="s">
        <v>21</v>
      </c>
      <c r="P22" s="16" t="s">
        <v>22</v>
      </c>
      <c r="Q22" s="27"/>
      <c r="R22" s="18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 ht="15.75" customHeight="1">
      <c r="A23" s="10" t="s">
        <v>62</v>
      </c>
      <c r="B23" s="11" t="s">
        <v>17</v>
      </c>
      <c r="C23" s="12">
        <v>45204</v>
      </c>
      <c r="D23" s="13">
        <v>0.42430555555555555</v>
      </c>
      <c r="E23" s="12">
        <v>45204</v>
      </c>
      <c r="F23" s="28">
        <v>0.62569444444444444</v>
      </c>
      <c r="G23" s="25">
        <v>103.3</v>
      </c>
      <c r="H23" s="14">
        <v>1</v>
      </c>
      <c r="I23" s="25">
        <v>110.8</v>
      </c>
      <c r="J23" s="25">
        <v>110.1</v>
      </c>
      <c r="K23" s="11" t="s">
        <v>18</v>
      </c>
      <c r="L23" s="29" t="s">
        <v>63</v>
      </c>
      <c r="M23" s="15" t="s">
        <v>25</v>
      </c>
      <c r="N23" s="11">
        <f t="shared" si="0"/>
        <v>6.7999999999999972</v>
      </c>
      <c r="O23" s="16" t="s">
        <v>21</v>
      </c>
      <c r="P23" s="16" t="s">
        <v>22</v>
      </c>
      <c r="Q23" s="27"/>
      <c r="R23" s="18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ht="15.75">
      <c r="A24" s="10" t="s">
        <v>64</v>
      </c>
      <c r="B24" s="11" t="s">
        <v>17</v>
      </c>
      <c r="C24" s="12">
        <v>45204</v>
      </c>
      <c r="D24" s="32">
        <v>0.33958333333333335</v>
      </c>
      <c r="E24" s="12">
        <v>45204</v>
      </c>
      <c r="F24" s="28">
        <v>0.63263888888888886</v>
      </c>
      <c r="G24" s="33">
        <v>104.2</v>
      </c>
      <c r="H24" s="14">
        <v>1</v>
      </c>
      <c r="I24" s="34">
        <v>105.3</v>
      </c>
      <c r="J24" s="34">
        <v>105.5</v>
      </c>
      <c r="K24" s="11" t="s">
        <v>18</v>
      </c>
      <c r="L24" s="33" t="s">
        <v>63</v>
      </c>
      <c r="M24" s="15" t="s">
        <v>25</v>
      </c>
      <c r="N24" s="11">
        <f t="shared" si="0"/>
        <v>1.2999999999999972</v>
      </c>
      <c r="O24" s="16" t="s">
        <v>21</v>
      </c>
      <c r="P24" s="16" t="s">
        <v>22</v>
      </c>
      <c r="R24" s="18"/>
    </row>
    <row r="25" spans="1:29" ht="15.75" customHeight="1">
      <c r="A25" s="35" t="s">
        <v>65</v>
      </c>
      <c r="B25" s="11" t="s">
        <v>17</v>
      </c>
      <c r="C25" s="11" t="s">
        <v>17</v>
      </c>
      <c r="D25" s="11" t="s">
        <v>17</v>
      </c>
      <c r="E25" s="12">
        <v>45205</v>
      </c>
      <c r="F25" s="28">
        <v>0.6381944444444444</v>
      </c>
      <c r="G25" s="25">
        <v>105.4</v>
      </c>
      <c r="H25" s="14">
        <v>1</v>
      </c>
      <c r="I25" s="25">
        <v>105.3</v>
      </c>
      <c r="J25" s="25">
        <v>105.5</v>
      </c>
      <c r="K25" s="11" t="s">
        <v>18</v>
      </c>
      <c r="L25" s="29" t="s">
        <v>66</v>
      </c>
      <c r="M25" s="15" t="s">
        <v>25</v>
      </c>
      <c r="N25" s="11">
        <f t="shared" si="0"/>
        <v>9.9999999999994316E-2</v>
      </c>
      <c r="O25" s="16" t="s">
        <v>21</v>
      </c>
      <c r="P25" s="16" t="s">
        <v>22</v>
      </c>
      <c r="Q25" s="27"/>
      <c r="R25" s="18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ht="15.75" customHeight="1">
      <c r="A26" s="10" t="s">
        <v>67</v>
      </c>
      <c r="B26" s="11" t="s">
        <v>17</v>
      </c>
      <c r="C26" s="12">
        <v>45205</v>
      </c>
      <c r="D26" s="13">
        <v>0.27847222222222223</v>
      </c>
      <c r="E26" s="12">
        <v>45205</v>
      </c>
      <c r="F26" s="28">
        <v>0.6791666666666667</v>
      </c>
      <c r="G26" s="25">
        <v>105.5</v>
      </c>
      <c r="H26" s="14">
        <v>1</v>
      </c>
      <c r="I26" s="25">
        <v>114.5</v>
      </c>
      <c r="J26" s="25">
        <v>114.3</v>
      </c>
      <c r="K26" s="11" t="s">
        <v>18</v>
      </c>
      <c r="L26" s="29" t="s">
        <v>68</v>
      </c>
      <c r="M26" s="15" t="s">
        <v>25</v>
      </c>
      <c r="N26" s="11">
        <f t="shared" si="0"/>
        <v>8.7999999999999972</v>
      </c>
      <c r="O26" s="16" t="s">
        <v>21</v>
      </c>
      <c r="P26" s="16" t="s">
        <v>22</v>
      </c>
      <c r="Q26" s="27"/>
      <c r="R26" s="18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ht="15.75" customHeight="1">
      <c r="A27" s="10" t="s">
        <v>69</v>
      </c>
      <c r="B27" s="11" t="s">
        <v>17</v>
      </c>
      <c r="C27" s="12">
        <v>45205</v>
      </c>
      <c r="D27" s="13">
        <v>0.29722222222222222</v>
      </c>
      <c r="E27" s="12">
        <v>45205</v>
      </c>
      <c r="F27" s="28">
        <v>0.68333333333333335</v>
      </c>
      <c r="G27" s="25">
        <v>105.8</v>
      </c>
      <c r="H27" s="14">
        <v>1</v>
      </c>
      <c r="I27" s="25">
        <v>110.8</v>
      </c>
      <c r="J27" s="25">
        <v>110.5</v>
      </c>
      <c r="K27" s="11" t="s">
        <v>18</v>
      </c>
      <c r="L27" s="29" t="s">
        <v>70</v>
      </c>
      <c r="M27" s="15" t="s">
        <v>25</v>
      </c>
      <c r="N27" s="11">
        <f t="shared" si="0"/>
        <v>4.7000000000000028</v>
      </c>
      <c r="O27" s="16" t="s">
        <v>21</v>
      </c>
      <c r="P27" s="16" t="s">
        <v>22</v>
      </c>
      <c r="Q27" s="27"/>
      <c r="R27" s="18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5.75" customHeight="1">
      <c r="A28" s="10" t="s">
        <v>71</v>
      </c>
      <c r="B28" s="11" t="s">
        <v>17</v>
      </c>
      <c r="C28" s="12">
        <v>45205</v>
      </c>
      <c r="D28" s="21">
        <v>0.3972222222222222</v>
      </c>
      <c r="E28" s="12">
        <v>45205</v>
      </c>
      <c r="F28" s="30">
        <v>0.68125000000000002</v>
      </c>
      <c r="G28" s="23">
        <v>104.7</v>
      </c>
      <c r="H28" s="14">
        <v>1</v>
      </c>
      <c r="I28" s="23">
        <v>111.6</v>
      </c>
      <c r="J28" s="23">
        <v>111.4</v>
      </c>
      <c r="K28" s="11" t="s">
        <v>18</v>
      </c>
      <c r="L28" s="29" t="s">
        <v>72</v>
      </c>
      <c r="M28" s="15" t="s">
        <v>25</v>
      </c>
      <c r="N28" s="11">
        <f t="shared" si="0"/>
        <v>6.7000000000000028</v>
      </c>
      <c r="O28" s="16" t="s">
        <v>21</v>
      </c>
      <c r="P28" s="16" t="s">
        <v>22</v>
      </c>
      <c r="Q28" s="36"/>
      <c r="R28" s="18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35" t="s">
        <v>65</v>
      </c>
      <c r="B29" s="11" t="s">
        <v>17</v>
      </c>
      <c r="C29" s="11" t="s">
        <v>17</v>
      </c>
      <c r="D29" s="11" t="s">
        <v>17</v>
      </c>
      <c r="E29" s="12">
        <v>45205</v>
      </c>
      <c r="F29" s="13">
        <v>0.61805555555555558</v>
      </c>
      <c r="G29" s="11">
        <v>103.3</v>
      </c>
      <c r="H29" s="14">
        <v>1</v>
      </c>
      <c r="I29" s="11">
        <v>103.5</v>
      </c>
      <c r="J29" s="11">
        <v>103.8</v>
      </c>
      <c r="K29" s="11" t="s">
        <v>18</v>
      </c>
      <c r="L29" s="15" t="s">
        <v>73</v>
      </c>
      <c r="M29" s="15" t="s">
        <v>25</v>
      </c>
      <c r="N29" s="11">
        <f t="shared" si="0"/>
        <v>0.5</v>
      </c>
      <c r="O29" s="16" t="s">
        <v>21</v>
      </c>
      <c r="P29" s="16" t="s">
        <v>22</v>
      </c>
      <c r="Q29" s="20"/>
      <c r="R29" s="18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5.75" customHeight="1">
      <c r="A30" s="10" t="s">
        <v>16</v>
      </c>
      <c r="B30" s="11">
        <v>100.9</v>
      </c>
      <c r="C30" s="12" t="s">
        <v>17</v>
      </c>
      <c r="D30" s="13" t="s">
        <v>17</v>
      </c>
      <c r="E30" s="12">
        <v>45205</v>
      </c>
      <c r="F30" s="13">
        <v>0.63194444444444442</v>
      </c>
      <c r="G30" s="11">
        <v>105.7</v>
      </c>
      <c r="H30" s="14">
        <v>1</v>
      </c>
      <c r="I30" s="11">
        <v>203.96</v>
      </c>
      <c r="J30" s="11">
        <v>204</v>
      </c>
      <c r="K30" s="11" t="s">
        <v>18</v>
      </c>
      <c r="L30" s="15" t="s">
        <v>74</v>
      </c>
      <c r="M30" s="15" t="s">
        <v>25</v>
      </c>
      <c r="N30" s="11">
        <f t="shared" si="0"/>
        <v>98.3</v>
      </c>
      <c r="O30" s="16" t="s">
        <v>21</v>
      </c>
      <c r="P30" s="16" t="s">
        <v>22</v>
      </c>
      <c r="Q30" s="20"/>
      <c r="R30" s="18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5.75" customHeight="1">
      <c r="A31" s="10" t="s">
        <v>75</v>
      </c>
      <c r="B31" s="11" t="s">
        <v>17</v>
      </c>
      <c r="C31" s="12">
        <v>45212</v>
      </c>
      <c r="D31" s="13">
        <v>0.3</v>
      </c>
      <c r="E31" s="12">
        <v>45212</v>
      </c>
      <c r="F31" s="30">
        <v>0.78472222222222221</v>
      </c>
      <c r="G31" s="23">
        <v>105.4</v>
      </c>
      <c r="H31" s="14">
        <v>1</v>
      </c>
      <c r="I31" s="23">
        <v>111.1</v>
      </c>
      <c r="J31" s="23">
        <v>111.4</v>
      </c>
      <c r="K31" s="11" t="s">
        <v>18</v>
      </c>
      <c r="L31" s="29" t="s">
        <v>76</v>
      </c>
      <c r="M31" s="15" t="s">
        <v>77</v>
      </c>
      <c r="N31" s="11">
        <f t="shared" si="0"/>
        <v>6</v>
      </c>
      <c r="O31" s="16" t="s">
        <v>21</v>
      </c>
      <c r="P31" s="16" t="s">
        <v>22</v>
      </c>
      <c r="Q31" s="36"/>
      <c r="R31" s="18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10" t="s">
        <v>78</v>
      </c>
      <c r="B32" s="11" t="s">
        <v>17</v>
      </c>
      <c r="C32" s="12">
        <v>45212</v>
      </c>
      <c r="D32" s="13">
        <v>0.3263888888888889</v>
      </c>
      <c r="E32" s="12">
        <v>45212</v>
      </c>
      <c r="F32" s="30">
        <v>0.78749999999999998</v>
      </c>
      <c r="G32" s="23">
        <v>105.5</v>
      </c>
      <c r="H32" s="14">
        <v>1</v>
      </c>
      <c r="I32" s="23">
        <v>109.7</v>
      </c>
      <c r="J32" s="23">
        <v>111.4</v>
      </c>
      <c r="K32" s="11" t="s">
        <v>18</v>
      </c>
      <c r="L32" s="29" t="s">
        <v>79</v>
      </c>
      <c r="M32" s="15" t="s">
        <v>77</v>
      </c>
      <c r="N32" s="11">
        <f t="shared" si="0"/>
        <v>5.9000000000000057</v>
      </c>
      <c r="O32" s="16" t="s">
        <v>21</v>
      </c>
      <c r="P32" s="16" t="s">
        <v>22</v>
      </c>
      <c r="Q32" s="36"/>
      <c r="R32" s="18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10" t="s">
        <v>80</v>
      </c>
      <c r="B33" s="11" t="s">
        <v>17</v>
      </c>
      <c r="C33" s="12">
        <v>45212</v>
      </c>
      <c r="D33" s="13">
        <v>0.35625000000000001</v>
      </c>
      <c r="E33" s="12">
        <v>45212</v>
      </c>
      <c r="F33" s="30">
        <v>0.79166666666666663</v>
      </c>
      <c r="G33" s="23">
        <v>105.1</v>
      </c>
      <c r="H33" s="14">
        <v>1</v>
      </c>
      <c r="I33" s="23">
        <v>110.9</v>
      </c>
      <c r="J33" s="23">
        <v>111.4</v>
      </c>
      <c r="K33" s="11" t="s">
        <v>18</v>
      </c>
      <c r="L33" s="29" t="s">
        <v>81</v>
      </c>
      <c r="M33" s="15" t="s">
        <v>77</v>
      </c>
      <c r="N33" s="11">
        <f t="shared" si="0"/>
        <v>6.3000000000000114</v>
      </c>
      <c r="O33" s="16" t="s">
        <v>21</v>
      </c>
      <c r="P33" s="16" t="s">
        <v>22</v>
      </c>
      <c r="Q33" s="36"/>
      <c r="R33" s="18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10" t="s">
        <v>82</v>
      </c>
      <c r="B34" s="11" t="s">
        <v>17</v>
      </c>
      <c r="C34" s="12">
        <v>45212</v>
      </c>
      <c r="D34" s="13">
        <v>0.39166666666666666</v>
      </c>
      <c r="E34" s="12">
        <v>45212</v>
      </c>
      <c r="F34" s="30">
        <v>0.79513888888888884</v>
      </c>
      <c r="G34" s="23">
        <v>104.2</v>
      </c>
      <c r="H34" s="14">
        <v>1</v>
      </c>
      <c r="I34" s="23">
        <v>108.6</v>
      </c>
      <c r="J34" s="23">
        <v>111.4</v>
      </c>
      <c r="K34" s="11" t="s">
        <v>18</v>
      </c>
      <c r="L34" s="29" t="s">
        <v>83</v>
      </c>
      <c r="M34" s="15" t="s">
        <v>77</v>
      </c>
      <c r="N34" s="11">
        <f t="shared" si="0"/>
        <v>7.2000000000000028</v>
      </c>
      <c r="O34" s="16" t="s">
        <v>21</v>
      </c>
      <c r="P34" s="16" t="s">
        <v>22</v>
      </c>
      <c r="Q34" s="36"/>
      <c r="R34" s="18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10" t="s">
        <v>84</v>
      </c>
      <c r="B35" s="11" t="s">
        <v>17</v>
      </c>
      <c r="C35" s="12">
        <v>45214</v>
      </c>
      <c r="D35" s="13">
        <v>0.32291666666666669</v>
      </c>
      <c r="E35" s="12">
        <v>45215</v>
      </c>
      <c r="F35" s="30">
        <v>0.39583333333333331</v>
      </c>
      <c r="G35" s="23">
        <v>105.2</v>
      </c>
      <c r="H35" s="14">
        <v>1</v>
      </c>
      <c r="I35" s="23">
        <v>110</v>
      </c>
      <c r="J35" s="23">
        <v>111.4</v>
      </c>
      <c r="K35" s="11" t="s">
        <v>18</v>
      </c>
      <c r="L35" s="29" t="s">
        <v>85</v>
      </c>
      <c r="M35" s="15" t="s">
        <v>77</v>
      </c>
      <c r="N35" s="11">
        <f t="shared" si="0"/>
        <v>6.2000000000000028</v>
      </c>
      <c r="O35" s="16" t="s">
        <v>21</v>
      </c>
      <c r="P35" s="16" t="s">
        <v>22</v>
      </c>
      <c r="Q35" s="36"/>
      <c r="R35" s="18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10" t="s">
        <v>86</v>
      </c>
      <c r="B36" s="11" t="s">
        <v>17</v>
      </c>
      <c r="C36" s="12">
        <v>45214</v>
      </c>
      <c r="D36" s="13">
        <v>0.28541666666666665</v>
      </c>
      <c r="E36" s="12">
        <v>45215</v>
      </c>
      <c r="F36" s="30">
        <v>0.39791666666666664</v>
      </c>
      <c r="G36" s="23">
        <v>109.4</v>
      </c>
      <c r="H36" s="14">
        <v>1</v>
      </c>
      <c r="I36" s="23">
        <v>113.8</v>
      </c>
      <c r="J36" s="23">
        <v>111.4</v>
      </c>
      <c r="K36" s="11" t="s">
        <v>18</v>
      </c>
      <c r="L36" s="29" t="s">
        <v>87</v>
      </c>
      <c r="M36" s="15" t="s">
        <v>77</v>
      </c>
      <c r="N36" s="11">
        <f t="shared" si="0"/>
        <v>2</v>
      </c>
      <c r="O36" s="16" t="s">
        <v>21</v>
      </c>
      <c r="P36" s="16" t="s">
        <v>22</v>
      </c>
      <c r="Q36" s="36"/>
      <c r="R36" s="18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10" t="s">
        <v>88</v>
      </c>
      <c r="B37" s="11" t="s">
        <v>17</v>
      </c>
      <c r="C37" s="12">
        <v>45214</v>
      </c>
      <c r="D37" s="13">
        <v>0.3527777777777778</v>
      </c>
      <c r="E37" s="12">
        <v>45215</v>
      </c>
      <c r="F37" s="30">
        <v>0.39583333333333331</v>
      </c>
      <c r="G37" s="23">
        <v>105.1</v>
      </c>
      <c r="H37" s="14">
        <v>1</v>
      </c>
      <c r="I37" s="23">
        <v>110.3</v>
      </c>
      <c r="J37" s="23">
        <v>111.4</v>
      </c>
      <c r="K37" s="11" t="s">
        <v>18</v>
      </c>
      <c r="L37" s="29" t="s">
        <v>89</v>
      </c>
      <c r="M37" s="15" t="s">
        <v>77</v>
      </c>
      <c r="N37" s="11">
        <f t="shared" si="0"/>
        <v>6.3000000000000114</v>
      </c>
      <c r="O37" s="16" t="s">
        <v>21</v>
      </c>
      <c r="P37" s="16" t="s">
        <v>22</v>
      </c>
      <c r="Q37" s="36"/>
      <c r="R37" s="18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" t="s">
        <v>90</v>
      </c>
      <c r="B38" s="11" t="s">
        <v>17</v>
      </c>
      <c r="C38" s="12">
        <v>45214</v>
      </c>
      <c r="D38" s="13">
        <v>0.39791666666666664</v>
      </c>
      <c r="E38" s="12">
        <v>45215</v>
      </c>
      <c r="F38" s="30">
        <v>0.4</v>
      </c>
      <c r="G38" s="23">
        <v>105.4</v>
      </c>
      <c r="H38" s="14">
        <v>1</v>
      </c>
      <c r="I38" s="23">
        <v>109</v>
      </c>
      <c r="J38" s="23">
        <v>111.4</v>
      </c>
      <c r="K38" s="11" t="s">
        <v>18</v>
      </c>
      <c r="L38" s="29" t="s">
        <v>91</v>
      </c>
      <c r="M38" s="15" t="s">
        <v>77</v>
      </c>
      <c r="N38" s="11">
        <f t="shared" si="0"/>
        <v>6</v>
      </c>
      <c r="O38" s="16" t="s">
        <v>21</v>
      </c>
      <c r="P38" s="16" t="s">
        <v>22</v>
      </c>
      <c r="Q38" s="36"/>
      <c r="R38" s="18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" t="s">
        <v>92</v>
      </c>
      <c r="B39" s="11" t="s">
        <v>17</v>
      </c>
      <c r="C39" s="12">
        <v>45213</v>
      </c>
      <c r="D39" s="38">
        <v>0.31805555555555554</v>
      </c>
      <c r="E39" s="39">
        <v>45215</v>
      </c>
      <c r="F39" s="40">
        <v>0.40208333333333335</v>
      </c>
      <c r="G39" s="23">
        <v>104.7</v>
      </c>
      <c r="H39" s="14">
        <v>1</v>
      </c>
      <c r="I39" s="23">
        <v>107.8</v>
      </c>
      <c r="J39" s="23">
        <v>111.4</v>
      </c>
      <c r="K39" s="11" t="s">
        <v>18</v>
      </c>
      <c r="L39" s="29" t="s">
        <v>93</v>
      </c>
      <c r="M39" s="15" t="s">
        <v>77</v>
      </c>
      <c r="N39" s="11">
        <f t="shared" si="0"/>
        <v>6.7000000000000028</v>
      </c>
      <c r="O39" s="16" t="s">
        <v>21</v>
      </c>
      <c r="P39" s="16" t="s">
        <v>22</v>
      </c>
      <c r="Q39" s="36"/>
      <c r="R39" s="18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10" t="s">
        <v>94</v>
      </c>
      <c r="B40" s="11" t="s">
        <v>17</v>
      </c>
      <c r="C40" s="12">
        <v>45213</v>
      </c>
      <c r="D40" s="38">
        <v>0.38541666666666669</v>
      </c>
      <c r="E40" s="39">
        <v>45215</v>
      </c>
      <c r="F40" s="40">
        <v>0.40486111111111112</v>
      </c>
      <c r="G40" s="23">
        <v>104.5</v>
      </c>
      <c r="H40" s="14">
        <v>1</v>
      </c>
      <c r="I40" s="23">
        <v>107.4</v>
      </c>
      <c r="J40" s="23">
        <v>111.4</v>
      </c>
      <c r="K40" s="11" t="s">
        <v>18</v>
      </c>
      <c r="L40" s="29" t="s">
        <v>95</v>
      </c>
      <c r="M40" s="15" t="s">
        <v>77</v>
      </c>
      <c r="N40" s="11">
        <f t="shared" si="0"/>
        <v>6.9000000000000057</v>
      </c>
      <c r="O40" s="16" t="s">
        <v>21</v>
      </c>
      <c r="P40" s="16" t="s">
        <v>22</v>
      </c>
      <c r="Q40" s="36"/>
      <c r="R40" s="18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10" t="s">
        <v>96</v>
      </c>
      <c r="B41" s="11" t="s">
        <v>17</v>
      </c>
      <c r="C41" s="12">
        <v>45213</v>
      </c>
      <c r="D41" s="13">
        <v>0.42499999999999999</v>
      </c>
      <c r="E41" s="12">
        <v>45215</v>
      </c>
      <c r="F41" s="30">
        <v>0.40694444444444444</v>
      </c>
      <c r="G41" s="23">
        <v>104.7</v>
      </c>
      <c r="H41" s="14">
        <v>1</v>
      </c>
      <c r="I41" s="23">
        <v>110.5</v>
      </c>
      <c r="J41" s="23">
        <v>111.4</v>
      </c>
      <c r="K41" s="11" t="s">
        <v>18</v>
      </c>
      <c r="L41" s="29" t="s">
        <v>97</v>
      </c>
      <c r="M41" s="15" t="s">
        <v>77</v>
      </c>
      <c r="N41" s="11">
        <f t="shared" si="0"/>
        <v>6.7000000000000028</v>
      </c>
      <c r="O41" s="16" t="s">
        <v>21</v>
      </c>
      <c r="P41" s="16" t="s">
        <v>22</v>
      </c>
      <c r="Q41" s="36"/>
      <c r="R41" s="18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35" t="s">
        <v>65</v>
      </c>
      <c r="B42" s="11" t="s">
        <v>17</v>
      </c>
      <c r="C42" s="11" t="s">
        <v>17</v>
      </c>
      <c r="D42" s="11" t="s">
        <v>17</v>
      </c>
      <c r="E42" s="12">
        <v>45215</v>
      </c>
      <c r="F42" s="13">
        <v>0.49305555555555558</v>
      </c>
      <c r="G42" s="11">
        <v>104.7</v>
      </c>
      <c r="H42" s="14">
        <v>1</v>
      </c>
      <c r="I42" s="11">
        <v>105.1</v>
      </c>
      <c r="J42" s="11">
        <v>105.1</v>
      </c>
      <c r="K42" s="11" t="s">
        <v>18</v>
      </c>
      <c r="L42" s="29" t="s">
        <v>98</v>
      </c>
      <c r="M42" s="15" t="s">
        <v>77</v>
      </c>
      <c r="N42" s="11">
        <f t="shared" si="0"/>
        <v>0.39999999999999147</v>
      </c>
      <c r="O42" s="16" t="s">
        <v>21</v>
      </c>
      <c r="P42" s="16" t="s">
        <v>22</v>
      </c>
      <c r="Q42" s="20"/>
      <c r="R42" s="18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5.75" customHeight="1">
      <c r="A43" s="10" t="s">
        <v>16</v>
      </c>
      <c r="B43" s="11">
        <v>100.3</v>
      </c>
      <c r="C43" s="12" t="s">
        <v>17</v>
      </c>
      <c r="D43" s="13" t="s">
        <v>17</v>
      </c>
      <c r="E43" s="12">
        <v>45215</v>
      </c>
      <c r="F43" s="13">
        <v>0.5</v>
      </c>
      <c r="G43" s="11">
        <v>105.6</v>
      </c>
      <c r="H43" s="14">
        <v>1</v>
      </c>
      <c r="I43" s="11">
        <v>202.96</v>
      </c>
      <c r="J43" s="11">
        <v>203.2</v>
      </c>
      <c r="K43" s="11" t="s">
        <v>18</v>
      </c>
      <c r="L43" s="29" t="s">
        <v>99</v>
      </c>
      <c r="M43" s="15" t="s">
        <v>77</v>
      </c>
      <c r="N43" s="11">
        <f t="shared" si="0"/>
        <v>97.6</v>
      </c>
      <c r="O43" s="16" t="s">
        <v>21</v>
      </c>
      <c r="P43" s="16" t="s">
        <v>22</v>
      </c>
      <c r="Q43" s="20"/>
      <c r="R43" s="18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5.75" customHeight="1">
      <c r="A44" s="10" t="s">
        <v>100</v>
      </c>
      <c r="B44" s="11" t="s">
        <v>17</v>
      </c>
      <c r="C44" s="12">
        <v>45222</v>
      </c>
      <c r="D44" s="13">
        <v>0.3972222222222222</v>
      </c>
      <c r="E44" s="12">
        <v>45222</v>
      </c>
      <c r="F44" s="13">
        <v>0.61597222222222225</v>
      </c>
      <c r="G44" s="11">
        <v>104.3</v>
      </c>
      <c r="H44" s="14">
        <v>1</v>
      </c>
      <c r="I44" s="11">
        <v>110.4</v>
      </c>
      <c r="J44" s="11">
        <v>110.2</v>
      </c>
      <c r="K44" s="11" t="s">
        <v>18</v>
      </c>
      <c r="L44" s="15" t="s">
        <v>101</v>
      </c>
      <c r="M44" s="15" t="s">
        <v>77</v>
      </c>
      <c r="N44" s="11">
        <f t="shared" si="0"/>
        <v>5.9000000000000057</v>
      </c>
      <c r="O44" s="16" t="s">
        <v>21</v>
      </c>
      <c r="P44" s="16" t="s">
        <v>22</v>
      </c>
      <c r="Q44" s="20"/>
      <c r="R44" s="18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5.75" customHeight="1">
      <c r="A45" s="10" t="s">
        <v>102</v>
      </c>
      <c r="B45" s="11" t="s">
        <v>17</v>
      </c>
      <c r="C45" s="12">
        <v>45222</v>
      </c>
      <c r="D45" s="13">
        <v>0.42777777777777776</v>
      </c>
      <c r="E45" s="12">
        <v>45222</v>
      </c>
      <c r="F45" s="13">
        <v>0.61250000000000004</v>
      </c>
      <c r="G45" s="11">
        <v>104.2</v>
      </c>
      <c r="H45" s="14">
        <v>1</v>
      </c>
      <c r="I45" s="11">
        <v>108.7</v>
      </c>
      <c r="J45" s="11">
        <v>108.4</v>
      </c>
      <c r="K45" s="11" t="s">
        <v>18</v>
      </c>
      <c r="L45" s="15" t="s">
        <v>103</v>
      </c>
      <c r="M45" s="15" t="s">
        <v>77</v>
      </c>
      <c r="N45" s="11">
        <f t="shared" si="0"/>
        <v>4.2000000000000028</v>
      </c>
      <c r="O45" s="16" t="s">
        <v>21</v>
      </c>
      <c r="P45" s="16" t="s">
        <v>22</v>
      </c>
      <c r="Q45" s="20"/>
      <c r="R45" s="18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5.75" customHeight="1">
      <c r="A46" s="10" t="s">
        <v>104</v>
      </c>
      <c r="B46" s="11" t="s">
        <v>17</v>
      </c>
      <c r="C46" s="12">
        <v>45222</v>
      </c>
      <c r="D46" s="13">
        <v>0.45763888888888887</v>
      </c>
      <c r="E46" s="12">
        <v>45222</v>
      </c>
      <c r="F46" s="13">
        <v>0.61458333333333337</v>
      </c>
      <c r="G46" s="11">
        <v>104.4</v>
      </c>
      <c r="H46" s="14">
        <v>1</v>
      </c>
      <c r="I46" s="11">
        <v>110.3</v>
      </c>
      <c r="J46" s="11">
        <v>110</v>
      </c>
      <c r="K46" s="11" t="s">
        <v>18</v>
      </c>
      <c r="L46" s="15" t="s">
        <v>105</v>
      </c>
      <c r="M46" s="15" t="s">
        <v>77</v>
      </c>
      <c r="N46" s="11">
        <f t="shared" si="0"/>
        <v>5.5999999999999943</v>
      </c>
      <c r="O46" s="16" t="s">
        <v>21</v>
      </c>
      <c r="P46" s="16" t="s">
        <v>22</v>
      </c>
      <c r="Q46" s="20"/>
      <c r="R46" s="18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5.75" customHeight="1">
      <c r="A47" s="10" t="s">
        <v>106</v>
      </c>
      <c r="B47" s="11" t="s">
        <v>17</v>
      </c>
      <c r="C47" s="12">
        <v>45222</v>
      </c>
      <c r="D47" s="41">
        <v>0.57499999999999996</v>
      </c>
      <c r="E47" s="12">
        <v>45222</v>
      </c>
      <c r="F47" s="13">
        <v>0.61944444444444446</v>
      </c>
      <c r="G47" s="11">
        <v>108.1</v>
      </c>
      <c r="H47" s="14">
        <v>1</v>
      </c>
      <c r="I47" s="11">
        <v>113.3</v>
      </c>
      <c r="J47" s="11">
        <v>113.1</v>
      </c>
      <c r="K47" s="11" t="s">
        <v>18</v>
      </c>
      <c r="L47" s="15" t="s">
        <v>107</v>
      </c>
      <c r="M47" s="15" t="s">
        <v>77</v>
      </c>
      <c r="N47" s="11">
        <f t="shared" si="0"/>
        <v>5</v>
      </c>
      <c r="O47" s="16" t="s">
        <v>21</v>
      </c>
      <c r="P47" s="16" t="s">
        <v>22</v>
      </c>
      <c r="Q47" s="20"/>
      <c r="R47" s="18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5.75" customHeight="1">
      <c r="A48" s="10" t="s">
        <v>108</v>
      </c>
      <c r="B48" s="11" t="s">
        <v>17</v>
      </c>
      <c r="C48" s="12">
        <v>45222</v>
      </c>
      <c r="D48" s="41">
        <v>0.68055555555555558</v>
      </c>
      <c r="E48" s="12">
        <v>45222</v>
      </c>
      <c r="F48" s="13">
        <v>0.68472222222222223</v>
      </c>
      <c r="G48" s="11">
        <v>104.7</v>
      </c>
      <c r="H48" s="14">
        <v>1</v>
      </c>
      <c r="I48" s="11">
        <v>107.4</v>
      </c>
      <c r="J48" s="11">
        <v>107.4</v>
      </c>
      <c r="K48" s="11" t="s">
        <v>18</v>
      </c>
      <c r="L48" s="15" t="s">
        <v>109</v>
      </c>
      <c r="M48" s="15" t="s">
        <v>77</v>
      </c>
      <c r="N48" s="11">
        <f t="shared" si="0"/>
        <v>2.7000000000000028</v>
      </c>
      <c r="O48" s="16" t="s">
        <v>21</v>
      </c>
      <c r="P48" s="16" t="s">
        <v>22</v>
      </c>
      <c r="Q48" s="20"/>
      <c r="R48" s="18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5.75" customHeight="1">
      <c r="A49" s="10" t="s">
        <v>110</v>
      </c>
      <c r="B49" s="11" t="s">
        <v>17</v>
      </c>
      <c r="C49" s="12">
        <v>45223</v>
      </c>
      <c r="D49" s="41">
        <v>0.38541666666666669</v>
      </c>
      <c r="E49" s="12">
        <v>45223</v>
      </c>
      <c r="F49" s="13">
        <v>0.60069444444444442</v>
      </c>
      <c r="G49" s="11">
        <v>104.3</v>
      </c>
      <c r="H49" s="14">
        <v>1</v>
      </c>
      <c r="I49" s="11">
        <v>108.3</v>
      </c>
      <c r="J49" s="11">
        <v>107.7</v>
      </c>
      <c r="K49" s="11">
        <v>107.7</v>
      </c>
      <c r="L49" s="15" t="s">
        <v>111</v>
      </c>
      <c r="M49" s="15" t="s">
        <v>77</v>
      </c>
      <c r="N49" s="11">
        <f t="shared" si="0"/>
        <v>3.4000000000000057</v>
      </c>
      <c r="O49" s="16" t="s">
        <v>21</v>
      </c>
      <c r="P49" s="16" t="s">
        <v>22</v>
      </c>
      <c r="Q49" s="20"/>
      <c r="R49" s="18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5.75" customHeight="1">
      <c r="A50" s="10" t="s">
        <v>112</v>
      </c>
      <c r="B50" s="11" t="s">
        <v>17</v>
      </c>
      <c r="C50" s="12">
        <v>45223</v>
      </c>
      <c r="D50" s="21">
        <v>0.40972222222222221</v>
      </c>
      <c r="E50" s="12">
        <v>45223</v>
      </c>
      <c r="F50" s="13">
        <v>0.60277777777777775</v>
      </c>
      <c r="G50" s="11">
        <v>104.5</v>
      </c>
      <c r="H50" s="14">
        <v>1</v>
      </c>
      <c r="I50" s="11">
        <v>106.3</v>
      </c>
      <c r="J50" s="11">
        <v>106.3</v>
      </c>
      <c r="K50" s="11" t="s">
        <v>18</v>
      </c>
      <c r="L50" s="42" t="s">
        <v>113</v>
      </c>
      <c r="M50" s="15" t="s">
        <v>77</v>
      </c>
      <c r="N50" s="11">
        <f t="shared" si="0"/>
        <v>1.7999999999999972</v>
      </c>
      <c r="O50" s="16" t="s">
        <v>21</v>
      </c>
      <c r="P50" s="16" t="s">
        <v>22</v>
      </c>
      <c r="Q50" s="20"/>
      <c r="R50" s="18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5.75" customHeight="1">
      <c r="A51" s="10" t="s">
        <v>114</v>
      </c>
      <c r="B51" s="11" t="s">
        <v>17</v>
      </c>
      <c r="C51" s="12">
        <v>45223</v>
      </c>
      <c r="D51" s="13">
        <v>0.43541666666666667</v>
      </c>
      <c r="E51" s="12">
        <v>45223</v>
      </c>
      <c r="F51" s="13">
        <v>0.60416666666666663</v>
      </c>
      <c r="G51" s="11">
        <v>106</v>
      </c>
      <c r="H51" s="14">
        <v>1</v>
      </c>
      <c r="I51" s="11">
        <v>110.5</v>
      </c>
      <c r="J51" s="11">
        <v>110.5</v>
      </c>
      <c r="K51" s="11" t="s">
        <v>18</v>
      </c>
      <c r="L51" s="15" t="s">
        <v>115</v>
      </c>
      <c r="M51" s="15" t="s">
        <v>77</v>
      </c>
      <c r="N51" s="11">
        <f t="shared" si="0"/>
        <v>4.5</v>
      </c>
      <c r="O51" s="16" t="s">
        <v>21</v>
      </c>
      <c r="P51" s="16" t="s">
        <v>22</v>
      </c>
      <c r="Q51" s="20"/>
      <c r="R51" s="18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5.75" customHeight="1">
      <c r="A52" s="10" t="s">
        <v>116</v>
      </c>
      <c r="B52" s="11" t="s">
        <v>17</v>
      </c>
      <c r="C52" s="12">
        <v>45223</v>
      </c>
      <c r="D52" s="21">
        <v>0.48194444444444445</v>
      </c>
      <c r="E52" s="12">
        <v>45223</v>
      </c>
      <c r="F52" s="13">
        <v>0.60347222222222219</v>
      </c>
      <c r="G52" s="11">
        <v>105.5</v>
      </c>
      <c r="H52" s="14">
        <v>1</v>
      </c>
      <c r="I52" s="11">
        <v>112.6</v>
      </c>
      <c r="J52" s="11">
        <v>112.6</v>
      </c>
      <c r="K52" s="11" t="s">
        <v>18</v>
      </c>
      <c r="L52" s="15" t="s">
        <v>117</v>
      </c>
      <c r="M52" s="15" t="s">
        <v>77</v>
      </c>
      <c r="N52" s="11">
        <f t="shared" si="0"/>
        <v>7.0999999999999943</v>
      </c>
      <c r="O52" s="16" t="s">
        <v>21</v>
      </c>
      <c r="P52" s="16" t="s">
        <v>22</v>
      </c>
      <c r="Q52" s="20"/>
      <c r="R52" s="18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5.75" customHeight="1">
      <c r="A53" s="35" t="s">
        <v>65</v>
      </c>
      <c r="B53" s="11" t="s">
        <v>17</v>
      </c>
      <c r="C53" s="11" t="s">
        <v>17</v>
      </c>
      <c r="D53" s="11" t="s">
        <v>17</v>
      </c>
      <c r="E53" s="43">
        <v>45222</v>
      </c>
      <c r="F53" s="13">
        <v>0.45833333333333331</v>
      </c>
      <c r="G53" s="11">
        <v>105.2</v>
      </c>
      <c r="H53" s="14">
        <v>1</v>
      </c>
      <c r="I53" s="11">
        <v>105.9</v>
      </c>
      <c r="J53" s="11">
        <v>105.8</v>
      </c>
      <c r="K53" s="11" t="s">
        <v>18</v>
      </c>
      <c r="L53" s="29" t="s">
        <v>118</v>
      </c>
      <c r="M53" s="15" t="s">
        <v>119</v>
      </c>
      <c r="N53" s="11">
        <f t="shared" si="0"/>
        <v>0.59999999999999432</v>
      </c>
      <c r="O53" s="16" t="s">
        <v>21</v>
      </c>
      <c r="P53" s="16" t="s">
        <v>22</v>
      </c>
      <c r="Q53" s="20"/>
      <c r="R53" s="18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5.75" customHeight="1">
      <c r="A54" s="10" t="s">
        <v>16</v>
      </c>
      <c r="B54" s="11">
        <v>100</v>
      </c>
      <c r="C54" s="12" t="s">
        <v>17</v>
      </c>
      <c r="D54" s="13" t="s">
        <v>17</v>
      </c>
      <c r="E54" s="43">
        <v>45222</v>
      </c>
      <c r="F54" s="21">
        <v>0.46180555555555558</v>
      </c>
      <c r="G54" s="44">
        <v>104.9</v>
      </c>
      <c r="H54" s="14">
        <v>1</v>
      </c>
      <c r="I54" s="11">
        <v>201.9</v>
      </c>
      <c r="J54" s="29">
        <v>202.6</v>
      </c>
      <c r="K54" s="11">
        <v>202.6</v>
      </c>
      <c r="L54" s="29" t="s">
        <v>120</v>
      </c>
      <c r="M54" s="15" t="s">
        <v>119</v>
      </c>
      <c r="N54" s="11">
        <f t="shared" si="0"/>
        <v>97.699999999999989</v>
      </c>
      <c r="O54" s="16" t="s">
        <v>21</v>
      </c>
      <c r="P54" s="16" t="s">
        <v>22</v>
      </c>
      <c r="Q54" s="20"/>
      <c r="R54" s="18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5.75" customHeight="1">
      <c r="A55" s="10" t="s">
        <v>121</v>
      </c>
      <c r="B55" s="11" t="s">
        <v>17</v>
      </c>
      <c r="C55" s="45">
        <v>45224</v>
      </c>
      <c r="D55" s="21">
        <v>0.41319444444444442</v>
      </c>
      <c r="E55" s="45">
        <v>45224</v>
      </c>
      <c r="F55" s="46">
        <v>0.51527777777777772</v>
      </c>
      <c r="G55" s="11">
        <v>103.5</v>
      </c>
      <c r="H55" s="14">
        <v>1</v>
      </c>
      <c r="I55" s="11">
        <v>107.9</v>
      </c>
      <c r="J55" s="11">
        <v>108</v>
      </c>
      <c r="K55" s="11" t="s">
        <v>18</v>
      </c>
      <c r="L55" s="15" t="s">
        <v>122</v>
      </c>
      <c r="M55" s="15" t="s">
        <v>119</v>
      </c>
      <c r="N55" s="11">
        <f t="shared" si="0"/>
        <v>4.5</v>
      </c>
      <c r="O55" s="16" t="s">
        <v>21</v>
      </c>
      <c r="P55" s="16" t="s">
        <v>22</v>
      </c>
      <c r="Q55" s="20"/>
      <c r="R55" s="18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5.75" customHeight="1">
      <c r="A56" s="10" t="s">
        <v>123</v>
      </c>
      <c r="B56" s="11" t="s">
        <v>17</v>
      </c>
      <c r="C56" s="45">
        <v>45224</v>
      </c>
      <c r="D56" s="21">
        <v>0.37569444444444444</v>
      </c>
      <c r="E56" s="45">
        <v>45224</v>
      </c>
      <c r="F56" s="13">
        <v>0.5180555555555556</v>
      </c>
      <c r="G56" s="11">
        <v>103.9</v>
      </c>
      <c r="H56" s="14">
        <v>1</v>
      </c>
      <c r="I56" s="11">
        <v>108.5</v>
      </c>
      <c r="J56" s="11">
        <v>108.5</v>
      </c>
      <c r="K56" s="11" t="s">
        <v>18</v>
      </c>
      <c r="L56" s="15" t="s">
        <v>124</v>
      </c>
      <c r="M56" s="15" t="s">
        <v>119</v>
      </c>
      <c r="N56" s="11">
        <f t="shared" si="0"/>
        <v>4.5999999999999943</v>
      </c>
      <c r="O56" s="16" t="s">
        <v>21</v>
      </c>
      <c r="P56" s="16" t="s">
        <v>22</v>
      </c>
      <c r="Q56" s="20"/>
      <c r="R56" s="18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5.75" customHeight="1">
      <c r="A57" s="10" t="s">
        <v>125</v>
      </c>
      <c r="B57" s="11" t="s">
        <v>17</v>
      </c>
      <c r="C57" s="45">
        <v>45224</v>
      </c>
      <c r="D57" s="21">
        <v>0.34722222222222221</v>
      </c>
      <c r="E57" s="45">
        <v>45224</v>
      </c>
      <c r="F57" s="13">
        <v>0.52152777777777781</v>
      </c>
      <c r="G57" s="11">
        <v>104.3</v>
      </c>
      <c r="H57" s="14">
        <v>1</v>
      </c>
      <c r="I57" s="11">
        <v>105.8</v>
      </c>
      <c r="J57" s="11">
        <v>105.8</v>
      </c>
      <c r="K57" s="11">
        <v>105.5</v>
      </c>
      <c r="L57" s="15" t="s">
        <v>126</v>
      </c>
      <c r="M57" s="15" t="s">
        <v>119</v>
      </c>
      <c r="N57" s="11">
        <f t="shared" si="0"/>
        <v>1.5</v>
      </c>
      <c r="O57" s="16" t="s">
        <v>21</v>
      </c>
      <c r="P57" s="16" t="s">
        <v>22</v>
      </c>
      <c r="Q57" s="20"/>
      <c r="R57" s="18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5.75" customHeight="1">
      <c r="A58" s="10" t="s">
        <v>127</v>
      </c>
      <c r="B58" s="11" t="s">
        <v>17</v>
      </c>
      <c r="C58" s="45">
        <v>45224</v>
      </c>
      <c r="D58" s="21">
        <v>0.32500000000000001</v>
      </c>
      <c r="E58" s="45">
        <v>45224</v>
      </c>
      <c r="F58" s="13">
        <v>0.52430555555555558</v>
      </c>
      <c r="G58" s="11">
        <v>103.4</v>
      </c>
      <c r="H58" s="14">
        <v>1</v>
      </c>
      <c r="I58" s="11">
        <v>105.1</v>
      </c>
      <c r="J58" s="11">
        <v>105.3</v>
      </c>
      <c r="K58" s="11" t="s">
        <v>18</v>
      </c>
      <c r="L58" s="15" t="s">
        <v>128</v>
      </c>
      <c r="M58" s="15" t="s">
        <v>119</v>
      </c>
      <c r="N58" s="11">
        <f t="shared" si="0"/>
        <v>1.8999999999999915</v>
      </c>
      <c r="O58" s="16" t="s">
        <v>21</v>
      </c>
      <c r="P58" s="16" t="s">
        <v>22</v>
      </c>
      <c r="Q58" s="20"/>
      <c r="R58" s="18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5.75" customHeight="1">
      <c r="A59" s="10"/>
      <c r="B59" s="47"/>
      <c r="C59" s="12"/>
      <c r="D59" s="21"/>
      <c r="E59" s="12"/>
      <c r="F59" s="13"/>
      <c r="G59" s="11"/>
      <c r="H59" s="14"/>
      <c r="I59" s="11"/>
      <c r="J59" s="11"/>
      <c r="K59" s="13"/>
      <c r="L59" s="15"/>
      <c r="M59" s="15"/>
      <c r="N59" s="47"/>
      <c r="O59" s="16"/>
      <c r="P59" s="48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5.75" customHeight="1">
      <c r="A60" s="49"/>
      <c r="B60" s="11"/>
      <c r="C60" s="47"/>
      <c r="D60" s="44"/>
      <c r="E60" s="12"/>
      <c r="F60" s="13"/>
      <c r="G60" s="11"/>
      <c r="H60" s="14"/>
      <c r="I60" s="11"/>
      <c r="J60" s="11"/>
      <c r="K60" s="13"/>
      <c r="L60" s="15"/>
      <c r="M60" s="15"/>
      <c r="N60" s="47"/>
      <c r="O60" s="16"/>
      <c r="P60" s="5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5.75" customHeight="1">
      <c r="A61" s="10"/>
      <c r="B61" s="47"/>
      <c r="C61" s="12"/>
      <c r="D61" s="13"/>
      <c r="E61" s="12"/>
      <c r="F61" s="13"/>
      <c r="G61" s="11"/>
      <c r="H61" s="14"/>
      <c r="I61" s="11"/>
      <c r="J61" s="11"/>
      <c r="K61" s="13"/>
      <c r="L61" s="42"/>
      <c r="M61" s="15"/>
      <c r="N61" s="47"/>
      <c r="O61" s="16"/>
      <c r="P61" s="51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5.75" customHeight="1">
      <c r="A62" s="52"/>
      <c r="B62" s="47"/>
      <c r="C62" s="12"/>
      <c r="D62" s="13"/>
      <c r="E62" s="12"/>
      <c r="F62" s="13"/>
      <c r="G62" s="11"/>
      <c r="H62" s="14"/>
      <c r="I62" s="11"/>
      <c r="J62" s="11"/>
      <c r="K62" s="13"/>
      <c r="L62" s="42"/>
      <c r="M62" s="15"/>
      <c r="N62" s="47"/>
      <c r="O62" s="16"/>
      <c r="P62" s="51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5.75" customHeight="1">
      <c r="A63" s="52"/>
      <c r="B63" s="47"/>
      <c r="C63" s="12"/>
      <c r="D63" s="13"/>
      <c r="E63" s="12"/>
      <c r="F63" s="13"/>
      <c r="G63" s="11"/>
      <c r="H63" s="14"/>
      <c r="I63" s="11"/>
      <c r="J63" s="11"/>
      <c r="K63" s="13"/>
      <c r="L63" s="42"/>
      <c r="M63" s="15"/>
      <c r="N63" s="47"/>
      <c r="O63" s="16"/>
      <c r="P63" s="51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5.75" customHeight="1">
      <c r="A64" s="52"/>
      <c r="B64" s="47"/>
      <c r="C64" s="12"/>
      <c r="D64" s="13"/>
      <c r="E64" s="12"/>
      <c r="F64" s="13"/>
      <c r="G64" s="11"/>
      <c r="H64" s="14"/>
      <c r="I64" s="11"/>
      <c r="J64" s="11"/>
      <c r="K64" s="13"/>
      <c r="L64" s="15"/>
      <c r="M64" s="15"/>
      <c r="N64" s="47"/>
      <c r="O64" s="16"/>
      <c r="P64" s="48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5.75" customHeight="1">
      <c r="A65" s="52"/>
      <c r="B65" s="47"/>
      <c r="C65" s="53"/>
      <c r="D65" s="54"/>
      <c r="E65" s="55"/>
      <c r="F65" s="13"/>
      <c r="G65" s="11"/>
      <c r="H65" s="14"/>
      <c r="I65" s="11"/>
      <c r="J65" s="11"/>
      <c r="K65" s="11"/>
      <c r="L65" s="15"/>
      <c r="M65" s="15"/>
      <c r="N65" s="47"/>
      <c r="O65" s="16"/>
      <c r="P65" s="56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5.75" customHeight="1">
      <c r="A66" s="52"/>
      <c r="B66" s="47"/>
      <c r="C66" s="53"/>
      <c r="D66" s="54"/>
      <c r="E66" s="55"/>
      <c r="F66" s="13"/>
      <c r="G66" s="11"/>
      <c r="H66" s="14"/>
      <c r="I66" s="11"/>
      <c r="J66" s="11"/>
      <c r="K66" s="11"/>
      <c r="L66" s="15"/>
      <c r="M66" s="15"/>
      <c r="N66" s="47"/>
      <c r="O66" s="16"/>
      <c r="P66" s="57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5.75" customHeight="1">
      <c r="A67" s="52"/>
      <c r="B67" s="47"/>
      <c r="C67" s="53"/>
      <c r="D67" s="58"/>
      <c r="E67" s="55"/>
      <c r="F67" s="13"/>
      <c r="G67" s="11"/>
      <c r="H67" s="14"/>
      <c r="I67" s="11"/>
      <c r="J67" s="11"/>
      <c r="K67" s="13"/>
      <c r="L67" s="15"/>
      <c r="M67" s="15"/>
      <c r="N67" s="47"/>
      <c r="O67" s="16"/>
      <c r="P67" s="59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5.75" customHeight="1">
      <c r="A68" s="52"/>
      <c r="B68" s="60"/>
      <c r="C68" s="47"/>
      <c r="D68" s="61"/>
      <c r="E68" s="55"/>
      <c r="F68" s="62"/>
      <c r="G68" s="60"/>
      <c r="H68" s="14"/>
      <c r="I68" s="60"/>
      <c r="J68" s="60"/>
      <c r="K68" s="60"/>
      <c r="L68" s="63"/>
      <c r="M68" s="63"/>
      <c r="N68" s="47"/>
      <c r="O68" s="16"/>
      <c r="P68" s="64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5.75" customHeight="1">
      <c r="A69" s="52"/>
      <c r="B69" s="60"/>
      <c r="C69" s="47"/>
      <c r="D69" s="61"/>
      <c r="E69" s="55"/>
      <c r="F69" s="62"/>
      <c r="G69" s="60"/>
      <c r="H69" s="14"/>
      <c r="I69" s="60"/>
      <c r="J69" s="60"/>
      <c r="K69" s="60"/>
      <c r="L69" s="63"/>
      <c r="M69" s="63"/>
      <c r="N69" s="47"/>
      <c r="O69" s="16"/>
      <c r="P69" s="64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5.75" customHeight="1">
      <c r="A70" s="52"/>
      <c r="B70" s="60"/>
      <c r="C70" s="47"/>
      <c r="D70" s="61"/>
      <c r="E70" s="55"/>
      <c r="F70" s="62"/>
      <c r="G70" s="60"/>
      <c r="H70" s="14"/>
      <c r="I70" s="60"/>
      <c r="J70" s="60"/>
      <c r="K70" s="60"/>
      <c r="L70" s="63"/>
      <c r="M70" s="63"/>
      <c r="N70" s="47"/>
      <c r="O70" s="16"/>
      <c r="P70" s="65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5.75" customHeight="1">
      <c r="A71" s="52"/>
      <c r="B71" s="60"/>
      <c r="C71" s="47"/>
      <c r="D71" s="61"/>
      <c r="E71" s="53"/>
      <c r="F71" s="21"/>
      <c r="G71" s="11"/>
      <c r="H71" s="14"/>
      <c r="I71" s="11"/>
      <c r="J71" s="11"/>
      <c r="K71" s="11"/>
      <c r="L71" s="15"/>
      <c r="M71" s="15"/>
      <c r="N71" s="47"/>
      <c r="O71" s="16"/>
      <c r="P71" s="56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5.75" customHeight="1">
      <c r="A72" s="52"/>
      <c r="B72" s="47"/>
      <c r="C72" s="53"/>
      <c r="D72" s="58"/>
      <c r="E72" s="53"/>
      <c r="F72" s="13"/>
      <c r="G72" s="11"/>
      <c r="H72" s="14"/>
      <c r="I72" s="11"/>
      <c r="J72" s="11"/>
      <c r="K72" s="60"/>
      <c r="L72" s="66"/>
      <c r="M72" s="15"/>
      <c r="N72" s="47"/>
      <c r="O72" s="16"/>
      <c r="P72" s="57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5.75" customHeight="1">
      <c r="A73" s="52"/>
      <c r="B73" s="47"/>
      <c r="C73" s="53"/>
      <c r="D73" s="58"/>
      <c r="E73" s="53"/>
      <c r="F73" s="67"/>
      <c r="G73" s="11"/>
      <c r="H73" s="14"/>
      <c r="I73" s="11"/>
      <c r="J73" s="11"/>
      <c r="K73" s="60"/>
      <c r="L73" s="15"/>
      <c r="M73" s="15"/>
      <c r="N73" s="47"/>
      <c r="O73" s="16"/>
      <c r="P73" s="59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5.75" customHeight="1">
      <c r="A74" s="52"/>
      <c r="B74" s="47"/>
      <c r="C74" s="53"/>
      <c r="D74" s="58"/>
      <c r="E74" s="53"/>
      <c r="F74" s="13"/>
      <c r="G74" s="11"/>
      <c r="H74" s="14"/>
      <c r="I74" s="11"/>
      <c r="J74" s="11"/>
      <c r="K74" s="60"/>
      <c r="L74" s="15"/>
      <c r="M74" s="15"/>
      <c r="N74" s="47"/>
      <c r="O74" s="16"/>
      <c r="P74" s="56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5.75" customHeight="1">
      <c r="A75" s="52"/>
      <c r="B75" s="47"/>
      <c r="C75" s="53"/>
      <c r="D75" s="58"/>
      <c r="E75" s="53"/>
      <c r="F75" s="13"/>
      <c r="G75" s="11"/>
      <c r="H75" s="14"/>
      <c r="I75" s="11"/>
      <c r="J75" s="11"/>
      <c r="K75" s="60"/>
      <c r="L75" s="15"/>
      <c r="M75" s="15"/>
      <c r="N75" s="47"/>
      <c r="O75" s="16"/>
      <c r="P75" s="59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5.75" customHeight="1">
      <c r="A76" s="68"/>
      <c r="B76" s="69"/>
      <c r="C76" s="70"/>
      <c r="D76" s="71"/>
      <c r="E76" s="72"/>
      <c r="F76" s="71"/>
      <c r="G76" s="69"/>
      <c r="H76" s="73"/>
      <c r="I76" s="69"/>
      <c r="J76" s="69"/>
      <c r="K76" s="69"/>
      <c r="L76" s="74"/>
      <c r="M76" s="74"/>
      <c r="N76" s="69"/>
      <c r="O76" s="75"/>
      <c r="P76" s="75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5.75" customHeight="1">
      <c r="A77" s="68"/>
      <c r="B77" s="76"/>
      <c r="C77" s="77"/>
      <c r="D77" s="71"/>
      <c r="E77" s="72"/>
      <c r="F77" s="71"/>
      <c r="G77" s="69"/>
      <c r="H77" s="73"/>
      <c r="I77" s="69"/>
      <c r="J77" s="69"/>
      <c r="K77" s="69"/>
      <c r="L77" s="74"/>
      <c r="M77" s="74"/>
      <c r="N77" s="69"/>
      <c r="O77" s="75"/>
      <c r="P77" s="75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5.75" customHeight="1">
      <c r="A78" s="68"/>
      <c r="B78" s="76"/>
      <c r="C78" s="77"/>
      <c r="D78" s="71"/>
      <c r="E78" s="72"/>
      <c r="F78" s="71"/>
      <c r="G78" s="69"/>
      <c r="H78" s="73"/>
      <c r="I78" s="69"/>
      <c r="J78" s="69"/>
      <c r="K78" s="69"/>
      <c r="L78" s="74"/>
      <c r="M78" s="74"/>
      <c r="N78" s="69"/>
      <c r="O78" s="75"/>
      <c r="P78" s="75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5.75" customHeight="1">
      <c r="A79" s="68"/>
      <c r="B79" s="76"/>
      <c r="C79" s="77"/>
      <c r="D79" s="71"/>
      <c r="E79" s="72"/>
      <c r="F79" s="71"/>
      <c r="G79" s="69"/>
      <c r="H79" s="73"/>
      <c r="I79" s="69"/>
      <c r="J79" s="69"/>
      <c r="K79" s="69"/>
      <c r="L79" s="74"/>
      <c r="M79" s="74"/>
      <c r="N79" s="69"/>
      <c r="O79" s="75"/>
      <c r="P79" s="75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5.75" customHeight="1">
      <c r="A80" s="68"/>
      <c r="B80" s="76"/>
      <c r="C80" s="77"/>
      <c r="D80" s="71"/>
      <c r="E80" s="72"/>
      <c r="F80" s="71"/>
      <c r="G80" s="69"/>
      <c r="H80" s="73"/>
      <c r="I80" s="69"/>
      <c r="J80" s="69"/>
      <c r="K80" s="69"/>
      <c r="L80" s="74"/>
      <c r="M80" s="74"/>
      <c r="N80" s="69"/>
      <c r="O80" s="75"/>
      <c r="P80" s="75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5.75" customHeight="1">
      <c r="A81" s="68"/>
      <c r="B81" s="76"/>
      <c r="C81" s="78"/>
      <c r="D81" s="71"/>
      <c r="E81" s="72"/>
      <c r="F81" s="71"/>
      <c r="G81" s="69"/>
      <c r="H81" s="73"/>
      <c r="I81" s="69"/>
      <c r="J81" s="69"/>
      <c r="K81" s="69"/>
      <c r="L81" s="74"/>
      <c r="M81" s="74"/>
      <c r="N81" s="69"/>
      <c r="O81" s="75"/>
      <c r="P81" s="75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5.75" customHeight="1">
      <c r="A82" s="68"/>
      <c r="B82" s="76"/>
      <c r="C82" s="78"/>
      <c r="D82" s="71"/>
      <c r="E82" s="72"/>
      <c r="F82" s="71"/>
      <c r="G82" s="69"/>
      <c r="H82" s="73"/>
      <c r="I82" s="69"/>
      <c r="J82" s="69"/>
      <c r="K82" s="69"/>
      <c r="L82" s="74"/>
      <c r="M82" s="74"/>
      <c r="N82" s="69"/>
      <c r="O82" s="75"/>
      <c r="P82" s="75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5.75" customHeight="1">
      <c r="A83" s="68"/>
      <c r="B83" s="76"/>
      <c r="C83" s="78"/>
      <c r="D83" s="71"/>
      <c r="E83" s="72"/>
      <c r="F83" s="71"/>
      <c r="G83" s="69"/>
      <c r="H83" s="73"/>
      <c r="I83" s="69"/>
      <c r="J83" s="69"/>
      <c r="K83" s="69"/>
      <c r="L83" s="74"/>
      <c r="M83" s="74"/>
      <c r="N83" s="69"/>
      <c r="O83" s="75"/>
      <c r="P83" s="75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5.75" customHeight="1">
      <c r="A84" s="68"/>
      <c r="B84" s="76"/>
      <c r="C84" s="78"/>
      <c r="D84" s="71"/>
      <c r="E84" s="72"/>
      <c r="F84" s="71"/>
      <c r="G84" s="69"/>
      <c r="H84" s="73"/>
      <c r="I84" s="69"/>
      <c r="J84" s="69"/>
      <c r="K84" s="69"/>
      <c r="L84" s="74"/>
      <c r="M84" s="74"/>
      <c r="N84" s="69"/>
      <c r="O84" s="75"/>
      <c r="P84" s="75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5.75" customHeight="1">
      <c r="A85" s="68"/>
      <c r="B85" s="76"/>
      <c r="C85" s="78"/>
      <c r="D85" s="71"/>
      <c r="E85" s="72"/>
      <c r="F85" s="71"/>
      <c r="G85" s="69"/>
      <c r="H85" s="73"/>
      <c r="I85" s="69"/>
      <c r="J85" s="69"/>
      <c r="K85" s="69"/>
      <c r="L85" s="74"/>
      <c r="M85" s="74"/>
      <c r="N85" s="69"/>
      <c r="O85" s="75"/>
      <c r="P85" s="75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5.75" customHeight="1">
      <c r="A86" s="68"/>
      <c r="B86" s="76"/>
      <c r="C86" s="78"/>
      <c r="D86" s="71"/>
      <c r="E86" s="72"/>
      <c r="F86" s="71"/>
      <c r="G86" s="69"/>
      <c r="H86" s="73"/>
      <c r="I86" s="69"/>
      <c r="J86" s="69"/>
      <c r="K86" s="69"/>
      <c r="L86" s="74"/>
      <c r="M86" s="74"/>
      <c r="N86" s="69"/>
      <c r="O86" s="75"/>
      <c r="P86" s="75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5.75" customHeight="1">
      <c r="A87" s="68"/>
      <c r="B87" s="79"/>
      <c r="C87" s="78"/>
      <c r="D87" s="71"/>
      <c r="E87" s="72"/>
      <c r="F87" s="71"/>
      <c r="G87" s="69"/>
      <c r="H87" s="73"/>
      <c r="I87" s="69"/>
      <c r="J87" s="69"/>
      <c r="K87" s="69"/>
      <c r="L87" s="74"/>
      <c r="M87" s="74"/>
      <c r="N87" s="69"/>
      <c r="O87" s="75"/>
      <c r="P87" s="75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5.75" customHeight="1">
      <c r="A88" s="68"/>
      <c r="B88" s="79"/>
      <c r="C88" s="78"/>
      <c r="D88" s="71"/>
      <c r="E88" s="72"/>
      <c r="F88" s="71"/>
      <c r="G88" s="69"/>
      <c r="H88" s="73"/>
      <c r="I88" s="69"/>
      <c r="J88" s="69"/>
      <c r="K88" s="69"/>
      <c r="L88" s="74"/>
      <c r="M88" s="74"/>
      <c r="N88" s="69"/>
      <c r="O88" s="75"/>
      <c r="P88" s="75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5.75" customHeight="1">
      <c r="A89" s="68"/>
      <c r="B89" s="79"/>
      <c r="C89" s="78"/>
      <c r="D89" s="71"/>
      <c r="E89" s="72"/>
      <c r="F89" s="71"/>
      <c r="G89" s="69"/>
      <c r="H89" s="73"/>
      <c r="I89" s="69"/>
      <c r="J89" s="69"/>
      <c r="K89" s="69"/>
      <c r="L89" s="74"/>
      <c r="M89" s="74"/>
      <c r="N89" s="69"/>
      <c r="O89" s="75"/>
      <c r="P89" s="75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>
      <c r="A90" s="68"/>
      <c r="B90" s="79"/>
      <c r="C90" s="78"/>
      <c r="D90" s="71"/>
      <c r="E90" s="72"/>
      <c r="F90" s="71"/>
      <c r="G90" s="69"/>
      <c r="H90" s="73"/>
      <c r="I90" s="69"/>
      <c r="J90" s="69"/>
      <c r="K90" s="69"/>
      <c r="L90" s="74"/>
      <c r="M90" s="74"/>
      <c r="N90" s="69"/>
      <c r="O90" s="75"/>
      <c r="P90" s="75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5.75" customHeight="1">
      <c r="A91" s="68"/>
      <c r="B91" s="69"/>
      <c r="C91" s="72"/>
      <c r="D91" s="71"/>
      <c r="E91" s="72"/>
      <c r="F91" s="71"/>
      <c r="G91" s="69"/>
      <c r="H91" s="73"/>
      <c r="I91" s="69"/>
      <c r="J91" s="69"/>
      <c r="K91" s="69"/>
      <c r="L91" s="74"/>
      <c r="M91" s="74"/>
      <c r="N91" s="69"/>
      <c r="O91" s="75"/>
      <c r="P91" s="75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5.75" customHeight="1">
      <c r="A92" s="68"/>
      <c r="B92" s="69"/>
      <c r="C92" s="72"/>
      <c r="D92" s="71"/>
      <c r="E92" s="72"/>
      <c r="F92" s="71"/>
      <c r="G92" s="69"/>
      <c r="H92" s="73"/>
      <c r="I92" s="69"/>
      <c r="J92" s="69"/>
      <c r="K92" s="69"/>
      <c r="L92" s="74"/>
      <c r="M92" s="74"/>
      <c r="N92" s="69"/>
      <c r="O92" s="75"/>
      <c r="P92" s="75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5.75" customHeight="1">
      <c r="A93" s="68"/>
      <c r="B93" s="69"/>
      <c r="C93" s="72"/>
      <c r="D93" s="71"/>
      <c r="E93" s="72"/>
      <c r="F93" s="71"/>
      <c r="G93" s="69"/>
      <c r="H93" s="73"/>
      <c r="I93" s="69"/>
      <c r="J93" s="69"/>
      <c r="K93" s="69"/>
      <c r="L93" s="74"/>
      <c r="M93" s="74"/>
      <c r="N93" s="69"/>
      <c r="O93" s="75"/>
      <c r="P93" s="75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5.75" customHeight="1">
      <c r="A94" s="68"/>
      <c r="B94" s="69"/>
      <c r="C94" s="72"/>
      <c r="D94" s="71"/>
      <c r="E94" s="72"/>
      <c r="F94" s="71"/>
      <c r="G94" s="69"/>
      <c r="H94" s="73"/>
      <c r="I94" s="69"/>
      <c r="J94" s="69"/>
      <c r="K94" s="69"/>
      <c r="L94" s="74"/>
      <c r="M94" s="74"/>
      <c r="N94" s="69"/>
      <c r="O94" s="75"/>
      <c r="P94" s="75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5.75" customHeight="1">
      <c r="A95" s="68"/>
      <c r="B95" s="69"/>
      <c r="C95" s="72"/>
      <c r="D95" s="71"/>
      <c r="E95" s="72"/>
      <c r="F95" s="71"/>
      <c r="G95" s="69"/>
      <c r="H95" s="73"/>
      <c r="I95" s="69"/>
      <c r="J95" s="69"/>
      <c r="K95" s="69"/>
      <c r="L95" s="74"/>
      <c r="M95" s="74"/>
      <c r="N95" s="69"/>
      <c r="O95" s="75"/>
      <c r="P95" s="75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5.75" customHeight="1">
      <c r="A96" s="68"/>
      <c r="B96" s="69"/>
      <c r="C96" s="72"/>
      <c r="D96" s="71"/>
      <c r="E96" s="72"/>
      <c r="F96" s="71"/>
      <c r="G96" s="69"/>
      <c r="H96" s="73"/>
      <c r="I96" s="69"/>
      <c r="J96" s="69"/>
      <c r="K96" s="69"/>
      <c r="L96" s="74"/>
      <c r="M96" s="74"/>
      <c r="N96" s="69"/>
      <c r="O96" s="75"/>
      <c r="P96" s="75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5.75" customHeight="1">
      <c r="A97" s="68"/>
      <c r="B97" s="69"/>
      <c r="C97" s="72"/>
      <c r="D97" s="71"/>
      <c r="E97" s="72"/>
      <c r="F97" s="71"/>
      <c r="G97" s="69"/>
      <c r="H97" s="73"/>
      <c r="I97" s="69"/>
      <c r="J97" s="69"/>
      <c r="K97" s="69"/>
      <c r="L97" s="74"/>
      <c r="M97" s="74"/>
      <c r="N97" s="69"/>
      <c r="O97" s="75"/>
      <c r="P97" s="75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5.75" customHeight="1">
      <c r="A98" s="68"/>
      <c r="B98" s="69"/>
      <c r="C98" s="72"/>
      <c r="D98" s="71"/>
      <c r="E98" s="72"/>
      <c r="F98" s="71"/>
      <c r="G98" s="69"/>
      <c r="H98" s="73"/>
      <c r="I98" s="69"/>
      <c r="J98" s="69"/>
      <c r="K98" s="69"/>
      <c r="L98" s="74"/>
      <c r="M98" s="74"/>
      <c r="N98" s="69"/>
      <c r="O98" s="75"/>
      <c r="P98" s="75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5.75" customHeight="1">
      <c r="A99" s="68"/>
      <c r="B99" s="69"/>
      <c r="C99" s="72"/>
      <c r="D99" s="71"/>
      <c r="E99" s="72"/>
      <c r="F99" s="71"/>
      <c r="G99" s="69"/>
      <c r="H99" s="73"/>
      <c r="I99" s="69"/>
      <c r="J99" s="69"/>
      <c r="K99" s="69"/>
      <c r="L99" s="74"/>
      <c r="M99" s="74"/>
      <c r="N99" s="69"/>
      <c r="O99" s="75"/>
      <c r="P99" s="75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5.75" customHeight="1">
      <c r="A100" s="68"/>
      <c r="B100" s="69"/>
      <c r="C100" s="72"/>
      <c r="D100" s="71"/>
      <c r="E100" s="72"/>
      <c r="F100" s="71"/>
      <c r="G100" s="69"/>
      <c r="H100" s="73"/>
      <c r="I100" s="69"/>
      <c r="J100" s="69"/>
      <c r="K100" s="69"/>
      <c r="L100" s="74"/>
      <c r="M100" s="74"/>
      <c r="N100" s="69"/>
      <c r="O100" s="75"/>
      <c r="P100" s="75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5.75" customHeight="1">
      <c r="A101" s="68"/>
      <c r="B101" s="69"/>
      <c r="C101" s="72"/>
      <c r="D101" s="71"/>
      <c r="E101" s="72"/>
      <c r="F101" s="71"/>
      <c r="G101" s="69"/>
      <c r="H101" s="73"/>
      <c r="I101" s="69"/>
      <c r="J101" s="69"/>
      <c r="K101" s="69"/>
      <c r="L101" s="74"/>
      <c r="M101" s="74"/>
      <c r="N101" s="69"/>
      <c r="O101" s="75"/>
      <c r="P101" s="75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5.75" customHeight="1">
      <c r="A102" s="68"/>
      <c r="B102" s="69"/>
      <c r="C102" s="72"/>
      <c r="D102" s="71"/>
      <c r="E102" s="72"/>
      <c r="F102" s="71"/>
      <c r="G102" s="69"/>
      <c r="H102" s="73"/>
      <c r="I102" s="69"/>
      <c r="J102" s="69"/>
      <c r="K102" s="69"/>
      <c r="L102" s="74"/>
      <c r="M102" s="74"/>
      <c r="N102" s="69"/>
      <c r="O102" s="75"/>
      <c r="P102" s="75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5.75" customHeight="1">
      <c r="A103" s="68"/>
      <c r="B103" s="69"/>
      <c r="C103" s="72"/>
      <c r="D103" s="71"/>
      <c r="E103" s="72"/>
      <c r="F103" s="71"/>
      <c r="G103" s="69"/>
      <c r="H103" s="73"/>
      <c r="I103" s="69"/>
      <c r="J103" s="69"/>
      <c r="K103" s="69"/>
      <c r="L103" s="74"/>
      <c r="M103" s="74"/>
      <c r="N103" s="69"/>
      <c r="O103" s="75"/>
      <c r="P103" s="75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5.75" customHeight="1">
      <c r="A104" s="68"/>
      <c r="B104" s="69"/>
      <c r="C104" s="72"/>
      <c r="D104" s="71"/>
      <c r="E104" s="72"/>
      <c r="F104" s="71"/>
      <c r="G104" s="69"/>
      <c r="H104" s="73"/>
      <c r="I104" s="69"/>
      <c r="J104" s="69"/>
      <c r="K104" s="69"/>
      <c r="L104" s="74"/>
      <c r="M104" s="74"/>
      <c r="N104" s="69"/>
      <c r="O104" s="75"/>
      <c r="P104" s="75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5.75" customHeight="1">
      <c r="A105" s="68"/>
      <c r="B105" s="69"/>
      <c r="C105" s="72"/>
      <c r="D105" s="71"/>
      <c r="E105" s="72"/>
      <c r="F105" s="71"/>
      <c r="G105" s="69"/>
      <c r="H105" s="73"/>
      <c r="I105" s="69"/>
      <c r="J105" s="69"/>
      <c r="K105" s="69"/>
      <c r="L105" s="74"/>
      <c r="M105" s="74"/>
      <c r="N105" s="69"/>
      <c r="O105" s="75"/>
      <c r="P105" s="75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5.75" customHeight="1">
      <c r="A106" s="68"/>
      <c r="B106" s="69"/>
      <c r="C106" s="72"/>
      <c r="D106" s="71"/>
      <c r="E106" s="72"/>
      <c r="F106" s="71"/>
      <c r="G106" s="69"/>
      <c r="H106" s="73"/>
      <c r="I106" s="69"/>
      <c r="J106" s="69"/>
      <c r="K106" s="69"/>
      <c r="L106" s="74"/>
      <c r="M106" s="74"/>
      <c r="N106" s="69"/>
      <c r="O106" s="75"/>
      <c r="P106" s="75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5.75" customHeight="1">
      <c r="A107" s="68"/>
      <c r="B107" s="69"/>
      <c r="C107" s="72"/>
      <c r="D107" s="71"/>
      <c r="E107" s="72"/>
      <c r="F107" s="71"/>
      <c r="G107" s="69"/>
      <c r="H107" s="73"/>
      <c r="I107" s="69"/>
      <c r="J107" s="69"/>
      <c r="K107" s="69"/>
      <c r="L107" s="74"/>
      <c r="M107" s="74"/>
      <c r="N107" s="69"/>
      <c r="O107" s="75"/>
      <c r="P107" s="75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5.75" customHeight="1">
      <c r="A108" s="68"/>
      <c r="B108" s="69"/>
      <c r="C108" s="72"/>
      <c r="D108" s="71"/>
      <c r="E108" s="72"/>
      <c r="F108" s="71"/>
      <c r="G108" s="69"/>
      <c r="H108" s="73"/>
      <c r="I108" s="69"/>
      <c r="J108" s="69"/>
      <c r="K108" s="69"/>
      <c r="L108" s="74"/>
      <c r="M108" s="74"/>
      <c r="N108" s="69"/>
      <c r="O108" s="75"/>
      <c r="P108" s="75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5.75" customHeight="1">
      <c r="A109" s="68"/>
      <c r="B109" s="69"/>
      <c r="C109" s="72"/>
      <c r="D109" s="71"/>
      <c r="E109" s="72"/>
      <c r="F109" s="71"/>
      <c r="G109" s="69"/>
      <c r="H109" s="73"/>
      <c r="I109" s="69"/>
      <c r="J109" s="69"/>
      <c r="K109" s="69"/>
      <c r="L109" s="74"/>
      <c r="M109" s="74"/>
      <c r="N109" s="69"/>
      <c r="O109" s="75"/>
      <c r="P109" s="75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5.75" customHeight="1">
      <c r="A110" s="68"/>
      <c r="B110" s="69"/>
      <c r="C110" s="72"/>
      <c r="D110" s="71"/>
      <c r="E110" s="72"/>
      <c r="F110" s="71"/>
      <c r="G110" s="69"/>
      <c r="H110" s="73"/>
      <c r="I110" s="69"/>
      <c r="J110" s="69"/>
      <c r="K110" s="69"/>
      <c r="L110" s="74"/>
      <c r="M110" s="74"/>
      <c r="N110" s="69"/>
      <c r="O110" s="75"/>
      <c r="P110" s="75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5.75" customHeight="1">
      <c r="A111" s="68"/>
      <c r="B111" s="69"/>
      <c r="C111" s="72"/>
      <c r="D111" s="71"/>
      <c r="E111" s="72"/>
      <c r="F111" s="71"/>
      <c r="G111" s="69"/>
      <c r="H111" s="73"/>
      <c r="I111" s="69"/>
      <c r="J111" s="69"/>
      <c r="K111" s="69"/>
      <c r="L111" s="74"/>
      <c r="M111" s="74"/>
      <c r="N111" s="69"/>
      <c r="O111" s="75"/>
      <c r="P111" s="75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5.75" customHeight="1">
      <c r="A112" s="68"/>
      <c r="B112" s="69"/>
      <c r="C112" s="72"/>
      <c r="D112" s="71"/>
      <c r="E112" s="72"/>
      <c r="F112" s="71"/>
      <c r="G112" s="69"/>
      <c r="H112" s="73"/>
      <c r="I112" s="69"/>
      <c r="J112" s="69"/>
      <c r="K112" s="69"/>
      <c r="L112" s="74"/>
      <c r="M112" s="74"/>
      <c r="N112" s="69"/>
      <c r="O112" s="75"/>
      <c r="P112" s="75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5.75" customHeight="1">
      <c r="A113" s="68"/>
      <c r="B113" s="69"/>
      <c r="C113" s="72"/>
      <c r="D113" s="71"/>
      <c r="E113" s="72"/>
      <c r="F113" s="71"/>
      <c r="G113" s="69"/>
      <c r="H113" s="73"/>
      <c r="I113" s="69"/>
      <c r="J113" s="69"/>
      <c r="K113" s="69"/>
      <c r="L113" s="74"/>
      <c r="M113" s="74"/>
      <c r="N113" s="69"/>
      <c r="O113" s="75"/>
      <c r="P113" s="75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5.75" customHeight="1">
      <c r="A114" s="68"/>
      <c r="B114" s="69"/>
      <c r="C114" s="72"/>
      <c r="D114" s="71"/>
      <c r="E114" s="72"/>
      <c r="F114" s="71"/>
      <c r="G114" s="69"/>
      <c r="H114" s="73"/>
      <c r="I114" s="69"/>
      <c r="J114" s="69"/>
      <c r="K114" s="69"/>
      <c r="L114" s="74"/>
      <c r="M114" s="74"/>
      <c r="N114" s="69"/>
      <c r="O114" s="75"/>
      <c r="P114" s="75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5.75" customHeight="1">
      <c r="A115" s="68"/>
      <c r="B115" s="69"/>
      <c r="C115" s="72"/>
      <c r="D115" s="71"/>
      <c r="E115" s="72"/>
      <c r="F115" s="71"/>
      <c r="G115" s="69"/>
      <c r="H115" s="73"/>
      <c r="I115" s="69"/>
      <c r="J115" s="69"/>
      <c r="K115" s="69"/>
      <c r="L115" s="74"/>
      <c r="M115" s="74"/>
      <c r="N115" s="69"/>
      <c r="O115" s="75"/>
      <c r="P115" s="75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5.75" customHeight="1">
      <c r="A116" s="68"/>
      <c r="B116" s="69"/>
      <c r="C116" s="72"/>
      <c r="D116" s="71"/>
      <c r="E116" s="72"/>
      <c r="F116" s="71"/>
      <c r="G116" s="69"/>
      <c r="H116" s="73"/>
      <c r="I116" s="69"/>
      <c r="J116" s="69"/>
      <c r="K116" s="69"/>
      <c r="L116" s="74"/>
      <c r="M116" s="74"/>
      <c r="N116" s="69"/>
      <c r="O116" s="75"/>
      <c r="P116" s="75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5.75" customHeight="1">
      <c r="A117" s="68"/>
      <c r="B117" s="69"/>
      <c r="C117" s="72"/>
      <c r="D117" s="71"/>
      <c r="E117" s="72"/>
      <c r="F117" s="71"/>
      <c r="G117" s="69"/>
      <c r="H117" s="73"/>
      <c r="I117" s="69"/>
      <c r="J117" s="69"/>
      <c r="K117" s="69"/>
      <c r="L117" s="74"/>
      <c r="M117" s="74"/>
      <c r="N117" s="69"/>
      <c r="O117" s="75"/>
      <c r="P117" s="75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5.75" customHeight="1">
      <c r="A118" s="68"/>
      <c r="B118" s="69"/>
      <c r="C118" s="72"/>
      <c r="D118" s="71"/>
      <c r="E118" s="72"/>
      <c r="F118" s="71"/>
      <c r="G118" s="69"/>
      <c r="H118" s="73"/>
      <c r="I118" s="69"/>
      <c r="J118" s="69"/>
      <c r="K118" s="69"/>
      <c r="L118" s="74"/>
      <c r="M118" s="74"/>
      <c r="N118" s="69"/>
      <c r="O118" s="75"/>
      <c r="P118" s="75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5.75" customHeight="1">
      <c r="A119" s="68"/>
      <c r="B119" s="69"/>
      <c r="C119" s="72"/>
      <c r="D119" s="71"/>
      <c r="E119" s="72"/>
      <c r="F119" s="71"/>
      <c r="G119" s="69"/>
      <c r="H119" s="73"/>
      <c r="I119" s="69"/>
      <c r="J119" s="69"/>
      <c r="K119" s="69"/>
      <c r="L119" s="74"/>
      <c r="M119" s="74"/>
      <c r="N119" s="69"/>
      <c r="O119" s="75"/>
      <c r="P119" s="75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5.75" customHeight="1">
      <c r="A120" s="68"/>
      <c r="B120" s="69"/>
      <c r="C120" s="72"/>
      <c r="D120" s="71"/>
      <c r="E120" s="72"/>
      <c r="F120" s="71"/>
      <c r="G120" s="69"/>
      <c r="H120" s="73"/>
      <c r="I120" s="69"/>
      <c r="J120" s="69"/>
      <c r="K120" s="69"/>
      <c r="L120" s="74"/>
      <c r="M120" s="74"/>
      <c r="N120" s="69"/>
      <c r="O120" s="75"/>
      <c r="P120" s="75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5.75" customHeight="1">
      <c r="A121" s="68"/>
      <c r="B121" s="69"/>
      <c r="C121" s="72"/>
      <c r="D121" s="71"/>
      <c r="E121" s="72"/>
      <c r="F121" s="71"/>
      <c r="G121" s="69"/>
      <c r="H121" s="73"/>
      <c r="I121" s="69"/>
      <c r="J121" s="69"/>
      <c r="K121" s="69"/>
      <c r="L121" s="74"/>
      <c r="M121" s="74"/>
      <c r="N121" s="69"/>
      <c r="O121" s="75"/>
      <c r="P121" s="75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5.75" customHeight="1">
      <c r="A122" s="68"/>
      <c r="B122" s="69"/>
      <c r="C122" s="72"/>
      <c r="D122" s="71"/>
      <c r="E122" s="72"/>
      <c r="F122" s="71"/>
      <c r="G122" s="69"/>
      <c r="H122" s="73"/>
      <c r="I122" s="69"/>
      <c r="J122" s="69"/>
      <c r="K122" s="69"/>
      <c r="L122" s="74"/>
      <c r="M122" s="74"/>
      <c r="N122" s="69"/>
      <c r="O122" s="75"/>
      <c r="P122" s="75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5.75" customHeight="1">
      <c r="A123" s="68"/>
      <c r="B123" s="69"/>
      <c r="C123" s="72"/>
      <c r="D123" s="71"/>
      <c r="E123" s="72"/>
      <c r="F123" s="71"/>
      <c r="G123" s="69"/>
      <c r="H123" s="73"/>
      <c r="I123" s="69"/>
      <c r="J123" s="69"/>
      <c r="K123" s="69"/>
      <c r="L123" s="74"/>
      <c r="M123" s="74"/>
      <c r="N123" s="69"/>
      <c r="O123" s="75"/>
      <c r="P123" s="75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5.75" customHeight="1">
      <c r="A124" s="68"/>
      <c r="B124" s="69"/>
      <c r="C124" s="72"/>
      <c r="D124" s="71"/>
      <c r="E124" s="72"/>
      <c r="F124" s="71"/>
      <c r="G124" s="69"/>
      <c r="H124" s="73"/>
      <c r="I124" s="69"/>
      <c r="J124" s="69"/>
      <c r="K124" s="69"/>
      <c r="L124" s="74"/>
      <c r="M124" s="74"/>
      <c r="N124" s="69"/>
      <c r="O124" s="75"/>
      <c r="P124" s="75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5.75" customHeight="1">
      <c r="A125" s="68"/>
      <c r="B125" s="69"/>
      <c r="C125" s="72"/>
      <c r="D125" s="71"/>
      <c r="E125" s="72"/>
      <c r="F125" s="71"/>
      <c r="G125" s="69"/>
      <c r="H125" s="73"/>
      <c r="I125" s="69"/>
      <c r="J125" s="69"/>
      <c r="K125" s="69"/>
      <c r="L125" s="74"/>
      <c r="M125" s="74"/>
      <c r="N125" s="69"/>
      <c r="O125" s="75"/>
      <c r="P125" s="75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5.75" customHeight="1">
      <c r="A126" s="68"/>
      <c r="B126" s="69"/>
      <c r="C126" s="72"/>
      <c r="D126" s="71"/>
      <c r="E126" s="72"/>
      <c r="F126" s="71"/>
      <c r="G126" s="69"/>
      <c r="H126" s="73"/>
      <c r="I126" s="69"/>
      <c r="J126" s="69"/>
      <c r="K126" s="69"/>
      <c r="L126" s="74"/>
      <c r="M126" s="74"/>
      <c r="N126" s="69"/>
      <c r="O126" s="75"/>
      <c r="P126" s="75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5.75" customHeight="1">
      <c r="A127" s="68"/>
      <c r="B127" s="69"/>
      <c r="C127" s="72"/>
      <c r="D127" s="71"/>
      <c r="E127" s="72"/>
      <c r="F127" s="71"/>
      <c r="G127" s="69"/>
      <c r="H127" s="73"/>
      <c r="I127" s="69"/>
      <c r="J127" s="69"/>
      <c r="K127" s="69"/>
      <c r="L127" s="74"/>
      <c r="M127" s="74"/>
      <c r="N127" s="69"/>
      <c r="O127" s="75"/>
      <c r="P127" s="75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5.75" customHeight="1">
      <c r="A128" s="68"/>
      <c r="B128" s="69"/>
      <c r="C128" s="72"/>
      <c r="D128" s="71"/>
      <c r="E128" s="72"/>
      <c r="F128" s="71"/>
      <c r="G128" s="69"/>
      <c r="H128" s="73"/>
      <c r="I128" s="69"/>
      <c r="J128" s="69"/>
      <c r="K128" s="69"/>
      <c r="L128" s="74"/>
      <c r="M128" s="74"/>
      <c r="N128" s="69"/>
      <c r="O128" s="75"/>
      <c r="P128" s="75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5.75" customHeight="1">
      <c r="A129" s="68"/>
      <c r="B129" s="69"/>
      <c r="C129" s="72"/>
      <c r="D129" s="71"/>
      <c r="E129" s="72"/>
      <c r="F129" s="71"/>
      <c r="G129" s="69"/>
      <c r="H129" s="73"/>
      <c r="I129" s="69"/>
      <c r="J129" s="69"/>
      <c r="K129" s="69"/>
      <c r="L129" s="74"/>
      <c r="M129" s="74"/>
      <c r="N129" s="69"/>
      <c r="O129" s="75"/>
      <c r="P129" s="75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5.75" customHeight="1">
      <c r="A130" s="68"/>
      <c r="B130" s="69"/>
      <c r="C130" s="72"/>
      <c r="D130" s="71"/>
      <c r="E130" s="72"/>
      <c r="F130" s="71"/>
      <c r="G130" s="69"/>
      <c r="H130" s="73"/>
      <c r="I130" s="69"/>
      <c r="J130" s="69"/>
      <c r="K130" s="69"/>
      <c r="L130" s="74"/>
      <c r="M130" s="74"/>
      <c r="N130" s="69"/>
      <c r="O130" s="75"/>
      <c r="P130" s="75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5.75" customHeight="1">
      <c r="A131" s="68"/>
      <c r="B131" s="69"/>
      <c r="C131" s="72"/>
      <c r="D131" s="71"/>
      <c r="E131" s="72"/>
      <c r="F131" s="71"/>
      <c r="G131" s="69"/>
      <c r="H131" s="73"/>
      <c r="I131" s="69"/>
      <c r="J131" s="69"/>
      <c r="K131" s="69"/>
      <c r="L131" s="74"/>
      <c r="M131" s="74"/>
      <c r="N131" s="69"/>
      <c r="O131" s="75"/>
      <c r="P131" s="75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5.75" customHeight="1">
      <c r="A132" s="68"/>
      <c r="B132" s="69"/>
      <c r="C132" s="72"/>
      <c r="D132" s="71"/>
      <c r="E132" s="72"/>
      <c r="F132" s="71"/>
      <c r="G132" s="69"/>
      <c r="H132" s="73"/>
      <c r="I132" s="69"/>
      <c r="J132" s="69"/>
      <c r="K132" s="69"/>
      <c r="L132" s="74"/>
      <c r="M132" s="74"/>
      <c r="N132" s="69"/>
      <c r="O132" s="75"/>
      <c r="P132" s="75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5.75" customHeight="1">
      <c r="A133" s="68"/>
      <c r="B133" s="69"/>
      <c r="C133" s="72"/>
      <c r="D133" s="71"/>
      <c r="E133" s="72"/>
      <c r="F133" s="71"/>
      <c r="G133" s="69"/>
      <c r="H133" s="73"/>
      <c r="I133" s="69"/>
      <c r="J133" s="69"/>
      <c r="K133" s="69"/>
      <c r="L133" s="74"/>
      <c r="M133" s="74"/>
      <c r="N133" s="69"/>
      <c r="O133" s="75"/>
      <c r="P133" s="75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5.75" customHeight="1">
      <c r="A134" s="68"/>
      <c r="B134" s="69"/>
      <c r="C134" s="72"/>
      <c r="D134" s="71"/>
      <c r="E134" s="72"/>
      <c r="F134" s="71"/>
      <c r="G134" s="69"/>
      <c r="H134" s="73"/>
      <c r="I134" s="69"/>
      <c r="J134" s="69"/>
      <c r="K134" s="69"/>
      <c r="L134" s="74"/>
      <c r="M134" s="74"/>
      <c r="N134" s="69"/>
      <c r="O134" s="75"/>
      <c r="P134" s="75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5.75" customHeight="1">
      <c r="A135" s="68"/>
      <c r="B135" s="69"/>
      <c r="C135" s="72"/>
      <c r="D135" s="71"/>
      <c r="E135" s="72"/>
      <c r="F135" s="71"/>
      <c r="G135" s="69"/>
      <c r="H135" s="73"/>
      <c r="I135" s="69"/>
      <c r="J135" s="69"/>
      <c r="K135" s="69"/>
      <c r="L135" s="74"/>
      <c r="M135" s="74"/>
      <c r="N135" s="69"/>
      <c r="O135" s="75"/>
      <c r="P135" s="75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5.75" customHeight="1">
      <c r="A136" s="68"/>
      <c r="B136" s="69"/>
      <c r="C136" s="72"/>
      <c r="D136" s="71"/>
      <c r="E136" s="72"/>
      <c r="F136" s="71"/>
      <c r="G136" s="69"/>
      <c r="H136" s="73"/>
      <c r="I136" s="69"/>
      <c r="J136" s="69"/>
      <c r="K136" s="69"/>
      <c r="L136" s="74"/>
      <c r="M136" s="74"/>
      <c r="N136" s="69"/>
      <c r="O136" s="75"/>
      <c r="P136" s="75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5.75" customHeight="1">
      <c r="A137" s="68"/>
      <c r="B137" s="69"/>
      <c r="C137" s="72"/>
      <c r="D137" s="71"/>
      <c r="E137" s="72"/>
      <c r="F137" s="71"/>
      <c r="G137" s="69"/>
      <c r="H137" s="73"/>
      <c r="I137" s="69"/>
      <c r="J137" s="69"/>
      <c r="K137" s="69"/>
      <c r="L137" s="74"/>
      <c r="M137" s="74"/>
      <c r="N137" s="69"/>
      <c r="O137" s="75"/>
      <c r="P137" s="75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5.75" customHeight="1">
      <c r="A138" s="68"/>
      <c r="B138" s="69"/>
      <c r="C138" s="72"/>
      <c r="D138" s="71"/>
      <c r="E138" s="72"/>
      <c r="F138" s="71"/>
      <c r="G138" s="69"/>
      <c r="H138" s="73"/>
      <c r="I138" s="69"/>
      <c r="J138" s="69"/>
      <c r="K138" s="69"/>
      <c r="L138" s="74"/>
      <c r="M138" s="74"/>
      <c r="N138" s="69"/>
      <c r="O138" s="75"/>
      <c r="P138" s="75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5.75" customHeight="1">
      <c r="A139" s="68"/>
      <c r="B139" s="69"/>
      <c r="C139" s="72"/>
      <c r="D139" s="71"/>
      <c r="E139" s="72"/>
      <c r="F139" s="71"/>
      <c r="G139" s="69"/>
      <c r="H139" s="73"/>
      <c r="I139" s="69"/>
      <c r="J139" s="69"/>
      <c r="K139" s="69"/>
      <c r="L139" s="74"/>
      <c r="M139" s="74"/>
      <c r="N139" s="69"/>
      <c r="O139" s="75"/>
      <c r="P139" s="75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5.75" customHeight="1">
      <c r="A140" s="68"/>
      <c r="B140" s="69"/>
      <c r="C140" s="72"/>
      <c r="D140" s="71"/>
      <c r="E140" s="72"/>
      <c r="F140" s="71"/>
      <c r="G140" s="69"/>
      <c r="H140" s="73"/>
      <c r="I140" s="69"/>
      <c r="J140" s="69"/>
      <c r="K140" s="69"/>
      <c r="L140" s="74"/>
      <c r="M140" s="74"/>
      <c r="N140" s="69"/>
      <c r="O140" s="75"/>
      <c r="P140" s="75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5.75" customHeight="1">
      <c r="A141" s="68"/>
      <c r="B141" s="69"/>
      <c r="C141" s="72"/>
      <c r="D141" s="71"/>
      <c r="E141" s="72"/>
      <c r="F141" s="71"/>
      <c r="G141" s="69"/>
      <c r="H141" s="73"/>
      <c r="I141" s="69"/>
      <c r="J141" s="69"/>
      <c r="K141" s="69"/>
      <c r="L141" s="74"/>
      <c r="M141" s="74"/>
      <c r="N141" s="69"/>
      <c r="O141" s="75"/>
      <c r="P141" s="75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5.75" customHeight="1">
      <c r="A142" s="68"/>
      <c r="B142" s="69"/>
      <c r="C142" s="72"/>
      <c r="D142" s="71"/>
      <c r="E142" s="72"/>
      <c r="F142" s="71"/>
      <c r="G142" s="69"/>
      <c r="H142" s="73"/>
      <c r="I142" s="69"/>
      <c r="J142" s="69"/>
      <c r="K142" s="69"/>
      <c r="L142" s="74"/>
      <c r="M142" s="74"/>
      <c r="N142" s="69"/>
      <c r="O142" s="75"/>
      <c r="P142" s="75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5.75" customHeight="1">
      <c r="A143" s="68"/>
      <c r="B143" s="69"/>
      <c r="C143" s="72"/>
      <c r="D143" s="71"/>
      <c r="E143" s="72"/>
      <c r="F143" s="71"/>
      <c r="G143" s="69"/>
      <c r="H143" s="73"/>
      <c r="I143" s="69"/>
      <c r="J143" s="69"/>
      <c r="K143" s="69"/>
      <c r="L143" s="74"/>
      <c r="M143" s="74"/>
      <c r="N143" s="69"/>
      <c r="O143" s="75"/>
      <c r="P143" s="75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5.75" customHeight="1">
      <c r="A144" s="68"/>
      <c r="B144" s="69"/>
      <c r="C144" s="72"/>
      <c r="D144" s="71"/>
      <c r="E144" s="72"/>
      <c r="F144" s="71"/>
      <c r="G144" s="69"/>
      <c r="H144" s="73"/>
      <c r="I144" s="69"/>
      <c r="J144" s="69"/>
      <c r="K144" s="69"/>
      <c r="L144" s="74"/>
      <c r="M144" s="74"/>
      <c r="N144" s="69"/>
      <c r="O144" s="75"/>
      <c r="P144" s="75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5.75" customHeight="1">
      <c r="A145" s="68"/>
      <c r="B145" s="69"/>
      <c r="C145" s="72"/>
      <c r="D145" s="71"/>
      <c r="E145" s="72"/>
      <c r="F145" s="71"/>
      <c r="G145" s="69"/>
      <c r="H145" s="73"/>
      <c r="I145" s="69"/>
      <c r="J145" s="69"/>
      <c r="K145" s="69"/>
      <c r="L145" s="74"/>
      <c r="M145" s="74"/>
      <c r="N145" s="69"/>
      <c r="O145" s="75"/>
      <c r="P145" s="75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5.75" customHeight="1">
      <c r="A146" s="68"/>
      <c r="B146" s="69"/>
      <c r="C146" s="72"/>
      <c r="D146" s="71"/>
      <c r="E146" s="72"/>
      <c r="F146" s="71"/>
      <c r="G146" s="69"/>
      <c r="H146" s="73"/>
      <c r="I146" s="69"/>
      <c r="J146" s="69"/>
      <c r="K146" s="69"/>
      <c r="L146" s="74"/>
      <c r="M146" s="74"/>
      <c r="N146" s="69"/>
      <c r="O146" s="75"/>
      <c r="P146" s="75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5.75" customHeight="1">
      <c r="A147" s="68"/>
      <c r="B147" s="69"/>
      <c r="C147" s="72"/>
      <c r="D147" s="71"/>
      <c r="E147" s="72"/>
      <c r="F147" s="71"/>
      <c r="G147" s="69"/>
      <c r="H147" s="73"/>
      <c r="I147" s="69"/>
      <c r="J147" s="69"/>
      <c r="K147" s="69"/>
      <c r="L147" s="74"/>
      <c r="M147" s="74"/>
      <c r="N147" s="69"/>
      <c r="O147" s="75"/>
      <c r="P147" s="75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5.75" customHeight="1">
      <c r="A148" s="68"/>
      <c r="B148" s="69"/>
      <c r="C148" s="72"/>
      <c r="D148" s="71"/>
      <c r="E148" s="72"/>
      <c r="F148" s="71"/>
      <c r="G148" s="69"/>
      <c r="H148" s="73"/>
      <c r="I148" s="69"/>
      <c r="J148" s="69"/>
      <c r="K148" s="69"/>
      <c r="L148" s="74"/>
      <c r="M148" s="74"/>
      <c r="N148" s="69"/>
      <c r="O148" s="75"/>
      <c r="P148" s="75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5.75" customHeight="1">
      <c r="A149" s="68"/>
      <c r="B149" s="69"/>
      <c r="C149" s="72"/>
      <c r="D149" s="71"/>
      <c r="E149" s="72"/>
      <c r="F149" s="71"/>
      <c r="G149" s="69"/>
      <c r="H149" s="73"/>
      <c r="I149" s="69"/>
      <c r="J149" s="69"/>
      <c r="K149" s="69"/>
      <c r="L149" s="74"/>
      <c r="M149" s="74"/>
      <c r="N149" s="69"/>
      <c r="O149" s="75"/>
      <c r="P149" s="75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5.75" customHeight="1">
      <c r="A150" s="68"/>
      <c r="B150" s="69"/>
      <c r="C150" s="72"/>
      <c r="D150" s="71"/>
      <c r="E150" s="72"/>
      <c r="F150" s="71"/>
      <c r="G150" s="69"/>
      <c r="H150" s="73"/>
      <c r="I150" s="69"/>
      <c r="J150" s="69"/>
      <c r="K150" s="69"/>
      <c r="L150" s="74"/>
      <c r="M150" s="74"/>
      <c r="N150" s="69"/>
      <c r="O150" s="75"/>
      <c r="P150" s="75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5.75" customHeight="1">
      <c r="A151" s="68"/>
      <c r="B151" s="69"/>
      <c r="C151" s="72"/>
      <c r="D151" s="71"/>
      <c r="E151" s="72"/>
      <c r="F151" s="71"/>
      <c r="G151" s="69"/>
      <c r="H151" s="73"/>
      <c r="I151" s="69"/>
      <c r="J151" s="69"/>
      <c r="K151" s="69"/>
      <c r="L151" s="74"/>
      <c r="M151" s="74"/>
      <c r="N151" s="69"/>
      <c r="O151" s="75"/>
      <c r="P151" s="75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5.75" customHeight="1">
      <c r="A152" s="68"/>
      <c r="B152" s="69"/>
      <c r="C152" s="72"/>
      <c r="D152" s="71"/>
      <c r="E152" s="72"/>
      <c r="F152" s="71"/>
      <c r="G152" s="69"/>
      <c r="H152" s="73"/>
      <c r="I152" s="69"/>
      <c r="J152" s="69"/>
      <c r="K152" s="69"/>
      <c r="L152" s="74"/>
      <c r="M152" s="74"/>
      <c r="N152" s="69"/>
      <c r="O152" s="75"/>
      <c r="P152" s="75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5.75" customHeight="1">
      <c r="A153" s="68"/>
      <c r="B153" s="69"/>
      <c r="C153" s="72"/>
      <c r="D153" s="71"/>
      <c r="E153" s="72"/>
      <c r="F153" s="71"/>
      <c r="G153" s="69"/>
      <c r="H153" s="73"/>
      <c r="I153" s="69"/>
      <c r="J153" s="69"/>
      <c r="K153" s="69"/>
      <c r="L153" s="74"/>
      <c r="M153" s="74"/>
      <c r="N153" s="69"/>
      <c r="O153" s="75"/>
      <c r="P153" s="75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5.75" customHeight="1">
      <c r="A154" s="68"/>
      <c r="B154" s="69"/>
      <c r="C154" s="72"/>
      <c r="D154" s="71"/>
      <c r="E154" s="72"/>
      <c r="F154" s="71"/>
      <c r="G154" s="69"/>
      <c r="H154" s="73"/>
      <c r="I154" s="69"/>
      <c r="J154" s="69"/>
      <c r="K154" s="69"/>
      <c r="L154" s="74"/>
      <c r="M154" s="74"/>
      <c r="N154" s="69"/>
      <c r="O154" s="75"/>
      <c r="P154" s="75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5.75" customHeight="1">
      <c r="A155" s="68"/>
      <c r="B155" s="69"/>
      <c r="C155" s="72"/>
      <c r="D155" s="71"/>
      <c r="E155" s="72"/>
      <c r="F155" s="71"/>
      <c r="G155" s="69"/>
      <c r="H155" s="73"/>
      <c r="I155" s="69"/>
      <c r="J155" s="69"/>
      <c r="K155" s="69"/>
      <c r="L155" s="74"/>
      <c r="M155" s="74"/>
      <c r="N155" s="69"/>
      <c r="O155" s="75"/>
      <c r="P155" s="75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5.75" customHeight="1">
      <c r="A156" s="68"/>
      <c r="B156" s="69"/>
      <c r="C156" s="72"/>
      <c r="D156" s="71"/>
      <c r="E156" s="72"/>
      <c r="F156" s="71"/>
      <c r="G156" s="69"/>
      <c r="H156" s="73"/>
      <c r="I156" s="69"/>
      <c r="J156" s="69"/>
      <c r="K156" s="69"/>
      <c r="L156" s="74"/>
      <c r="M156" s="74"/>
      <c r="N156" s="69"/>
      <c r="O156" s="75"/>
      <c r="P156" s="75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5.75" customHeight="1">
      <c r="A157" s="68"/>
      <c r="B157" s="69"/>
      <c r="C157" s="72"/>
      <c r="D157" s="71"/>
      <c r="E157" s="72"/>
      <c r="F157" s="71"/>
      <c r="G157" s="69"/>
      <c r="H157" s="73"/>
      <c r="I157" s="69"/>
      <c r="J157" s="69"/>
      <c r="K157" s="69"/>
      <c r="L157" s="74"/>
      <c r="M157" s="74"/>
      <c r="N157" s="69"/>
      <c r="O157" s="75"/>
      <c r="P157" s="75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5.75" customHeight="1">
      <c r="A158" s="68"/>
      <c r="B158" s="69"/>
      <c r="C158" s="72"/>
      <c r="D158" s="71"/>
      <c r="E158" s="72"/>
      <c r="F158" s="71"/>
      <c r="G158" s="69"/>
      <c r="H158" s="73"/>
      <c r="I158" s="69"/>
      <c r="J158" s="69"/>
      <c r="K158" s="69"/>
      <c r="L158" s="74"/>
      <c r="M158" s="74"/>
      <c r="N158" s="69"/>
      <c r="O158" s="75"/>
      <c r="P158" s="75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5.75" customHeight="1">
      <c r="A159" s="68"/>
      <c r="B159" s="69"/>
      <c r="C159" s="72"/>
      <c r="D159" s="71"/>
      <c r="E159" s="72"/>
      <c r="F159" s="71"/>
      <c r="G159" s="69"/>
      <c r="H159" s="73"/>
      <c r="I159" s="69"/>
      <c r="J159" s="69"/>
      <c r="K159" s="69"/>
      <c r="L159" s="74"/>
      <c r="M159" s="74"/>
      <c r="N159" s="69"/>
      <c r="O159" s="75"/>
      <c r="P159" s="75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5.75" customHeight="1">
      <c r="A160" s="68"/>
      <c r="B160" s="69"/>
      <c r="C160" s="72"/>
      <c r="D160" s="71"/>
      <c r="E160" s="72"/>
      <c r="F160" s="71"/>
      <c r="G160" s="69"/>
      <c r="H160" s="73"/>
      <c r="I160" s="69"/>
      <c r="J160" s="69"/>
      <c r="K160" s="69"/>
      <c r="L160" s="74"/>
      <c r="M160" s="74"/>
      <c r="N160" s="69"/>
      <c r="O160" s="75"/>
      <c r="P160" s="75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5.75" customHeight="1">
      <c r="A161" s="68"/>
      <c r="B161" s="69"/>
      <c r="C161" s="72"/>
      <c r="D161" s="71"/>
      <c r="E161" s="72"/>
      <c r="F161" s="71"/>
      <c r="G161" s="69"/>
      <c r="H161" s="73"/>
      <c r="I161" s="69"/>
      <c r="J161" s="69"/>
      <c r="K161" s="69"/>
      <c r="L161" s="74"/>
      <c r="M161" s="74"/>
      <c r="N161" s="69"/>
      <c r="O161" s="75"/>
      <c r="P161" s="75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5.75" customHeight="1">
      <c r="A162" s="68"/>
      <c r="B162" s="69"/>
      <c r="C162" s="72"/>
      <c r="D162" s="71"/>
      <c r="E162" s="72"/>
      <c r="F162" s="71"/>
      <c r="G162" s="69"/>
      <c r="H162" s="73"/>
      <c r="I162" s="69"/>
      <c r="J162" s="69"/>
      <c r="K162" s="69"/>
      <c r="L162" s="74"/>
      <c r="M162" s="74"/>
      <c r="N162" s="69"/>
      <c r="O162" s="75"/>
      <c r="P162" s="75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5.75" customHeight="1">
      <c r="A163" s="68"/>
      <c r="B163" s="69"/>
      <c r="C163" s="72"/>
      <c r="D163" s="71"/>
      <c r="E163" s="72"/>
      <c r="F163" s="71"/>
      <c r="G163" s="69"/>
      <c r="H163" s="73"/>
      <c r="I163" s="69"/>
      <c r="J163" s="69"/>
      <c r="K163" s="69"/>
      <c r="L163" s="74"/>
      <c r="M163" s="74"/>
      <c r="N163" s="69"/>
      <c r="O163" s="75"/>
      <c r="P163" s="75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5.75" customHeight="1">
      <c r="A164" s="68"/>
      <c r="B164" s="69"/>
      <c r="C164" s="72"/>
      <c r="D164" s="71"/>
      <c r="E164" s="72"/>
      <c r="F164" s="71"/>
      <c r="G164" s="69"/>
      <c r="H164" s="73"/>
      <c r="I164" s="69"/>
      <c r="J164" s="69"/>
      <c r="K164" s="69"/>
      <c r="L164" s="74"/>
      <c r="M164" s="74"/>
      <c r="N164" s="69"/>
      <c r="O164" s="75"/>
      <c r="P164" s="75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5.75" customHeight="1">
      <c r="A165" s="68"/>
      <c r="B165" s="69"/>
      <c r="C165" s="72"/>
      <c r="D165" s="71"/>
      <c r="E165" s="72"/>
      <c r="F165" s="71"/>
      <c r="G165" s="69"/>
      <c r="H165" s="73"/>
      <c r="I165" s="69"/>
      <c r="J165" s="69"/>
      <c r="K165" s="69"/>
      <c r="L165" s="74"/>
      <c r="M165" s="74"/>
      <c r="N165" s="69"/>
      <c r="O165" s="75"/>
      <c r="P165" s="75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5.75" customHeight="1">
      <c r="A166" s="68"/>
      <c r="B166" s="69"/>
      <c r="C166" s="72"/>
      <c r="D166" s="71"/>
      <c r="E166" s="72"/>
      <c r="F166" s="71"/>
      <c r="G166" s="69"/>
      <c r="H166" s="73"/>
      <c r="I166" s="69"/>
      <c r="J166" s="69"/>
      <c r="K166" s="69"/>
      <c r="L166" s="74"/>
      <c r="M166" s="74"/>
      <c r="N166" s="69"/>
      <c r="O166" s="75"/>
      <c r="P166" s="75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5.75" customHeight="1">
      <c r="A167" s="68"/>
      <c r="B167" s="69"/>
      <c r="C167" s="72"/>
      <c r="D167" s="71"/>
      <c r="E167" s="72"/>
      <c r="F167" s="71"/>
      <c r="G167" s="69"/>
      <c r="H167" s="73"/>
      <c r="I167" s="69"/>
      <c r="J167" s="69"/>
      <c r="K167" s="69"/>
      <c r="L167" s="74"/>
      <c r="M167" s="74"/>
      <c r="N167" s="69"/>
      <c r="O167" s="75"/>
      <c r="P167" s="75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5.75" customHeight="1">
      <c r="A168" s="68"/>
      <c r="B168" s="69"/>
      <c r="C168" s="72"/>
      <c r="D168" s="71"/>
      <c r="E168" s="72"/>
      <c r="F168" s="71"/>
      <c r="G168" s="69"/>
      <c r="H168" s="73"/>
      <c r="I168" s="69"/>
      <c r="J168" s="69"/>
      <c r="K168" s="69"/>
      <c r="L168" s="74"/>
      <c r="M168" s="74"/>
      <c r="N168" s="69"/>
      <c r="O168" s="75"/>
      <c r="P168" s="75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5.75" customHeight="1">
      <c r="A169" s="68"/>
      <c r="B169" s="69"/>
      <c r="C169" s="72"/>
      <c r="D169" s="71"/>
      <c r="E169" s="72"/>
      <c r="F169" s="71"/>
      <c r="G169" s="69"/>
      <c r="H169" s="73"/>
      <c r="I169" s="69"/>
      <c r="J169" s="69"/>
      <c r="K169" s="69"/>
      <c r="L169" s="74"/>
      <c r="M169" s="74"/>
      <c r="N169" s="69"/>
      <c r="O169" s="75"/>
      <c r="P169" s="75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5.75" customHeight="1">
      <c r="A170" s="68"/>
      <c r="B170" s="69"/>
      <c r="C170" s="72"/>
      <c r="D170" s="71"/>
      <c r="E170" s="72"/>
      <c r="F170" s="71"/>
      <c r="G170" s="69"/>
      <c r="H170" s="73"/>
      <c r="I170" s="69"/>
      <c r="J170" s="69"/>
      <c r="K170" s="69"/>
      <c r="L170" s="74"/>
      <c r="M170" s="74"/>
      <c r="N170" s="69"/>
      <c r="O170" s="75"/>
      <c r="P170" s="75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5.75" customHeight="1">
      <c r="A171" s="68"/>
      <c r="B171" s="69"/>
      <c r="C171" s="72"/>
      <c r="D171" s="71"/>
      <c r="E171" s="72"/>
      <c r="F171" s="71"/>
      <c r="G171" s="69"/>
      <c r="H171" s="73"/>
      <c r="I171" s="69"/>
      <c r="J171" s="69"/>
      <c r="K171" s="69"/>
      <c r="L171" s="74"/>
      <c r="M171" s="74"/>
      <c r="N171" s="69"/>
      <c r="O171" s="75"/>
      <c r="P171" s="75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5.75" customHeight="1">
      <c r="A172" s="68"/>
      <c r="B172" s="69"/>
      <c r="C172" s="72"/>
      <c r="D172" s="71"/>
      <c r="E172" s="72"/>
      <c r="F172" s="71"/>
      <c r="G172" s="69"/>
      <c r="H172" s="73"/>
      <c r="I172" s="69"/>
      <c r="J172" s="69"/>
      <c r="K172" s="69"/>
      <c r="L172" s="74"/>
      <c r="M172" s="74"/>
      <c r="N172" s="69"/>
      <c r="O172" s="75"/>
      <c r="P172" s="75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5.75" customHeight="1">
      <c r="A173" s="68"/>
      <c r="B173" s="69"/>
      <c r="C173" s="72"/>
      <c r="D173" s="71"/>
      <c r="E173" s="72"/>
      <c r="F173" s="71"/>
      <c r="G173" s="69"/>
      <c r="H173" s="73"/>
      <c r="I173" s="69"/>
      <c r="J173" s="69"/>
      <c r="K173" s="69"/>
      <c r="L173" s="74"/>
      <c r="M173" s="74"/>
      <c r="N173" s="69"/>
      <c r="O173" s="75"/>
      <c r="P173" s="75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5.75" customHeight="1">
      <c r="A174" s="68"/>
      <c r="B174" s="69"/>
      <c r="C174" s="72"/>
      <c r="D174" s="71"/>
      <c r="E174" s="72"/>
      <c r="F174" s="71"/>
      <c r="G174" s="69"/>
      <c r="H174" s="73"/>
      <c r="I174" s="69"/>
      <c r="J174" s="69"/>
      <c r="K174" s="69"/>
      <c r="L174" s="74"/>
      <c r="M174" s="74"/>
      <c r="N174" s="69"/>
      <c r="O174" s="75"/>
      <c r="P174" s="75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5.75" customHeight="1">
      <c r="A175" s="68"/>
      <c r="B175" s="69"/>
      <c r="C175" s="72"/>
      <c r="D175" s="71"/>
      <c r="E175" s="72"/>
      <c r="F175" s="71"/>
      <c r="G175" s="69"/>
      <c r="H175" s="73"/>
      <c r="I175" s="69"/>
      <c r="J175" s="69"/>
      <c r="K175" s="69"/>
      <c r="L175" s="74"/>
      <c r="M175" s="74"/>
      <c r="N175" s="69"/>
      <c r="O175" s="75"/>
      <c r="P175" s="75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5.75" customHeight="1">
      <c r="A176" s="68"/>
      <c r="B176" s="69"/>
      <c r="C176" s="72"/>
      <c r="D176" s="71"/>
      <c r="E176" s="72"/>
      <c r="F176" s="71"/>
      <c r="G176" s="69"/>
      <c r="H176" s="73"/>
      <c r="I176" s="69"/>
      <c r="J176" s="69"/>
      <c r="K176" s="69"/>
      <c r="L176" s="74"/>
      <c r="M176" s="74"/>
      <c r="N176" s="69"/>
      <c r="O176" s="75"/>
      <c r="P176" s="75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5.75" customHeight="1">
      <c r="A177" s="68"/>
      <c r="B177" s="69"/>
      <c r="C177" s="72"/>
      <c r="D177" s="71"/>
      <c r="E177" s="72"/>
      <c r="F177" s="71"/>
      <c r="G177" s="69"/>
      <c r="H177" s="73"/>
      <c r="I177" s="69"/>
      <c r="J177" s="69"/>
      <c r="K177" s="69"/>
      <c r="L177" s="74"/>
      <c r="M177" s="74"/>
      <c r="N177" s="69"/>
      <c r="O177" s="75"/>
      <c r="P177" s="75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5.75" customHeight="1">
      <c r="A178" s="68"/>
      <c r="B178" s="69"/>
      <c r="C178" s="72"/>
      <c r="D178" s="71"/>
      <c r="E178" s="72"/>
      <c r="F178" s="71"/>
      <c r="G178" s="69"/>
      <c r="H178" s="73"/>
      <c r="I178" s="69"/>
      <c r="J178" s="69"/>
      <c r="K178" s="69"/>
      <c r="L178" s="74"/>
      <c r="M178" s="74"/>
      <c r="N178" s="69"/>
      <c r="O178" s="75"/>
      <c r="P178" s="75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5.75" customHeight="1">
      <c r="A179" s="68"/>
      <c r="B179" s="69"/>
      <c r="C179" s="72"/>
      <c r="D179" s="71"/>
      <c r="E179" s="72"/>
      <c r="F179" s="71"/>
      <c r="G179" s="69"/>
      <c r="H179" s="73"/>
      <c r="I179" s="69"/>
      <c r="J179" s="69"/>
      <c r="K179" s="69"/>
      <c r="L179" s="74"/>
      <c r="M179" s="74"/>
      <c r="N179" s="69"/>
      <c r="O179" s="75"/>
      <c r="P179" s="75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5.75" customHeight="1">
      <c r="A180" s="68"/>
      <c r="B180" s="69"/>
      <c r="C180" s="72"/>
      <c r="D180" s="71"/>
      <c r="E180" s="72"/>
      <c r="F180" s="71"/>
      <c r="G180" s="69"/>
      <c r="H180" s="73"/>
      <c r="I180" s="69"/>
      <c r="J180" s="69"/>
      <c r="K180" s="69"/>
      <c r="L180" s="74"/>
      <c r="M180" s="74"/>
      <c r="N180" s="69"/>
      <c r="O180" s="75"/>
      <c r="P180" s="75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5.75" customHeight="1">
      <c r="A181" s="68"/>
      <c r="B181" s="69"/>
      <c r="C181" s="72"/>
      <c r="D181" s="71"/>
      <c r="E181" s="72"/>
      <c r="F181" s="71"/>
      <c r="G181" s="69"/>
      <c r="H181" s="73"/>
      <c r="I181" s="69"/>
      <c r="J181" s="69"/>
      <c r="K181" s="69"/>
      <c r="L181" s="74"/>
      <c r="M181" s="74"/>
      <c r="N181" s="69"/>
      <c r="O181" s="75"/>
      <c r="P181" s="75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5.75" customHeight="1">
      <c r="A182" s="68"/>
      <c r="B182" s="69"/>
      <c r="C182" s="72"/>
      <c r="D182" s="71"/>
      <c r="E182" s="72"/>
      <c r="F182" s="71"/>
      <c r="G182" s="69"/>
      <c r="H182" s="73"/>
      <c r="I182" s="69"/>
      <c r="J182" s="69"/>
      <c r="K182" s="69"/>
      <c r="L182" s="74"/>
      <c r="M182" s="74"/>
      <c r="N182" s="69"/>
      <c r="O182" s="75"/>
      <c r="P182" s="75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5.75" customHeight="1">
      <c r="A183" s="68"/>
      <c r="B183" s="69"/>
      <c r="C183" s="72"/>
      <c r="D183" s="71"/>
      <c r="E183" s="72"/>
      <c r="F183" s="71"/>
      <c r="G183" s="69"/>
      <c r="H183" s="73"/>
      <c r="I183" s="69"/>
      <c r="J183" s="69"/>
      <c r="K183" s="69"/>
      <c r="L183" s="74"/>
      <c r="M183" s="74"/>
      <c r="N183" s="69"/>
      <c r="O183" s="75"/>
      <c r="P183" s="75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5.75" customHeight="1">
      <c r="A184" s="68"/>
      <c r="B184" s="69"/>
      <c r="C184" s="72"/>
      <c r="D184" s="71"/>
      <c r="E184" s="72"/>
      <c r="F184" s="71"/>
      <c r="G184" s="69"/>
      <c r="H184" s="73"/>
      <c r="I184" s="69"/>
      <c r="J184" s="69"/>
      <c r="K184" s="69"/>
      <c r="L184" s="74"/>
      <c r="M184" s="74"/>
      <c r="N184" s="69"/>
      <c r="O184" s="75"/>
      <c r="P184" s="75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5.75" customHeight="1">
      <c r="A185" s="68"/>
      <c r="B185" s="69"/>
      <c r="C185" s="72"/>
      <c r="D185" s="71"/>
      <c r="E185" s="72"/>
      <c r="F185" s="71"/>
      <c r="G185" s="69"/>
      <c r="H185" s="73"/>
      <c r="I185" s="69"/>
      <c r="J185" s="69"/>
      <c r="K185" s="69"/>
      <c r="L185" s="74"/>
      <c r="M185" s="74"/>
      <c r="N185" s="69"/>
      <c r="O185" s="75"/>
      <c r="P185" s="75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5.75" customHeight="1">
      <c r="A186" s="68"/>
      <c r="B186" s="69"/>
      <c r="C186" s="72"/>
      <c r="D186" s="71"/>
      <c r="E186" s="72"/>
      <c r="F186" s="71"/>
      <c r="G186" s="69"/>
      <c r="H186" s="73"/>
      <c r="I186" s="69"/>
      <c r="J186" s="69"/>
      <c r="K186" s="69"/>
      <c r="L186" s="74"/>
      <c r="M186" s="74"/>
      <c r="N186" s="69"/>
      <c r="O186" s="75"/>
      <c r="P186" s="75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5.75" customHeight="1">
      <c r="A187" s="68"/>
      <c r="B187" s="69"/>
      <c r="C187" s="72"/>
      <c r="D187" s="71"/>
      <c r="E187" s="72"/>
      <c r="F187" s="71"/>
      <c r="G187" s="69"/>
      <c r="H187" s="73"/>
      <c r="I187" s="69"/>
      <c r="J187" s="69"/>
      <c r="K187" s="69"/>
      <c r="L187" s="74"/>
      <c r="M187" s="74"/>
      <c r="N187" s="69"/>
      <c r="O187" s="75"/>
      <c r="P187" s="75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5.75" customHeight="1">
      <c r="A188" s="68"/>
      <c r="B188" s="69"/>
      <c r="C188" s="72"/>
      <c r="D188" s="71"/>
      <c r="E188" s="72"/>
      <c r="F188" s="71"/>
      <c r="G188" s="69"/>
      <c r="H188" s="73"/>
      <c r="I188" s="69"/>
      <c r="J188" s="69"/>
      <c r="K188" s="69"/>
      <c r="L188" s="74"/>
      <c r="M188" s="74"/>
      <c r="N188" s="69"/>
      <c r="O188" s="75"/>
      <c r="P188" s="75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5.75" customHeight="1">
      <c r="A189" s="68"/>
      <c r="B189" s="69"/>
      <c r="C189" s="72"/>
      <c r="D189" s="71"/>
      <c r="E189" s="72"/>
      <c r="F189" s="71"/>
      <c r="G189" s="69"/>
      <c r="H189" s="73"/>
      <c r="I189" s="69"/>
      <c r="J189" s="69"/>
      <c r="K189" s="69"/>
      <c r="L189" s="74"/>
      <c r="M189" s="74"/>
      <c r="N189" s="69"/>
      <c r="O189" s="75"/>
      <c r="P189" s="75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5.75" customHeight="1">
      <c r="A190" s="68"/>
      <c r="B190" s="69"/>
      <c r="C190" s="72"/>
      <c r="D190" s="71"/>
      <c r="E190" s="72"/>
      <c r="F190" s="71"/>
      <c r="G190" s="69"/>
      <c r="H190" s="73"/>
      <c r="I190" s="69"/>
      <c r="J190" s="69"/>
      <c r="K190" s="69"/>
      <c r="L190" s="74"/>
      <c r="M190" s="74"/>
      <c r="N190" s="69"/>
      <c r="O190" s="75"/>
      <c r="P190" s="75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5.75" customHeight="1">
      <c r="A191" s="68"/>
      <c r="B191" s="69"/>
      <c r="C191" s="72"/>
      <c r="D191" s="71"/>
      <c r="E191" s="72"/>
      <c r="F191" s="71"/>
      <c r="G191" s="69"/>
      <c r="H191" s="73"/>
      <c r="I191" s="69"/>
      <c r="J191" s="69"/>
      <c r="K191" s="69"/>
      <c r="L191" s="74"/>
      <c r="M191" s="74"/>
      <c r="N191" s="69"/>
      <c r="O191" s="75"/>
      <c r="P191" s="75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5.75" customHeight="1">
      <c r="A192" s="68"/>
      <c r="B192" s="69"/>
      <c r="C192" s="72"/>
      <c r="D192" s="71"/>
      <c r="E192" s="72"/>
      <c r="F192" s="71"/>
      <c r="G192" s="69"/>
      <c r="H192" s="73"/>
      <c r="I192" s="69"/>
      <c r="J192" s="69"/>
      <c r="K192" s="69"/>
      <c r="L192" s="74"/>
      <c r="M192" s="74"/>
      <c r="N192" s="69"/>
      <c r="O192" s="75"/>
      <c r="P192" s="75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5.75" customHeight="1">
      <c r="A193" s="68"/>
      <c r="B193" s="69"/>
      <c r="C193" s="72"/>
      <c r="D193" s="71"/>
      <c r="E193" s="72"/>
      <c r="F193" s="71"/>
      <c r="G193" s="69"/>
      <c r="H193" s="73"/>
      <c r="I193" s="69"/>
      <c r="J193" s="69"/>
      <c r="K193" s="69"/>
      <c r="L193" s="74"/>
      <c r="M193" s="74"/>
      <c r="N193" s="69"/>
      <c r="O193" s="75"/>
      <c r="P193" s="75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5.75" customHeight="1">
      <c r="A194" s="68"/>
      <c r="B194" s="69"/>
      <c r="C194" s="72"/>
      <c r="D194" s="71"/>
      <c r="E194" s="72"/>
      <c r="F194" s="71"/>
      <c r="G194" s="69"/>
      <c r="H194" s="73"/>
      <c r="I194" s="69"/>
      <c r="J194" s="69"/>
      <c r="K194" s="69"/>
      <c r="L194" s="74"/>
      <c r="M194" s="74"/>
      <c r="N194" s="69"/>
      <c r="O194" s="75"/>
      <c r="P194" s="75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5.75" customHeight="1">
      <c r="A195" s="68"/>
      <c r="B195" s="69"/>
      <c r="C195" s="72"/>
      <c r="D195" s="71"/>
      <c r="E195" s="72"/>
      <c r="F195" s="71"/>
      <c r="G195" s="69"/>
      <c r="H195" s="73"/>
      <c r="I195" s="69"/>
      <c r="J195" s="69"/>
      <c r="K195" s="69"/>
      <c r="L195" s="74"/>
      <c r="M195" s="74"/>
      <c r="N195" s="69"/>
      <c r="O195" s="75"/>
      <c r="P195" s="75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5.75" customHeight="1">
      <c r="A196" s="68"/>
      <c r="B196" s="69"/>
      <c r="C196" s="72"/>
      <c r="D196" s="71"/>
      <c r="E196" s="72"/>
      <c r="F196" s="71"/>
      <c r="G196" s="69"/>
      <c r="H196" s="73"/>
      <c r="I196" s="69"/>
      <c r="J196" s="69"/>
      <c r="K196" s="69"/>
      <c r="L196" s="74"/>
      <c r="M196" s="74"/>
      <c r="N196" s="69"/>
      <c r="O196" s="75"/>
      <c r="P196" s="75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5.75" customHeight="1">
      <c r="A197" s="68"/>
      <c r="B197" s="69"/>
      <c r="C197" s="72"/>
      <c r="D197" s="71"/>
      <c r="E197" s="72"/>
      <c r="F197" s="71"/>
      <c r="G197" s="69"/>
      <c r="H197" s="73"/>
      <c r="I197" s="69"/>
      <c r="J197" s="69"/>
      <c r="K197" s="69"/>
      <c r="L197" s="74"/>
      <c r="M197" s="74"/>
      <c r="N197" s="69"/>
      <c r="O197" s="75"/>
      <c r="P197" s="75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5.75" customHeight="1">
      <c r="A198" s="68"/>
      <c r="B198" s="69"/>
      <c r="C198" s="72"/>
      <c r="D198" s="71"/>
      <c r="E198" s="72"/>
      <c r="F198" s="71"/>
      <c r="G198" s="69"/>
      <c r="H198" s="73"/>
      <c r="I198" s="69"/>
      <c r="J198" s="69"/>
      <c r="K198" s="69"/>
      <c r="L198" s="74"/>
      <c r="M198" s="74"/>
      <c r="N198" s="69"/>
      <c r="O198" s="75"/>
      <c r="P198" s="75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5.75" customHeight="1">
      <c r="A199" s="68"/>
      <c r="B199" s="69"/>
      <c r="C199" s="72"/>
      <c r="D199" s="71"/>
      <c r="E199" s="72"/>
      <c r="F199" s="71"/>
      <c r="G199" s="69"/>
      <c r="H199" s="73"/>
      <c r="I199" s="69"/>
      <c r="J199" s="69"/>
      <c r="K199" s="69"/>
      <c r="L199" s="74"/>
      <c r="M199" s="74"/>
      <c r="N199" s="69"/>
      <c r="O199" s="75"/>
      <c r="P199" s="75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5.75" customHeight="1">
      <c r="A200" s="68"/>
      <c r="B200" s="69"/>
      <c r="C200" s="72"/>
      <c r="D200" s="71"/>
      <c r="E200" s="72"/>
      <c r="F200" s="71"/>
      <c r="G200" s="69"/>
      <c r="H200" s="73"/>
      <c r="I200" s="69"/>
      <c r="J200" s="69"/>
      <c r="K200" s="69"/>
      <c r="L200" s="74"/>
      <c r="M200" s="74"/>
      <c r="N200" s="69"/>
      <c r="O200" s="75"/>
      <c r="P200" s="75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5.75" customHeight="1">
      <c r="A201" s="68"/>
      <c r="B201" s="69"/>
      <c r="C201" s="72"/>
      <c r="D201" s="71"/>
      <c r="E201" s="72"/>
      <c r="F201" s="71"/>
      <c r="G201" s="69"/>
      <c r="H201" s="73"/>
      <c r="I201" s="69"/>
      <c r="J201" s="69"/>
      <c r="K201" s="69"/>
      <c r="L201" s="74"/>
      <c r="M201" s="74"/>
      <c r="N201" s="69"/>
      <c r="O201" s="75"/>
      <c r="P201" s="75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5.75" customHeight="1">
      <c r="A202" s="68"/>
      <c r="B202" s="69"/>
      <c r="C202" s="72"/>
      <c r="D202" s="71"/>
      <c r="E202" s="72"/>
      <c r="F202" s="71"/>
      <c r="G202" s="69"/>
      <c r="H202" s="73"/>
      <c r="I202" s="69"/>
      <c r="J202" s="69"/>
      <c r="K202" s="69"/>
      <c r="L202" s="74"/>
      <c r="M202" s="74"/>
      <c r="N202" s="69"/>
      <c r="O202" s="75"/>
      <c r="P202" s="75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5.75" customHeight="1">
      <c r="A203" s="68"/>
      <c r="B203" s="69"/>
      <c r="C203" s="72"/>
      <c r="D203" s="71"/>
      <c r="E203" s="72"/>
      <c r="F203" s="71"/>
      <c r="G203" s="69"/>
      <c r="H203" s="73"/>
      <c r="I203" s="69"/>
      <c r="J203" s="69"/>
      <c r="K203" s="69"/>
      <c r="L203" s="74"/>
      <c r="M203" s="74"/>
      <c r="N203" s="69"/>
      <c r="O203" s="75"/>
      <c r="P203" s="75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5.75" customHeight="1">
      <c r="A204" s="68"/>
      <c r="B204" s="69"/>
      <c r="C204" s="72"/>
      <c r="D204" s="71"/>
      <c r="E204" s="72"/>
      <c r="F204" s="71"/>
      <c r="G204" s="69"/>
      <c r="H204" s="73"/>
      <c r="I204" s="69"/>
      <c r="J204" s="69"/>
      <c r="K204" s="69"/>
      <c r="L204" s="74"/>
      <c r="M204" s="74"/>
      <c r="N204" s="69"/>
      <c r="O204" s="75"/>
      <c r="P204" s="75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5.75" customHeight="1">
      <c r="A205" s="68"/>
      <c r="B205" s="69"/>
      <c r="C205" s="72"/>
      <c r="D205" s="71"/>
      <c r="E205" s="72"/>
      <c r="F205" s="71"/>
      <c r="G205" s="69"/>
      <c r="H205" s="73"/>
      <c r="I205" s="69"/>
      <c r="J205" s="69"/>
      <c r="K205" s="69"/>
      <c r="L205" s="74"/>
      <c r="M205" s="74"/>
      <c r="N205" s="69"/>
      <c r="O205" s="75"/>
      <c r="P205" s="75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5.75" customHeight="1">
      <c r="A206" s="68"/>
      <c r="B206" s="69"/>
      <c r="C206" s="72"/>
      <c r="D206" s="71"/>
      <c r="E206" s="72"/>
      <c r="F206" s="71"/>
      <c r="G206" s="69"/>
      <c r="H206" s="73"/>
      <c r="I206" s="69"/>
      <c r="J206" s="69"/>
      <c r="K206" s="69"/>
      <c r="L206" s="74"/>
      <c r="M206" s="74"/>
      <c r="N206" s="69"/>
      <c r="O206" s="75"/>
      <c r="P206" s="75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5.75" customHeight="1">
      <c r="A207" s="68"/>
      <c r="B207" s="69"/>
      <c r="C207" s="72"/>
      <c r="D207" s="71"/>
      <c r="E207" s="72"/>
      <c r="F207" s="71"/>
      <c r="G207" s="69"/>
      <c r="H207" s="73"/>
      <c r="I207" s="69"/>
      <c r="J207" s="69"/>
      <c r="K207" s="69"/>
      <c r="L207" s="74"/>
      <c r="M207" s="74"/>
      <c r="N207" s="69"/>
      <c r="O207" s="75"/>
      <c r="P207" s="75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5.75" customHeight="1">
      <c r="A208" s="68"/>
      <c r="B208" s="69"/>
      <c r="C208" s="72"/>
      <c r="D208" s="71"/>
      <c r="E208" s="72"/>
      <c r="F208" s="71"/>
      <c r="G208" s="69"/>
      <c r="H208" s="73"/>
      <c r="I208" s="69"/>
      <c r="J208" s="69"/>
      <c r="K208" s="69"/>
      <c r="L208" s="74"/>
      <c r="M208" s="74"/>
      <c r="N208" s="69"/>
      <c r="O208" s="75"/>
      <c r="P208" s="75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5.75" customHeight="1">
      <c r="A209" s="68"/>
      <c r="B209" s="69"/>
      <c r="C209" s="72"/>
      <c r="D209" s="71"/>
      <c r="E209" s="72"/>
      <c r="F209" s="71"/>
      <c r="G209" s="69"/>
      <c r="H209" s="73"/>
      <c r="I209" s="69"/>
      <c r="J209" s="69"/>
      <c r="K209" s="69"/>
      <c r="L209" s="74"/>
      <c r="M209" s="74"/>
      <c r="N209" s="69"/>
      <c r="O209" s="75"/>
      <c r="P209" s="75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5.75" customHeight="1">
      <c r="A210" s="68"/>
      <c r="B210" s="69"/>
      <c r="C210" s="72"/>
      <c r="D210" s="71"/>
      <c r="E210" s="72"/>
      <c r="F210" s="71"/>
      <c r="G210" s="69"/>
      <c r="H210" s="73"/>
      <c r="I210" s="69"/>
      <c r="J210" s="69"/>
      <c r="K210" s="69"/>
      <c r="L210" s="74"/>
      <c r="M210" s="74"/>
      <c r="N210" s="69"/>
      <c r="O210" s="75"/>
      <c r="P210" s="75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5.75" customHeight="1">
      <c r="A211" s="68"/>
      <c r="B211" s="69"/>
      <c r="C211" s="72"/>
      <c r="D211" s="71"/>
      <c r="E211" s="72"/>
      <c r="F211" s="71"/>
      <c r="G211" s="69"/>
      <c r="H211" s="73"/>
      <c r="I211" s="69"/>
      <c r="J211" s="69"/>
      <c r="K211" s="69"/>
      <c r="L211" s="74"/>
      <c r="M211" s="74"/>
      <c r="N211" s="69"/>
      <c r="O211" s="75"/>
      <c r="P211" s="75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5.75" customHeight="1">
      <c r="A212" s="68"/>
      <c r="B212" s="69"/>
      <c r="C212" s="72"/>
      <c r="D212" s="71"/>
      <c r="E212" s="72"/>
      <c r="F212" s="71"/>
      <c r="G212" s="69"/>
      <c r="H212" s="73"/>
      <c r="I212" s="69"/>
      <c r="J212" s="69"/>
      <c r="K212" s="69"/>
      <c r="L212" s="74"/>
      <c r="M212" s="74"/>
      <c r="N212" s="69"/>
      <c r="O212" s="75"/>
      <c r="P212" s="75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5.75" customHeight="1">
      <c r="A213" s="68"/>
      <c r="B213" s="69"/>
      <c r="C213" s="72"/>
      <c r="D213" s="71"/>
      <c r="E213" s="72"/>
      <c r="F213" s="71"/>
      <c r="G213" s="69"/>
      <c r="H213" s="73"/>
      <c r="I213" s="69"/>
      <c r="J213" s="69"/>
      <c r="K213" s="69"/>
      <c r="L213" s="74"/>
      <c r="M213" s="74"/>
      <c r="N213" s="69"/>
      <c r="O213" s="75"/>
      <c r="P213" s="75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5.75" customHeight="1">
      <c r="A214" s="68"/>
      <c r="B214" s="69"/>
      <c r="C214" s="72"/>
      <c r="D214" s="71"/>
      <c r="E214" s="72"/>
      <c r="F214" s="71"/>
      <c r="G214" s="69"/>
      <c r="H214" s="73"/>
      <c r="I214" s="69"/>
      <c r="J214" s="69"/>
      <c r="K214" s="69"/>
      <c r="L214" s="74"/>
      <c r="M214" s="74"/>
      <c r="N214" s="69"/>
      <c r="O214" s="75"/>
      <c r="P214" s="75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5.75" customHeight="1">
      <c r="A215" s="68"/>
      <c r="B215" s="69"/>
      <c r="C215" s="72"/>
      <c r="D215" s="71"/>
      <c r="E215" s="72"/>
      <c r="F215" s="71"/>
      <c r="G215" s="69"/>
      <c r="H215" s="73"/>
      <c r="I215" s="69"/>
      <c r="J215" s="69"/>
      <c r="K215" s="69"/>
      <c r="L215" s="74"/>
      <c r="M215" s="74"/>
      <c r="N215" s="69"/>
      <c r="O215" s="75"/>
      <c r="P215" s="75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5.75" customHeight="1">
      <c r="A216" s="68"/>
      <c r="B216" s="69"/>
      <c r="C216" s="72"/>
      <c r="D216" s="71"/>
      <c r="E216" s="72"/>
      <c r="F216" s="71"/>
      <c r="G216" s="69"/>
      <c r="H216" s="73"/>
      <c r="I216" s="69"/>
      <c r="J216" s="69"/>
      <c r="K216" s="69"/>
      <c r="L216" s="74"/>
      <c r="M216" s="74"/>
      <c r="N216" s="69"/>
      <c r="O216" s="75"/>
      <c r="P216" s="75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5.75" customHeight="1">
      <c r="A217" s="68"/>
      <c r="B217" s="69"/>
      <c r="C217" s="72"/>
      <c r="D217" s="71"/>
      <c r="E217" s="72"/>
      <c r="F217" s="71"/>
      <c r="G217" s="69"/>
      <c r="H217" s="73"/>
      <c r="I217" s="69"/>
      <c r="J217" s="69"/>
      <c r="K217" s="69"/>
      <c r="L217" s="74"/>
      <c r="M217" s="74"/>
      <c r="N217" s="69"/>
      <c r="O217" s="75"/>
      <c r="P217" s="75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5.75" customHeight="1">
      <c r="A218" s="68"/>
      <c r="B218" s="69"/>
      <c r="C218" s="72"/>
      <c r="D218" s="71"/>
      <c r="E218" s="72"/>
      <c r="F218" s="71"/>
      <c r="G218" s="69"/>
      <c r="H218" s="73"/>
      <c r="I218" s="69"/>
      <c r="J218" s="69"/>
      <c r="K218" s="69"/>
      <c r="L218" s="74"/>
      <c r="M218" s="74"/>
      <c r="N218" s="69"/>
      <c r="O218" s="75"/>
      <c r="P218" s="75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5.75" customHeight="1">
      <c r="A219" s="68"/>
      <c r="B219" s="69"/>
      <c r="C219" s="72"/>
      <c r="D219" s="71"/>
      <c r="E219" s="72"/>
      <c r="F219" s="71"/>
      <c r="G219" s="69"/>
      <c r="H219" s="73"/>
      <c r="I219" s="69"/>
      <c r="J219" s="69"/>
      <c r="K219" s="69"/>
      <c r="L219" s="74"/>
      <c r="M219" s="74"/>
      <c r="N219" s="69"/>
      <c r="O219" s="75"/>
      <c r="P219" s="75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5.75" customHeight="1">
      <c r="A220" s="68"/>
      <c r="B220" s="69"/>
      <c r="C220" s="72"/>
      <c r="D220" s="71"/>
      <c r="E220" s="72"/>
      <c r="F220" s="71"/>
      <c r="G220" s="69"/>
      <c r="H220" s="73"/>
      <c r="I220" s="69"/>
      <c r="J220" s="69"/>
      <c r="K220" s="69"/>
      <c r="L220" s="74"/>
      <c r="M220" s="74"/>
      <c r="N220" s="69"/>
      <c r="O220" s="75"/>
      <c r="P220" s="75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5.75" customHeight="1">
      <c r="A221" s="68"/>
      <c r="B221" s="69"/>
      <c r="C221" s="72"/>
      <c r="D221" s="71"/>
      <c r="E221" s="72"/>
      <c r="F221" s="71"/>
      <c r="G221" s="69"/>
      <c r="H221" s="73"/>
      <c r="I221" s="69"/>
      <c r="J221" s="69"/>
      <c r="K221" s="69"/>
      <c r="L221" s="74"/>
      <c r="M221" s="74"/>
      <c r="N221" s="69"/>
      <c r="O221" s="75"/>
      <c r="P221" s="75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5.75" customHeight="1">
      <c r="A222" s="68"/>
      <c r="B222" s="69"/>
      <c r="C222" s="72"/>
      <c r="D222" s="71"/>
      <c r="E222" s="72"/>
      <c r="F222" s="71"/>
      <c r="G222" s="69"/>
      <c r="H222" s="73"/>
      <c r="I222" s="69"/>
      <c r="J222" s="69"/>
      <c r="K222" s="69"/>
      <c r="L222" s="74"/>
      <c r="M222" s="74"/>
      <c r="N222" s="69"/>
      <c r="O222" s="75"/>
      <c r="P222" s="75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5.75" customHeight="1">
      <c r="A223" s="68"/>
      <c r="B223" s="69"/>
      <c r="C223" s="72"/>
      <c r="D223" s="71"/>
      <c r="E223" s="72"/>
      <c r="F223" s="71"/>
      <c r="G223" s="69"/>
      <c r="H223" s="73"/>
      <c r="I223" s="69"/>
      <c r="J223" s="69"/>
      <c r="K223" s="69"/>
      <c r="L223" s="74"/>
      <c r="M223" s="74"/>
      <c r="N223" s="69"/>
      <c r="O223" s="75"/>
      <c r="P223" s="75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5.75" customHeight="1">
      <c r="A224" s="68"/>
      <c r="B224" s="69"/>
      <c r="C224" s="72"/>
      <c r="D224" s="71"/>
      <c r="E224" s="72"/>
      <c r="F224" s="71"/>
      <c r="G224" s="69"/>
      <c r="H224" s="73"/>
      <c r="I224" s="69"/>
      <c r="J224" s="69"/>
      <c r="K224" s="69"/>
      <c r="L224" s="74"/>
      <c r="M224" s="74"/>
      <c r="N224" s="69"/>
      <c r="O224" s="75"/>
      <c r="P224" s="75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5.75" customHeight="1">
      <c r="A225" s="68"/>
      <c r="B225" s="69"/>
      <c r="C225" s="72"/>
      <c r="D225" s="71"/>
      <c r="E225" s="72"/>
      <c r="F225" s="71"/>
      <c r="G225" s="69"/>
      <c r="H225" s="73"/>
      <c r="I225" s="69"/>
      <c r="J225" s="69"/>
      <c r="K225" s="69"/>
      <c r="L225" s="74"/>
      <c r="M225" s="74"/>
      <c r="N225" s="69"/>
      <c r="O225" s="75"/>
      <c r="P225" s="75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5.75" customHeight="1">
      <c r="A226" s="68"/>
      <c r="B226" s="69"/>
      <c r="C226" s="72"/>
      <c r="D226" s="71"/>
      <c r="E226" s="72"/>
      <c r="F226" s="71"/>
      <c r="G226" s="69"/>
      <c r="H226" s="73"/>
      <c r="I226" s="69"/>
      <c r="J226" s="69"/>
      <c r="K226" s="69"/>
      <c r="L226" s="74"/>
      <c r="M226" s="74"/>
      <c r="N226" s="69"/>
      <c r="O226" s="75"/>
      <c r="P226" s="75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5.75" customHeight="1">
      <c r="A227" s="68"/>
      <c r="B227" s="69"/>
      <c r="C227" s="72"/>
      <c r="D227" s="71"/>
      <c r="E227" s="72"/>
      <c r="F227" s="71"/>
      <c r="G227" s="69"/>
      <c r="H227" s="73"/>
      <c r="I227" s="69"/>
      <c r="J227" s="69"/>
      <c r="K227" s="69"/>
      <c r="L227" s="74"/>
      <c r="M227" s="74"/>
      <c r="N227" s="69"/>
      <c r="O227" s="75"/>
      <c r="P227" s="75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customHeight="1">
      <c r="A228" s="68"/>
      <c r="B228" s="69"/>
      <c r="C228" s="72"/>
      <c r="D228" s="71"/>
      <c r="E228" s="72"/>
      <c r="F228" s="71"/>
      <c r="G228" s="69"/>
      <c r="H228" s="73"/>
      <c r="I228" s="69"/>
      <c r="J228" s="69"/>
      <c r="K228" s="69"/>
      <c r="L228" s="74"/>
      <c r="M228" s="74"/>
      <c r="N228" s="69"/>
      <c r="O228" s="75"/>
      <c r="P228" s="75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5.75" customHeight="1">
      <c r="A229" s="68"/>
      <c r="B229" s="69"/>
      <c r="C229" s="72"/>
      <c r="D229" s="71"/>
      <c r="E229" s="72"/>
      <c r="F229" s="71"/>
      <c r="G229" s="69"/>
      <c r="H229" s="73"/>
      <c r="I229" s="69"/>
      <c r="J229" s="69"/>
      <c r="K229" s="69"/>
      <c r="L229" s="74"/>
      <c r="M229" s="74"/>
      <c r="N229" s="69"/>
      <c r="O229" s="75"/>
      <c r="P229" s="75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5.75" customHeight="1">
      <c r="A230" s="68"/>
      <c r="B230" s="69"/>
      <c r="C230" s="72"/>
      <c r="D230" s="71"/>
      <c r="E230" s="72"/>
      <c r="F230" s="71"/>
      <c r="G230" s="69"/>
      <c r="H230" s="73"/>
      <c r="I230" s="69"/>
      <c r="J230" s="69"/>
      <c r="K230" s="69"/>
      <c r="L230" s="74"/>
      <c r="M230" s="74"/>
      <c r="N230" s="69"/>
      <c r="O230" s="75"/>
      <c r="P230" s="75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5.75" customHeight="1">
      <c r="A231" s="68"/>
      <c r="B231" s="69"/>
      <c r="C231" s="72"/>
      <c r="D231" s="71"/>
      <c r="E231" s="72"/>
      <c r="F231" s="71"/>
      <c r="G231" s="69"/>
      <c r="H231" s="73"/>
      <c r="I231" s="69"/>
      <c r="J231" s="69"/>
      <c r="K231" s="69"/>
      <c r="L231" s="74"/>
      <c r="M231" s="74"/>
      <c r="N231" s="69"/>
      <c r="O231" s="75"/>
      <c r="P231" s="75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5.75" customHeight="1">
      <c r="A232" s="68"/>
      <c r="B232" s="69"/>
      <c r="C232" s="72"/>
      <c r="D232" s="71"/>
      <c r="E232" s="72"/>
      <c r="F232" s="71"/>
      <c r="G232" s="69"/>
      <c r="H232" s="73"/>
      <c r="I232" s="69"/>
      <c r="J232" s="69"/>
      <c r="K232" s="69"/>
      <c r="L232" s="74"/>
      <c r="M232" s="74"/>
      <c r="N232" s="69"/>
      <c r="O232" s="75"/>
      <c r="P232" s="75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5.75" customHeight="1">
      <c r="A233" s="68"/>
      <c r="B233" s="69"/>
      <c r="C233" s="72"/>
      <c r="D233" s="71"/>
      <c r="E233" s="72"/>
      <c r="F233" s="71"/>
      <c r="G233" s="69"/>
      <c r="H233" s="73"/>
      <c r="I233" s="69"/>
      <c r="J233" s="69"/>
      <c r="K233" s="69"/>
      <c r="L233" s="74"/>
      <c r="M233" s="74"/>
      <c r="N233" s="69"/>
      <c r="O233" s="75"/>
      <c r="P233" s="75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5.75" customHeight="1">
      <c r="A234" s="68"/>
      <c r="B234" s="69"/>
      <c r="C234" s="72"/>
      <c r="D234" s="71"/>
      <c r="E234" s="72"/>
      <c r="F234" s="71"/>
      <c r="G234" s="69"/>
      <c r="H234" s="73"/>
      <c r="I234" s="69"/>
      <c r="J234" s="69"/>
      <c r="K234" s="69"/>
      <c r="L234" s="74"/>
      <c r="M234" s="74"/>
      <c r="N234" s="69"/>
      <c r="O234" s="75"/>
      <c r="P234" s="75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5.75" customHeight="1">
      <c r="A235" s="68"/>
      <c r="B235" s="69"/>
      <c r="C235" s="72"/>
      <c r="D235" s="71"/>
      <c r="E235" s="72"/>
      <c r="F235" s="71"/>
      <c r="G235" s="69"/>
      <c r="H235" s="73"/>
      <c r="I235" s="69"/>
      <c r="J235" s="69"/>
      <c r="K235" s="69"/>
      <c r="L235" s="74"/>
      <c r="M235" s="74"/>
      <c r="N235" s="69"/>
      <c r="O235" s="75"/>
      <c r="P235" s="75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5.75" customHeight="1">
      <c r="A236" s="68"/>
      <c r="B236" s="69"/>
      <c r="C236" s="72"/>
      <c r="D236" s="71"/>
      <c r="E236" s="72"/>
      <c r="F236" s="71"/>
      <c r="G236" s="69"/>
      <c r="H236" s="73"/>
      <c r="I236" s="69"/>
      <c r="J236" s="69"/>
      <c r="K236" s="69"/>
      <c r="L236" s="74"/>
      <c r="M236" s="74"/>
      <c r="N236" s="69"/>
      <c r="O236" s="75"/>
      <c r="P236" s="75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5.75" customHeight="1">
      <c r="A237" s="68"/>
      <c r="B237" s="69"/>
      <c r="C237" s="72"/>
      <c r="D237" s="71"/>
      <c r="E237" s="72"/>
      <c r="F237" s="71"/>
      <c r="G237" s="69"/>
      <c r="H237" s="73"/>
      <c r="I237" s="69"/>
      <c r="J237" s="69"/>
      <c r="K237" s="69"/>
      <c r="L237" s="74"/>
      <c r="M237" s="74"/>
      <c r="N237" s="69"/>
      <c r="O237" s="75"/>
      <c r="P237" s="75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5.75" customHeight="1">
      <c r="A238" s="68"/>
      <c r="B238" s="69"/>
      <c r="C238" s="72"/>
      <c r="D238" s="71"/>
      <c r="E238" s="72"/>
      <c r="F238" s="71"/>
      <c r="G238" s="69"/>
      <c r="H238" s="73"/>
      <c r="I238" s="69"/>
      <c r="J238" s="69"/>
      <c r="K238" s="69"/>
      <c r="L238" s="74"/>
      <c r="M238" s="74"/>
      <c r="N238" s="69"/>
      <c r="O238" s="75"/>
      <c r="P238" s="75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5.75" customHeight="1">
      <c r="A239" s="68"/>
      <c r="B239" s="69"/>
      <c r="C239" s="72"/>
      <c r="D239" s="71"/>
      <c r="E239" s="72"/>
      <c r="F239" s="71"/>
      <c r="G239" s="69"/>
      <c r="H239" s="73"/>
      <c r="I239" s="69"/>
      <c r="J239" s="69"/>
      <c r="K239" s="69"/>
      <c r="L239" s="74"/>
      <c r="M239" s="74"/>
      <c r="N239" s="69"/>
      <c r="O239" s="75"/>
      <c r="P239" s="75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5.75" customHeight="1">
      <c r="A240" s="68"/>
      <c r="B240" s="69"/>
      <c r="C240" s="72"/>
      <c r="D240" s="71"/>
      <c r="E240" s="72"/>
      <c r="F240" s="71"/>
      <c r="G240" s="69"/>
      <c r="H240" s="73"/>
      <c r="I240" s="69"/>
      <c r="J240" s="69"/>
      <c r="K240" s="69"/>
      <c r="L240" s="74"/>
      <c r="M240" s="74"/>
      <c r="N240" s="69"/>
      <c r="O240" s="75"/>
      <c r="P240" s="75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5.75" customHeight="1">
      <c r="A241" s="68"/>
      <c r="B241" s="69"/>
      <c r="C241" s="72"/>
      <c r="D241" s="71"/>
      <c r="E241" s="72"/>
      <c r="F241" s="71"/>
      <c r="G241" s="69"/>
      <c r="H241" s="73"/>
      <c r="I241" s="69"/>
      <c r="J241" s="69"/>
      <c r="K241" s="69"/>
      <c r="L241" s="74"/>
      <c r="M241" s="74"/>
      <c r="N241" s="69"/>
      <c r="O241" s="75"/>
      <c r="P241" s="75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5.75" customHeight="1">
      <c r="A242" s="68"/>
      <c r="B242" s="69"/>
      <c r="C242" s="72"/>
      <c r="D242" s="71"/>
      <c r="E242" s="72"/>
      <c r="F242" s="71"/>
      <c r="G242" s="69"/>
      <c r="H242" s="73"/>
      <c r="I242" s="69"/>
      <c r="J242" s="69"/>
      <c r="K242" s="69"/>
      <c r="L242" s="74"/>
      <c r="M242" s="74"/>
      <c r="N242" s="69"/>
      <c r="O242" s="75"/>
      <c r="P242" s="75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5.75" customHeight="1">
      <c r="A243" s="68"/>
      <c r="B243" s="69"/>
      <c r="C243" s="72"/>
      <c r="D243" s="71"/>
      <c r="E243" s="72"/>
      <c r="F243" s="71"/>
      <c r="G243" s="69"/>
      <c r="H243" s="73"/>
      <c r="I243" s="69"/>
      <c r="J243" s="69"/>
      <c r="K243" s="69"/>
      <c r="L243" s="74"/>
      <c r="M243" s="74"/>
      <c r="N243" s="69"/>
      <c r="O243" s="75"/>
      <c r="P243" s="75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5.75" customHeight="1">
      <c r="A244" s="68"/>
      <c r="B244" s="69"/>
      <c r="C244" s="72"/>
      <c r="D244" s="71"/>
      <c r="E244" s="72"/>
      <c r="F244" s="71"/>
      <c r="G244" s="69"/>
      <c r="H244" s="73"/>
      <c r="I244" s="69"/>
      <c r="J244" s="69"/>
      <c r="K244" s="69"/>
      <c r="L244" s="74"/>
      <c r="M244" s="74"/>
      <c r="N244" s="69"/>
      <c r="O244" s="75"/>
      <c r="P244" s="75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5.75" customHeight="1">
      <c r="A245" s="68"/>
      <c r="B245" s="69"/>
      <c r="C245" s="72"/>
      <c r="D245" s="71"/>
      <c r="E245" s="72"/>
      <c r="F245" s="71"/>
      <c r="G245" s="69"/>
      <c r="H245" s="73"/>
      <c r="I245" s="69"/>
      <c r="J245" s="69"/>
      <c r="K245" s="69"/>
      <c r="L245" s="74"/>
      <c r="M245" s="74"/>
      <c r="N245" s="69"/>
      <c r="O245" s="75"/>
      <c r="P245" s="75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5.75" customHeight="1">
      <c r="A246" s="68"/>
      <c r="B246" s="69"/>
      <c r="C246" s="72"/>
      <c r="D246" s="71"/>
      <c r="E246" s="72"/>
      <c r="F246" s="71"/>
      <c r="G246" s="69"/>
      <c r="H246" s="73"/>
      <c r="I246" s="69"/>
      <c r="J246" s="69"/>
      <c r="K246" s="69"/>
      <c r="L246" s="74"/>
      <c r="M246" s="74"/>
      <c r="N246" s="69"/>
      <c r="O246" s="75"/>
      <c r="P246" s="75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5.75" customHeight="1">
      <c r="A247" s="68"/>
      <c r="B247" s="69"/>
      <c r="C247" s="72"/>
      <c r="D247" s="71"/>
      <c r="E247" s="72"/>
      <c r="F247" s="71"/>
      <c r="G247" s="69"/>
      <c r="H247" s="73"/>
      <c r="I247" s="69"/>
      <c r="J247" s="69"/>
      <c r="K247" s="69"/>
      <c r="L247" s="74"/>
      <c r="M247" s="74"/>
      <c r="N247" s="69"/>
      <c r="O247" s="75"/>
      <c r="P247" s="75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5.75" customHeight="1">
      <c r="A248" s="68"/>
      <c r="B248" s="69"/>
      <c r="C248" s="72"/>
      <c r="D248" s="71"/>
      <c r="E248" s="72"/>
      <c r="F248" s="71"/>
      <c r="G248" s="69"/>
      <c r="H248" s="73"/>
      <c r="I248" s="69"/>
      <c r="J248" s="69"/>
      <c r="K248" s="69"/>
      <c r="L248" s="74"/>
      <c r="M248" s="74"/>
      <c r="N248" s="69"/>
      <c r="O248" s="75"/>
      <c r="P248" s="75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5.75" customHeight="1">
      <c r="A249" s="68"/>
      <c r="B249" s="69"/>
      <c r="C249" s="72"/>
      <c r="D249" s="71"/>
      <c r="E249" s="72"/>
      <c r="F249" s="71"/>
      <c r="G249" s="69"/>
      <c r="H249" s="73"/>
      <c r="I249" s="69"/>
      <c r="J249" s="69"/>
      <c r="K249" s="69"/>
      <c r="L249" s="74"/>
      <c r="M249" s="74"/>
      <c r="N249" s="69"/>
      <c r="O249" s="75"/>
      <c r="P249" s="75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5.75" customHeight="1">
      <c r="A250" s="68"/>
      <c r="B250" s="69"/>
      <c r="C250" s="72"/>
      <c r="D250" s="71"/>
      <c r="E250" s="72"/>
      <c r="F250" s="71"/>
      <c r="G250" s="69"/>
      <c r="H250" s="73"/>
      <c r="I250" s="69"/>
      <c r="J250" s="69"/>
      <c r="K250" s="69"/>
      <c r="L250" s="74"/>
      <c r="M250" s="74"/>
      <c r="N250" s="69"/>
      <c r="O250" s="75"/>
      <c r="P250" s="75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5.75" customHeight="1">
      <c r="A251" s="68"/>
      <c r="B251" s="69"/>
      <c r="C251" s="72"/>
      <c r="D251" s="71"/>
      <c r="E251" s="72"/>
      <c r="F251" s="71"/>
      <c r="G251" s="69"/>
      <c r="H251" s="73"/>
      <c r="I251" s="69"/>
      <c r="J251" s="69"/>
      <c r="K251" s="69"/>
      <c r="L251" s="74"/>
      <c r="M251" s="74"/>
      <c r="N251" s="69"/>
      <c r="O251" s="75"/>
      <c r="P251" s="75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5.75" customHeight="1">
      <c r="A252" s="68"/>
      <c r="B252" s="69"/>
      <c r="C252" s="72"/>
      <c r="D252" s="71"/>
      <c r="E252" s="72"/>
      <c r="F252" s="71"/>
      <c r="G252" s="69"/>
      <c r="H252" s="73"/>
      <c r="I252" s="69"/>
      <c r="J252" s="69"/>
      <c r="K252" s="69"/>
      <c r="L252" s="74"/>
      <c r="M252" s="74"/>
      <c r="N252" s="69"/>
      <c r="O252" s="75"/>
      <c r="P252" s="75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5.75" customHeight="1">
      <c r="A253" s="68"/>
      <c r="B253" s="69"/>
      <c r="C253" s="72"/>
      <c r="D253" s="71"/>
      <c r="E253" s="72"/>
      <c r="F253" s="71"/>
      <c r="G253" s="69"/>
      <c r="H253" s="73"/>
      <c r="I253" s="69"/>
      <c r="J253" s="69"/>
      <c r="K253" s="69"/>
      <c r="L253" s="74"/>
      <c r="M253" s="74"/>
      <c r="N253" s="69"/>
      <c r="O253" s="75"/>
      <c r="P253" s="75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5.75" customHeight="1">
      <c r="A254" s="68"/>
      <c r="B254" s="69"/>
      <c r="C254" s="72"/>
      <c r="D254" s="71"/>
      <c r="E254" s="72"/>
      <c r="F254" s="71"/>
      <c r="G254" s="69"/>
      <c r="H254" s="73"/>
      <c r="I254" s="69"/>
      <c r="J254" s="69"/>
      <c r="K254" s="69"/>
      <c r="L254" s="74"/>
      <c r="M254" s="74"/>
      <c r="N254" s="69"/>
      <c r="O254" s="75"/>
      <c r="P254" s="75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5.75" customHeight="1">
      <c r="A255" s="68"/>
      <c r="B255" s="69"/>
      <c r="C255" s="72"/>
      <c r="D255" s="71"/>
      <c r="E255" s="72"/>
      <c r="F255" s="71"/>
      <c r="G255" s="69"/>
      <c r="H255" s="73"/>
      <c r="I255" s="69"/>
      <c r="J255" s="69"/>
      <c r="K255" s="69"/>
      <c r="L255" s="74"/>
      <c r="M255" s="74"/>
      <c r="N255" s="69"/>
      <c r="O255" s="75"/>
      <c r="P255" s="75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5.75" customHeight="1">
      <c r="A256" s="68"/>
      <c r="B256" s="69"/>
      <c r="C256" s="72"/>
      <c r="D256" s="71"/>
      <c r="E256" s="72"/>
      <c r="F256" s="71"/>
      <c r="G256" s="69"/>
      <c r="H256" s="73"/>
      <c r="I256" s="69"/>
      <c r="J256" s="69"/>
      <c r="K256" s="69"/>
      <c r="L256" s="74"/>
      <c r="M256" s="74"/>
      <c r="N256" s="69"/>
      <c r="O256" s="75"/>
      <c r="P256" s="75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5.75" customHeight="1">
      <c r="A257" s="68"/>
      <c r="B257" s="69"/>
      <c r="C257" s="72"/>
      <c r="D257" s="71"/>
      <c r="E257" s="72"/>
      <c r="F257" s="71"/>
      <c r="G257" s="69"/>
      <c r="H257" s="73"/>
      <c r="I257" s="69"/>
      <c r="J257" s="69"/>
      <c r="K257" s="69"/>
      <c r="L257" s="74"/>
      <c r="M257" s="74"/>
      <c r="N257" s="69"/>
      <c r="O257" s="75"/>
      <c r="P257" s="75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5.75" customHeight="1">
      <c r="A258" s="68"/>
      <c r="B258" s="69"/>
      <c r="C258" s="72"/>
      <c r="D258" s="71"/>
      <c r="E258" s="72"/>
      <c r="F258" s="71"/>
      <c r="G258" s="69"/>
      <c r="H258" s="73"/>
      <c r="I258" s="69"/>
      <c r="J258" s="69"/>
      <c r="K258" s="69"/>
      <c r="L258" s="74"/>
      <c r="M258" s="74"/>
      <c r="N258" s="69"/>
      <c r="O258" s="75"/>
      <c r="P258" s="75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5.75" customHeight="1">
      <c r="A259" s="68"/>
      <c r="B259" s="69"/>
      <c r="C259" s="72"/>
      <c r="D259" s="71"/>
      <c r="E259" s="72"/>
      <c r="F259" s="71"/>
      <c r="G259" s="69"/>
      <c r="H259" s="73"/>
      <c r="I259" s="69"/>
      <c r="J259" s="69"/>
      <c r="K259" s="69"/>
      <c r="L259" s="74"/>
      <c r="M259" s="74"/>
      <c r="N259" s="69"/>
      <c r="O259" s="75"/>
      <c r="P259" s="75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5.75" customHeight="1">
      <c r="A260" s="68"/>
      <c r="B260" s="69"/>
      <c r="C260" s="72"/>
      <c r="D260" s="71"/>
      <c r="E260" s="72"/>
      <c r="F260" s="71"/>
      <c r="G260" s="69"/>
      <c r="H260" s="73"/>
      <c r="I260" s="69"/>
      <c r="J260" s="69"/>
      <c r="K260" s="69"/>
      <c r="L260" s="74"/>
      <c r="M260" s="74"/>
      <c r="N260" s="69"/>
      <c r="O260" s="75"/>
      <c r="P260" s="75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5.75" customHeight="1">
      <c r="A261" s="68"/>
      <c r="B261" s="69"/>
      <c r="C261" s="72"/>
      <c r="D261" s="71"/>
      <c r="E261" s="72"/>
      <c r="F261" s="71"/>
      <c r="G261" s="69"/>
      <c r="H261" s="73"/>
      <c r="I261" s="69"/>
      <c r="J261" s="69"/>
      <c r="K261" s="69"/>
      <c r="L261" s="74"/>
      <c r="M261" s="74"/>
      <c r="N261" s="69"/>
      <c r="O261" s="75"/>
      <c r="P261" s="75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5.75" customHeight="1">
      <c r="A262" s="68"/>
      <c r="B262" s="69"/>
      <c r="C262" s="72"/>
      <c r="D262" s="71"/>
      <c r="E262" s="72"/>
      <c r="F262" s="71"/>
      <c r="G262" s="69"/>
      <c r="H262" s="73"/>
      <c r="I262" s="69"/>
      <c r="J262" s="69"/>
      <c r="K262" s="69"/>
      <c r="L262" s="74"/>
      <c r="M262" s="74"/>
      <c r="N262" s="69"/>
      <c r="O262" s="75"/>
      <c r="P262" s="75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5.75" customHeight="1">
      <c r="A263" s="68"/>
      <c r="B263" s="69"/>
      <c r="C263" s="72"/>
      <c r="D263" s="71"/>
      <c r="E263" s="72"/>
      <c r="F263" s="71"/>
      <c r="G263" s="69"/>
      <c r="H263" s="73"/>
      <c r="I263" s="69"/>
      <c r="J263" s="69"/>
      <c r="K263" s="69"/>
      <c r="L263" s="74"/>
      <c r="M263" s="74"/>
      <c r="N263" s="69"/>
      <c r="O263" s="75"/>
      <c r="P263" s="75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5.75" customHeight="1">
      <c r="A264" s="68"/>
      <c r="B264" s="69"/>
      <c r="C264" s="72"/>
      <c r="D264" s="71"/>
      <c r="E264" s="72"/>
      <c r="F264" s="71"/>
      <c r="G264" s="69"/>
      <c r="H264" s="73"/>
      <c r="I264" s="69"/>
      <c r="J264" s="69"/>
      <c r="K264" s="69"/>
      <c r="L264" s="74"/>
      <c r="M264" s="74"/>
      <c r="N264" s="69"/>
      <c r="O264" s="75"/>
      <c r="P264" s="75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5.75" customHeight="1">
      <c r="A265" s="68"/>
      <c r="B265" s="69"/>
      <c r="C265" s="72"/>
      <c r="D265" s="71"/>
      <c r="E265" s="72"/>
      <c r="F265" s="71"/>
      <c r="G265" s="69"/>
      <c r="H265" s="73"/>
      <c r="I265" s="69"/>
      <c r="J265" s="69"/>
      <c r="K265" s="69"/>
      <c r="L265" s="74"/>
      <c r="M265" s="74"/>
      <c r="N265" s="69"/>
      <c r="O265" s="75"/>
      <c r="P265" s="75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5.75" customHeight="1">
      <c r="A266" s="68"/>
      <c r="B266" s="69"/>
      <c r="C266" s="72"/>
      <c r="D266" s="71"/>
      <c r="E266" s="72"/>
      <c r="F266" s="71"/>
      <c r="G266" s="69"/>
      <c r="H266" s="73"/>
      <c r="I266" s="69"/>
      <c r="J266" s="69"/>
      <c r="K266" s="69"/>
      <c r="L266" s="74"/>
      <c r="M266" s="74"/>
      <c r="N266" s="69"/>
      <c r="O266" s="75"/>
      <c r="P266" s="75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5.75" customHeight="1">
      <c r="A267" s="68"/>
      <c r="B267" s="69"/>
      <c r="C267" s="72"/>
      <c r="D267" s="71"/>
      <c r="E267" s="72"/>
      <c r="F267" s="71"/>
      <c r="G267" s="69"/>
      <c r="H267" s="73"/>
      <c r="I267" s="69"/>
      <c r="J267" s="69"/>
      <c r="K267" s="69"/>
      <c r="L267" s="74"/>
      <c r="M267" s="74"/>
      <c r="N267" s="69"/>
      <c r="O267" s="75"/>
      <c r="P267" s="75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5.75" customHeight="1">
      <c r="A268" s="68"/>
      <c r="B268" s="69"/>
      <c r="C268" s="72"/>
      <c r="D268" s="71"/>
      <c r="E268" s="72"/>
      <c r="F268" s="71"/>
      <c r="G268" s="69"/>
      <c r="H268" s="73"/>
      <c r="I268" s="69"/>
      <c r="J268" s="69"/>
      <c r="K268" s="69"/>
      <c r="L268" s="74"/>
      <c r="M268" s="74"/>
      <c r="N268" s="69"/>
      <c r="O268" s="75"/>
      <c r="P268" s="75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5.75" customHeight="1">
      <c r="A269" s="68"/>
      <c r="B269" s="69"/>
      <c r="C269" s="72"/>
      <c r="D269" s="71"/>
      <c r="E269" s="72"/>
      <c r="F269" s="71"/>
      <c r="G269" s="69"/>
      <c r="H269" s="73"/>
      <c r="I269" s="69"/>
      <c r="J269" s="69"/>
      <c r="K269" s="69"/>
      <c r="L269" s="74"/>
      <c r="M269" s="74"/>
      <c r="N269" s="69"/>
      <c r="O269" s="75"/>
      <c r="P269" s="75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5.75" customHeight="1">
      <c r="A270" s="68"/>
      <c r="B270" s="69"/>
      <c r="C270" s="72"/>
      <c r="D270" s="71"/>
      <c r="E270" s="72"/>
      <c r="F270" s="71"/>
      <c r="G270" s="69"/>
      <c r="H270" s="73"/>
      <c r="I270" s="69"/>
      <c r="J270" s="69"/>
      <c r="K270" s="69"/>
      <c r="L270" s="74"/>
      <c r="M270" s="74"/>
      <c r="N270" s="69"/>
      <c r="O270" s="75"/>
      <c r="P270" s="75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5.75" customHeight="1">
      <c r="A271" s="68"/>
      <c r="B271" s="69"/>
      <c r="C271" s="72"/>
      <c r="D271" s="71"/>
      <c r="E271" s="72"/>
      <c r="F271" s="71"/>
      <c r="G271" s="69"/>
      <c r="H271" s="73"/>
      <c r="I271" s="69"/>
      <c r="J271" s="69"/>
      <c r="K271" s="69"/>
      <c r="L271" s="74"/>
      <c r="M271" s="74"/>
      <c r="N271" s="69"/>
      <c r="O271" s="75"/>
      <c r="P271" s="75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5.75" customHeight="1">
      <c r="A272" s="68"/>
      <c r="B272" s="69"/>
      <c r="C272" s="72"/>
      <c r="D272" s="71"/>
      <c r="E272" s="72"/>
      <c r="F272" s="71"/>
      <c r="G272" s="69"/>
      <c r="H272" s="73"/>
      <c r="I272" s="69"/>
      <c r="J272" s="69"/>
      <c r="K272" s="69"/>
      <c r="L272" s="74"/>
      <c r="M272" s="74"/>
      <c r="N272" s="69"/>
      <c r="O272" s="75"/>
      <c r="P272" s="75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5.75" customHeight="1">
      <c r="A273" s="68"/>
      <c r="B273" s="69"/>
      <c r="C273" s="72"/>
      <c r="D273" s="71"/>
      <c r="E273" s="72"/>
      <c r="F273" s="71"/>
      <c r="G273" s="69"/>
      <c r="H273" s="73"/>
      <c r="I273" s="69"/>
      <c r="J273" s="69"/>
      <c r="K273" s="69"/>
      <c r="L273" s="74"/>
      <c r="M273" s="74"/>
      <c r="N273" s="69"/>
      <c r="O273" s="75"/>
      <c r="P273" s="75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5.75" customHeight="1">
      <c r="A274" s="68"/>
      <c r="B274" s="69"/>
      <c r="C274" s="72"/>
      <c r="D274" s="71"/>
      <c r="E274" s="72"/>
      <c r="F274" s="71"/>
      <c r="G274" s="69"/>
      <c r="H274" s="73"/>
      <c r="I274" s="69"/>
      <c r="J274" s="69"/>
      <c r="K274" s="69"/>
      <c r="L274" s="74"/>
      <c r="M274" s="74"/>
      <c r="N274" s="69"/>
      <c r="O274" s="75"/>
      <c r="P274" s="75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5.75" customHeight="1">
      <c r="A275" s="68"/>
      <c r="B275" s="69"/>
      <c r="C275" s="72"/>
      <c r="D275" s="71"/>
      <c r="E275" s="72"/>
      <c r="F275" s="71"/>
      <c r="G275" s="69"/>
      <c r="H275" s="73"/>
      <c r="I275" s="69"/>
      <c r="J275" s="69"/>
      <c r="K275" s="69"/>
      <c r="L275" s="74"/>
      <c r="M275" s="74"/>
      <c r="N275" s="69"/>
      <c r="O275" s="75"/>
      <c r="P275" s="75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5.75" customHeight="1">
      <c r="A276" s="68"/>
      <c r="B276" s="69"/>
      <c r="C276" s="72"/>
      <c r="D276" s="71"/>
      <c r="E276" s="72"/>
      <c r="F276" s="71"/>
      <c r="G276" s="69"/>
      <c r="H276" s="73"/>
      <c r="I276" s="69"/>
      <c r="J276" s="69"/>
      <c r="K276" s="69"/>
      <c r="L276" s="74"/>
      <c r="M276" s="74"/>
      <c r="N276" s="69"/>
      <c r="O276" s="75"/>
      <c r="P276" s="75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5.75" customHeight="1">
      <c r="A277" s="68"/>
      <c r="B277" s="69"/>
      <c r="C277" s="72"/>
      <c r="D277" s="71"/>
      <c r="E277" s="72"/>
      <c r="F277" s="71"/>
      <c r="G277" s="69"/>
      <c r="H277" s="73"/>
      <c r="I277" s="69"/>
      <c r="J277" s="69"/>
      <c r="K277" s="69"/>
      <c r="L277" s="74"/>
      <c r="M277" s="74"/>
      <c r="N277" s="69"/>
      <c r="O277" s="75"/>
      <c r="P277" s="75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5.75" customHeight="1">
      <c r="A278" s="68"/>
      <c r="B278" s="69"/>
      <c r="C278" s="72"/>
      <c r="D278" s="71"/>
      <c r="E278" s="72"/>
      <c r="F278" s="71"/>
      <c r="G278" s="69"/>
      <c r="H278" s="73"/>
      <c r="I278" s="69"/>
      <c r="J278" s="69"/>
      <c r="K278" s="69"/>
      <c r="L278" s="74"/>
      <c r="M278" s="74"/>
      <c r="N278" s="69"/>
      <c r="O278" s="75"/>
      <c r="P278" s="75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5.75" customHeight="1">
      <c r="A279" s="68"/>
      <c r="B279" s="69"/>
      <c r="C279" s="72"/>
      <c r="D279" s="71"/>
      <c r="E279" s="72"/>
      <c r="F279" s="71"/>
      <c r="G279" s="69"/>
      <c r="H279" s="73"/>
      <c r="I279" s="69"/>
      <c r="J279" s="69"/>
      <c r="K279" s="69"/>
      <c r="L279" s="74"/>
      <c r="M279" s="74"/>
      <c r="N279" s="69"/>
      <c r="O279" s="75"/>
      <c r="P279" s="75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5.75" customHeight="1">
      <c r="A280" s="68"/>
      <c r="B280" s="69"/>
      <c r="C280" s="72"/>
      <c r="D280" s="71"/>
      <c r="E280" s="72"/>
      <c r="F280" s="71"/>
      <c r="G280" s="69"/>
      <c r="H280" s="73"/>
      <c r="I280" s="69"/>
      <c r="J280" s="69"/>
      <c r="K280" s="69"/>
      <c r="L280" s="74"/>
      <c r="M280" s="74"/>
      <c r="N280" s="69"/>
      <c r="O280" s="75"/>
      <c r="P280" s="75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5.75" customHeight="1">
      <c r="A281" s="68"/>
      <c r="B281" s="69"/>
      <c r="C281" s="72"/>
      <c r="D281" s="71"/>
      <c r="E281" s="72"/>
      <c r="F281" s="71"/>
      <c r="G281" s="69"/>
      <c r="H281" s="73"/>
      <c r="I281" s="69"/>
      <c r="J281" s="69"/>
      <c r="K281" s="69"/>
      <c r="L281" s="74"/>
      <c r="M281" s="74"/>
      <c r="N281" s="69"/>
      <c r="O281" s="75"/>
      <c r="P281" s="75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5.75" customHeight="1">
      <c r="A282" s="68"/>
      <c r="B282" s="69"/>
      <c r="C282" s="72"/>
      <c r="D282" s="71"/>
      <c r="E282" s="72"/>
      <c r="F282" s="71"/>
      <c r="G282" s="69"/>
      <c r="H282" s="73"/>
      <c r="I282" s="69"/>
      <c r="J282" s="69"/>
      <c r="K282" s="69"/>
      <c r="L282" s="74"/>
      <c r="M282" s="74"/>
      <c r="N282" s="69"/>
      <c r="O282" s="75"/>
      <c r="P282" s="75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5.75" customHeight="1">
      <c r="A283" s="68"/>
      <c r="B283" s="69"/>
      <c r="C283" s="72"/>
      <c r="D283" s="71"/>
      <c r="E283" s="72"/>
      <c r="F283" s="71"/>
      <c r="G283" s="69"/>
      <c r="H283" s="73"/>
      <c r="I283" s="69"/>
      <c r="J283" s="69"/>
      <c r="K283" s="69"/>
      <c r="L283" s="74"/>
      <c r="M283" s="74"/>
      <c r="N283" s="69"/>
      <c r="O283" s="75"/>
      <c r="P283" s="75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5.75" customHeight="1">
      <c r="A284" s="68"/>
      <c r="B284" s="69"/>
      <c r="C284" s="72"/>
      <c r="D284" s="71"/>
      <c r="E284" s="72"/>
      <c r="F284" s="71"/>
      <c r="G284" s="69"/>
      <c r="H284" s="73"/>
      <c r="I284" s="69"/>
      <c r="J284" s="69"/>
      <c r="K284" s="69"/>
      <c r="L284" s="74"/>
      <c r="M284" s="74"/>
      <c r="N284" s="69"/>
      <c r="O284" s="75"/>
      <c r="P284" s="75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5.75" customHeight="1">
      <c r="A285" s="68"/>
      <c r="B285" s="69"/>
      <c r="C285" s="72"/>
      <c r="D285" s="71"/>
      <c r="E285" s="72"/>
      <c r="F285" s="71"/>
      <c r="G285" s="69"/>
      <c r="H285" s="73"/>
      <c r="I285" s="69"/>
      <c r="J285" s="69"/>
      <c r="K285" s="69"/>
      <c r="L285" s="74"/>
      <c r="M285" s="74"/>
      <c r="N285" s="69"/>
      <c r="O285" s="75"/>
      <c r="P285" s="75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5.75" customHeight="1">
      <c r="A286" s="68"/>
      <c r="B286" s="69"/>
      <c r="C286" s="72"/>
      <c r="D286" s="71"/>
      <c r="E286" s="72"/>
      <c r="F286" s="71"/>
      <c r="G286" s="69"/>
      <c r="H286" s="73"/>
      <c r="I286" s="69"/>
      <c r="J286" s="69"/>
      <c r="K286" s="69"/>
      <c r="L286" s="74"/>
      <c r="M286" s="74"/>
      <c r="N286" s="69"/>
      <c r="O286" s="75"/>
      <c r="P286" s="75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5.75" customHeight="1">
      <c r="A287" s="68"/>
      <c r="B287" s="69"/>
      <c r="C287" s="72"/>
      <c r="D287" s="71"/>
      <c r="E287" s="72"/>
      <c r="F287" s="71"/>
      <c r="G287" s="69"/>
      <c r="H287" s="73"/>
      <c r="I287" s="69"/>
      <c r="J287" s="69"/>
      <c r="K287" s="69"/>
      <c r="L287" s="74"/>
      <c r="M287" s="74"/>
      <c r="N287" s="69"/>
      <c r="O287" s="75"/>
      <c r="P287" s="75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5.75" customHeight="1">
      <c r="A288" s="68"/>
      <c r="B288" s="69"/>
      <c r="C288" s="72"/>
      <c r="D288" s="71"/>
      <c r="E288" s="72"/>
      <c r="F288" s="71"/>
      <c r="G288" s="69"/>
      <c r="H288" s="73"/>
      <c r="I288" s="69"/>
      <c r="J288" s="69"/>
      <c r="K288" s="69"/>
      <c r="L288" s="74"/>
      <c r="M288" s="74"/>
      <c r="N288" s="69"/>
      <c r="O288" s="75"/>
      <c r="P288" s="75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5.75" customHeight="1">
      <c r="A289" s="68"/>
      <c r="B289" s="69"/>
      <c r="C289" s="72"/>
      <c r="D289" s="71"/>
      <c r="E289" s="72"/>
      <c r="F289" s="71"/>
      <c r="G289" s="69"/>
      <c r="H289" s="73"/>
      <c r="I289" s="69"/>
      <c r="J289" s="69"/>
      <c r="K289" s="69"/>
      <c r="L289" s="74"/>
      <c r="M289" s="74"/>
      <c r="N289" s="69"/>
      <c r="O289" s="75"/>
      <c r="P289" s="75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5.75" customHeight="1">
      <c r="A290" s="68"/>
      <c r="B290" s="69"/>
      <c r="C290" s="72"/>
      <c r="D290" s="71"/>
      <c r="E290" s="72"/>
      <c r="F290" s="71"/>
      <c r="G290" s="69"/>
      <c r="H290" s="73"/>
      <c r="I290" s="69"/>
      <c r="J290" s="69"/>
      <c r="K290" s="69"/>
      <c r="L290" s="74"/>
      <c r="M290" s="74"/>
      <c r="N290" s="69"/>
      <c r="O290" s="75"/>
      <c r="P290" s="75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5.75" customHeight="1">
      <c r="A291" s="68"/>
      <c r="B291" s="69"/>
      <c r="C291" s="72"/>
      <c r="D291" s="71"/>
      <c r="E291" s="72"/>
      <c r="F291" s="71"/>
      <c r="G291" s="69"/>
      <c r="H291" s="73"/>
      <c r="I291" s="69"/>
      <c r="J291" s="69"/>
      <c r="K291" s="69"/>
      <c r="L291" s="74"/>
      <c r="M291" s="74"/>
      <c r="N291" s="69"/>
      <c r="O291" s="75"/>
      <c r="P291" s="75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5.75" customHeight="1">
      <c r="A292" s="68"/>
      <c r="B292" s="69"/>
      <c r="C292" s="72"/>
      <c r="D292" s="71"/>
      <c r="E292" s="72"/>
      <c r="F292" s="71"/>
      <c r="G292" s="69"/>
      <c r="H292" s="73"/>
      <c r="I292" s="69"/>
      <c r="J292" s="69"/>
      <c r="K292" s="69"/>
      <c r="L292" s="74"/>
      <c r="M292" s="74"/>
      <c r="N292" s="69"/>
      <c r="O292" s="75"/>
      <c r="P292" s="75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5.75" customHeight="1">
      <c r="A293" s="68"/>
      <c r="B293" s="69"/>
      <c r="C293" s="72"/>
      <c r="D293" s="71"/>
      <c r="E293" s="72"/>
      <c r="F293" s="71"/>
      <c r="G293" s="69"/>
      <c r="H293" s="73"/>
      <c r="I293" s="69"/>
      <c r="J293" s="69"/>
      <c r="K293" s="69"/>
      <c r="L293" s="74"/>
      <c r="M293" s="74"/>
      <c r="N293" s="69"/>
      <c r="O293" s="75"/>
      <c r="P293" s="75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5.75" customHeight="1">
      <c r="A294" s="68"/>
      <c r="B294" s="69"/>
      <c r="C294" s="72"/>
      <c r="D294" s="71"/>
      <c r="E294" s="72"/>
      <c r="F294" s="71"/>
      <c r="G294" s="69"/>
      <c r="H294" s="73"/>
      <c r="I294" s="69"/>
      <c r="J294" s="69"/>
      <c r="K294" s="69"/>
      <c r="L294" s="74"/>
      <c r="M294" s="74"/>
      <c r="N294" s="69"/>
      <c r="O294" s="75"/>
      <c r="P294" s="75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5.75" customHeight="1">
      <c r="A295" s="68"/>
      <c r="B295" s="69"/>
      <c r="C295" s="72"/>
      <c r="D295" s="71"/>
      <c r="E295" s="72"/>
      <c r="F295" s="71"/>
      <c r="G295" s="69"/>
      <c r="H295" s="73"/>
      <c r="I295" s="69"/>
      <c r="J295" s="69"/>
      <c r="K295" s="69"/>
      <c r="L295" s="74"/>
      <c r="M295" s="74"/>
      <c r="N295" s="69"/>
      <c r="O295" s="75"/>
      <c r="P295" s="75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5.75" customHeight="1">
      <c r="A296" s="68"/>
      <c r="B296" s="69"/>
      <c r="C296" s="72"/>
      <c r="D296" s="71"/>
      <c r="E296" s="72"/>
      <c r="F296" s="71"/>
      <c r="G296" s="69"/>
      <c r="H296" s="73"/>
      <c r="I296" s="69"/>
      <c r="J296" s="69"/>
      <c r="K296" s="69"/>
      <c r="L296" s="74"/>
      <c r="M296" s="74"/>
      <c r="N296" s="69"/>
      <c r="O296" s="75"/>
      <c r="P296" s="75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5.75" customHeight="1">
      <c r="A297" s="68"/>
      <c r="B297" s="69"/>
      <c r="C297" s="72"/>
      <c r="D297" s="71"/>
      <c r="E297" s="72"/>
      <c r="F297" s="71"/>
      <c r="G297" s="69"/>
      <c r="H297" s="73"/>
      <c r="I297" s="69"/>
      <c r="J297" s="69"/>
      <c r="K297" s="69"/>
      <c r="L297" s="74"/>
      <c r="M297" s="74"/>
      <c r="N297" s="69"/>
      <c r="O297" s="75"/>
      <c r="P297" s="75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5.75" customHeight="1">
      <c r="A298" s="68"/>
      <c r="B298" s="69"/>
      <c r="C298" s="72"/>
      <c r="D298" s="71"/>
      <c r="E298" s="72"/>
      <c r="F298" s="71"/>
      <c r="G298" s="69"/>
      <c r="H298" s="73"/>
      <c r="I298" s="69"/>
      <c r="J298" s="69"/>
      <c r="K298" s="69"/>
      <c r="L298" s="74"/>
      <c r="M298" s="74"/>
      <c r="N298" s="69"/>
      <c r="O298" s="75"/>
      <c r="P298" s="75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5.75" customHeight="1">
      <c r="A299" s="68"/>
      <c r="B299" s="69"/>
      <c r="C299" s="72"/>
      <c r="D299" s="71"/>
      <c r="E299" s="72"/>
      <c r="F299" s="71"/>
      <c r="G299" s="69"/>
      <c r="H299" s="73"/>
      <c r="I299" s="69"/>
      <c r="J299" s="69"/>
      <c r="K299" s="69"/>
      <c r="L299" s="74"/>
      <c r="M299" s="74"/>
      <c r="N299" s="69"/>
      <c r="O299" s="75"/>
      <c r="P299" s="75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5.75" customHeight="1">
      <c r="A300" s="68"/>
      <c r="B300" s="69"/>
      <c r="C300" s="72"/>
      <c r="D300" s="71"/>
      <c r="E300" s="72"/>
      <c r="F300" s="71"/>
      <c r="G300" s="69"/>
      <c r="H300" s="73"/>
      <c r="I300" s="69"/>
      <c r="J300" s="69"/>
      <c r="K300" s="69"/>
      <c r="L300" s="74"/>
      <c r="M300" s="74"/>
      <c r="N300" s="69"/>
      <c r="O300" s="75"/>
      <c r="P300" s="75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5.75" customHeight="1">
      <c r="A301" s="68"/>
      <c r="B301" s="69"/>
      <c r="C301" s="72"/>
      <c r="D301" s="71"/>
      <c r="E301" s="72"/>
      <c r="F301" s="71"/>
      <c r="G301" s="69"/>
      <c r="H301" s="73"/>
      <c r="I301" s="69"/>
      <c r="J301" s="69"/>
      <c r="K301" s="69"/>
      <c r="L301" s="74"/>
      <c r="M301" s="74"/>
      <c r="N301" s="69"/>
      <c r="O301" s="75"/>
      <c r="P301" s="75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5.75" customHeight="1">
      <c r="A302" s="68"/>
      <c r="B302" s="69"/>
      <c r="C302" s="72"/>
      <c r="D302" s="71"/>
      <c r="E302" s="72"/>
      <c r="F302" s="71"/>
      <c r="G302" s="69"/>
      <c r="H302" s="73"/>
      <c r="I302" s="69"/>
      <c r="J302" s="69"/>
      <c r="K302" s="69"/>
      <c r="L302" s="74"/>
      <c r="M302" s="74"/>
      <c r="N302" s="69"/>
      <c r="O302" s="75"/>
      <c r="P302" s="75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5.75" customHeight="1">
      <c r="A303" s="68"/>
      <c r="B303" s="69"/>
      <c r="C303" s="72"/>
      <c r="D303" s="71"/>
      <c r="E303" s="72"/>
      <c r="F303" s="71"/>
      <c r="G303" s="69"/>
      <c r="H303" s="73"/>
      <c r="I303" s="69"/>
      <c r="J303" s="69"/>
      <c r="K303" s="69"/>
      <c r="L303" s="74"/>
      <c r="M303" s="74"/>
      <c r="N303" s="69"/>
      <c r="O303" s="75"/>
      <c r="P303" s="75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5.75" customHeight="1">
      <c r="A304" s="68"/>
      <c r="B304" s="69"/>
      <c r="C304" s="72"/>
      <c r="D304" s="71"/>
      <c r="E304" s="72"/>
      <c r="F304" s="71"/>
      <c r="G304" s="69"/>
      <c r="H304" s="73"/>
      <c r="I304" s="69"/>
      <c r="J304" s="69"/>
      <c r="K304" s="69"/>
      <c r="L304" s="74"/>
      <c r="M304" s="74"/>
      <c r="N304" s="69"/>
      <c r="O304" s="75"/>
      <c r="P304" s="75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5.75" customHeight="1">
      <c r="A305" s="68"/>
      <c r="B305" s="69"/>
      <c r="C305" s="72"/>
      <c r="D305" s="71"/>
      <c r="E305" s="72"/>
      <c r="F305" s="71"/>
      <c r="G305" s="69"/>
      <c r="H305" s="73"/>
      <c r="I305" s="69"/>
      <c r="J305" s="69"/>
      <c r="K305" s="69"/>
      <c r="L305" s="74"/>
      <c r="M305" s="74"/>
      <c r="N305" s="69"/>
      <c r="O305" s="75"/>
      <c r="P305" s="75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5.75" customHeight="1">
      <c r="A306" s="68"/>
      <c r="B306" s="69"/>
      <c r="C306" s="72"/>
      <c r="D306" s="71"/>
      <c r="E306" s="72"/>
      <c r="F306" s="71"/>
      <c r="G306" s="69"/>
      <c r="H306" s="73"/>
      <c r="I306" s="69"/>
      <c r="J306" s="69"/>
      <c r="K306" s="69"/>
      <c r="L306" s="74"/>
      <c r="M306" s="74"/>
      <c r="N306" s="69"/>
      <c r="O306" s="75"/>
      <c r="P306" s="75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5.75" customHeight="1">
      <c r="A307" s="68"/>
      <c r="B307" s="69"/>
      <c r="C307" s="72"/>
      <c r="D307" s="71"/>
      <c r="E307" s="72"/>
      <c r="F307" s="71"/>
      <c r="G307" s="69"/>
      <c r="H307" s="73"/>
      <c r="I307" s="69"/>
      <c r="J307" s="69"/>
      <c r="K307" s="69"/>
      <c r="L307" s="74"/>
      <c r="M307" s="74"/>
      <c r="N307" s="69"/>
      <c r="O307" s="75"/>
      <c r="P307" s="75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5.75" customHeight="1">
      <c r="A308" s="68"/>
      <c r="B308" s="69"/>
      <c r="C308" s="72"/>
      <c r="D308" s="71"/>
      <c r="E308" s="72"/>
      <c r="F308" s="71"/>
      <c r="G308" s="69"/>
      <c r="H308" s="73"/>
      <c r="I308" s="69"/>
      <c r="J308" s="69"/>
      <c r="K308" s="69"/>
      <c r="L308" s="74"/>
      <c r="M308" s="74"/>
      <c r="N308" s="69"/>
      <c r="O308" s="75"/>
      <c r="P308" s="75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5.75" customHeight="1">
      <c r="A309" s="68"/>
      <c r="B309" s="69"/>
      <c r="C309" s="72"/>
      <c r="D309" s="71"/>
      <c r="E309" s="72"/>
      <c r="F309" s="71"/>
      <c r="G309" s="69"/>
      <c r="H309" s="73"/>
      <c r="I309" s="69"/>
      <c r="J309" s="69"/>
      <c r="K309" s="69"/>
      <c r="L309" s="74"/>
      <c r="M309" s="74"/>
      <c r="N309" s="69"/>
      <c r="O309" s="75"/>
      <c r="P309" s="75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5.75" customHeight="1">
      <c r="A310" s="68"/>
      <c r="B310" s="69"/>
      <c r="C310" s="72"/>
      <c r="D310" s="71"/>
      <c r="E310" s="72"/>
      <c r="F310" s="71"/>
      <c r="G310" s="69"/>
      <c r="H310" s="73"/>
      <c r="I310" s="69"/>
      <c r="J310" s="69"/>
      <c r="K310" s="69"/>
      <c r="L310" s="74"/>
      <c r="M310" s="74"/>
      <c r="N310" s="69"/>
      <c r="O310" s="75"/>
      <c r="P310" s="75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5.75" customHeight="1">
      <c r="A311" s="68"/>
      <c r="B311" s="69"/>
      <c r="C311" s="72"/>
      <c r="D311" s="71"/>
      <c r="E311" s="72"/>
      <c r="F311" s="71"/>
      <c r="G311" s="69"/>
      <c r="H311" s="73"/>
      <c r="I311" s="69"/>
      <c r="J311" s="69"/>
      <c r="K311" s="69"/>
      <c r="L311" s="74"/>
      <c r="M311" s="74"/>
      <c r="N311" s="69"/>
      <c r="O311" s="75"/>
      <c r="P311" s="75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5.75" customHeight="1">
      <c r="A312" s="68"/>
      <c r="B312" s="69"/>
      <c r="C312" s="72"/>
      <c r="D312" s="71"/>
      <c r="E312" s="72"/>
      <c r="F312" s="71"/>
      <c r="G312" s="69"/>
      <c r="H312" s="73"/>
      <c r="I312" s="69"/>
      <c r="J312" s="69"/>
      <c r="K312" s="69"/>
      <c r="L312" s="74"/>
      <c r="M312" s="74"/>
      <c r="N312" s="69"/>
      <c r="O312" s="75"/>
      <c r="P312" s="75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5.75" customHeight="1">
      <c r="A313" s="68"/>
      <c r="B313" s="69"/>
      <c r="C313" s="72"/>
      <c r="D313" s="71"/>
      <c r="E313" s="72"/>
      <c r="F313" s="71"/>
      <c r="G313" s="69"/>
      <c r="H313" s="73"/>
      <c r="I313" s="69"/>
      <c r="J313" s="69"/>
      <c r="K313" s="69"/>
      <c r="L313" s="74"/>
      <c r="M313" s="74"/>
      <c r="N313" s="69"/>
      <c r="O313" s="75"/>
      <c r="P313" s="75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5.75" customHeight="1">
      <c r="A314" s="68"/>
      <c r="B314" s="69"/>
      <c r="C314" s="72"/>
      <c r="D314" s="71"/>
      <c r="E314" s="72"/>
      <c r="F314" s="71"/>
      <c r="G314" s="69"/>
      <c r="H314" s="73"/>
      <c r="I314" s="69"/>
      <c r="J314" s="69"/>
      <c r="K314" s="69"/>
      <c r="L314" s="74"/>
      <c r="M314" s="74"/>
      <c r="N314" s="69"/>
      <c r="O314" s="75"/>
      <c r="P314" s="75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5.75" customHeight="1">
      <c r="A315" s="68"/>
      <c r="B315" s="69"/>
      <c r="C315" s="72"/>
      <c r="D315" s="71"/>
      <c r="E315" s="72"/>
      <c r="F315" s="71"/>
      <c r="G315" s="69"/>
      <c r="H315" s="73"/>
      <c r="I315" s="69"/>
      <c r="J315" s="69"/>
      <c r="K315" s="69"/>
      <c r="L315" s="74"/>
      <c r="M315" s="74"/>
      <c r="N315" s="69"/>
      <c r="O315" s="75"/>
      <c r="P315" s="75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5.75" customHeight="1">
      <c r="A316" s="68"/>
      <c r="B316" s="69"/>
      <c r="C316" s="72"/>
      <c r="D316" s="71"/>
      <c r="E316" s="72"/>
      <c r="F316" s="71"/>
      <c r="G316" s="69"/>
      <c r="H316" s="73"/>
      <c r="I316" s="69"/>
      <c r="J316" s="69"/>
      <c r="K316" s="69"/>
      <c r="L316" s="74"/>
      <c r="M316" s="74"/>
      <c r="N316" s="69"/>
      <c r="O316" s="75"/>
      <c r="P316" s="75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5.75" customHeight="1">
      <c r="A317" s="68"/>
      <c r="B317" s="69"/>
      <c r="C317" s="72"/>
      <c r="D317" s="71"/>
      <c r="E317" s="72"/>
      <c r="F317" s="71"/>
      <c r="G317" s="69"/>
      <c r="H317" s="73"/>
      <c r="I317" s="69"/>
      <c r="J317" s="69"/>
      <c r="K317" s="69"/>
      <c r="L317" s="74"/>
      <c r="M317" s="74"/>
      <c r="N317" s="69"/>
      <c r="O317" s="75"/>
      <c r="P317" s="75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5.75" customHeight="1">
      <c r="A318" s="68"/>
      <c r="B318" s="69"/>
      <c r="C318" s="72"/>
      <c r="D318" s="71"/>
      <c r="E318" s="72"/>
      <c r="F318" s="71"/>
      <c r="G318" s="69"/>
      <c r="H318" s="73"/>
      <c r="I318" s="69"/>
      <c r="J318" s="69"/>
      <c r="K318" s="69"/>
      <c r="L318" s="74"/>
      <c r="M318" s="74"/>
      <c r="N318" s="69"/>
      <c r="O318" s="75"/>
      <c r="P318" s="75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5.75" customHeight="1">
      <c r="A319" s="68"/>
      <c r="B319" s="69"/>
      <c r="C319" s="72"/>
      <c r="D319" s="71"/>
      <c r="E319" s="72"/>
      <c r="F319" s="71"/>
      <c r="G319" s="69"/>
      <c r="H319" s="73"/>
      <c r="I319" s="69"/>
      <c r="J319" s="69"/>
      <c r="K319" s="69"/>
      <c r="L319" s="74"/>
      <c r="M319" s="74"/>
      <c r="N319" s="69"/>
      <c r="O319" s="75"/>
      <c r="P319" s="75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5.75" customHeight="1">
      <c r="A320" s="68"/>
      <c r="B320" s="69"/>
      <c r="C320" s="72"/>
      <c r="D320" s="71"/>
      <c r="E320" s="72"/>
      <c r="F320" s="71"/>
      <c r="G320" s="69"/>
      <c r="H320" s="73"/>
      <c r="I320" s="69"/>
      <c r="J320" s="69"/>
      <c r="K320" s="69"/>
      <c r="L320" s="74"/>
      <c r="M320" s="74"/>
      <c r="N320" s="69"/>
      <c r="O320" s="75"/>
      <c r="P320" s="75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5.75" customHeight="1">
      <c r="A321" s="68"/>
      <c r="B321" s="69"/>
      <c r="C321" s="72"/>
      <c r="D321" s="71"/>
      <c r="E321" s="72"/>
      <c r="F321" s="71"/>
      <c r="G321" s="69"/>
      <c r="H321" s="73"/>
      <c r="I321" s="69"/>
      <c r="J321" s="69"/>
      <c r="K321" s="69"/>
      <c r="L321" s="74"/>
      <c r="M321" s="74"/>
      <c r="N321" s="69"/>
      <c r="O321" s="75"/>
      <c r="P321" s="75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5.75" customHeight="1">
      <c r="A322" s="68"/>
      <c r="B322" s="69"/>
      <c r="C322" s="72"/>
      <c r="D322" s="71"/>
      <c r="E322" s="72"/>
      <c r="F322" s="71"/>
      <c r="G322" s="69"/>
      <c r="H322" s="73"/>
      <c r="I322" s="69"/>
      <c r="J322" s="69"/>
      <c r="K322" s="69"/>
      <c r="L322" s="74"/>
      <c r="M322" s="74"/>
      <c r="N322" s="69"/>
      <c r="O322" s="75"/>
      <c r="P322" s="75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5.75" customHeight="1">
      <c r="A323" s="68"/>
      <c r="B323" s="69"/>
      <c r="C323" s="72"/>
      <c r="D323" s="71"/>
      <c r="E323" s="72"/>
      <c r="F323" s="71"/>
      <c r="G323" s="69"/>
      <c r="H323" s="73"/>
      <c r="I323" s="69"/>
      <c r="J323" s="69"/>
      <c r="K323" s="69"/>
      <c r="L323" s="74"/>
      <c r="M323" s="74"/>
      <c r="N323" s="69"/>
      <c r="O323" s="75"/>
      <c r="P323" s="75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5.75" customHeight="1">
      <c r="A324" s="68"/>
      <c r="B324" s="69"/>
      <c r="C324" s="72"/>
      <c r="D324" s="71"/>
      <c r="E324" s="72"/>
      <c r="F324" s="71"/>
      <c r="G324" s="69"/>
      <c r="H324" s="73"/>
      <c r="I324" s="69"/>
      <c r="J324" s="69"/>
      <c r="K324" s="69"/>
      <c r="L324" s="74"/>
      <c r="M324" s="74"/>
      <c r="N324" s="69"/>
      <c r="O324" s="75"/>
      <c r="P324" s="75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5.75" customHeight="1">
      <c r="A325" s="68"/>
      <c r="B325" s="69"/>
      <c r="C325" s="72"/>
      <c r="D325" s="71"/>
      <c r="E325" s="72"/>
      <c r="F325" s="71"/>
      <c r="G325" s="69"/>
      <c r="H325" s="73"/>
      <c r="I325" s="69"/>
      <c r="J325" s="69"/>
      <c r="K325" s="69"/>
      <c r="L325" s="74"/>
      <c r="M325" s="74"/>
      <c r="N325" s="69"/>
      <c r="O325" s="75"/>
      <c r="P325" s="75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5.75" customHeight="1">
      <c r="A326" s="68"/>
      <c r="B326" s="69"/>
      <c r="C326" s="72"/>
      <c r="D326" s="71"/>
      <c r="E326" s="72"/>
      <c r="F326" s="71"/>
      <c r="G326" s="69"/>
      <c r="H326" s="73"/>
      <c r="I326" s="69"/>
      <c r="J326" s="69"/>
      <c r="K326" s="69"/>
      <c r="L326" s="74"/>
      <c r="M326" s="74"/>
      <c r="N326" s="69"/>
      <c r="O326" s="75"/>
      <c r="P326" s="75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5.75" customHeight="1">
      <c r="A327" s="68"/>
      <c r="B327" s="69"/>
      <c r="C327" s="72"/>
      <c r="D327" s="71"/>
      <c r="E327" s="72"/>
      <c r="F327" s="71"/>
      <c r="G327" s="69"/>
      <c r="H327" s="73"/>
      <c r="I327" s="69"/>
      <c r="J327" s="69"/>
      <c r="K327" s="69"/>
      <c r="L327" s="74"/>
      <c r="M327" s="74"/>
      <c r="N327" s="69"/>
      <c r="O327" s="75"/>
      <c r="P327" s="75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5.75" customHeight="1">
      <c r="A328" s="68"/>
      <c r="B328" s="69"/>
      <c r="C328" s="72"/>
      <c r="D328" s="71"/>
      <c r="E328" s="72"/>
      <c r="F328" s="71"/>
      <c r="G328" s="69"/>
      <c r="H328" s="73"/>
      <c r="I328" s="69"/>
      <c r="J328" s="69"/>
      <c r="K328" s="69"/>
      <c r="L328" s="74"/>
      <c r="M328" s="74"/>
      <c r="N328" s="69"/>
      <c r="O328" s="75"/>
      <c r="P328" s="75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5.75" customHeight="1">
      <c r="A329" s="68"/>
      <c r="B329" s="69"/>
      <c r="C329" s="72"/>
      <c r="D329" s="71"/>
      <c r="E329" s="72"/>
      <c r="F329" s="71"/>
      <c r="G329" s="69"/>
      <c r="H329" s="73"/>
      <c r="I329" s="69"/>
      <c r="J329" s="69"/>
      <c r="K329" s="69"/>
      <c r="L329" s="74"/>
      <c r="M329" s="74"/>
      <c r="N329" s="69"/>
      <c r="O329" s="75"/>
      <c r="P329" s="75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5.75" customHeight="1">
      <c r="A330" s="68"/>
      <c r="B330" s="69"/>
      <c r="C330" s="72"/>
      <c r="D330" s="71"/>
      <c r="E330" s="72"/>
      <c r="F330" s="71"/>
      <c r="G330" s="69"/>
      <c r="H330" s="73"/>
      <c r="I330" s="69"/>
      <c r="J330" s="69"/>
      <c r="K330" s="69"/>
      <c r="L330" s="74"/>
      <c r="M330" s="74"/>
      <c r="N330" s="69"/>
      <c r="O330" s="75"/>
      <c r="P330" s="75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5.75" customHeight="1">
      <c r="A331" s="68"/>
      <c r="B331" s="69"/>
      <c r="C331" s="72"/>
      <c r="D331" s="71"/>
      <c r="E331" s="72"/>
      <c r="F331" s="71"/>
      <c r="G331" s="69"/>
      <c r="H331" s="73"/>
      <c r="I331" s="69"/>
      <c r="J331" s="69"/>
      <c r="K331" s="69"/>
      <c r="L331" s="74"/>
      <c r="M331" s="74"/>
      <c r="N331" s="69"/>
      <c r="O331" s="75"/>
      <c r="P331" s="75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5.75" customHeight="1">
      <c r="A332" s="68"/>
      <c r="B332" s="69"/>
      <c r="C332" s="72"/>
      <c r="D332" s="71"/>
      <c r="E332" s="72"/>
      <c r="F332" s="71"/>
      <c r="G332" s="69"/>
      <c r="H332" s="73"/>
      <c r="I332" s="69"/>
      <c r="J332" s="69"/>
      <c r="K332" s="69"/>
      <c r="L332" s="74"/>
      <c r="M332" s="74"/>
      <c r="N332" s="69"/>
      <c r="O332" s="75"/>
      <c r="P332" s="75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5.75" customHeight="1">
      <c r="A333" s="68"/>
      <c r="B333" s="69"/>
      <c r="C333" s="72"/>
      <c r="D333" s="71"/>
      <c r="E333" s="72"/>
      <c r="F333" s="71"/>
      <c r="G333" s="69"/>
      <c r="H333" s="73"/>
      <c r="I333" s="69"/>
      <c r="J333" s="69"/>
      <c r="K333" s="69"/>
      <c r="L333" s="74"/>
      <c r="M333" s="74"/>
      <c r="N333" s="69"/>
      <c r="O333" s="75"/>
      <c r="P333" s="75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5.75" customHeight="1">
      <c r="A334" s="68"/>
      <c r="B334" s="69"/>
      <c r="C334" s="72"/>
      <c r="D334" s="71"/>
      <c r="E334" s="72"/>
      <c r="F334" s="71"/>
      <c r="G334" s="69"/>
      <c r="H334" s="73"/>
      <c r="I334" s="69"/>
      <c r="J334" s="69"/>
      <c r="K334" s="69"/>
      <c r="L334" s="74"/>
      <c r="M334" s="74"/>
      <c r="N334" s="69"/>
      <c r="O334" s="75"/>
      <c r="P334" s="75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5.75" customHeight="1">
      <c r="A335" s="68"/>
      <c r="B335" s="69"/>
      <c r="C335" s="72"/>
      <c r="D335" s="71"/>
      <c r="E335" s="72"/>
      <c r="F335" s="71"/>
      <c r="G335" s="69"/>
      <c r="H335" s="73"/>
      <c r="I335" s="69"/>
      <c r="J335" s="69"/>
      <c r="K335" s="69"/>
      <c r="L335" s="74"/>
      <c r="M335" s="74"/>
      <c r="N335" s="69"/>
      <c r="O335" s="75"/>
      <c r="P335" s="75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5.75" customHeight="1">
      <c r="A336" s="68"/>
      <c r="B336" s="69"/>
      <c r="C336" s="72"/>
      <c r="D336" s="71"/>
      <c r="E336" s="72"/>
      <c r="F336" s="71"/>
      <c r="G336" s="69"/>
      <c r="H336" s="73"/>
      <c r="I336" s="69"/>
      <c r="J336" s="69"/>
      <c r="K336" s="69"/>
      <c r="L336" s="74"/>
      <c r="M336" s="74"/>
      <c r="N336" s="69"/>
      <c r="O336" s="75"/>
      <c r="P336" s="75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5.75" customHeight="1">
      <c r="A337" s="68"/>
      <c r="B337" s="69"/>
      <c r="C337" s="72"/>
      <c r="D337" s="71"/>
      <c r="E337" s="72"/>
      <c r="F337" s="71"/>
      <c r="G337" s="69"/>
      <c r="H337" s="73"/>
      <c r="I337" s="69"/>
      <c r="J337" s="69"/>
      <c r="K337" s="69"/>
      <c r="L337" s="74"/>
      <c r="M337" s="74"/>
      <c r="N337" s="69"/>
      <c r="O337" s="75"/>
      <c r="P337" s="75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5.75" customHeight="1">
      <c r="A338" s="68"/>
      <c r="B338" s="69"/>
      <c r="C338" s="72"/>
      <c r="D338" s="71"/>
      <c r="E338" s="72"/>
      <c r="F338" s="71"/>
      <c r="G338" s="69"/>
      <c r="H338" s="73"/>
      <c r="I338" s="69"/>
      <c r="J338" s="69"/>
      <c r="K338" s="69"/>
      <c r="L338" s="74"/>
      <c r="M338" s="74"/>
      <c r="N338" s="69"/>
      <c r="O338" s="75"/>
      <c r="P338" s="75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5.75" customHeight="1">
      <c r="A339" s="68"/>
      <c r="B339" s="69"/>
      <c r="C339" s="72"/>
      <c r="D339" s="71"/>
      <c r="E339" s="72"/>
      <c r="F339" s="71"/>
      <c r="G339" s="69"/>
      <c r="H339" s="73"/>
      <c r="I339" s="69"/>
      <c r="J339" s="69"/>
      <c r="K339" s="69"/>
      <c r="L339" s="74"/>
      <c r="M339" s="74"/>
      <c r="N339" s="69"/>
      <c r="O339" s="75"/>
      <c r="P339" s="75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5.75" customHeight="1">
      <c r="A340" s="68"/>
      <c r="B340" s="69"/>
      <c r="C340" s="72"/>
      <c r="D340" s="71"/>
      <c r="E340" s="72"/>
      <c r="F340" s="71"/>
      <c r="G340" s="69"/>
      <c r="H340" s="73"/>
      <c r="I340" s="69"/>
      <c r="J340" s="69"/>
      <c r="K340" s="69"/>
      <c r="L340" s="74"/>
      <c r="M340" s="74"/>
      <c r="N340" s="69"/>
      <c r="O340" s="75"/>
      <c r="P340" s="75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5.75" customHeight="1">
      <c r="A341" s="68"/>
      <c r="B341" s="69"/>
      <c r="C341" s="72"/>
      <c r="D341" s="71"/>
      <c r="E341" s="72"/>
      <c r="F341" s="71"/>
      <c r="G341" s="69"/>
      <c r="H341" s="73"/>
      <c r="I341" s="69"/>
      <c r="J341" s="69"/>
      <c r="K341" s="69"/>
      <c r="L341" s="74"/>
      <c r="M341" s="74"/>
      <c r="N341" s="69"/>
      <c r="O341" s="75"/>
      <c r="P341" s="75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5.75" customHeight="1">
      <c r="A342" s="68"/>
      <c r="B342" s="69"/>
      <c r="C342" s="72"/>
      <c r="D342" s="71"/>
      <c r="E342" s="72"/>
      <c r="F342" s="71"/>
      <c r="G342" s="69"/>
      <c r="H342" s="73"/>
      <c r="I342" s="69"/>
      <c r="J342" s="69"/>
      <c r="K342" s="69"/>
      <c r="L342" s="74"/>
      <c r="M342" s="74"/>
      <c r="N342" s="69"/>
      <c r="O342" s="75"/>
      <c r="P342" s="75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5.75" customHeight="1">
      <c r="A343" s="68"/>
      <c r="B343" s="69"/>
      <c r="C343" s="72"/>
      <c r="D343" s="71"/>
      <c r="E343" s="72"/>
      <c r="F343" s="71"/>
      <c r="G343" s="69"/>
      <c r="H343" s="73"/>
      <c r="I343" s="69"/>
      <c r="J343" s="69"/>
      <c r="K343" s="69"/>
      <c r="L343" s="74"/>
      <c r="M343" s="74"/>
      <c r="N343" s="69"/>
      <c r="O343" s="75"/>
      <c r="P343" s="75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5.75" customHeight="1">
      <c r="A344" s="68"/>
      <c r="B344" s="69"/>
      <c r="C344" s="72"/>
      <c r="D344" s="71"/>
      <c r="E344" s="72"/>
      <c r="F344" s="71"/>
      <c r="G344" s="69"/>
      <c r="H344" s="73"/>
      <c r="I344" s="69"/>
      <c r="J344" s="69"/>
      <c r="K344" s="69"/>
      <c r="L344" s="74"/>
      <c r="M344" s="74"/>
      <c r="N344" s="69"/>
      <c r="O344" s="75"/>
      <c r="P344" s="75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5.75" customHeight="1">
      <c r="A345" s="68"/>
      <c r="B345" s="69"/>
      <c r="C345" s="72"/>
      <c r="D345" s="71"/>
      <c r="E345" s="72"/>
      <c r="F345" s="71"/>
      <c r="G345" s="69"/>
      <c r="H345" s="73"/>
      <c r="I345" s="69"/>
      <c r="J345" s="69"/>
      <c r="K345" s="69"/>
      <c r="L345" s="74"/>
      <c r="M345" s="74"/>
      <c r="N345" s="69"/>
      <c r="O345" s="75"/>
      <c r="P345" s="75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5.75" customHeight="1">
      <c r="A346" s="68"/>
      <c r="B346" s="69"/>
      <c r="C346" s="72"/>
      <c r="D346" s="71"/>
      <c r="E346" s="72"/>
      <c r="F346" s="71"/>
      <c r="G346" s="69"/>
      <c r="H346" s="73"/>
      <c r="I346" s="69"/>
      <c r="J346" s="69"/>
      <c r="K346" s="69"/>
      <c r="L346" s="74"/>
      <c r="M346" s="74"/>
      <c r="N346" s="69"/>
      <c r="O346" s="75"/>
      <c r="P346" s="75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5.75" customHeight="1">
      <c r="A347" s="68"/>
      <c r="B347" s="69"/>
      <c r="C347" s="72"/>
      <c r="D347" s="71"/>
      <c r="E347" s="72"/>
      <c r="F347" s="71"/>
      <c r="G347" s="69"/>
      <c r="H347" s="73"/>
      <c r="I347" s="69"/>
      <c r="J347" s="69"/>
      <c r="K347" s="69"/>
      <c r="L347" s="74"/>
      <c r="M347" s="74"/>
      <c r="N347" s="69"/>
      <c r="O347" s="75"/>
      <c r="P347" s="75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5.75" customHeight="1">
      <c r="A348" s="68"/>
      <c r="B348" s="69"/>
      <c r="C348" s="72"/>
      <c r="D348" s="71"/>
      <c r="E348" s="72"/>
      <c r="F348" s="71"/>
      <c r="G348" s="69"/>
      <c r="H348" s="73"/>
      <c r="I348" s="69"/>
      <c r="J348" s="69"/>
      <c r="K348" s="69"/>
      <c r="L348" s="74"/>
      <c r="M348" s="74"/>
      <c r="N348" s="69"/>
      <c r="O348" s="75"/>
      <c r="P348" s="75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5.75" customHeight="1">
      <c r="A349" s="68"/>
      <c r="B349" s="69"/>
      <c r="C349" s="72"/>
      <c r="D349" s="71"/>
      <c r="E349" s="72"/>
      <c r="F349" s="71"/>
      <c r="G349" s="69"/>
      <c r="H349" s="73"/>
      <c r="I349" s="69"/>
      <c r="J349" s="69"/>
      <c r="K349" s="69"/>
      <c r="L349" s="74"/>
      <c r="M349" s="74"/>
      <c r="N349" s="69"/>
      <c r="O349" s="75"/>
      <c r="P349" s="75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5.75" customHeight="1">
      <c r="A350" s="68"/>
      <c r="B350" s="69"/>
      <c r="C350" s="72"/>
      <c r="D350" s="71"/>
      <c r="E350" s="72"/>
      <c r="F350" s="71"/>
      <c r="G350" s="69"/>
      <c r="H350" s="73"/>
      <c r="I350" s="69"/>
      <c r="J350" s="69"/>
      <c r="K350" s="69"/>
      <c r="L350" s="74"/>
      <c r="M350" s="74"/>
      <c r="N350" s="69"/>
      <c r="O350" s="75"/>
      <c r="P350" s="75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5.75" customHeight="1">
      <c r="A351" s="68"/>
      <c r="B351" s="69"/>
      <c r="C351" s="72"/>
      <c r="D351" s="71"/>
      <c r="E351" s="72"/>
      <c r="F351" s="71"/>
      <c r="G351" s="69"/>
      <c r="H351" s="73"/>
      <c r="I351" s="69"/>
      <c r="J351" s="69"/>
      <c r="K351" s="69"/>
      <c r="L351" s="74"/>
      <c r="M351" s="74"/>
      <c r="N351" s="69"/>
      <c r="O351" s="75"/>
      <c r="P351" s="75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5.75" customHeight="1">
      <c r="A352" s="68"/>
      <c r="B352" s="69"/>
      <c r="C352" s="72"/>
      <c r="D352" s="71"/>
      <c r="E352" s="72"/>
      <c r="F352" s="71"/>
      <c r="G352" s="69"/>
      <c r="H352" s="73"/>
      <c r="I352" s="69"/>
      <c r="J352" s="69"/>
      <c r="K352" s="69"/>
      <c r="L352" s="74"/>
      <c r="M352" s="74"/>
      <c r="N352" s="69"/>
      <c r="O352" s="75"/>
      <c r="P352" s="75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5.75" customHeight="1">
      <c r="A353" s="68"/>
      <c r="B353" s="69"/>
      <c r="C353" s="72"/>
      <c r="D353" s="71"/>
      <c r="E353" s="72"/>
      <c r="F353" s="71"/>
      <c r="G353" s="69"/>
      <c r="H353" s="73"/>
      <c r="I353" s="69"/>
      <c r="J353" s="69"/>
      <c r="K353" s="69"/>
      <c r="L353" s="74"/>
      <c r="M353" s="74"/>
      <c r="N353" s="69"/>
      <c r="O353" s="75"/>
      <c r="P353" s="75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5.75" customHeight="1">
      <c r="A354" s="68"/>
      <c r="B354" s="69"/>
      <c r="C354" s="72"/>
      <c r="D354" s="71"/>
      <c r="E354" s="72"/>
      <c r="F354" s="71"/>
      <c r="G354" s="69"/>
      <c r="H354" s="73"/>
      <c r="I354" s="69"/>
      <c r="J354" s="69"/>
      <c r="K354" s="69"/>
      <c r="L354" s="74"/>
      <c r="M354" s="74"/>
      <c r="N354" s="69"/>
      <c r="O354" s="75"/>
      <c r="P354" s="75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5.75" customHeight="1">
      <c r="A355" s="68"/>
      <c r="B355" s="69"/>
      <c r="C355" s="72"/>
      <c r="D355" s="71"/>
      <c r="E355" s="72"/>
      <c r="F355" s="71"/>
      <c r="G355" s="69"/>
      <c r="H355" s="73"/>
      <c r="I355" s="69"/>
      <c r="J355" s="69"/>
      <c r="K355" s="69"/>
      <c r="L355" s="74"/>
      <c r="M355" s="74"/>
      <c r="N355" s="69"/>
      <c r="O355" s="75"/>
      <c r="P355" s="75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5.75" customHeight="1">
      <c r="A356" s="68"/>
      <c r="B356" s="69"/>
      <c r="C356" s="72"/>
      <c r="D356" s="71"/>
      <c r="E356" s="72"/>
      <c r="F356" s="71"/>
      <c r="G356" s="69"/>
      <c r="H356" s="73"/>
      <c r="I356" s="69"/>
      <c r="J356" s="69"/>
      <c r="K356" s="69"/>
      <c r="L356" s="74"/>
      <c r="M356" s="74"/>
      <c r="N356" s="69"/>
      <c r="O356" s="75"/>
      <c r="P356" s="75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5.75" customHeight="1">
      <c r="A357" s="68"/>
      <c r="B357" s="69"/>
      <c r="C357" s="72"/>
      <c r="D357" s="71"/>
      <c r="E357" s="72"/>
      <c r="F357" s="71"/>
      <c r="G357" s="69"/>
      <c r="H357" s="73"/>
      <c r="I357" s="69"/>
      <c r="J357" s="69"/>
      <c r="K357" s="69"/>
      <c r="L357" s="74"/>
      <c r="M357" s="74"/>
      <c r="N357" s="69"/>
      <c r="O357" s="75"/>
      <c r="P357" s="75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5.75" customHeight="1">
      <c r="A358" s="68"/>
      <c r="B358" s="69"/>
      <c r="C358" s="72"/>
      <c r="D358" s="71"/>
      <c r="E358" s="72"/>
      <c r="F358" s="71"/>
      <c r="G358" s="69"/>
      <c r="H358" s="73"/>
      <c r="I358" s="69"/>
      <c r="J358" s="69"/>
      <c r="K358" s="69"/>
      <c r="L358" s="74"/>
      <c r="M358" s="74"/>
      <c r="N358" s="69"/>
      <c r="O358" s="75"/>
      <c r="P358" s="75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5.75" customHeight="1">
      <c r="A359" s="68"/>
      <c r="B359" s="69"/>
      <c r="C359" s="72"/>
      <c r="D359" s="71"/>
      <c r="E359" s="72"/>
      <c r="F359" s="71"/>
      <c r="G359" s="69"/>
      <c r="H359" s="73"/>
      <c r="I359" s="69"/>
      <c r="J359" s="69"/>
      <c r="K359" s="69"/>
      <c r="L359" s="74"/>
      <c r="M359" s="74"/>
      <c r="N359" s="69"/>
      <c r="O359" s="75"/>
      <c r="P359" s="75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5.75" customHeight="1">
      <c r="A360" s="68"/>
      <c r="B360" s="69"/>
      <c r="C360" s="72"/>
      <c r="D360" s="71"/>
      <c r="E360" s="72"/>
      <c r="F360" s="71"/>
      <c r="G360" s="69"/>
      <c r="H360" s="73"/>
      <c r="I360" s="69"/>
      <c r="J360" s="69"/>
      <c r="K360" s="69"/>
      <c r="L360" s="74"/>
      <c r="M360" s="74"/>
      <c r="N360" s="69"/>
      <c r="O360" s="75"/>
      <c r="P360" s="75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5.75" customHeight="1">
      <c r="A361" s="68"/>
      <c r="B361" s="69"/>
      <c r="C361" s="72"/>
      <c r="D361" s="71"/>
      <c r="E361" s="72"/>
      <c r="F361" s="71"/>
      <c r="G361" s="69"/>
      <c r="H361" s="73"/>
      <c r="I361" s="69"/>
      <c r="J361" s="69"/>
      <c r="K361" s="69"/>
      <c r="L361" s="74"/>
      <c r="M361" s="74"/>
      <c r="N361" s="69"/>
      <c r="O361" s="75"/>
      <c r="P361" s="75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5.75" customHeight="1">
      <c r="A362" s="68"/>
      <c r="B362" s="69"/>
      <c r="C362" s="72"/>
      <c r="D362" s="71"/>
      <c r="E362" s="72"/>
      <c r="F362" s="71"/>
      <c r="G362" s="69"/>
      <c r="H362" s="73"/>
      <c r="I362" s="69"/>
      <c r="J362" s="69"/>
      <c r="K362" s="69"/>
      <c r="L362" s="74"/>
      <c r="M362" s="74"/>
      <c r="N362" s="69"/>
      <c r="O362" s="75"/>
      <c r="P362" s="75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5.75" customHeight="1">
      <c r="A363" s="68"/>
      <c r="B363" s="69"/>
      <c r="C363" s="72"/>
      <c r="D363" s="71"/>
      <c r="E363" s="72"/>
      <c r="F363" s="71"/>
      <c r="G363" s="69"/>
      <c r="H363" s="73"/>
      <c r="I363" s="69"/>
      <c r="J363" s="69"/>
      <c r="K363" s="69"/>
      <c r="L363" s="74"/>
      <c r="M363" s="74"/>
      <c r="N363" s="69"/>
      <c r="O363" s="75"/>
      <c r="P363" s="75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5.75" customHeight="1">
      <c r="A364" s="68"/>
      <c r="B364" s="69"/>
      <c r="C364" s="72"/>
      <c r="D364" s="71"/>
      <c r="E364" s="72"/>
      <c r="F364" s="71"/>
      <c r="G364" s="69"/>
      <c r="H364" s="73"/>
      <c r="I364" s="69"/>
      <c r="J364" s="69"/>
      <c r="K364" s="69"/>
      <c r="L364" s="74"/>
      <c r="M364" s="74"/>
      <c r="N364" s="69"/>
      <c r="O364" s="75"/>
      <c r="P364" s="75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5.75" customHeight="1">
      <c r="A365" s="68"/>
      <c r="B365" s="69"/>
      <c r="C365" s="72"/>
      <c r="D365" s="71"/>
      <c r="E365" s="72"/>
      <c r="F365" s="71"/>
      <c r="G365" s="69"/>
      <c r="H365" s="73"/>
      <c r="I365" s="69"/>
      <c r="J365" s="69"/>
      <c r="K365" s="69"/>
      <c r="L365" s="74"/>
      <c r="M365" s="74"/>
      <c r="N365" s="69"/>
      <c r="O365" s="75"/>
      <c r="P365" s="75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5.75" customHeight="1">
      <c r="A366" s="68"/>
      <c r="B366" s="69"/>
      <c r="C366" s="72"/>
      <c r="D366" s="71"/>
      <c r="E366" s="72"/>
      <c r="F366" s="71"/>
      <c r="G366" s="69"/>
      <c r="H366" s="73"/>
      <c r="I366" s="69"/>
      <c r="J366" s="69"/>
      <c r="K366" s="69"/>
      <c r="L366" s="74"/>
      <c r="M366" s="74"/>
      <c r="N366" s="69"/>
      <c r="O366" s="75"/>
      <c r="P366" s="75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5.75" customHeight="1">
      <c r="A367" s="68"/>
      <c r="B367" s="69"/>
      <c r="C367" s="72"/>
      <c r="D367" s="71"/>
      <c r="E367" s="72"/>
      <c r="F367" s="71"/>
      <c r="G367" s="69"/>
      <c r="H367" s="73"/>
      <c r="I367" s="69"/>
      <c r="J367" s="69"/>
      <c r="K367" s="69"/>
      <c r="L367" s="74"/>
      <c r="M367" s="74"/>
      <c r="N367" s="69"/>
      <c r="O367" s="75"/>
      <c r="P367" s="75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5.75" customHeight="1">
      <c r="A368" s="68"/>
      <c r="B368" s="69"/>
      <c r="C368" s="72"/>
      <c r="D368" s="71"/>
      <c r="E368" s="72"/>
      <c r="F368" s="71"/>
      <c r="G368" s="69"/>
      <c r="H368" s="73"/>
      <c r="I368" s="69"/>
      <c r="J368" s="69"/>
      <c r="K368" s="69"/>
      <c r="L368" s="74"/>
      <c r="M368" s="74"/>
      <c r="N368" s="69"/>
      <c r="O368" s="75"/>
      <c r="P368" s="75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5.75" customHeight="1">
      <c r="A369" s="68"/>
      <c r="B369" s="69"/>
      <c r="C369" s="72"/>
      <c r="D369" s="71"/>
      <c r="E369" s="72"/>
      <c r="F369" s="71"/>
      <c r="G369" s="69"/>
      <c r="H369" s="73"/>
      <c r="I369" s="69"/>
      <c r="J369" s="69"/>
      <c r="K369" s="69"/>
      <c r="L369" s="74"/>
      <c r="M369" s="74"/>
      <c r="N369" s="69"/>
      <c r="O369" s="75"/>
      <c r="P369" s="75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5.75" customHeight="1">
      <c r="A370" s="68"/>
      <c r="B370" s="69"/>
      <c r="C370" s="72"/>
      <c r="D370" s="71"/>
      <c r="E370" s="72"/>
      <c r="F370" s="71"/>
      <c r="G370" s="69"/>
      <c r="H370" s="73"/>
      <c r="I370" s="69"/>
      <c r="J370" s="69"/>
      <c r="K370" s="69"/>
      <c r="L370" s="74"/>
      <c r="M370" s="74"/>
      <c r="N370" s="69"/>
      <c r="O370" s="75"/>
      <c r="P370" s="75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5.75" customHeight="1">
      <c r="A371" s="68"/>
      <c r="B371" s="69"/>
      <c r="C371" s="72"/>
      <c r="D371" s="71"/>
      <c r="E371" s="72"/>
      <c r="F371" s="71"/>
      <c r="G371" s="69"/>
      <c r="H371" s="73"/>
      <c r="I371" s="69"/>
      <c r="J371" s="69"/>
      <c r="K371" s="69"/>
      <c r="L371" s="74"/>
      <c r="M371" s="74"/>
      <c r="N371" s="69"/>
      <c r="O371" s="75"/>
      <c r="P371" s="75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5.75" customHeight="1">
      <c r="A372" s="68"/>
      <c r="B372" s="69"/>
      <c r="C372" s="72"/>
      <c r="D372" s="71"/>
      <c r="E372" s="72"/>
      <c r="F372" s="71"/>
      <c r="G372" s="69"/>
      <c r="H372" s="73"/>
      <c r="I372" s="69"/>
      <c r="J372" s="69"/>
      <c r="K372" s="69"/>
      <c r="L372" s="74"/>
      <c r="M372" s="74"/>
      <c r="N372" s="69"/>
      <c r="O372" s="75"/>
      <c r="P372" s="75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5.75" customHeight="1">
      <c r="A373" s="68"/>
      <c r="B373" s="69"/>
      <c r="C373" s="72"/>
      <c r="D373" s="71"/>
      <c r="E373" s="72"/>
      <c r="F373" s="71"/>
      <c r="G373" s="69"/>
      <c r="H373" s="73"/>
      <c r="I373" s="69"/>
      <c r="J373" s="69"/>
      <c r="K373" s="69"/>
      <c r="L373" s="74"/>
      <c r="M373" s="74"/>
      <c r="N373" s="69"/>
      <c r="O373" s="75"/>
      <c r="P373" s="75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5.75" customHeight="1">
      <c r="A374" s="68"/>
      <c r="B374" s="69"/>
      <c r="C374" s="72"/>
      <c r="D374" s="71"/>
      <c r="E374" s="72"/>
      <c r="F374" s="71"/>
      <c r="G374" s="69"/>
      <c r="H374" s="73"/>
      <c r="I374" s="69"/>
      <c r="J374" s="69"/>
      <c r="K374" s="69"/>
      <c r="L374" s="74"/>
      <c r="M374" s="74"/>
      <c r="N374" s="69"/>
      <c r="O374" s="75"/>
      <c r="P374" s="75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5.75" customHeight="1">
      <c r="A375" s="68"/>
      <c r="B375" s="69"/>
      <c r="C375" s="72"/>
      <c r="D375" s="71"/>
      <c r="E375" s="72"/>
      <c r="F375" s="71"/>
      <c r="G375" s="69"/>
      <c r="H375" s="73"/>
      <c r="I375" s="69"/>
      <c r="J375" s="69"/>
      <c r="K375" s="69"/>
      <c r="L375" s="74"/>
      <c r="M375" s="74"/>
      <c r="N375" s="69"/>
      <c r="O375" s="75"/>
      <c r="P375" s="75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5.75" customHeight="1">
      <c r="A376" s="68"/>
      <c r="B376" s="69"/>
      <c r="C376" s="72"/>
      <c r="D376" s="71"/>
      <c r="E376" s="72"/>
      <c r="F376" s="71"/>
      <c r="G376" s="69"/>
      <c r="H376" s="73"/>
      <c r="I376" s="69"/>
      <c r="J376" s="69"/>
      <c r="K376" s="69"/>
      <c r="L376" s="74"/>
      <c r="M376" s="74"/>
      <c r="N376" s="69"/>
      <c r="O376" s="75"/>
      <c r="P376" s="75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5.75" customHeight="1">
      <c r="A377" s="68"/>
      <c r="B377" s="69"/>
      <c r="C377" s="72"/>
      <c r="D377" s="71"/>
      <c r="E377" s="72"/>
      <c r="F377" s="71"/>
      <c r="G377" s="69"/>
      <c r="H377" s="73"/>
      <c r="I377" s="69"/>
      <c r="J377" s="69"/>
      <c r="K377" s="69"/>
      <c r="L377" s="74"/>
      <c r="M377" s="74"/>
      <c r="N377" s="69"/>
      <c r="O377" s="75"/>
      <c r="P377" s="75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5.75" customHeight="1">
      <c r="A378" s="68"/>
      <c r="B378" s="69"/>
      <c r="C378" s="72"/>
      <c r="D378" s="71"/>
      <c r="E378" s="72"/>
      <c r="F378" s="71"/>
      <c r="G378" s="69"/>
      <c r="H378" s="73"/>
      <c r="I378" s="69"/>
      <c r="J378" s="69"/>
      <c r="K378" s="69"/>
      <c r="L378" s="74"/>
      <c r="M378" s="74"/>
      <c r="N378" s="69"/>
      <c r="O378" s="75"/>
      <c r="P378" s="75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5.75" customHeight="1">
      <c r="A379" s="68"/>
      <c r="B379" s="69"/>
      <c r="C379" s="72"/>
      <c r="D379" s="71"/>
      <c r="E379" s="72"/>
      <c r="F379" s="71"/>
      <c r="G379" s="69"/>
      <c r="H379" s="73"/>
      <c r="I379" s="69"/>
      <c r="J379" s="69"/>
      <c r="K379" s="69"/>
      <c r="L379" s="74"/>
      <c r="M379" s="74"/>
      <c r="N379" s="69"/>
      <c r="O379" s="75"/>
      <c r="P379" s="75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5.75" customHeight="1">
      <c r="A380" s="68"/>
      <c r="B380" s="69"/>
      <c r="C380" s="72"/>
      <c r="D380" s="71"/>
      <c r="E380" s="72"/>
      <c r="F380" s="71"/>
      <c r="G380" s="69"/>
      <c r="H380" s="73"/>
      <c r="I380" s="69"/>
      <c r="J380" s="69"/>
      <c r="K380" s="69"/>
      <c r="L380" s="74"/>
      <c r="M380" s="74"/>
      <c r="N380" s="69"/>
      <c r="O380" s="75"/>
      <c r="P380" s="75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5.75" customHeight="1">
      <c r="A381" s="68"/>
      <c r="B381" s="69"/>
      <c r="C381" s="72"/>
      <c r="D381" s="71"/>
      <c r="E381" s="72"/>
      <c r="F381" s="71"/>
      <c r="G381" s="69"/>
      <c r="H381" s="73"/>
      <c r="I381" s="69"/>
      <c r="J381" s="69"/>
      <c r="K381" s="69"/>
      <c r="L381" s="74"/>
      <c r="M381" s="74"/>
      <c r="N381" s="69"/>
      <c r="O381" s="75"/>
      <c r="P381" s="75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5.75" customHeight="1">
      <c r="A382" s="68"/>
      <c r="B382" s="69"/>
      <c r="C382" s="72"/>
      <c r="D382" s="71"/>
      <c r="E382" s="72"/>
      <c r="F382" s="71"/>
      <c r="G382" s="69"/>
      <c r="H382" s="73"/>
      <c r="I382" s="69"/>
      <c r="J382" s="69"/>
      <c r="K382" s="69"/>
      <c r="L382" s="74"/>
      <c r="M382" s="74"/>
      <c r="N382" s="69"/>
      <c r="O382" s="75"/>
      <c r="P382" s="75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5.75" customHeight="1">
      <c r="A383" s="68"/>
      <c r="B383" s="69"/>
      <c r="C383" s="72"/>
      <c r="D383" s="71"/>
      <c r="E383" s="72"/>
      <c r="F383" s="71"/>
      <c r="G383" s="69"/>
      <c r="H383" s="73"/>
      <c r="I383" s="69"/>
      <c r="J383" s="69"/>
      <c r="K383" s="69"/>
      <c r="L383" s="74"/>
      <c r="M383" s="74"/>
      <c r="N383" s="69"/>
      <c r="O383" s="75"/>
      <c r="P383" s="75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5.75" customHeight="1">
      <c r="A384" s="68"/>
      <c r="B384" s="69"/>
      <c r="C384" s="72"/>
      <c r="D384" s="71"/>
      <c r="E384" s="72"/>
      <c r="F384" s="71"/>
      <c r="G384" s="69"/>
      <c r="H384" s="73"/>
      <c r="I384" s="69"/>
      <c r="J384" s="69"/>
      <c r="K384" s="69"/>
      <c r="L384" s="74"/>
      <c r="M384" s="74"/>
      <c r="N384" s="69"/>
      <c r="O384" s="75"/>
      <c r="P384" s="75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5.75" customHeight="1">
      <c r="A385" s="68"/>
      <c r="B385" s="69"/>
      <c r="C385" s="72"/>
      <c r="D385" s="71"/>
      <c r="E385" s="72"/>
      <c r="F385" s="71"/>
      <c r="G385" s="69"/>
      <c r="H385" s="73"/>
      <c r="I385" s="69"/>
      <c r="J385" s="69"/>
      <c r="K385" s="69"/>
      <c r="L385" s="74"/>
      <c r="M385" s="74"/>
      <c r="N385" s="69"/>
      <c r="O385" s="75"/>
      <c r="P385" s="75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5.75" customHeight="1">
      <c r="A386" s="68"/>
      <c r="B386" s="69"/>
      <c r="C386" s="72"/>
      <c r="D386" s="71"/>
      <c r="E386" s="72"/>
      <c r="F386" s="71"/>
      <c r="G386" s="69"/>
      <c r="H386" s="73"/>
      <c r="I386" s="69"/>
      <c r="J386" s="69"/>
      <c r="K386" s="69"/>
      <c r="L386" s="74"/>
      <c r="M386" s="74"/>
      <c r="N386" s="69"/>
      <c r="O386" s="75"/>
      <c r="P386" s="75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5.75" customHeight="1">
      <c r="A387" s="68"/>
      <c r="B387" s="69"/>
      <c r="C387" s="72"/>
      <c r="D387" s="71"/>
      <c r="E387" s="72"/>
      <c r="F387" s="71"/>
      <c r="G387" s="69"/>
      <c r="H387" s="73"/>
      <c r="I387" s="69"/>
      <c r="J387" s="69"/>
      <c r="K387" s="69"/>
      <c r="L387" s="74"/>
      <c r="M387" s="74"/>
      <c r="N387" s="69"/>
      <c r="O387" s="75"/>
      <c r="P387" s="75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5.75" customHeight="1">
      <c r="A388" s="68"/>
      <c r="B388" s="69"/>
      <c r="C388" s="72"/>
      <c r="D388" s="71"/>
      <c r="E388" s="72"/>
      <c r="F388" s="71"/>
      <c r="G388" s="69"/>
      <c r="H388" s="73"/>
      <c r="I388" s="69"/>
      <c r="J388" s="69"/>
      <c r="K388" s="69"/>
      <c r="L388" s="74"/>
      <c r="M388" s="74"/>
      <c r="N388" s="69"/>
      <c r="O388" s="75"/>
      <c r="P388" s="75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5.75" customHeight="1">
      <c r="A389" s="68"/>
      <c r="B389" s="69"/>
      <c r="C389" s="72"/>
      <c r="D389" s="71"/>
      <c r="E389" s="72"/>
      <c r="F389" s="71"/>
      <c r="G389" s="69"/>
      <c r="H389" s="73"/>
      <c r="I389" s="69"/>
      <c r="J389" s="69"/>
      <c r="K389" s="69"/>
      <c r="L389" s="74"/>
      <c r="M389" s="74"/>
      <c r="N389" s="69"/>
      <c r="O389" s="75"/>
      <c r="P389" s="75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5.75" customHeight="1">
      <c r="A390" s="68"/>
      <c r="B390" s="69"/>
      <c r="C390" s="72"/>
      <c r="D390" s="71"/>
      <c r="E390" s="72"/>
      <c r="F390" s="71"/>
      <c r="G390" s="69"/>
      <c r="H390" s="73"/>
      <c r="I390" s="69"/>
      <c r="J390" s="69"/>
      <c r="K390" s="69"/>
      <c r="L390" s="74"/>
      <c r="M390" s="74"/>
      <c r="N390" s="69"/>
      <c r="O390" s="75"/>
      <c r="P390" s="75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5.75" customHeight="1">
      <c r="A391" s="68"/>
      <c r="B391" s="69"/>
      <c r="C391" s="72"/>
      <c r="D391" s="71"/>
      <c r="E391" s="72"/>
      <c r="F391" s="71"/>
      <c r="G391" s="69"/>
      <c r="H391" s="73"/>
      <c r="I391" s="69"/>
      <c r="J391" s="69"/>
      <c r="K391" s="69"/>
      <c r="L391" s="74"/>
      <c r="M391" s="74"/>
      <c r="N391" s="69"/>
      <c r="O391" s="75"/>
      <c r="P391" s="75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5.75" customHeight="1">
      <c r="A392" s="68"/>
      <c r="B392" s="69"/>
      <c r="C392" s="72"/>
      <c r="D392" s="71"/>
      <c r="E392" s="72"/>
      <c r="F392" s="71"/>
      <c r="G392" s="69"/>
      <c r="H392" s="73"/>
      <c r="I392" s="69"/>
      <c r="J392" s="69"/>
      <c r="K392" s="69"/>
      <c r="L392" s="74"/>
      <c r="M392" s="74"/>
      <c r="N392" s="69"/>
      <c r="O392" s="75"/>
      <c r="P392" s="75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5.75" customHeight="1">
      <c r="A393" s="68"/>
      <c r="B393" s="69"/>
      <c r="C393" s="72"/>
      <c r="D393" s="71"/>
      <c r="E393" s="72"/>
      <c r="F393" s="71"/>
      <c r="G393" s="69"/>
      <c r="H393" s="73"/>
      <c r="I393" s="69"/>
      <c r="J393" s="69"/>
      <c r="K393" s="69"/>
      <c r="L393" s="74"/>
      <c r="M393" s="74"/>
      <c r="N393" s="69"/>
      <c r="O393" s="75"/>
      <c r="P393" s="75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5.75" customHeight="1">
      <c r="A394" s="68"/>
      <c r="B394" s="69"/>
      <c r="C394" s="72"/>
      <c r="D394" s="71"/>
      <c r="E394" s="72"/>
      <c r="F394" s="71"/>
      <c r="G394" s="69"/>
      <c r="H394" s="73"/>
      <c r="I394" s="69"/>
      <c r="J394" s="69"/>
      <c r="K394" s="69"/>
      <c r="L394" s="74"/>
      <c r="M394" s="74"/>
      <c r="N394" s="69"/>
      <c r="O394" s="75"/>
      <c r="P394" s="75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5.75" customHeight="1">
      <c r="A395" s="68"/>
      <c r="B395" s="69"/>
      <c r="C395" s="72"/>
      <c r="D395" s="71"/>
      <c r="E395" s="72"/>
      <c r="F395" s="71"/>
      <c r="G395" s="69"/>
      <c r="H395" s="73"/>
      <c r="I395" s="69"/>
      <c r="J395" s="69"/>
      <c r="K395" s="69"/>
      <c r="L395" s="74"/>
      <c r="M395" s="74"/>
      <c r="N395" s="69"/>
      <c r="O395" s="75"/>
      <c r="P395" s="75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5.75" customHeight="1">
      <c r="A396" s="68"/>
      <c r="B396" s="69"/>
      <c r="C396" s="72"/>
      <c r="D396" s="71"/>
      <c r="E396" s="72"/>
      <c r="F396" s="71"/>
      <c r="G396" s="69"/>
      <c r="H396" s="73"/>
      <c r="I396" s="69"/>
      <c r="J396" s="69"/>
      <c r="K396" s="69"/>
      <c r="L396" s="74"/>
      <c r="M396" s="74"/>
      <c r="N396" s="69"/>
      <c r="O396" s="75"/>
      <c r="P396" s="75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5.75" customHeight="1">
      <c r="A397" s="68"/>
      <c r="B397" s="69"/>
      <c r="C397" s="72"/>
      <c r="D397" s="71"/>
      <c r="E397" s="72"/>
      <c r="F397" s="71"/>
      <c r="G397" s="69"/>
      <c r="H397" s="73"/>
      <c r="I397" s="69"/>
      <c r="J397" s="69"/>
      <c r="K397" s="69"/>
      <c r="L397" s="74"/>
      <c r="M397" s="74"/>
      <c r="N397" s="69"/>
      <c r="O397" s="75"/>
      <c r="P397" s="75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5.75" customHeight="1">
      <c r="A398" s="68"/>
      <c r="B398" s="69"/>
      <c r="C398" s="72"/>
      <c r="D398" s="71"/>
      <c r="E398" s="72"/>
      <c r="F398" s="71"/>
      <c r="G398" s="69"/>
      <c r="H398" s="73"/>
      <c r="I398" s="69"/>
      <c r="J398" s="69"/>
      <c r="K398" s="69"/>
      <c r="L398" s="74"/>
      <c r="M398" s="74"/>
      <c r="N398" s="69"/>
      <c r="O398" s="75"/>
      <c r="P398" s="75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5.75" customHeight="1">
      <c r="A399" s="68"/>
      <c r="B399" s="69"/>
      <c r="C399" s="72"/>
      <c r="D399" s="71"/>
      <c r="E399" s="72"/>
      <c r="F399" s="71"/>
      <c r="G399" s="69"/>
      <c r="H399" s="73"/>
      <c r="I399" s="69"/>
      <c r="J399" s="69"/>
      <c r="K399" s="69"/>
      <c r="L399" s="74"/>
      <c r="M399" s="74"/>
      <c r="N399" s="69"/>
      <c r="O399" s="75"/>
      <c r="P399" s="75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5.75" customHeight="1">
      <c r="A400" s="68"/>
      <c r="B400" s="69"/>
      <c r="C400" s="72"/>
      <c r="D400" s="71"/>
      <c r="E400" s="72"/>
      <c r="F400" s="71"/>
      <c r="G400" s="69"/>
      <c r="H400" s="73"/>
      <c r="I400" s="69"/>
      <c r="J400" s="69"/>
      <c r="K400" s="69"/>
      <c r="L400" s="74"/>
      <c r="M400" s="74"/>
      <c r="N400" s="69"/>
      <c r="O400" s="75"/>
      <c r="P400" s="75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5.75" customHeight="1">
      <c r="A401" s="68"/>
      <c r="B401" s="69"/>
      <c r="C401" s="72"/>
      <c r="D401" s="71"/>
      <c r="E401" s="72"/>
      <c r="F401" s="71"/>
      <c r="G401" s="69"/>
      <c r="H401" s="73"/>
      <c r="I401" s="69"/>
      <c r="J401" s="69"/>
      <c r="K401" s="69"/>
      <c r="L401" s="74"/>
      <c r="M401" s="74"/>
      <c r="N401" s="69"/>
      <c r="O401" s="75"/>
      <c r="P401" s="75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5.75" customHeight="1">
      <c r="A402" s="68"/>
      <c r="B402" s="69"/>
      <c r="C402" s="72"/>
      <c r="D402" s="71"/>
      <c r="E402" s="72"/>
      <c r="F402" s="71"/>
      <c r="G402" s="69"/>
      <c r="H402" s="73"/>
      <c r="I402" s="69"/>
      <c r="J402" s="69"/>
      <c r="K402" s="69"/>
      <c r="L402" s="74"/>
      <c r="M402" s="74"/>
      <c r="N402" s="69"/>
      <c r="O402" s="75"/>
      <c r="P402" s="75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5.75" customHeight="1">
      <c r="A403" s="68"/>
      <c r="B403" s="69"/>
      <c r="C403" s="72"/>
      <c r="D403" s="71"/>
      <c r="E403" s="72"/>
      <c r="F403" s="71"/>
      <c r="G403" s="69"/>
      <c r="H403" s="73"/>
      <c r="I403" s="69"/>
      <c r="J403" s="69"/>
      <c r="K403" s="69"/>
      <c r="L403" s="74"/>
      <c r="M403" s="74"/>
      <c r="N403" s="69"/>
      <c r="O403" s="75"/>
      <c r="P403" s="75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5.75" customHeight="1">
      <c r="A404" s="68"/>
      <c r="B404" s="69"/>
      <c r="C404" s="72"/>
      <c r="D404" s="71"/>
      <c r="E404" s="72"/>
      <c r="F404" s="71"/>
      <c r="G404" s="69"/>
      <c r="H404" s="73"/>
      <c r="I404" s="69"/>
      <c r="J404" s="69"/>
      <c r="K404" s="69"/>
      <c r="L404" s="74"/>
      <c r="M404" s="74"/>
      <c r="N404" s="69"/>
      <c r="O404" s="75"/>
      <c r="P404" s="75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5.75" customHeight="1">
      <c r="A405" s="68"/>
      <c r="B405" s="69"/>
      <c r="C405" s="72"/>
      <c r="D405" s="71"/>
      <c r="E405" s="72"/>
      <c r="F405" s="71"/>
      <c r="G405" s="69"/>
      <c r="H405" s="73"/>
      <c r="I405" s="69"/>
      <c r="J405" s="69"/>
      <c r="K405" s="69"/>
      <c r="L405" s="74"/>
      <c r="M405" s="74"/>
      <c r="N405" s="69"/>
      <c r="O405" s="75"/>
      <c r="P405" s="75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5.75" customHeight="1">
      <c r="A406" s="68"/>
      <c r="B406" s="69"/>
      <c r="C406" s="72"/>
      <c r="D406" s="71"/>
      <c r="E406" s="72"/>
      <c r="F406" s="71"/>
      <c r="G406" s="69"/>
      <c r="H406" s="73"/>
      <c r="I406" s="69"/>
      <c r="J406" s="69"/>
      <c r="K406" s="69"/>
      <c r="L406" s="74"/>
      <c r="M406" s="74"/>
      <c r="N406" s="69"/>
      <c r="O406" s="75"/>
      <c r="P406" s="75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5.75" customHeight="1">
      <c r="A407" s="68"/>
      <c r="B407" s="69"/>
      <c r="C407" s="72"/>
      <c r="D407" s="71"/>
      <c r="E407" s="72"/>
      <c r="F407" s="71"/>
      <c r="G407" s="69"/>
      <c r="H407" s="73"/>
      <c r="I407" s="69"/>
      <c r="J407" s="69"/>
      <c r="K407" s="69"/>
      <c r="L407" s="74"/>
      <c r="M407" s="74"/>
      <c r="N407" s="69"/>
      <c r="O407" s="75"/>
      <c r="P407" s="75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5.75" customHeight="1">
      <c r="A408" s="68"/>
      <c r="B408" s="69"/>
      <c r="C408" s="72"/>
      <c r="D408" s="71"/>
      <c r="E408" s="72"/>
      <c r="F408" s="71"/>
      <c r="G408" s="69"/>
      <c r="H408" s="73"/>
      <c r="I408" s="69"/>
      <c r="J408" s="69"/>
      <c r="K408" s="69"/>
      <c r="L408" s="74"/>
      <c r="M408" s="74"/>
      <c r="N408" s="69"/>
      <c r="O408" s="75"/>
      <c r="P408" s="75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5.75" customHeight="1">
      <c r="A409" s="68"/>
      <c r="B409" s="69"/>
      <c r="C409" s="72"/>
      <c r="D409" s="71"/>
      <c r="E409" s="72"/>
      <c r="F409" s="71"/>
      <c r="G409" s="69"/>
      <c r="H409" s="73"/>
      <c r="I409" s="69"/>
      <c r="J409" s="69"/>
      <c r="K409" s="69"/>
      <c r="L409" s="74"/>
      <c r="M409" s="74"/>
      <c r="N409" s="69"/>
      <c r="O409" s="75"/>
      <c r="P409" s="75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5.75" customHeight="1">
      <c r="A410" s="68"/>
      <c r="B410" s="69"/>
      <c r="C410" s="72"/>
      <c r="D410" s="71"/>
      <c r="E410" s="72"/>
      <c r="F410" s="71"/>
      <c r="G410" s="69"/>
      <c r="H410" s="73"/>
      <c r="I410" s="69"/>
      <c r="J410" s="69"/>
      <c r="K410" s="69"/>
      <c r="L410" s="74"/>
      <c r="M410" s="74"/>
      <c r="N410" s="69"/>
      <c r="O410" s="75"/>
      <c r="P410" s="75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5.75" customHeight="1">
      <c r="A411" s="68"/>
      <c r="B411" s="69"/>
      <c r="C411" s="72"/>
      <c r="D411" s="71"/>
      <c r="E411" s="72"/>
      <c r="F411" s="71"/>
      <c r="G411" s="69"/>
      <c r="H411" s="73"/>
      <c r="I411" s="69"/>
      <c r="J411" s="69"/>
      <c r="K411" s="69"/>
      <c r="L411" s="74"/>
      <c r="M411" s="74"/>
      <c r="N411" s="69"/>
      <c r="O411" s="75"/>
      <c r="P411" s="75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5.75" customHeight="1">
      <c r="A412" s="68"/>
      <c r="B412" s="69"/>
      <c r="C412" s="72"/>
      <c r="D412" s="71"/>
      <c r="E412" s="72"/>
      <c r="F412" s="71"/>
      <c r="G412" s="69"/>
      <c r="H412" s="73"/>
      <c r="I412" s="69"/>
      <c r="J412" s="69"/>
      <c r="K412" s="69"/>
      <c r="L412" s="74"/>
      <c r="M412" s="74"/>
      <c r="N412" s="69"/>
      <c r="O412" s="75"/>
      <c r="P412" s="75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5.75" customHeight="1">
      <c r="A413" s="68"/>
      <c r="B413" s="69"/>
      <c r="C413" s="72"/>
      <c r="D413" s="71"/>
      <c r="E413" s="72"/>
      <c r="F413" s="71"/>
      <c r="G413" s="69"/>
      <c r="H413" s="73"/>
      <c r="I413" s="69"/>
      <c r="J413" s="69"/>
      <c r="K413" s="69"/>
      <c r="L413" s="74"/>
      <c r="M413" s="74"/>
      <c r="N413" s="69"/>
      <c r="O413" s="75"/>
      <c r="P413" s="75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5.75" customHeight="1">
      <c r="A414" s="68"/>
      <c r="B414" s="69"/>
      <c r="C414" s="72"/>
      <c r="D414" s="71"/>
      <c r="E414" s="72"/>
      <c r="F414" s="71"/>
      <c r="G414" s="69"/>
      <c r="H414" s="73"/>
      <c r="I414" s="69"/>
      <c r="J414" s="69"/>
      <c r="K414" s="69"/>
      <c r="L414" s="74"/>
      <c r="M414" s="74"/>
      <c r="N414" s="69"/>
      <c r="O414" s="75"/>
      <c r="P414" s="75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5.75" customHeight="1">
      <c r="A415" s="68"/>
      <c r="B415" s="69"/>
      <c r="C415" s="72"/>
      <c r="D415" s="71"/>
      <c r="E415" s="72"/>
      <c r="F415" s="71"/>
      <c r="G415" s="69"/>
      <c r="H415" s="73"/>
      <c r="I415" s="69"/>
      <c r="J415" s="69"/>
      <c r="K415" s="69"/>
      <c r="L415" s="74"/>
      <c r="M415" s="74"/>
      <c r="N415" s="69"/>
      <c r="O415" s="75"/>
      <c r="P415" s="75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5.75" customHeight="1">
      <c r="A416" s="68"/>
      <c r="B416" s="69"/>
      <c r="C416" s="72"/>
      <c r="D416" s="71"/>
      <c r="E416" s="72"/>
      <c r="F416" s="71"/>
      <c r="G416" s="69"/>
      <c r="H416" s="73"/>
      <c r="I416" s="69"/>
      <c r="J416" s="69"/>
      <c r="K416" s="69"/>
      <c r="L416" s="74"/>
      <c r="M416" s="74"/>
      <c r="N416" s="69"/>
      <c r="O416" s="75"/>
      <c r="P416" s="75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5.75" customHeight="1">
      <c r="A417" s="68"/>
      <c r="B417" s="69"/>
      <c r="C417" s="72"/>
      <c r="D417" s="71"/>
      <c r="E417" s="72"/>
      <c r="F417" s="71"/>
      <c r="G417" s="69"/>
      <c r="H417" s="73"/>
      <c r="I417" s="69"/>
      <c r="J417" s="69"/>
      <c r="K417" s="69"/>
      <c r="L417" s="74"/>
      <c r="M417" s="74"/>
      <c r="N417" s="69"/>
      <c r="O417" s="75"/>
      <c r="P417" s="75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5.75" customHeight="1">
      <c r="A418" s="68"/>
      <c r="B418" s="69"/>
      <c r="C418" s="72"/>
      <c r="D418" s="71"/>
      <c r="E418" s="72"/>
      <c r="F418" s="71"/>
      <c r="G418" s="69"/>
      <c r="H418" s="73"/>
      <c r="I418" s="69"/>
      <c r="J418" s="69"/>
      <c r="K418" s="69"/>
      <c r="L418" s="74"/>
      <c r="M418" s="74"/>
      <c r="N418" s="69"/>
      <c r="O418" s="75"/>
      <c r="P418" s="75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5.75" customHeight="1">
      <c r="A419" s="68"/>
      <c r="B419" s="69"/>
      <c r="C419" s="72"/>
      <c r="D419" s="71"/>
      <c r="E419" s="72"/>
      <c r="F419" s="71"/>
      <c r="G419" s="69"/>
      <c r="H419" s="73"/>
      <c r="I419" s="69"/>
      <c r="J419" s="69"/>
      <c r="K419" s="69"/>
      <c r="L419" s="74"/>
      <c r="M419" s="74"/>
      <c r="N419" s="69"/>
      <c r="O419" s="75"/>
      <c r="P419" s="75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5.75" customHeight="1">
      <c r="A420" s="68"/>
      <c r="B420" s="69"/>
      <c r="C420" s="72"/>
      <c r="D420" s="71"/>
      <c r="E420" s="72"/>
      <c r="F420" s="71"/>
      <c r="G420" s="69"/>
      <c r="H420" s="73"/>
      <c r="I420" s="69"/>
      <c r="J420" s="69"/>
      <c r="K420" s="69"/>
      <c r="L420" s="74"/>
      <c r="M420" s="74"/>
      <c r="N420" s="69"/>
      <c r="O420" s="75"/>
      <c r="P420" s="75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5.75" customHeight="1">
      <c r="A421" s="68"/>
      <c r="B421" s="69"/>
      <c r="C421" s="72"/>
      <c r="D421" s="71"/>
      <c r="E421" s="72"/>
      <c r="F421" s="71"/>
      <c r="G421" s="69"/>
      <c r="H421" s="73"/>
      <c r="I421" s="69"/>
      <c r="J421" s="69"/>
      <c r="K421" s="69"/>
      <c r="L421" s="74"/>
      <c r="M421" s="74"/>
      <c r="N421" s="69"/>
      <c r="O421" s="75"/>
      <c r="P421" s="75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5.75" customHeight="1">
      <c r="A422" s="68"/>
      <c r="B422" s="69"/>
      <c r="C422" s="72"/>
      <c r="D422" s="71"/>
      <c r="E422" s="72"/>
      <c r="F422" s="71"/>
      <c r="G422" s="69"/>
      <c r="H422" s="73"/>
      <c r="I422" s="69"/>
      <c r="J422" s="69"/>
      <c r="K422" s="69"/>
      <c r="L422" s="74"/>
      <c r="M422" s="74"/>
      <c r="N422" s="69"/>
      <c r="O422" s="75"/>
      <c r="P422" s="75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5.75" customHeight="1">
      <c r="A423" s="68"/>
      <c r="B423" s="69"/>
      <c r="C423" s="72"/>
      <c r="D423" s="71"/>
      <c r="E423" s="72"/>
      <c r="F423" s="71"/>
      <c r="G423" s="69"/>
      <c r="H423" s="73"/>
      <c r="I423" s="69"/>
      <c r="J423" s="69"/>
      <c r="K423" s="69"/>
      <c r="L423" s="74"/>
      <c r="M423" s="74"/>
      <c r="N423" s="69"/>
      <c r="O423" s="75"/>
      <c r="P423" s="75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5.75" customHeight="1">
      <c r="A424" s="68"/>
      <c r="B424" s="69"/>
      <c r="C424" s="72"/>
      <c r="D424" s="71"/>
      <c r="E424" s="72"/>
      <c r="F424" s="71"/>
      <c r="G424" s="69"/>
      <c r="H424" s="73"/>
      <c r="I424" s="69"/>
      <c r="J424" s="69"/>
      <c r="K424" s="69"/>
      <c r="L424" s="74"/>
      <c r="M424" s="74"/>
      <c r="N424" s="69"/>
      <c r="O424" s="75"/>
      <c r="P424" s="75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5.75" customHeight="1">
      <c r="A425" s="68"/>
      <c r="B425" s="69"/>
      <c r="C425" s="72"/>
      <c r="D425" s="71"/>
      <c r="E425" s="72"/>
      <c r="F425" s="71"/>
      <c r="G425" s="69"/>
      <c r="H425" s="73"/>
      <c r="I425" s="69"/>
      <c r="J425" s="69"/>
      <c r="K425" s="69"/>
      <c r="L425" s="74"/>
      <c r="M425" s="74"/>
      <c r="N425" s="69"/>
      <c r="O425" s="75"/>
      <c r="P425" s="75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5.75" customHeight="1">
      <c r="A426" s="68"/>
      <c r="B426" s="69"/>
      <c r="C426" s="72"/>
      <c r="D426" s="71"/>
      <c r="E426" s="72"/>
      <c r="F426" s="71"/>
      <c r="G426" s="69"/>
      <c r="H426" s="73"/>
      <c r="I426" s="69"/>
      <c r="J426" s="69"/>
      <c r="K426" s="69"/>
      <c r="L426" s="74"/>
      <c r="M426" s="74"/>
      <c r="N426" s="69"/>
      <c r="O426" s="75"/>
      <c r="P426" s="75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5.75" customHeight="1">
      <c r="A427" s="68"/>
      <c r="B427" s="69"/>
      <c r="C427" s="72"/>
      <c r="D427" s="71"/>
      <c r="E427" s="72"/>
      <c r="F427" s="71"/>
      <c r="G427" s="69"/>
      <c r="H427" s="73"/>
      <c r="I427" s="69"/>
      <c r="J427" s="69"/>
      <c r="K427" s="69"/>
      <c r="L427" s="74"/>
      <c r="M427" s="74"/>
      <c r="N427" s="69"/>
      <c r="O427" s="75"/>
      <c r="P427" s="75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5.75" customHeight="1">
      <c r="A428" s="68"/>
      <c r="B428" s="69"/>
      <c r="C428" s="72"/>
      <c r="D428" s="71"/>
      <c r="E428" s="72"/>
      <c r="F428" s="71"/>
      <c r="G428" s="69"/>
      <c r="H428" s="73"/>
      <c r="I428" s="69"/>
      <c r="J428" s="69"/>
      <c r="K428" s="69"/>
      <c r="L428" s="74"/>
      <c r="M428" s="74"/>
      <c r="N428" s="69"/>
      <c r="O428" s="75"/>
      <c r="P428" s="75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5.75" customHeight="1">
      <c r="A429" s="68"/>
      <c r="B429" s="69"/>
      <c r="C429" s="72"/>
      <c r="D429" s="71"/>
      <c r="E429" s="72"/>
      <c r="F429" s="71"/>
      <c r="G429" s="69"/>
      <c r="H429" s="73"/>
      <c r="I429" s="69"/>
      <c r="J429" s="69"/>
      <c r="K429" s="69"/>
      <c r="L429" s="74"/>
      <c r="M429" s="74"/>
      <c r="N429" s="69"/>
      <c r="O429" s="75"/>
      <c r="P429" s="75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5.75" customHeight="1">
      <c r="A430" s="68"/>
      <c r="B430" s="69"/>
      <c r="C430" s="72"/>
      <c r="D430" s="71"/>
      <c r="E430" s="72"/>
      <c r="F430" s="71"/>
      <c r="G430" s="69"/>
      <c r="H430" s="73"/>
      <c r="I430" s="69"/>
      <c r="J430" s="69"/>
      <c r="K430" s="69"/>
      <c r="L430" s="74"/>
      <c r="M430" s="74"/>
      <c r="N430" s="69"/>
      <c r="O430" s="75"/>
      <c r="P430" s="75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5.75" customHeight="1">
      <c r="A431" s="68"/>
      <c r="B431" s="69"/>
      <c r="C431" s="72"/>
      <c r="D431" s="71"/>
      <c r="E431" s="72"/>
      <c r="F431" s="71"/>
      <c r="G431" s="69"/>
      <c r="H431" s="73"/>
      <c r="I431" s="69"/>
      <c r="J431" s="69"/>
      <c r="K431" s="69"/>
      <c r="L431" s="74"/>
      <c r="M431" s="74"/>
      <c r="N431" s="69"/>
      <c r="O431" s="75"/>
      <c r="P431" s="75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5.75" customHeight="1">
      <c r="A432" s="68"/>
      <c r="B432" s="69"/>
      <c r="C432" s="72"/>
      <c r="D432" s="71"/>
      <c r="E432" s="72"/>
      <c r="F432" s="71"/>
      <c r="G432" s="69"/>
      <c r="H432" s="73"/>
      <c r="I432" s="69"/>
      <c r="J432" s="69"/>
      <c r="K432" s="69"/>
      <c r="L432" s="74"/>
      <c r="M432" s="74"/>
      <c r="N432" s="69"/>
      <c r="O432" s="75"/>
      <c r="P432" s="75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5.75" customHeight="1">
      <c r="A433" s="68"/>
      <c r="B433" s="69"/>
      <c r="C433" s="72"/>
      <c r="D433" s="71"/>
      <c r="E433" s="72"/>
      <c r="F433" s="71"/>
      <c r="G433" s="69"/>
      <c r="H433" s="73"/>
      <c r="I433" s="69"/>
      <c r="J433" s="69"/>
      <c r="K433" s="69"/>
      <c r="L433" s="74"/>
      <c r="M433" s="74"/>
      <c r="N433" s="69"/>
      <c r="O433" s="75"/>
      <c r="P433" s="75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5.75" customHeight="1">
      <c r="A434" s="68"/>
      <c r="B434" s="69"/>
      <c r="C434" s="72"/>
      <c r="D434" s="71"/>
      <c r="E434" s="72"/>
      <c r="F434" s="71"/>
      <c r="G434" s="69"/>
      <c r="H434" s="73"/>
      <c r="I434" s="69"/>
      <c r="J434" s="69"/>
      <c r="K434" s="69"/>
      <c r="L434" s="74"/>
      <c r="M434" s="74"/>
      <c r="N434" s="69"/>
      <c r="O434" s="75"/>
      <c r="P434" s="75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5.75" customHeight="1">
      <c r="A435" s="68"/>
      <c r="B435" s="69"/>
      <c r="C435" s="72"/>
      <c r="D435" s="71"/>
      <c r="E435" s="72"/>
      <c r="F435" s="71"/>
      <c r="G435" s="69"/>
      <c r="H435" s="73"/>
      <c r="I435" s="69"/>
      <c r="J435" s="69"/>
      <c r="K435" s="69"/>
      <c r="L435" s="74"/>
      <c r="M435" s="74"/>
      <c r="N435" s="69"/>
      <c r="O435" s="75"/>
      <c r="P435" s="75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5.75" customHeight="1">
      <c r="A436" s="68"/>
      <c r="B436" s="69"/>
      <c r="C436" s="72"/>
      <c r="D436" s="71"/>
      <c r="E436" s="72"/>
      <c r="F436" s="71"/>
      <c r="G436" s="69"/>
      <c r="H436" s="73"/>
      <c r="I436" s="69"/>
      <c r="J436" s="69"/>
      <c r="K436" s="69"/>
      <c r="L436" s="74"/>
      <c r="M436" s="74"/>
      <c r="N436" s="69"/>
      <c r="O436" s="75"/>
      <c r="P436" s="75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5.75" customHeight="1">
      <c r="A437" s="68"/>
      <c r="B437" s="69"/>
      <c r="C437" s="72"/>
      <c r="D437" s="71"/>
      <c r="E437" s="72"/>
      <c r="F437" s="71"/>
      <c r="G437" s="69"/>
      <c r="H437" s="73"/>
      <c r="I437" s="69"/>
      <c r="J437" s="69"/>
      <c r="K437" s="69"/>
      <c r="L437" s="74"/>
      <c r="M437" s="74"/>
      <c r="N437" s="69"/>
      <c r="O437" s="75"/>
      <c r="P437" s="75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5.75" customHeight="1">
      <c r="A438" s="68"/>
      <c r="B438" s="69"/>
      <c r="C438" s="72"/>
      <c r="D438" s="71"/>
      <c r="E438" s="72"/>
      <c r="F438" s="71"/>
      <c r="G438" s="69"/>
      <c r="H438" s="73"/>
      <c r="I438" s="69"/>
      <c r="J438" s="69"/>
      <c r="K438" s="69"/>
      <c r="L438" s="74"/>
      <c r="M438" s="74"/>
      <c r="N438" s="69"/>
      <c r="O438" s="75"/>
      <c r="P438" s="75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5.75" customHeight="1">
      <c r="A439" s="68"/>
      <c r="B439" s="69"/>
      <c r="C439" s="72"/>
      <c r="D439" s="71"/>
      <c r="E439" s="72"/>
      <c r="F439" s="71"/>
      <c r="G439" s="69"/>
      <c r="H439" s="73"/>
      <c r="I439" s="69"/>
      <c r="J439" s="69"/>
      <c r="K439" s="69"/>
      <c r="L439" s="74"/>
      <c r="M439" s="74"/>
      <c r="N439" s="69"/>
      <c r="O439" s="75"/>
      <c r="P439" s="75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5.75" customHeight="1">
      <c r="A440" s="68"/>
      <c r="B440" s="69"/>
      <c r="C440" s="72"/>
      <c r="D440" s="71"/>
      <c r="E440" s="72"/>
      <c r="F440" s="71"/>
      <c r="G440" s="69"/>
      <c r="H440" s="73"/>
      <c r="I440" s="69"/>
      <c r="J440" s="69"/>
      <c r="K440" s="69"/>
      <c r="L440" s="74"/>
      <c r="M440" s="74"/>
      <c r="N440" s="69"/>
      <c r="O440" s="75"/>
      <c r="P440" s="75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5.75" customHeight="1">
      <c r="A441" s="68"/>
      <c r="B441" s="69"/>
      <c r="C441" s="72"/>
      <c r="D441" s="71"/>
      <c r="E441" s="72"/>
      <c r="F441" s="71"/>
      <c r="G441" s="69"/>
      <c r="H441" s="73"/>
      <c r="I441" s="69"/>
      <c r="J441" s="69"/>
      <c r="K441" s="69"/>
      <c r="L441" s="74"/>
      <c r="M441" s="74"/>
      <c r="N441" s="69"/>
      <c r="O441" s="75"/>
      <c r="P441" s="75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5.75" customHeight="1">
      <c r="A442" s="68"/>
      <c r="B442" s="69"/>
      <c r="C442" s="72"/>
      <c r="D442" s="71"/>
      <c r="E442" s="72"/>
      <c r="F442" s="71"/>
      <c r="G442" s="69"/>
      <c r="H442" s="73"/>
      <c r="I442" s="69"/>
      <c r="J442" s="69"/>
      <c r="K442" s="69"/>
      <c r="L442" s="74"/>
      <c r="M442" s="74"/>
      <c r="N442" s="69"/>
      <c r="O442" s="75"/>
      <c r="P442" s="75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5.75" customHeight="1">
      <c r="A443" s="68"/>
      <c r="B443" s="69"/>
      <c r="C443" s="72"/>
      <c r="D443" s="71"/>
      <c r="E443" s="72"/>
      <c r="F443" s="71"/>
      <c r="G443" s="69"/>
      <c r="H443" s="73"/>
      <c r="I443" s="69"/>
      <c r="J443" s="69"/>
      <c r="K443" s="69"/>
      <c r="L443" s="74"/>
      <c r="M443" s="74"/>
      <c r="N443" s="69"/>
      <c r="O443" s="75"/>
      <c r="P443" s="75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5.75" customHeight="1">
      <c r="A444" s="68"/>
      <c r="B444" s="69"/>
      <c r="C444" s="72"/>
      <c r="D444" s="71"/>
      <c r="E444" s="72"/>
      <c r="F444" s="71"/>
      <c r="G444" s="69"/>
      <c r="H444" s="73"/>
      <c r="I444" s="69"/>
      <c r="J444" s="69"/>
      <c r="K444" s="69"/>
      <c r="L444" s="74"/>
      <c r="M444" s="74"/>
      <c r="N444" s="69"/>
      <c r="O444" s="75"/>
      <c r="P444" s="75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5.75" customHeight="1">
      <c r="A445" s="68"/>
      <c r="B445" s="69"/>
      <c r="C445" s="72"/>
      <c r="D445" s="71"/>
      <c r="E445" s="72"/>
      <c r="F445" s="71"/>
      <c r="G445" s="69"/>
      <c r="H445" s="73"/>
      <c r="I445" s="69"/>
      <c r="J445" s="69"/>
      <c r="K445" s="69"/>
      <c r="L445" s="74"/>
      <c r="M445" s="74"/>
      <c r="N445" s="69"/>
      <c r="O445" s="75"/>
      <c r="P445" s="75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5.75" customHeight="1">
      <c r="A446" s="68"/>
      <c r="B446" s="69"/>
      <c r="C446" s="72"/>
      <c r="D446" s="71"/>
      <c r="E446" s="72"/>
      <c r="F446" s="71"/>
      <c r="G446" s="69"/>
      <c r="H446" s="73"/>
      <c r="I446" s="69"/>
      <c r="J446" s="69"/>
      <c r="K446" s="69"/>
      <c r="L446" s="74"/>
      <c r="M446" s="74"/>
      <c r="N446" s="69"/>
      <c r="O446" s="75"/>
      <c r="P446" s="75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5.75" customHeight="1">
      <c r="A447" s="68"/>
      <c r="B447" s="69"/>
      <c r="C447" s="72"/>
      <c r="D447" s="71"/>
      <c r="E447" s="72"/>
      <c r="F447" s="71"/>
      <c r="G447" s="69"/>
      <c r="H447" s="73"/>
      <c r="I447" s="69"/>
      <c r="J447" s="69"/>
      <c r="K447" s="69"/>
      <c r="L447" s="74"/>
      <c r="M447" s="74"/>
      <c r="N447" s="69"/>
      <c r="O447" s="75"/>
      <c r="P447" s="75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5.75" customHeight="1">
      <c r="A448" s="68"/>
      <c r="B448" s="69"/>
      <c r="C448" s="72"/>
      <c r="D448" s="71"/>
      <c r="E448" s="72"/>
      <c r="F448" s="71"/>
      <c r="G448" s="69"/>
      <c r="H448" s="73"/>
      <c r="I448" s="69"/>
      <c r="J448" s="69"/>
      <c r="K448" s="69"/>
      <c r="L448" s="74"/>
      <c r="M448" s="74"/>
      <c r="N448" s="69"/>
      <c r="O448" s="75"/>
      <c r="P448" s="75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5.75" customHeight="1">
      <c r="A449" s="68"/>
      <c r="B449" s="69"/>
      <c r="C449" s="72"/>
      <c r="D449" s="71"/>
      <c r="E449" s="72"/>
      <c r="F449" s="71"/>
      <c r="G449" s="69"/>
      <c r="H449" s="73"/>
      <c r="I449" s="69"/>
      <c r="J449" s="69"/>
      <c r="K449" s="69"/>
      <c r="L449" s="74"/>
      <c r="M449" s="74"/>
      <c r="N449" s="69"/>
      <c r="O449" s="75"/>
      <c r="P449" s="75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5.75" customHeight="1">
      <c r="A450" s="68"/>
      <c r="B450" s="69"/>
      <c r="C450" s="72"/>
      <c r="D450" s="71"/>
      <c r="E450" s="72"/>
      <c r="F450" s="71"/>
      <c r="G450" s="69"/>
      <c r="H450" s="73"/>
      <c r="I450" s="69"/>
      <c r="J450" s="69"/>
      <c r="K450" s="69"/>
      <c r="L450" s="74"/>
      <c r="M450" s="74"/>
      <c r="N450" s="69"/>
      <c r="O450" s="75"/>
      <c r="P450" s="75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5.75" customHeight="1">
      <c r="A451" s="68"/>
      <c r="B451" s="69"/>
      <c r="C451" s="72"/>
      <c r="D451" s="71"/>
      <c r="E451" s="72"/>
      <c r="F451" s="71"/>
      <c r="G451" s="69"/>
      <c r="H451" s="73"/>
      <c r="I451" s="69"/>
      <c r="J451" s="69"/>
      <c r="K451" s="69"/>
      <c r="L451" s="74"/>
      <c r="M451" s="74"/>
      <c r="N451" s="69"/>
      <c r="O451" s="75"/>
      <c r="P451" s="75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5.75" customHeight="1">
      <c r="A452" s="68"/>
      <c r="B452" s="69"/>
      <c r="C452" s="72"/>
      <c r="D452" s="71"/>
      <c r="E452" s="72"/>
      <c r="F452" s="71"/>
      <c r="G452" s="69"/>
      <c r="H452" s="73"/>
      <c r="I452" s="69"/>
      <c r="J452" s="69"/>
      <c r="K452" s="69"/>
      <c r="L452" s="74"/>
      <c r="M452" s="74"/>
      <c r="N452" s="69"/>
      <c r="O452" s="75"/>
      <c r="P452" s="75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5.75" customHeight="1">
      <c r="A453" s="68"/>
      <c r="B453" s="69"/>
      <c r="C453" s="72"/>
      <c r="D453" s="71"/>
      <c r="E453" s="72"/>
      <c r="F453" s="71"/>
      <c r="G453" s="69"/>
      <c r="H453" s="73"/>
      <c r="I453" s="69"/>
      <c r="J453" s="69"/>
      <c r="K453" s="69"/>
      <c r="L453" s="74"/>
      <c r="M453" s="74"/>
      <c r="N453" s="69"/>
      <c r="O453" s="75"/>
      <c r="P453" s="75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5.75" customHeight="1">
      <c r="A454" s="68"/>
      <c r="B454" s="69"/>
      <c r="C454" s="72"/>
      <c r="D454" s="71"/>
      <c r="E454" s="72"/>
      <c r="F454" s="71"/>
      <c r="G454" s="69"/>
      <c r="H454" s="73"/>
      <c r="I454" s="69"/>
      <c r="J454" s="69"/>
      <c r="K454" s="69"/>
      <c r="L454" s="74"/>
      <c r="M454" s="74"/>
      <c r="N454" s="69"/>
      <c r="O454" s="75"/>
      <c r="P454" s="75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5.75" customHeight="1">
      <c r="A455" s="68"/>
      <c r="B455" s="69"/>
      <c r="C455" s="72"/>
      <c r="D455" s="71"/>
      <c r="E455" s="72"/>
      <c r="F455" s="71"/>
      <c r="G455" s="69"/>
      <c r="H455" s="73"/>
      <c r="I455" s="69"/>
      <c r="J455" s="69"/>
      <c r="K455" s="69"/>
      <c r="L455" s="74"/>
      <c r="M455" s="74"/>
      <c r="N455" s="69"/>
      <c r="O455" s="75"/>
      <c r="P455" s="75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5.75" customHeight="1">
      <c r="A456" s="68"/>
      <c r="B456" s="69"/>
      <c r="C456" s="72"/>
      <c r="D456" s="71"/>
      <c r="E456" s="72"/>
      <c r="F456" s="71"/>
      <c r="G456" s="69"/>
      <c r="H456" s="73"/>
      <c r="I456" s="69"/>
      <c r="J456" s="69"/>
      <c r="K456" s="69"/>
      <c r="L456" s="74"/>
      <c r="M456" s="74"/>
      <c r="N456" s="69"/>
      <c r="O456" s="75"/>
      <c r="P456" s="75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5.75" customHeight="1">
      <c r="A457" s="68"/>
      <c r="B457" s="69"/>
      <c r="C457" s="72"/>
      <c r="D457" s="71"/>
      <c r="E457" s="72"/>
      <c r="F457" s="71"/>
      <c r="G457" s="69"/>
      <c r="H457" s="73"/>
      <c r="I457" s="69"/>
      <c r="J457" s="69"/>
      <c r="K457" s="69"/>
      <c r="L457" s="74"/>
      <c r="M457" s="74"/>
      <c r="N457" s="69"/>
      <c r="O457" s="75"/>
      <c r="P457" s="75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5.75" customHeight="1">
      <c r="A458" s="68"/>
      <c r="B458" s="69"/>
      <c r="C458" s="72"/>
      <c r="D458" s="71"/>
      <c r="E458" s="72"/>
      <c r="F458" s="71"/>
      <c r="G458" s="69"/>
      <c r="H458" s="73"/>
      <c r="I458" s="69"/>
      <c r="J458" s="69"/>
      <c r="K458" s="69"/>
      <c r="L458" s="74"/>
      <c r="M458" s="74"/>
      <c r="N458" s="69"/>
      <c r="O458" s="75"/>
      <c r="P458" s="75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5.75" customHeight="1">
      <c r="A459" s="68"/>
      <c r="B459" s="69"/>
      <c r="C459" s="72"/>
      <c r="D459" s="71"/>
      <c r="E459" s="72"/>
      <c r="F459" s="71"/>
      <c r="G459" s="69"/>
      <c r="H459" s="73"/>
      <c r="I459" s="69"/>
      <c r="J459" s="69"/>
      <c r="K459" s="69"/>
      <c r="L459" s="74"/>
      <c r="M459" s="74"/>
      <c r="N459" s="69"/>
      <c r="O459" s="75"/>
      <c r="P459" s="75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5.75" customHeight="1">
      <c r="A460" s="68"/>
      <c r="B460" s="69"/>
      <c r="C460" s="72"/>
      <c r="D460" s="71"/>
      <c r="E460" s="72"/>
      <c r="F460" s="71"/>
      <c r="G460" s="69"/>
      <c r="H460" s="73"/>
      <c r="I460" s="69"/>
      <c r="J460" s="69"/>
      <c r="K460" s="69"/>
      <c r="L460" s="74"/>
      <c r="M460" s="74"/>
      <c r="N460" s="69"/>
      <c r="O460" s="75"/>
      <c r="P460" s="75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5.75" customHeight="1">
      <c r="A461" s="68"/>
      <c r="B461" s="69"/>
      <c r="C461" s="72"/>
      <c r="D461" s="71"/>
      <c r="E461" s="72"/>
      <c r="F461" s="71"/>
      <c r="G461" s="69"/>
      <c r="H461" s="73"/>
      <c r="I461" s="69"/>
      <c r="J461" s="69"/>
      <c r="K461" s="69"/>
      <c r="L461" s="74"/>
      <c r="M461" s="74"/>
      <c r="N461" s="69"/>
      <c r="O461" s="75"/>
      <c r="P461" s="75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5.75" customHeight="1">
      <c r="A462" s="68"/>
      <c r="B462" s="69"/>
      <c r="C462" s="72"/>
      <c r="D462" s="71"/>
      <c r="E462" s="72"/>
      <c r="F462" s="71"/>
      <c r="G462" s="69"/>
      <c r="H462" s="73"/>
      <c r="I462" s="69"/>
      <c r="J462" s="69"/>
      <c r="K462" s="69"/>
      <c r="L462" s="74"/>
      <c r="M462" s="74"/>
      <c r="N462" s="69"/>
      <c r="O462" s="75"/>
      <c r="P462" s="75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5.75" customHeight="1">
      <c r="A463" s="68"/>
      <c r="B463" s="69"/>
      <c r="C463" s="72"/>
      <c r="D463" s="71"/>
      <c r="E463" s="72"/>
      <c r="F463" s="71"/>
      <c r="G463" s="69"/>
      <c r="H463" s="73"/>
      <c r="I463" s="69"/>
      <c r="J463" s="69"/>
      <c r="K463" s="69"/>
      <c r="L463" s="74"/>
      <c r="M463" s="74"/>
      <c r="N463" s="69"/>
      <c r="O463" s="75"/>
      <c r="P463" s="75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5.75" customHeight="1">
      <c r="A464" s="68"/>
      <c r="B464" s="69"/>
      <c r="C464" s="72"/>
      <c r="D464" s="71"/>
      <c r="E464" s="72"/>
      <c r="F464" s="71"/>
      <c r="G464" s="69"/>
      <c r="H464" s="73"/>
      <c r="I464" s="69"/>
      <c r="J464" s="69"/>
      <c r="K464" s="69"/>
      <c r="L464" s="74"/>
      <c r="M464" s="74"/>
      <c r="N464" s="69"/>
      <c r="O464" s="75"/>
      <c r="P464" s="75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5.75" customHeight="1">
      <c r="A465" s="68"/>
      <c r="B465" s="69"/>
      <c r="C465" s="72"/>
      <c r="D465" s="71"/>
      <c r="E465" s="72"/>
      <c r="F465" s="71"/>
      <c r="G465" s="69"/>
      <c r="H465" s="73"/>
      <c r="I465" s="69"/>
      <c r="J465" s="69"/>
      <c r="K465" s="69"/>
      <c r="L465" s="74"/>
      <c r="M465" s="74"/>
      <c r="N465" s="69"/>
      <c r="O465" s="75"/>
      <c r="P465" s="75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5.75" customHeight="1">
      <c r="A466" s="68"/>
      <c r="B466" s="69"/>
      <c r="C466" s="72"/>
      <c r="D466" s="71"/>
      <c r="E466" s="72"/>
      <c r="F466" s="71"/>
      <c r="G466" s="69"/>
      <c r="H466" s="73"/>
      <c r="I466" s="69"/>
      <c r="J466" s="69"/>
      <c r="K466" s="69"/>
      <c r="L466" s="74"/>
      <c r="M466" s="74"/>
      <c r="N466" s="69"/>
      <c r="O466" s="75"/>
      <c r="P466" s="75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5.75" customHeight="1">
      <c r="A467" s="68"/>
      <c r="B467" s="69"/>
      <c r="C467" s="72"/>
      <c r="D467" s="71"/>
      <c r="E467" s="72"/>
      <c r="F467" s="71"/>
      <c r="G467" s="69"/>
      <c r="H467" s="73"/>
      <c r="I467" s="69"/>
      <c r="J467" s="69"/>
      <c r="K467" s="69"/>
      <c r="L467" s="74"/>
      <c r="M467" s="74"/>
      <c r="N467" s="69"/>
      <c r="O467" s="75"/>
      <c r="P467" s="75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5.75" customHeight="1">
      <c r="A468" s="68"/>
      <c r="B468" s="69"/>
      <c r="C468" s="72"/>
      <c r="D468" s="71"/>
      <c r="E468" s="72"/>
      <c r="F468" s="71"/>
      <c r="G468" s="69"/>
      <c r="H468" s="73"/>
      <c r="I468" s="69"/>
      <c r="J468" s="69"/>
      <c r="K468" s="69"/>
      <c r="L468" s="74"/>
      <c r="M468" s="74"/>
      <c r="N468" s="69"/>
      <c r="O468" s="75"/>
      <c r="P468" s="75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5.75" customHeight="1">
      <c r="A469" s="68"/>
      <c r="B469" s="69"/>
      <c r="C469" s="72"/>
      <c r="D469" s="71"/>
      <c r="E469" s="72"/>
      <c r="F469" s="71"/>
      <c r="G469" s="69"/>
      <c r="H469" s="73"/>
      <c r="I469" s="69"/>
      <c r="J469" s="69"/>
      <c r="K469" s="69"/>
      <c r="L469" s="74"/>
      <c r="M469" s="74"/>
      <c r="N469" s="69"/>
      <c r="O469" s="75"/>
      <c r="P469" s="75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5.75" customHeight="1">
      <c r="A470" s="68"/>
      <c r="B470" s="69"/>
      <c r="C470" s="72"/>
      <c r="D470" s="71"/>
      <c r="E470" s="72"/>
      <c r="F470" s="71"/>
      <c r="G470" s="69"/>
      <c r="H470" s="73"/>
      <c r="I470" s="69"/>
      <c r="J470" s="69"/>
      <c r="K470" s="69"/>
      <c r="L470" s="74"/>
      <c r="M470" s="74"/>
      <c r="N470" s="69"/>
      <c r="O470" s="75"/>
      <c r="P470" s="75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5.75" customHeight="1">
      <c r="A471" s="68"/>
      <c r="B471" s="69"/>
      <c r="C471" s="72"/>
      <c r="D471" s="71"/>
      <c r="E471" s="72"/>
      <c r="F471" s="71"/>
      <c r="G471" s="69"/>
      <c r="H471" s="73"/>
      <c r="I471" s="69"/>
      <c r="J471" s="69"/>
      <c r="K471" s="69"/>
      <c r="L471" s="74"/>
      <c r="M471" s="74"/>
      <c r="N471" s="69"/>
      <c r="O471" s="75"/>
      <c r="P471" s="75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5.75" customHeight="1">
      <c r="A472" s="68"/>
      <c r="B472" s="69"/>
      <c r="C472" s="72"/>
      <c r="D472" s="71"/>
      <c r="E472" s="72"/>
      <c r="F472" s="71"/>
      <c r="G472" s="69"/>
      <c r="H472" s="73"/>
      <c r="I472" s="69"/>
      <c r="J472" s="69"/>
      <c r="K472" s="69"/>
      <c r="L472" s="74"/>
      <c r="M472" s="74"/>
      <c r="N472" s="69"/>
      <c r="O472" s="75"/>
      <c r="P472" s="75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5.75" customHeight="1">
      <c r="A473" s="68"/>
      <c r="B473" s="69"/>
      <c r="C473" s="72"/>
      <c r="D473" s="71"/>
      <c r="E473" s="72"/>
      <c r="F473" s="71"/>
      <c r="G473" s="69"/>
      <c r="H473" s="73"/>
      <c r="I473" s="69"/>
      <c r="J473" s="69"/>
      <c r="K473" s="69"/>
      <c r="L473" s="74"/>
      <c r="M473" s="74"/>
      <c r="N473" s="69"/>
      <c r="O473" s="75"/>
      <c r="P473" s="75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5.75" customHeight="1">
      <c r="A474" s="68"/>
      <c r="B474" s="69"/>
      <c r="C474" s="72"/>
      <c r="D474" s="71"/>
      <c r="E474" s="72"/>
      <c r="F474" s="71"/>
      <c r="G474" s="69"/>
      <c r="H474" s="73"/>
      <c r="I474" s="69"/>
      <c r="J474" s="69"/>
      <c r="K474" s="69"/>
      <c r="L474" s="74"/>
      <c r="M474" s="74"/>
      <c r="N474" s="69"/>
      <c r="O474" s="75"/>
      <c r="P474" s="75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5.75" customHeight="1">
      <c r="A475" s="68"/>
      <c r="B475" s="69"/>
      <c r="C475" s="72"/>
      <c r="D475" s="71"/>
      <c r="E475" s="72"/>
      <c r="F475" s="71"/>
      <c r="G475" s="69"/>
      <c r="H475" s="73"/>
      <c r="I475" s="69"/>
      <c r="J475" s="69"/>
      <c r="K475" s="69"/>
      <c r="L475" s="74"/>
      <c r="M475" s="74"/>
      <c r="N475" s="69"/>
      <c r="O475" s="75"/>
      <c r="P475" s="75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5.75" customHeight="1">
      <c r="A476" s="68"/>
      <c r="B476" s="69"/>
      <c r="C476" s="72"/>
      <c r="D476" s="71"/>
      <c r="E476" s="72"/>
      <c r="F476" s="71"/>
      <c r="G476" s="69"/>
      <c r="H476" s="73"/>
      <c r="I476" s="69"/>
      <c r="J476" s="69"/>
      <c r="K476" s="69"/>
      <c r="L476" s="74"/>
      <c r="M476" s="74"/>
      <c r="N476" s="69"/>
      <c r="O476" s="75"/>
      <c r="P476" s="75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5.75" customHeight="1">
      <c r="A477" s="68"/>
      <c r="B477" s="69"/>
      <c r="C477" s="72"/>
      <c r="D477" s="71"/>
      <c r="E477" s="72"/>
      <c r="F477" s="71"/>
      <c r="G477" s="69"/>
      <c r="H477" s="73"/>
      <c r="I477" s="69"/>
      <c r="J477" s="69"/>
      <c r="K477" s="69"/>
      <c r="L477" s="74"/>
      <c r="M477" s="74"/>
      <c r="N477" s="69"/>
      <c r="O477" s="75"/>
      <c r="P477" s="75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5.75" customHeight="1">
      <c r="A478" s="68"/>
      <c r="B478" s="69"/>
      <c r="C478" s="72"/>
      <c r="D478" s="71"/>
      <c r="E478" s="72"/>
      <c r="F478" s="71"/>
      <c r="G478" s="69"/>
      <c r="H478" s="73"/>
      <c r="I478" s="69"/>
      <c r="J478" s="69"/>
      <c r="K478" s="69"/>
      <c r="L478" s="74"/>
      <c r="M478" s="74"/>
      <c r="N478" s="69"/>
      <c r="O478" s="75"/>
      <c r="P478" s="75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5.75" customHeight="1">
      <c r="A479" s="68"/>
      <c r="B479" s="69"/>
      <c r="C479" s="72"/>
      <c r="D479" s="71"/>
      <c r="E479" s="72"/>
      <c r="F479" s="71"/>
      <c r="G479" s="69"/>
      <c r="H479" s="73"/>
      <c r="I479" s="69"/>
      <c r="J479" s="69"/>
      <c r="K479" s="69"/>
      <c r="L479" s="74"/>
      <c r="M479" s="74"/>
      <c r="N479" s="69"/>
      <c r="O479" s="75"/>
      <c r="P479" s="75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5.75" customHeight="1">
      <c r="A480" s="68"/>
      <c r="B480" s="69"/>
      <c r="C480" s="72"/>
      <c r="D480" s="71"/>
      <c r="E480" s="72"/>
      <c r="F480" s="71"/>
      <c r="G480" s="69"/>
      <c r="H480" s="73"/>
      <c r="I480" s="69"/>
      <c r="J480" s="69"/>
      <c r="K480" s="69"/>
      <c r="L480" s="74"/>
      <c r="M480" s="74"/>
      <c r="N480" s="69"/>
      <c r="O480" s="75"/>
      <c r="P480" s="75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5.75" customHeight="1">
      <c r="A481" s="68"/>
      <c r="B481" s="69"/>
      <c r="C481" s="72"/>
      <c r="D481" s="71"/>
      <c r="E481" s="72"/>
      <c r="F481" s="71"/>
      <c r="G481" s="69"/>
      <c r="H481" s="73"/>
      <c r="I481" s="69"/>
      <c r="J481" s="69"/>
      <c r="K481" s="69"/>
      <c r="L481" s="74"/>
      <c r="M481" s="74"/>
      <c r="N481" s="69"/>
      <c r="O481" s="75"/>
      <c r="P481" s="75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5.75" customHeight="1">
      <c r="A482" s="68"/>
      <c r="B482" s="69"/>
      <c r="C482" s="72"/>
      <c r="D482" s="71"/>
      <c r="E482" s="72"/>
      <c r="F482" s="71"/>
      <c r="G482" s="69"/>
      <c r="H482" s="73"/>
      <c r="I482" s="69"/>
      <c r="J482" s="69"/>
      <c r="K482" s="69"/>
      <c r="L482" s="74"/>
      <c r="M482" s="74"/>
      <c r="N482" s="69"/>
      <c r="O482" s="75"/>
      <c r="P482" s="75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5.75" customHeight="1">
      <c r="A483" s="68"/>
      <c r="B483" s="69"/>
      <c r="C483" s="72"/>
      <c r="D483" s="71"/>
      <c r="E483" s="72"/>
      <c r="F483" s="71"/>
      <c r="G483" s="69"/>
      <c r="H483" s="73"/>
      <c r="I483" s="69"/>
      <c r="J483" s="69"/>
      <c r="K483" s="69"/>
      <c r="L483" s="74"/>
      <c r="M483" s="74"/>
      <c r="N483" s="69"/>
      <c r="O483" s="75"/>
      <c r="P483" s="75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5.75" customHeight="1">
      <c r="A484" s="68"/>
      <c r="B484" s="69"/>
      <c r="C484" s="72"/>
      <c r="D484" s="71"/>
      <c r="E484" s="72"/>
      <c r="F484" s="71"/>
      <c r="G484" s="69"/>
      <c r="H484" s="73"/>
      <c r="I484" s="69"/>
      <c r="J484" s="69"/>
      <c r="K484" s="69"/>
      <c r="L484" s="74"/>
      <c r="M484" s="74"/>
      <c r="N484" s="69"/>
      <c r="O484" s="75"/>
      <c r="P484" s="75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5.75" customHeight="1">
      <c r="A485" s="68"/>
      <c r="B485" s="69"/>
      <c r="C485" s="72"/>
      <c r="D485" s="71"/>
      <c r="E485" s="72"/>
      <c r="F485" s="71"/>
      <c r="G485" s="69"/>
      <c r="H485" s="73"/>
      <c r="I485" s="69"/>
      <c r="J485" s="69"/>
      <c r="K485" s="69"/>
      <c r="L485" s="74"/>
      <c r="M485" s="74"/>
      <c r="N485" s="69"/>
      <c r="O485" s="75"/>
      <c r="P485" s="75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5.75" customHeight="1">
      <c r="A486" s="68"/>
      <c r="B486" s="69"/>
      <c r="C486" s="72"/>
      <c r="D486" s="71"/>
      <c r="E486" s="72"/>
      <c r="F486" s="71"/>
      <c r="G486" s="69"/>
      <c r="H486" s="73"/>
      <c r="I486" s="69"/>
      <c r="J486" s="69"/>
      <c r="K486" s="69"/>
      <c r="L486" s="74"/>
      <c r="M486" s="74"/>
      <c r="N486" s="69"/>
      <c r="O486" s="75"/>
      <c r="P486" s="75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5.75" customHeight="1">
      <c r="A487" s="68"/>
      <c r="B487" s="69"/>
      <c r="C487" s="72"/>
      <c r="D487" s="71"/>
      <c r="E487" s="72"/>
      <c r="F487" s="71"/>
      <c r="G487" s="69"/>
      <c r="H487" s="73"/>
      <c r="I487" s="69"/>
      <c r="J487" s="69"/>
      <c r="K487" s="69"/>
      <c r="L487" s="74"/>
      <c r="M487" s="74"/>
      <c r="N487" s="69"/>
      <c r="O487" s="75"/>
      <c r="P487" s="75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5.75" customHeight="1">
      <c r="A488" s="68"/>
      <c r="B488" s="69"/>
      <c r="C488" s="72"/>
      <c r="D488" s="71"/>
      <c r="E488" s="72"/>
      <c r="F488" s="71"/>
      <c r="G488" s="69"/>
      <c r="H488" s="73"/>
      <c r="I488" s="69"/>
      <c r="J488" s="69"/>
      <c r="K488" s="69"/>
      <c r="L488" s="74"/>
      <c r="M488" s="74"/>
      <c r="N488" s="69"/>
      <c r="O488" s="75"/>
      <c r="P488" s="75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5.75" customHeight="1">
      <c r="A489" s="68"/>
      <c r="B489" s="69"/>
      <c r="C489" s="72"/>
      <c r="D489" s="71"/>
      <c r="E489" s="72"/>
      <c r="F489" s="71"/>
      <c r="G489" s="69"/>
      <c r="H489" s="73"/>
      <c r="I489" s="69"/>
      <c r="J489" s="69"/>
      <c r="K489" s="69"/>
      <c r="L489" s="74"/>
      <c r="M489" s="74"/>
      <c r="N489" s="69"/>
      <c r="O489" s="75"/>
      <c r="P489" s="75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5.75" customHeight="1">
      <c r="A490" s="68"/>
      <c r="B490" s="69"/>
      <c r="C490" s="72"/>
      <c r="D490" s="71"/>
      <c r="E490" s="72"/>
      <c r="F490" s="71"/>
      <c r="G490" s="69"/>
      <c r="H490" s="73"/>
      <c r="I490" s="69"/>
      <c r="J490" s="69"/>
      <c r="K490" s="69"/>
      <c r="L490" s="74"/>
      <c r="M490" s="74"/>
      <c r="N490" s="69"/>
      <c r="O490" s="75"/>
      <c r="P490" s="75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5.75" customHeight="1">
      <c r="A491" s="68"/>
      <c r="B491" s="69"/>
      <c r="C491" s="72"/>
      <c r="D491" s="71"/>
      <c r="E491" s="72"/>
      <c r="F491" s="71"/>
      <c r="G491" s="69"/>
      <c r="H491" s="73"/>
      <c r="I491" s="69"/>
      <c r="J491" s="69"/>
      <c r="K491" s="69"/>
      <c r="L491" s="74"/>
      <c r="M491" s="74"/>
      <c r="N491" s="69"/>
      <c r="O491" s="75"/>
      <c r="P491" s="75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5.75" customHeight="1">
      <c r="A492" s="68"/>
      <c r="B492" s="69"/>
      <c r="C492" s="72"/>
      <c r="D492" s="71"/>
      <c r="E492" s="72"/>
      <c r="F492" s="71"/>
      <c r="G492" s="69"/>
      <c r="H492" s="73"/>
      <c r="I492" s="69"/>
      <c r="J492" s="69"/>
      <c r="K492" s="69"/>
      <c r="L492" s="74"/>
      <c r="M492" s="74"/>
      <c r="N492" s="69"/>
      <c r="O492" s="75"/>
      <c r="P492" s="75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5.75" customHeight="1">
      <c r="A493" s="68"/>
      <c r="B493" s="69"/>
      <c r="C493" s="72"/>
      <c r="D493" s="71"/>
      <c r="E493" s="72"/>
      <c r="F493" s="71"/>
      <c r="G493" s="69"/>
      <c r="H493" s="73"/>
      <c r="I493" s="69"/>
      <c r="J493" s="69"/>
      <c r="K493" s="69"/>
      <c r="L493" s="74"/>
      <c r="M493" s="74"/>
      <c r="N493" s="69"/>
      <c r="O493" s="75"/>
      <c r="P493" s="75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5.75" customHeight="1">
      <c r="A494" s="68"/>
      <c r="B494" s="69"/>
      <c r="C494" s="72"/>
      <c r="D494" s="71"/>
      <c r="E494" s="72"/>
      <c r="F494" s="71"/>
      <c r="G494" s="69"/>
      <c r="H494" s="73"/>
      <c r="I494" s="69"/>
      <c r="J494" s="69"/>
      <c r="K494" s="69"/>
      <c r="L494" s="74"/>
      <c r="M494" s="74"/>
      <c r="N494" s="69"/>
      <c r="O494" s="75"/>
      <c r="P494" s="75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5.75" customHeight="1">
      <c r="A495" s="68"/>
      <c r="B495" s="69"/>
      <c r="C495" s="72"/>
      <c r="D495" s="71"/>
      <c r="E495" s="72"/>
      <c r="F495" s="71"/>
      <c r="G495" s="69"/>
      <c r="H495" s="73"/>
      <c r="I495" s="69"/>
      <c r="J495" s="69"/>
      <c r="K495" s="69"/>
      <c r="L495" s="74"/>
      <c r="M495" s="74"/>
      <c r="N495" s="69"/>
      <c r="O495" s="75"/>
      <c r="P495" s="75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5.75" customHeight="1">
      <c r="A496" s="68"/>
      <c r="B496" s="69"/>
      <c r="C496" s="72"/>
      <c r="D496" s="71"/>
      <c r="E496" s="72"/>
      <c r="F496" s="71"/>
      <c r="G496" s="69"/>
      <c r="H496" s="73"/>
      <c r="I496" s="69"/>
      <c r="J496" s="69"/>
      <c r="K496" s="69"/>
      <c r="L496" s="74"/>
      <c r="M496" s="74"/>
      <c r="N496" s="69"/>
      <c r="O496" s="75"/>
      <c r="P496" s="75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5.75" customHeight="1">
      <c r="A497" s="68"/>
      <c r="B497" s="69"/>
      <c r="C497" s="72"/>
      <c r="D497" s="71"/>
      <c r="E497" s="72"/>
      <c r="F497" s="71"/>
      <c r="G497" s="69"/>
      <c r="H497" s="73"/>
      <c r="I497" s="69"/>
      <c r="J497" s="69"/>
      <c r="K497" s="69"/>
      <c r="L497" s="74"/>
      <c r="M497" s="74"/>
      <c r="N497" s="69"/>
      <c r="O497" s="75"/>
      <c r="P497" s="75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5.75" customHeight="1">
      <c r="A498" s="68"/>
      <c r="B498" s="69"/>
      <c r="C498" s="72"/>
      <c r="D498" s="71"/>
      <c r="E498" s="72"/>
      <c r="F498" s="71"/>
      <c r="G498" s="69"/>
      <c r="H498" s="73"/>
      <c r="I498" s="69"/>
      <c r="J498" s="69"/>
      <c r="K498" s="69"/>
      <c r="L498" s="74"/>
      <c r="M498" s="74"/>
      <c r="N498" s="69"/>
      <c r="O498" s="75"/>
      <c r="P498" s="75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5.75" customHeight="1">
      <c r="A499" s="68"/>
      <c r="B499" s="69"/>
      <c r="C499" s="72"/>
      <c r="D499" s="71"/>
      <c r="E499" s="72"/>
      <c r="F499" s="71"/>
      <c r="G499" s="69"/>
      <c r="H499" s="73"/>
      <c r="I499" s="69"/>
      <c r="J499" s="69"/>
      <c r="K499" s="69"/>
      <c r="L499" s="74"/>
      <c r="M499" s="74"/>
      <c r="N499" s="69"/>
      <c r="O499" s="75"/>
      <c r="P499" s="75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5.75" customHeight="1">
      <c r="A500" s="68"/>
      <c r="B500" s="69"/>
      <c r="C500" s="72"/>
      <c r="D500" s="71"/>
      <c r="E500" s="72"/>
      <c r="F500" s="71"/>
      <c r="G500" s="69"/>
      <c r="H500" s="73"/>
      <c r="I500" s="69"/>
      <c r="J500" s="69"/>
      <c r="K500" s="69"/>
      <c r="L500" s="74"/>
      <c r="M500" s="74"/>
      <c r="N500" s="69"/>
      <c r="O500" s="75"/>
      <c r="P500" s="75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5.75" customHeight="1">
      <c r="A501" s="68"/>
      <c r="B501" s="69"/>
      <c r="C501" s="72"/>
      <c r="D501" s="71"/>
      <c r="E501" s="72"/>
      <c r="F501" s="71"/>
      <c r="G501" s="69"/>
      <c r="H501" s="73"/>
      <c r="I501" s="69"/>
      <c r="J501" s="69"/>
      <c r="K501" s="69"/>
      <c r="L501" s="74"/>
      <c r="M501" s="74"/>
      <c r="N501" s="69"/>
      <c r="O501" s="75"/>
      <c r="P501" s="75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5.75" customHeight="1">
      <c r="A502" s="68"/>
      <c r="B502" s="69"/>
      <c r="C502" s="72"/>
      <c r="D502" s="71"/>
      <c r="E502" s="72"/>
      <c r="F502" s="71"/>
      <c r="G502" s="69"/>
      <c r="H502" s="73"/>
      <c r="I502" s="69"/>
      <c r="J502" s="69"/>
      <c r="K502" s="69"/>
      <c r="L502" s="74"/>
      <c r="M502" s="74"/>
      <c r="N502" s="69"/>
      <c r="O502" s="75"/>
      <c r="P502" s="75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5.75" customHeight="1">
      <c r="A503" s="68"/>
      <c r="B503" s="69"/>
      <c r="C503" s="72"/>
      <c r="D503" s="71"/>
      <c r="E503" s="72"/>
      <c r="F503" s="71"/>
      <c r="G503" s="69"/>
      <c r="H503" s="73"/>
      <c r="I503" s="69"/>
      <c r="J503" s="69"/>
      <c r="K503" s="69"/>
      <c r="L503" s="74"/>
      <c r="M503" s="74"/>
      <c r="N503" s="69"/>
      <c r="O503" s="75"/>
      <c r="P503" s="75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5.75" customHeight="1">
      <c r="A504" s="68"/>
      <c r="B504" s="69"/>
      <c r="C504" s="72"/>
      <c r="D504" s="71"/>
      <c r="E504" s="72"/>
      <c r="F504" s="71"/>
      <c r="G504" s="69"/>
      <c r="H504" s="73"/>
      <c r="I504" s="69"/>
      <c r="J504" s="69"/>
      <c r="K504" s="69"/>
      <c r="L504" s="74"/>
      <c r="M504" s="74"/>
      <c r="N504" s="69"/>
      <c r="O504" s="75"/>
      <c r="P504" s="75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5.75" customHeight="1">
      <c r="A505" s="68"/>
      <c r="B505" s="69"/>
      <c r="C505" s="72"/>
      <c r="D505" s="71"/>
      <c r="E505" s="72"/>
      <c r="F505" s="71"/>
      <c r="G505" s="69"/>
      <c r="H505" s="73"/>
      <c r="I505" s="69"/>
      <c r="J505" s="69"/>
      <c r="K505" s="69"/>
      <c r="L505" s="74"/>
      <c r="M505" s="74"/>
      <c r="N505" s="69"/>
      <c r="O505" s="75"/>
      <c r="P505" s="75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5.75" customHeight="1">
      <c r="A506" s="68"/>
      <c r="B506" s="69"/>
      <c r="C506" s="72"/>
      <c r="D506" s="71"/>
      <c r="E506" s="72"/>
      <c r="F506" s="71"/>
      <c r="G506" s="69"/>
      <c r="H506" s="73"/>
      <c r="I506" s="69"/>
      <c r="J506" s="69"/>
      <c r="K506" s="69"/>
      <c r="L506" s="74"/>
      <c r="M506" s="74"/>
      <c r="N506" s="69"/>
      <c r="O506" s="75"/>
      <c r="P506" s="75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5.75" customHeight="1">
      <c r="A507" s="68"/>
      <c r="B507" s="69"/>
      <c r="C507" s="72"/>
      <c r="D507" s="71"/>
      <c r="E507" s="72"/>
      <c r="F507" s="71"/>
      <c r="G507" s="69"/>
      <c r="H507" s="73"/>
      <c r="I507" s="69"/>
      <c r="J507" s="69"/>
      <c r="K507" s="69"/>
      <c r="L507" s="74"/>
      <c r="M507" s="74"/>
      <c r="N507" s="69"/>
      <c r="O507" s="75"/>
      <c r="P507" s="75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5.75" customHeight="1">
      <c r="A508" s="68"/>
      <c r="B508" s="69"/>
      <c r="C508" s="72"/>
      <c r="D508" s="71"/>
      <c r="E508" s="72"/>
      <c r="F508" s="71"/>
      <c r="G508" s="69"/>
      <c r="H508" s="73"/>
      <c r="I508" s="69"/>
      <c r="J508" s="69"/>
      <c r="K508" s="69"/>
      <c r="L508" s="74"/>
      <c r="M508" s="74"/>
      <c r="N508" s="69"/>
      <c r="O508" s="75"/>
      <c r="P508" s="75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5.75" customHeight="1">
      <c r="A509" s="68"/>
      <c r="B509" s="69"/>
      <c r="C509" s="72"/>
      <c r="D509" s="71"/>
      <c r="E509" s="72"/>
      <c r="F509" s="71"/>
      <c r="G509" s="69"/>
      <c r="H509" s="73"/>
      <c r="I509" s="69"/>
      <c r="J509" s="69"/>
      <c r="K509" s="69"/>
      <c r="L509" s="74"/>
      <c r="M509" s="74"/>
      <c r="N509" s="69"/>
      <c r="O509" s="75"/>
      <c r="P509" s="75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5.75" customHeight="1">
      <c r="A510" s="68"/>
      <c r="B510" s="69"/>
      <c r="C510" s="72"/>
      <c r="D510" s="71"/>
      <c r="E510" s="72"/>
      <c r="F510" s="71"/>
      <c r="G510" s="69"/>
      <c r="H510" s="73"/>
      <c r="I510" s="69"/>
      <c r="J510" s="69"/>
      <c r="K510" s="69"/>
      <c r="L510" s="74"/>
      <c r="M510" s="74"/>
      <c r="N510" s="69"/>
      <c r="O510" s="75"/>
      <c r="P510" s="75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5.75" customHeight="1">
      <c r="A511" s="68"/>
      <c r="B511" s="69"/>
      <c r="C511" s="72"/>
      <c r="D511" s="71"/>
      <c r="E511" s="72"/>
      <c r="F511" s="71"/>
      <c r="G511" s="69"/>
      <c r="H511" s="73"/>
      <c r="I511" s="69"/>
      <c r="J511" s="69"/>
      <c r="K511" s="69"/>
      <c r="L511" s="74"/>
      <c r="M511" s="74"/>
      <c r="N511" s="69"/>
      <c r="O511" s="75"/>
      <c r="P511" s="75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5.75" customHeight="1">
      <c r="A512" s="68"/>
      <c r="B512" s="69"/>
      <c r="C512" s="72"/>
      <c r="D512" s="71"/>
      <c r="E512" s="72"/>
      <c r="F512" s="71"/>
      <c r="G512" s="69"/>
      <c r="H512" s="73"/>
      <c r="I512" s="69"/>
      <c r="J512" s="69"/>
      <c r="K512" s="69"/>
      <c r="L512" s="74"/>
      <c r="M512" s="74"/>
      <c r="N512" s="69"/>
      <c r="O512" s="75"/>
      <c r="P512" s="75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5.75" customHeight="1">
      <c r="A513" s="68"/>
      <c r="B513" s="69"/>
      <c r="C513" s="72"/>
      <c r="D513" s="71"/>
      <c r="E513" s="72"/>
      <c r="F513" s="71"/>
      <c r="G513" s="69"/>
      <c r="H513" s="73"/>
      <c r="I513" s="69"/>
      <c r="J513" s="69"/>
      <c r="K513" s="69"/>
      <c r="L513" s="74"/>
      <c r="M513" s="74"/>
      <c r="N513" s="69"/>
      <c r="O513" s="75"/>
      <c r="P513" s="75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5.75" customHeight="1">
      <c r="A514" s="68"/>
      <c r="B514" s="69"/>
      <c r="C514" s="72"/>
      <c r="D514" s="71"/>
      <c r="E514" s="72"/>
      <c r="F514" s="71"/>
      <c r="G514" s="69"/>
      <c r="H514" s="73"/>
      <c r="I514" s="69"/>
      <c r="J514" s="69"/>
      <c r="K514" s="69"/>
      <c r="L514" s="74"/>
      <c r="M514" s="74"/>
      <c r="N514" s="69"/>
      <c r="O514" s="75"/>
      <c r="P514" s="75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5.75" customHeight="1">
      <c r="A515" s="68"/>
      <c r="B515" s="69"/>
      <c r="C515" s="72"/>
      <c r="D515" s="71"/>
      <c r="E515" s="72"/>
      <c r="F515" s="71"/>
      <c r="G515" s="69"/>
      <c r="H515" s="73"/>
      <c r="I515" s="69"/>
      <c r="J515" s="69"/>
      <c r="K515" s="69"/>
      <c r="L515" s="74"/>
      <c r="M515" s="74"/>
      <c r="N515" s="69"/>
      <c r="O515" s="75"/>
      <c r="P515" s="75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5.75" customHeight="1">
      <c r="A516" s="68"/>
      <c r="B516" s="69"/>
      <c r="C516" s="72"/>
      <c r="D516" s="71"/>
      <c r="E516" s="72"/>
      <c r="F516" s="71"/>
      <c r="G516" s="69"/>
      <c r="H516" s="73"/>
      <c r="I516" s="69"/>
      <c r="J516" s="69"/>
      <c r="K516" s="69"/>
      <c r="L516" s="74"/>
      <c r="M516" s="74"/>
      <c r="N516" s="69"/>
      <c r="O516" s="75"/>
      <c r="P516" s="75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5.75" customHeight="1">
      <c r="A517" s="68"/>
      <c r="B517" s="69"/>
      <c r="C517" s="72"/>
      <c r="D517" s="71"/>
      <c r="E517" s="72"/>
      <c r="F517" s="71"/>
      <c r="G517" s="69"/>
      <c r="H517" s="73"/>
      <c r="I517" s="69"/>
      <c r="J517" s="69"/>
      <c r="K517" s="69"/>
      <c r="L517" s="74"/>
      <c r="M517" s="74"/>
      <c r="N517" s="69"/>
      <c r="O517" s="75"/>
      <c r="P517" s="75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5.75" customHeight="1">
      <c r="A518" s="68"/>
      <c r="B518" s="69"/>
      <c r="C518" s="72"/>
      <c r="D518" s="71"/>
      <c r="E518" s="72"/>
      <c r="F518" s="71"/>
      <c r="G518" s="69"/>
      <c r="H518" s="73"/>
      <c r="I518" s="69"/>
      <c r="J518" s="69"/>
      <c r="K518" s="69"/>
      <c r="L518" s="74"/>
      <c r="M518" s="74"/>
      <c r="N518" s="69"/>
      <c r="O518" s="75"/>
      <c r="P518" s="75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5.75" customHeight="1">
      <c r="A519" s="68"/>
      <c r="B519" s="69"/>
      <c r="C519" s="72"/>
      <c r="D519" s="71"/>
      <c r="E519" s="72"/>
      <c r="F519" s="71"/>
      <c r="G519" s="69"/>
      <c r="H519" s="73"/>
      <c r="I519" s="69"/>
      <c r="J519" s="69"/>
      <c r="K519" s="69"/>
      <c r="L519" s="74"/>
      <c r="M519" s="74"/>
      <c r="N519" s="69"/>
      <c r="O519" s="75"/>
      <c r="P519" s="75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5.75" customHeight="1">
      <c r="A520" s="68"/>
      <c r="B520" s="69"/>
      <c r="C520" s="72"/>
      <c r="D520" s="71"/>
      <c r="E520" s="72"/>
      <c r="F520" s="71"/>
      <c r="G520" s="69"/>
      <c r="H520" s="73"/>
      <c r="I520" s="69"/>
      <c r="J520" s="69"/>
      <c r="K520" s="69"/>
      <c r="L520" s="74"/>
      <c r="M520" s="74"/>
      <c r="N520" s="69"/>
      <c r="O520" s="75"/>
      <c r="P520" s="75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5.75" customHeight="1">
      <c r="A521" s="68"/>
      <c r="B521" s="69"/>
      <c r="C521" s="72"/>
      <c r="D521" s="71"/>
      <c r="E521" s="72"/>
      <c r="F521" s="71"/>
      <c r="G521" s="69"/>
      <c r="H521" s="73"/>
      <c r="I521" s="69"/>
      <c r="J521" s="69"/>
      <c r="K521" s="69"/>
      <c r="L521" s="74"/>
      <c r="M521" s="74"/>
      <c r="N521" s="69"/>
      <c r="O521" s="75"/>
      <c r="P521" s="75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5.75" customHeight="1">
      <c r="A522" s="68"/>
      <c r="B522" s="69"/>
      <c r="C522" s="72"/>
      <c r="D522" s="71"/>
      <c r="E522" s="72"/>
      <c r="F522" s="71"/>
      <c r="G522" s="69"/>
      <c r="H522" s="73"/>
      <c r="I522" s="69"/>
      <c r="J522" s="69"/>
      <c r="K522" s="69"/>
      <c r="L522" s="74"/>
      <c r="M522" s="74"/>
      <c r="N522" s="69"/>
      <c r="O522" s="75"/>
      <c r="P522" s="75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5.75" customHeight="1">
      <c r="A523" s="68"/>
      <c r="B523" s="69"/>
      <c r="C523" s="72"/>
      <c r="D523" s="71"/>
      <c r="E523" s="72"/>
      <c r="F523" s="71"/>
      <c r="G523" s="69"/>
      <c r="H523" s="73"/>
      <c r="I523" s="69"/>
      <c r="J523" s="69"/>
      <c r="K523" s="69"/>
      <c r="L523" s="74"/>
      <c r="M523" s="74"/>
      <c r="N523" s="69"/>
      <c r="O523" s="75"/>
      <c r="P523" s="75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5.75" customHeight="1">
      <c r="A524" s="68"/>
      <c r="B524" s="69"/>
      <c r="C524" s="72"/>
      <c r="D524" s="71"/>
      <c r="E524" s="72"/>
      <c r="F524" s="71"/>
      <c r="G524" s="69"/>
      <c r="H524" s="73"/>
      <c r="I524" s="69"/>
      <c r="J524" s="69"/>
      <c r="K524" s="69"/>
      <c r="L524" s="74"/>
      <c r="M524" s="74"/>
      <c r="N524" s="69"/>
      <c r="O524" s="75"/>
      <c r="P524" s="75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5.75" customHeight="1">
      <c r="A525" s="68"/>
      <c r="B525" s="69"/>
      <c r="C525" s="72"/>
      <c r="D525" s="71"/>
      <c r="E525" s="72"/>
      <c r="F525" s="71"/>
      <c r="G525" s="69"/>
      <c r="H525" s="73"/>
      <c r="I525" s="69"/>
      <c r="J525" s="69"/>
      <c r="K525" s="69"/>
      <c r="L525" s="74"/>
      <c r="M525" s="74"/>
      <c r="N525" s="69"/>
      <c r="O525" s="75"/>
      <c r="P525" s="75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5.75" customHeight="1">
      <c r="A526" s="68"/>
      <c r="B526" s="69"/>
      <c r="C526" s="72"/>
      <c r="D526" s="71"/>
      <c r="E526" s="72"/>
      <c r="F526" s="71"/>
      <c r="G526" s="69"/>
      <c r="H526" s="73"/>
      <c r="I526" s="69"/>
      <c r="J526" s="69"/>
      <c r="K526" s="69"/>
      <c r="L526" s="74"/>
      <c r="M526" s="74"/>
      <c r="N526" s="69"/>
      <c r="O526" s="75"/>
      <c r="P526" s="75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5.75" customHeight="1">
      <c r="A527" s="68"/>
      <c r="B527" s="69"/>
      <c r="C527" s="72"/>
      <c r="D527" s="71"/>
      <c r="E527" s="72"/>
      <c r="F527" s="71"/>
      <c r="G527" s="69"/>
      <c r="H527" s="73"/>
      <c r="I527" s="69"/>
      <c r="J527" s="69"/>
      <c r="K527" s="69"/>
      <c r="L527" s="74"/>
      <c r="M527" s="74"/>
      <c r="N527" s="69"/>
      <c r="O527" s="75"/>
      <c r="P527" s="75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5.75" customHeight="1">
      <c r="A528" s="68"/>
      <c r="B528" s="69"/>
      <c r="C528" s="72"/>
      <c r="D528" s="71"/>
      <c r="E528" s="72"/>
      <c r="F528" s="71"/>
      <c r="G528" s="69"/>
      <c r="H528" s="73"/>
      <c r="I528" s="69"/>
      <c r="J528" s="69"/>
      <c r="K528" s="69"/>
      <c r="L528" s="74"/>
      <c r="M528" s="74"/>
      <c r="N528" s="69"/>
      <c r="O528" s="75"/>
      <c r="P528" s="75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5.75" customHeight="1">
      <c r="A529" s="68"/>
      <c r="B529" s="69"/>
      <c r="C529" s="72"/>
      <c r="D529" s="71"/>
      <c r="E529" s="72"/>
      <c r="F529" s="71"/>
      <c r="G529" s="69"/>
      <c r="H529" s="73"/>
      <c r="I529" s="69"/>
      <c r="J529" s="69"/>
      <c r="K529" s="69"/>
      <c r="L529" s="74"/>
      <c r="M529" s="74"/>
      <c r="N529" s="69"/>
      <c r="O529" s="75"/>
      <c r="P529" s="75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5.75" customHeight="1">
      <c r="A530" s="68"/>
      <c r="B530" s="69"/>
      <c r="C530" s="72"/>
      <c r="D530" s="71"/>
      <c r="E530" s="72"/>
      <c r="F530" s="71"/>
      <c r="G530" s="69"/>
      <c r="H530" s="73"/>
      <c r="I530" s="69"/>
      <c r="J530" s="69"/>
      <c r="K530" s="69"/>
      <c r="L530" s="74"/>
      <c r="M530" s="74"/>
      <c r="N530" s="69"/>
      <c r="O530" s="75"/>
      <c r="P530" s="75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5.75" customHeight="1">
      <c r="A531" s="68"/>
      <c r="B531" s="69"/>
      <c r="C531" s="72"/>
      <c r="D531" s="71"/>
      <c r="E531" s="72"/>
      <c r="F531" s="71"/>
      <c r="G531" s="69"/>
      <c r="H531" s="73"/>
      <c r="I531" s="69"/>
      <c r="J531" s="69"/>
      <c r="K531" s="69"/>
      <c r="L531" s="74"/>
      <c r="M531" s="74"/>
      <c r="N531" s="69"/>
      <c r="O531" s="75"/>
      <c r="P531" s="75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5.75" customHeight="1">
      <c r="A532" s="68"/>
      <c r="B532" s="69"/>
      <c r="C532" s="72"/>
      <c r="D532" s="71"/>
      <c r="E532" s="72"/>
      <c r="F532" s="71"/>
      <c r="G532" s="69"/>
      <c r="H532" s="73"/>
      <c r="I532" s="69"/>
      <c r="J532" s="69"/>
      <c r="K532" s="69"/>
      <c r="L532" s="74"/>
      <c r="M532" s="74"/>
      <c r="N532" s="69"/>
      <c r="O532" s="75"/>
      <c r="P532" s="75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5.75" customHeight="1">
      <c r="A533" s="68"/>
      <c r="B533" s="69"/>
      <c r="C533" s="72"/>
      <c r="D533" s="71"/>
      <c r="E533" s="72"/>
      <c r="F533" s="71"/>
      <c r="G533" s="69"/>
      <c r="H533" s="73"/>
      <c r="I533" s="69"/>
      <c r="J533" s="69"/>
      <c r="K533" s="69"/>
      <c r="L533" s="74"/>
      <c r="M533" s="74"/>
      <c r="N533" s="69"/>
      <c r="O533" s="75"/>
      <c r="P533" s="75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5.75" customHeight="1">
      <c r="A534" s="68"/>
      <c r="B534" s="69"/>
      <c r="C534" s="72"/>
      <c r="D534" s="71"/>
      <c r="E534" s="72"/>
      <c r="F534" s="71"/>
      <c r="G534" s="69"/>
      <c r="H534" s="73"/>
      <c r="I534" s="69"/>
      <c r="J534" s="69"/>
      <c r="K534" s="69"/>
      <c r="L534" s="74"/>
      <c r="M534" s="74"/>
      <c r="N534" s="69"/>
      <c r="O534" s="75"/>
      <c r="P534" s="75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5.75" customHeight="1">
      <c r="A535" s="68"/>
      <c r="B535" s="69"/>
      <c r="C535" s="72"/>
      <c r="D535" s="71"/>
      <c r="E535" s="72"/>
      <c r="F535" s="71"/>
      <c r="G535" s="69"/>
      <c r="H535" s="73"/>
      <c r="I535" s="69"/>
      <c r="J535" s="69"/>
      <c r="K535" s="69"/>
      <c r="L535" s="74"/>
      <c r="M535" s="74"/>
      <c r="N535" s="69"/>
      <c r="O535" s="75"/>
      <c r="P535" s="75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5.75" customHeight="1">
      <c r="A536" s="68"/>
      <c r="B536" s="69"/>
      <c r="C536" s="72"/>
      <c r="D536" s="71"/>
      <c r="E536" s="72"/>
      <c r="F536" s="71"/>
      <c r="G536" s="69"/>
      <c r="H536" s="73"/>
      <c r="I536" s="69"/>
      <c r="J536" s="69"/>
      <c r="K536" s="69"/>
      <c r="L536" s="74"/>
      <c r="M536" s="74"/>
      <c r="N536" s="69"/>
      <c r="O536" s="75"/>
      <c r="P536" s="75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5.75" customHeight="1">
      <c r="A537" s="68"/>
      <c r="B537" s="69"/>
      <c r="C537" s="72"/>
      <c r="D537" s="71"/>
      <c r="E537" s="72"/>
      <c r="F537" s="71"/>
      <c r="G537" s="69"/>
      <c r="H537" s="73"/>
      <c r="I537" s="69"/>
      <c r="J537" s="69"/>
      <c r="K537" s="69"/>
      <c r="L537" s="74"/>
      <c r="M537" s="74"/>
      <c r="N537" s="69"/>
      <c r="O537" s="75"/>
      <c r="P537" s="75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5.75" customHeight="1">
      <c r="A538" s="68"/>
      <c r="B538" s="69"/>
      <c r="C538" s="72"/>
      <c r="D538" s="71"/>
      <c r="E538" s="72"/>
      <c r="F538" s="71"/>
      <c r="G538" s="69"/>
      <c r="H538" s="73"/>
      <c r="I538" s="69"/>
      <c r="J538" s="69"/>
      <c r="K538" s="69"/>
      <c r="L538" s="74"/>
      <c r="M538" s="74"/>
      <c r="N538" s="69"/>
      <c r="O538" s="75"/>
      <c r="P538" s="75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5.75" customHeight="1">
      <c r="A539" s="68"/>
      <c r="B539" s="69"/>
      <c r="C539" s="72"/>
      <c r="D539" s="71"/>
      <c r="E539" s="72"/>
      <c r="F539" s="71"/>
      <c r="G539" s="69"/>
      <c r="H539" s="73"/>
      <c r="I539" s="69"/>
      <c r="J539" s="69"/>
      <c r="K539" s="69"/>
      <c r="L539" s="74"/>
      <c r="M539" s="74"/>
      <c r="N539" s="69"/>
      <c r="O539" s="75"/>
      <c r="P539" s="75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5.75" customHeight="1">
      <c r="A540" s="68"/>
      <c r="B540" s="69"/>
      <c r="C540" s="72"/>
      <c r="D540" s="71"/>
      <c r="E540" s="72"/>
      <c r="F540" s="71"/>
      <c r="G540" s="69"/>
      <c r="H540" s="73"/>
      <c r="I540" s="69"/>
      <c r="J540" s="69"/>
      <c r="K540" s="69"/>
      <c r="L540" s="74"/>
      <c r="M540" s="74"/>
      <c r="N540" s="69"/>
      <c r="O540" s="75"/>
      <c r="P540" s="75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5.75" customHeight="1">
      <c r="A541" s="68"/>
      <c r="B541" s="69"/>
      <c r="C541" s="72"/>
      <c r="D541" s="71"/>
      <c r="E541" s="72"/>
      <c r="F541" s="71"/>
      <c r="G541" s="69"/>
      <c r="H541" s="73"/>
      <c r="I541" s="69"/>
      <c r="J541" s="69"/>
      <c r="K541" s="69"/>
      <c r="L541" s="74"/>
      <c r="M541" s="74"/>
      <c r="N541" s="69"/>
      <c r="O541" s="75"/>
      <c r="P541" s="75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5.75" customHeight="1">
      <c r="A542" s="68"/>
      <c r="B542" s="69"/>
      <c r="C542" s="72"/>
      <c r="D542" s="71"/>
      <c r="E542" s="72"/>
      <c r="F542" s="71"/>
      <c r="G542" s="69"/>
      <c r="H542" s="73"/>
      <c r="I542" s="69"/>
      <c r="J542" s="69"/>
      <c r="K542" s="69"/>
      <c r="L542" s="74"/>
      <c r="M542" s="74"/>
      <c r="N542" s="69"/>
      <c r="O542" s="75"/>
      <c r="P542" s="75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5.75" customHeight="1">
      <c r="A543" s="68"/>
      <c r="B543" s="69"/>
      <c r="C543" s="72"/>
      <c r="D543" s="71"/>
      <c r="E543" s="72"/>
      <c r="F543" s="71"/>
      <c r="G543" s="69"/>
      <c r="H543" s="73"/>
      <c r="I543" s="69"/>
      <c r="J543" s="69"/>
      <c r="K543" s="69"/>
      <c r="L543" s="74"/>
      <c r="M543" s="74"/>
      <c r="N543" s="69"/>
      <c r="O543" s="75"/>
      <c r="P543" s="75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5.75" customHeight="1">
      <c r="A544" s="68"/>
      <c r="B544" s="69"/>
      <c r="C544" s="72"/>
      <c r="D544" s="71"/>
      <c r="E544" s="72"/>
      <c r="F544" s="71"/>
      <c r="G544" s="69"/>
      <c r="H544" s="73"/>
      <c r="I544" s="69"/>
      <c r="J544" s="69"/>
      <c r="K544" s="69"/>
      <c r="L544" s="74"/>
      <c r="M544" s="74"/>
      <c r="N544" s="69"/>
      <c r="O544" s="75"/>
      <c r="P544" s="75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5.75" customHeight="1">
      <c r="A545" s="68"/>
      <c r="B545" s="69"/>
      <c r="C545" s="72"/>
      <c r="D545" s="71"/>
      <c r="E545" s="72"/>
      <c r="F545" s="71"/>
      <c r="G545" s="69"/>
      <c r="H545" s="73"/>
      <c r="I545" s="69"/>
      <c r="J545" s="69"/>
      <c r="K545" s="69"/>
      <c r="L545" s="74"/>
      <c r="M545" s="74"/>
      <c r="N545" s="69"/>
      <c r="O545" s="75"/>
      <c r="P545" s="75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5.75" customHeight="1">
      <c r="A546" s="68"/>
      <c r="B546" s="69"/>
      <c r="C546" s="72"/>
      <c r="D546" s="71"/>
      <c r="E546" s="72"/>
      <c r="F546" s="71"/>
      <c r="G546" s="69"/>
      <c r="H546" s="73"/>
      <c r="I546" s="69"/>
      <c r="J546" s="69"/>
      <c r="K546" s="69"/>
      <c r="L546" s="74"/>
      <c r="M546" s="74"/>
      <c r="N546" s="69"/>
      <c r="O546" s="75"/>
      <c r="P546" s="75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5.75" customHeight="1">
      <c r="A547" s="68"/>
      <c r="B547" s="69"/>
      <c r="C547" s="72"/>
      <c r="D547" s="71"/>
      <c r="E547" s="72"/>
      <c r="F547" s="71"/>
      <c r="G547" s="69"/>
      <c r="H547" s="73"/>
      <c r="I547" s="69"/>
      <c r="J547" s="69"/>
      <c r="K547" s="69"/>
      <c r="L547" s="74"/>
      <c r="M547" s="74"/>
      <c r="N547" s="69"/>
      <c r="O547" s="75"/>
      <c r="P547" s="75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5.75" customHeight="1">
      <c r="A548" s="68"/>
      <c r="B548" s="69"/>
      <c r="C548" s="72"/>
      <c r="D548" s="71"/>
      <c r="E548" s="72"/>
      <c r="F548" s="71"/>
      <c r="G548" s="69"/>
      <c r="H548" s="73"/>
      <c r="I548" s="69"/>
      <c r="J548" s="69"/>
      <c r="K548" s="69"/>
      <c r="L548" s="74"/>
      <c r="M548" s="74"/>
      <c r="N548" s="69"/>
      <c r="O548" s="75"/>
      <c r="P548" s="75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5.75" customHeight="1">
      <c r="A549" s="68"/>
      <c r="B549" s="69"/>
      <c r="C549" s="72"/>
      <c r="D549" s="71"/>
      <c r="E549" s="72"/>
      <c r="F549" s="71"/>
      <c r="G549" s="69"/>
      <c r="H549" s="73"/>
      <c r="I549" s="69"/>
      <c r="J549" s="69"/>
      <c r="K549" s="69"/>
      <c r="L549" s="74"/>
      <c r="M549" s="74"/>
      <c r="N549" s="69"/>
      <c r="O549" s="75"/>
      <c r="P549" s="75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5.75" customHeight="1">
      <c r="A550" s="68"/>
      <c r="B550" s="69"/>
      <c r="C550" s="72"/>
      <c r="D550" s="71"/>
      <c r="E550" s="72"/>
      <c r="F550" s="71"/>
      <c r="G550" s="69"/>
      <c r="H550" s="73"/>
      <c r="I550" s="69"/>
      <c r="J550" s="69"/>
      <c r="K550" s="69"/>
      <c r="L550" s="74"/>
      <c r="M550" s="74"/>
      <c r="N550" s="69"/>
      <c r="O550" s="75"/>
      <c r="P550" s="75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5.75" customHeight="1">
      <c r="A551" s="68"/>
      <c r="B551" s="69"/>
      <c r="C551" s="72"/>
      <c r="D551" s="71"/>
      <c r="E551" s="72"/>
      <c r="F551" s="71"/>
      <c r="G551" s="69"/>
      <c r="H551" s="73"/>
      <c r="I551" s="69"/>
      <c r="J551" s="69"/>
      <c r="K551" s="69"/>
      <c r="L551" s="74"/>
      <c r="M551" s="74"/>
      <c r="N551" s="69"/>
      <c r="O551" s="75"/>
      <c r="P551" s="75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5.75" customHeight="1">
      <c r="A552" s="68"/>
      <c r="B552" s="69"/>
      <c r="C552" s="72"/>
      <c r="D552" s="71"/>
      <c r="E552" s="72"/>
      <c r="F552" s="71"/>
      <c r="G552" s="69"/>
      <c r="H552" s="73"/>
      <c r="I552" s="69"/>
      <c r="J552" s="69"/>
      <c r="K552" s="69"/>
      <c r="L552" s="74"/>
      <c r="M552" s="74"/>
      <c r="N552" s="69"/>
      <c r="O552" s="75"/>
      <c r="P552" s="75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5.75" customHeight="1">
      <c r="A553" s="68"/>
      <c r="B553" s="69"/>
      <c r="C553" s="72"/>
      <c r="D553" s="71"/>
      <c r="E553" s="72"/>
      <c r="F553" s="71"/>
      <c r="G553" s="69"/>
      <c r="H553" s="73"/>
      <c r="I553" s="69"/>
      <c r="J553" s="69"/>
      <c r="K553" s="69"/>
      <c r="L553" s="74"/>
      <c r="M553" s="74"/>
      <c r="N553" s="69"/>
      <c r="O553" s="75"/>
      <c r="P553" s="75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5.75" customHeight="1">
      <c r="A554" s="68"/>
      <c r="B554" s="69"/>
      <c r="C554" s="72"/>
      <c r="D554" s="71"/>
      <c r="E554" s="72"/>
      <c r="F554" s="71"/>
      <c r="G554" s="69"/>
      <c r="H554" s="73"/>
      <c r="I554" s="69"/>
      <c r="J554" s="69"/>
      <c r="K554" s="69"/>
      <c r="L554" s="74"/>
      <c r="M554" s="74"/>
      <c r="N554" s="69"/>
      <c r="O554" s="75"/>
      <c r="P554" s="75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5.75" customHeight="1">
      <c r="A555" s="68"/>
      <c r="B555" s="69"/>
      <c r="C555" s="72"/>
      <c r="D555" s="71"/>
      <c r="E555" s="72"/>
      <c r="F555" s="71"/>
      <c r="G555" s="69"/>
      <c r="H555" s="73"/>
      <c r="I555" s="69"/>
      <c r="J555" s="69"/>
      <c r="K555" s="69"/>
      <c r="L555" s="74"/>
      <c r="M555" s="74"/>
      <c r="N555" s="69"/>
      <c r="O555" s="75"/>
      <c r="P555" s="75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5.75" customHeight="1">
      <c r="A556" s="68"/>
      <c r="B556" s="69"/>
      <c r="C556" s="72"/>
      <c r="D556" s="71"/>
      <c r="E556" s="72"/>
      <c r="F556" s="71"/>
      <c r="G556" s="69"/>
      <c r="H556" s="73"/>
      <c r="I556" s="69"/>
      <c r="J556" s="69"/>
      <c r="K556" s="69"/>
      <c r="L556" s="74"/>
      <c r="M556" s="74"/>
      <c r="N556" s="69"/>
      <c r="O556" s="75"/>
      <c r="P556" s="75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5.75" customHeight="1">
      <c r="A557" s="68"/>
      <c r="B557" s="69"/>
      <c r="C557" s="72"/>
      <c r="D557" s="71"/>
      <c r="E557" s="72"/>
      <c r="F557" s="71"/>
      <c r="G557" s="69"/>
      <c r="H557" s="73"/>
      <c r="I557" s="69"/>
      <c r="J557" s="69"/>
      <c r="K557" s="69"/>
      <c r="L557" s="74"/>
      <c r="M557" s="74"/>
      <c r="N557" s="69"/>
      <c r="O557" s="75"/>
      <c r="P557" s="75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5.75" customHeight="1">
      <c r="A558" s="68"/>
      <c r="B558" s="69"/>
      <c r="C558" s="72"/>
      <c r="D558" s="71"/>
      <c r="E558" s="72"/>
      <c r="F558" s="71"/>
      <c r="G558" s="69"/>
      <c r="H558" s="73"/>
      <c r="I558" s="69"/>
      <c r="J558" s="69"/>
      <c r="K558" s="69"/>
      <c r="L558" s="74"/>
      <c r="M558" s="74"/>
      <c r="N558" s="69"/>
      <c r="O558" s="75"/>
      <c r="P558" s="75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5.75" customHeight="1">
      <c r="A559" s="68"/>
      <c r="B559" s="69"/>
      <c r="C559" s="72"/>
      <c r="D559" s="71"/>
      <c r="E559" s="72"/>
      <c r="F559" s="71"/>
      <c r="G559" s="69"/>
      <c r="H559" s="73"/>
      <c r="I559" s="69"/>
      <c r="J559" s="69"/>
      <c r="K559" s="69"/>
      <c r="L559" s="74"/>
      <c r="M559" s="74"/>
      <c r="N559" s="69"/>
      <c r="O559" s="75"/>
      <c r="P559" s="75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5.75" customHeight="1">
      <c r="A560" s="68"/>
      <c r="B560" s="69"/>
      <c r="C560" s="72"/>
      <c r="D560" s="71"/>
      <c r="E560" s="72"/>
      <c r="F560" s="71"/>
      <c r="G560" s="69"/>
      <c r="H560" s="73"/>
      <c r="I560" s="69"/>
      <c r="J560" s="69"/>
      <c r="K560" s="69"/>
      <c r="L560" s="74"/>
      <c r="M560" s="74"/>
      <c r="N560" s="69"/>
      <c r="O560" s="75"/>
      <c r="P560" s="75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5.75" customHeight="1">
      <c r="A561" s="68"/>
      <c r="B561" s="69"/>
      <c r="C561" s="72"/>
      <c r="D561" s="71"/>
      <c r="E561" s="72"/>
      <c r="F561" s="71"/>
      <c r="G561" s="69"/>
      <c r="H561" s="73"/>
      <c r="I561" s="69"/>
      <c r="J561" s="69"/>
      <c r="K561" s="69"/>
      <c r="L561" s="74"/>
      <c r="M561" s="74"/>
      <c r="N561" s="69"/>
      <c r="O561" s="75"/>
      <c r="P561" s="75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5.75" customHeight="1">
      <c r="A562" s="68"/>
      <c r="B562" s="69"/>
      <c r="C562" s="72"/>
      <c r="D562" s="71"/>
      <c r="E562" s="72"/>
      <c r="F562" s="71"/>
      <c r="G562" s="69"/>
      <c r="H562" s="73"/>
      <c r="I562" s="69"/>
      <c r="J562" s="69"/>
      <c r="K562" s="69"/>
      <c r="L562" s="74"/>
      <c r="M562" s="74"/>
      <c r="N562" s="69"/>
      <c r="O562" s="75"/>
      <c r="P562" s="75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5.75" customHeight="1">
      <c r="A563" s="68"/>
      <c r="B563" s="69"/>
      <c r="C563" s="72"/>
      <c r="D563" s="71"/>
      <c r="E563" s="72"/>
      <c r="F563" s="71"/>
      <c r="G563" s="69"/>
      <c r="H563" s="73"/>
      <c r="I563" s="69"/>
      <c r="J563" s="69"/>
      <c r="K563" s="69"/>
      <c r="L563" s="74"/>
      <c r="M563" s="74"/>
      <c r="N563" s="69"/>
      <c r="O563" s="75"/>
      <c r="P563" s="75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5.75" customHeight="1">
      <c r="A564" s="68"/>
      <c r="B564" s="69"/>
      <c r="C564" s="72"/>
      <c r="D564" s="71"/>
      <c r="E564" s="72"/>
      <c r="F564" s="71"/>
      <c r="G564" s="69"/>
      <c r="H564" s="73"/>
      <c r="I564" s="69"/>
      <c r="J564" s="69"/>
      <c r="K564" s="69"/>
      <c r="L564" s="74"/>
      <c r="M564" s="74"/>
      <c r="N564" s="69"/>
      <c r="O564" s="75"/>
      <c r="P564" s="75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5.75" customHeight="1">
      <c r="A565" s="68"/>
      <c r="B565" s="69"/>
      <c r="C565" s="72"/>
      <c r="D565" s="71"/>
      <c r="E565" s="72"/>
      <c r="F565" s="71"/>
      <c r="G565" s="69"/>
      <c r="H565" s="73"/>
      <c r="I565" s="69"/>
      <c r="J565" s="69"/>
      <c r="K565" s="69"/>
      <c r="L565" s="74"/>
      <c r="M565" s="74"/>
      <c r="N565" s="69"/>
      <c r="O565" s="75"/>
      <c r="P565" s="75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5.75" customHeight="1">
      <c r="A566" s="68"/>
      <c r="B566" s="69"/>
      <c r="C566" s="72"/>
      <c r="D566" s="71"/>
      <c r="E566" s="72"/>
      <c r="F566" s="71"/>
      <c r="G566" s="69"/>
      <c r="H566" s="73"/>
      <c r="I566" s="69"/>
      <c r="J566" s="69"/>
      <c r="K566" s="69"/>
      <c r="L566" s="74"/>
      <c r="M566" s="74"/>
      <c r="N566" s="69"/>
      <c r="O566" s="75"/>
      <c r="P566" s="75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5.75" customHeight="1">
      <c r="A567" s="68"/>
      <c r="B567" s="69"/>
      <c r="C567" s="72"/>
      <c r="D567" s="71"/>
      <c r="E567" s="72"/>
      <c r="F567" s="71"/>
      <c r="G567" s="69"/>
      <c r="H567" s="73"/>
      <c r="I567" s="69"/>
      <c r="J567" s="69"/>
      <c r="K567" s="69"/>
      <c r="L567" s="74"/>
      <c r="M567" s="74"/>
      <c r="N567" s="69"/>
      <c r="O567" s="75"/>
      <c r="P567" s="75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5.75" customHeight="1">
      <c r="A568" s="68"/>
      <c r="B568" s="69"/>
      <c r="C568" s="72"/>
      <c r="D568" s="71"/>
      <c r="E568" s="72"/>
      <c r="F568" s="71"/>
      <c r="G568" s="69"/>
      <c r="H568" s="73"/>
      <c r="I568" s="69"/>
      <c r="J568" s="69"/>
      <c r="K568" s="69"/>
      <c r="L568" s="74"/>
      <c r="M568" s="74"/>
      <c r="N568" s="69"/>
      <c r="O568" s="75"/>
      <c r="P568" s="75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5.75" customHeight="1">
      <c r="A569" s="68"/>
      <c r="B569" s="69"/>
      <c r="C569" s="72"/>
      <c r="D569" s="71"/>
      <c r="E569" s="72"/>
      <c r="F569" s="71"/>
      <c r="G569" s="69"/>
      <c r="H569" s="73"/>
      <c r="I569" s="69"/>
      <c r="J569" s="69"/>
      <c r="K569" s="69"/>
      <c r="L569" s="74"/>
      <c r="M569" s="74"/>
      <c r="N569" s="69"/>
      <c r="O569" s="75"/>
      <c r="P569" s="75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5.75" customHeight="1">
      <c r="A570" s="68"/>
      <c r="B570" s="69"/>
      <c r="C570" s="72"/>
      <c r="D570" s="71"/>
      <c r="E570" s="72"/>
      <c r="F570" s="71"/>
      <c r="G570" s="69"/>
      <c r="H570" s="73"/>
      <c r="I570" s="69"/>
      <c r="J570" s="69"/>
      <c r="K570" s="69"/>
      <c r="L570" s="74"/>
      <c r="M570" s="74"/>
      <c r="N570" s="69"/>
      <c r="O570" s="75"/>
      <c r="P570" s="75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5.75" customHeight="1">
      <c r="A571" s="68"/>
      <c r="B571" s="69"/>
      <c r="C571" s="72"/>
      <c r="D571" s="71"/>
      <c r="E571" s="72"/>
      <c r="F571" s="71"/>
      <c r="G571" s="69"/>
      <c r="H571" s="73"/>
      <c r="I571" s="69"/>
      <c r="J571" s="69"/>
      <c r="K571" s="69"/>
      <c r="L571" s="74"/>
      <c r="M571" s="74"/>
      <c r="N571" s="69"/>
      <c r="O571" s="75"/>
      <c r="P571" s="75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5.75" customHeight="1">
      <c r="A572" s="68"/>
      <c r="B572" s="69"/>
      <c r="C572" s="72"/>
      <c r="D572" s="71"/>
      <c r="E572" s="72"/>
      <c r="F572" s="71"/>
      <c r="G572" s="69"/>
      <c r="H572" s="73"/>
      <c r="I572" s="69"/>
      <c r="J572" s="69"/>
      <c r="K572" s="69"/>
      <c r="L572" s="74"/>
      <c r="M572" s="74"/>
      <c r="N572" s="69"/>
      <c r="O572" s="75"/>
      <c r="P572" s="75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5.75" customHeight="1">
      <c r="A573" s="68"/>
      <c r="B573" s="69"/>
      <c r="C573" s="72"/>
      <c r="D573" s="71"/>
      <c r="E573" s="72"/>
      <c r="F573" s="71"/>
      <c r="G573" s="69"/>
      <c r="H573" s="73"/>
      <c r="I573" s="69"/>
      <c r="J573" s="69"/>
      <c r="K573" s="69"/>
      <c r="L573" s="74"/>
      <c r="M573" s="74"/>
      <c r="N573" s="69"/>
      <c r="O573" s="75"/>
      <c r="P573" s="75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5.75" customHeight="1">
      <c r="A574" s="68"/>
      <c r="B574" s="69"/>
      <c r="C574" s="72"/>
      <c r="D574" s="71"/>
      <c r="E574" s="72"/>
      <c r="F574" s="71"/>
      <c r="G574" s="69"/>
      <c r="H574" s="73"/>
      <c r="I574" s="69"/>
      <c r="J574" s="69"/>
      <c r="K574" s="69"/>
      <c r="L574" s="74"/>
      <c r="M574" s="74"/>
      <c r="N574" s="69"/>
      <c r="O574" s="75"/>
      <c r="P574" s="75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5.75" customHeight="1">
      <c r="A575" s="68"/>
      <c r="B575" s="69"/>
      <c r="C575" s="72"/>
      <c r="D575" s="71"/>
      <c r="E575" s="72"/>
      <c r="F575" s="71"/>
      <c r="G575" s="69"/>
      <c r="H575" s="73"/>
      <c r="I575" s="69"/>
      <c r="J575" s="69"/>
      <c r="K575" s="69"/>
      <c r="L575" s="74"/>
      <c r="M575" s="74"/>
      <c r="N575" s="69"/>
      <c r="O575" s="75"/>
      <c r="P575" s="75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5.75" customHeight="1">
      <c r="A576" s="68"/>
      <c r="B576" s="69"/>
      <c r="C576" s="72"/>
      <c r="D576" s="71"/>
      <c r="E576" s="72"/>
      <c r="F576" s="71"/>
      <c r="G576" s="69"/>
      <c r="H576" s="73"/>
      <c r="I576" s="69"/>
      <c r="J576" s="69"/>
      <c r="K576" s="69"/>
      <c r="L576" s="74"/>
      <c r="M576" s="74"/>
      <c r="N576" s="69"/>
      <c r="O576" s="75"/>
      <c r="P576" s="75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5.75" customHeight="1">
      <c r="A577" s="68"/>
      <c r="B577" s="69"/>
      <c r="C577" s="72"/>
      <c r="D577" s="71"/>
      <c r="E577" s="72"/>
      <c r="F577" s="71"/>
      <c r="G577" s="69"/>
      <c r="H577" s="73"/>
      <c r="I577" s="69"/>
      <c r="J577" s="69"/>
      <c r="K577" s="69"/>
      <c r="L577" s="74"/>
      <c r="M577" s="74"/>
      <c r="N577" s="69"/>
      <c r="O577" s="75"/>
      <c r="P577" s="75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5.75" customHeight="1">
      <c r="A578" s="68"/>
      <c r="B578" s="69"/>
      <c r="C578" s="72"/>
      <c r="D578" s="71"/>
      <c r="E578" s="72"/>
      <c r="F578" s="71"/>
      <c r="G578" s="69"/>
      <c r="H578" s="73"/>
      <c r="I578" s="69"/>
      <c r="J578" s="69"/>
      <c r="K578" s="69"/>
      <c r="L578" s="74"/>
      <c r="M578" s="74"/>
      <c r="N578" s="69"/>
      <c r="O578" s="75"/>
      <c r="P578" s="75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5.75" customHeight="1">
      <c r="A579" s="68"/>
      <c r="B579" s="69"/>
      <c r="C579" s="72"/>
      <c r="D579" s="71"/>
      <c r="E579" s="72"/>
      <c r="F579" s="71"/>
      <c r="G579" s="69"/>
      <c r="H579" s="73"/>
      <c r="I579" s="69"/>
      <c r="J579" s="69"/>
      <c r="K579" s="69"/>
      <c r="L579" s="74"/>
      <c r="M579" s="74"/>
      <c r="N579" s="69"/>
      <c r="O579" s="75"/>
      <c r="P579" s="75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5.75" customHeight="1">
      <c r="A580" s="68"/>
      <c r="B580" s="69"/>
      <c r="C580" s="72"/>
      <c r="D580" s="71"/>
      <c r="E580" s="72"/>
      <c r="F580" s="71"/>
      <c r="G580" s="69"/>
      <c r="H580" s="73"/>
      <c r="I580" s="69"/>
      <c r="J580" s="69"/>
      <c r="K580" s="69"/>
      <c r="L580" s="74"/>
      <c r="M580" s="74"/>
      <c r="N580" s="69"/>
      <c r="O580" s="75"/>
      <c r="P580" s="75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5.75" customHeight="1">
      <c r="A581" s="68"/>
      <c r="B581" s="69"/>
      <c r="C581" s="72"/>
      <c r="D581" s="71"/>
      <c r="E581" s="72"/>
      <c r="F581" s="71"/>
      <c r="G581" s="69"/>
      <c r="H581" s="73"/>
      <c r="I581" s="69"/>
      <c r="J581" s="69"/>
      <c r="K581" s="69"/>
      <c r="L581" s="74"/>
      <c r="M581" s="74"/>
      <c r="N581" s="69"/>
      <c r="O581" s="75"/>
      <c r="P581" s="75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5.75" customHeight="1">
      <c r="A582" s="68"/>
      <c r="B582" s="69"/>
      <c r="C582" s="72"/>
      <c r="D582" s="71"/>
      <c r="E582" s="72"/>
      <c r="F582" s="71"/>
      <c r="G582" s="69"/>
      <c r="H582" s="73"/>
      <c r="I582" s="69"/>
      <c r="J582" s="69"/>
      <c r="K582" s="69"/>
      <c r="L582" s="74"/>
      <c r="M582" s="74"/>
      <c r="N582" s="69"/>
      <c r="O582" s="75"/>
      <c r="P582" s="75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5.75" customHeight="1">
      <c r="A583" s="68"/>
      <c r="B583" s="69"/>
      <c r="C583" s="72"/>
      <c r="D583" s="71"/>
      <c r="E583" s="72"/>
      <c r="F583" s="71"/>
      <c r="G583" s="69"/>
      <c r="H583" s="73"/>
      <c r="I583" s="69"/>
      <c r="J583" s="69"/>
      <c r="K583" s="69"/>
      <c r="L583" s="74"/>
      <c r="M583" s="74"/>
      <c r="N583" s="69"/>
      <c r="O583" s="75"/>
      <c r="P583" s="75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5.75" customHeight="1">
      <c r="A584" s="68"/>
      <c r="B584" s="69"/>
      <c r="C584" s="72"/>
      <c r="D584" s="71"/>
      <c r="E584" s="72"/>
      <c r="F584" s="71"/>
      <c r="G584" s="69"/>
      <c r="H584" s="73"/>
      <c r="I584" s="69"/>
      <c r="J584" s="69"/>
      <c r="K584" s="69"/>
      <c r="L584" s="74"/>
      <c r="M584" s="74"/>
      <c r="N584" s="69"/>
      <c r="O584" s="75"/>
      <c r="P584" s="75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5.75" customHeight="1">
      <c r="A585" s="68"/>
      <c r="B585" s="69"/>
      <c r="C585" s="72"/>
      <c r="D585" s="71"/>
      <c r="E585" s="72"/>
      <c r="F585" s="71"/>
      <c r="G585" s="69"/>
      <c r="H585" s="73"/>
      <c r="I585" s="69"/>
      <c r="J585" s="69"/>
      <c r="K585" s="69"/>
      <c r="L585" s="74"/>
      <c r="M585" s="74"/>
      <c r="N585" s="69"/>
      <c r="O585" s="75"/>
      <c r="P585" s="75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5.75" customHeight="1">
      <c r="A586" s="68"/>
      <c r="B586" s="69"/>
      <c r="C586" s="72"/>
      <c r="D586" s="71"/>
      <c r="E586" s="72"/>
      <c r="F586" s="71"/>
      <c r="G586" s="69"/>
      <c r="H586" s="73"/>
      <c r="I586" s="69"/>
      <c r="J586" s="69"/>
      <c r="K586" s="69"/>
      <c r="L586" s="74"/>
      <c r="M586" s="74"/>
      <c r="N586" s="69"/>
      <c r="O586" s="75"/>
      <c r="P586" s="75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5.75" customHeight="1">
      <c r="A587" s="68"/>
      <c r="B587" s="69"/>
      <c r="C587" s="72"/>
      <c r="D587" s="71"/>
      <c r="E587" s="72"/>
      <c r="F587" s="71"/>
      <c r="G587" s="69"/>
      <c r="H587" s="73"/>
      <c r="I587" s="69"/>
      <c r="J587" s="69"/>
      <c r="K587" s="69"/>
      <c r="L587" s="74"/>
      <c r="M587" s="74"/>
      <c r="N587" s="69"/>
      <c r="O587" s="75"/>
      <c r="P587" s="75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5.75" customHeight="1">
      <c r="A588" s="68"/>
      <c r="B588" s="69"/>
      <c r="C588" s="72"/>
      <c r="D588" s="71"/>
      <c r="E588" s="72"/>
      <c r="F588" s="71"/>
      <c r="G588" s="69"/>
      <c r="H588" s="73"/>
      <c r="I588" s="69"/>
      <c r="J588" s="69"/>
      <c r="K588" s="69"/>
      <c r="L588" s="74"/>
      <c r="M588" s="74"/>
      <c r="N588" s="69"/>
      <c r="O588" s="75"/>
      <c r="P588" s="75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5.75" customHeight="1">
      <c r="A589" s="68"/>
      <c r="B589" s="69"/>
      <c r="C589" s="72"/>
      <c r="D589" s="71"/>
      <c r="E589" s="72"/>
      <c r="F589" s="71"/>
      <c r="G589" s="69"/>
      <c r="H589" s="73"/>
      <c r="I589" s="69"/>
      <c r="J589" s="69"/>
      <c r="K589" s="69"/>
      <c r="L589" s="74"/>
      <c r="M589" s="74"/>
      <c r="N589" s="69"/>
      <c r="O589" s="75"/>
      <c r="P589" s="75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5.75" customHeight="1">
      <c r="A590" s="68"/>
      <c r="B590" s="69"/>
      <c r="C590" s="72"/>
      <c r="D590" s="71"/>
      <c r="E590" s="72"/>
      <c r="F590" s="71"/>
      <c r="G590" s="69"/>
      <c r="H590" s="73"/>
      <c r="I590" s="69"/>
      <c r="J590" s="69"/>
      <c r="K590" s="69"/>
      <c r="L590" s="74"/>
      <c r="M590" s="74"/>
      <c r="N590" s="69"/>
      <c r="O590" s="75"/>
      <c r="P590" s="75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5.75" customHeight="1">
      <c r="A591" s="68"/>
      <c r="B591" s="69"/>
      <c r="C591" s="72"/>
      <c r="D591" s="71"/>
      <c r="E591" s="72"/>
      <c r="F591" s="71"/>
      <c r="G591" s="69"/>
      <c r="H591" s="73"/>
      <c r="I591" s="69"/>
      <c r="J591" s="69"/>
      <c r="K591" s="69"/>
      <c r="L591" s="74"/>
      <c r="M591" s="74"/>
      <c r="N591" s="69"/>
      <c r="O591" s="75"/>
      <c r="P591" s="75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5.75" customHeight="1">
      <c r="A592" s="68"/>
      <c r="B592" s="69"/>
      <c r="C592" s="72"/>
      <c r="D592" s="71"/>
      <c r="E592" s="72"/>
      <c r="F592" s="71"/>
      <c r="G592" s="69"/>
      <c r="H592" s="73"/>
      <c r="I592" s="69"/>
      <c r="J592" s="69"/>
      <c r="K592" s="69"/>
      <c r="L592" s="74"/>
      <c r="M592" s="74"/>
      <c r="N592" s="69"/>
      <c r="O592" s="75"/>
      <c r="P592" s="75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5.75" customHeight="1">
      <c r="A593" s="68"/>
      <c r="B593" s="69"/>
      <c r="C593" s="72"/>
      <c r="D593" s="71"/>
      <c r="E593" s="72"/>
      <c r="F593" s="71"/>
      <c r="G593" s="69"/>
      <c r="H593" s="73"/>
      <c r="I593" s="69"/>
      <c r="J593" s="69"/>
      <c r="K593" s="69"/>
      <c r="L593" s="74"/>
      <c r="M593" s="74"/>
      <c r="N593" s="69"/>
      <c r="O593" s="75"/>
      <c r="P593" s="75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5.75" customHeight="1">
      <c r="A594" s="68"/>
      <c r="B594" s="69"/>
      <c r="C594" s="72"/>
      <c r="D594" s="71"/>
      <c r="E594" s="72"/>
      <c r="F594" s="71"/>
      <c r="G594" s="69"/>
      <c r="H594" s="73"/>
      <c r="I594" s="69"/>
      <c r="J594" s="69"/>
      <c r="K594" s="69"/>
      <c r="L594" s="74"/>
      <c r="M594" s="74"/>
      <c r="N594" s="69"/>
      <c r="O594" s="75"/>
      <c r="P594" s="75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5.75" customHeight="1">
      <c r="A595" s="68"/>
      <c r="B595" s="69"/>
      <c r="C595" s="72"/>
      <c r="D595" s="71"/>
      <c r="E595" s="72"/>
      <c r="F595" s="71"/>
      <c r="G595" s="69"/>
      <c r="H595" s="73"/>
      <c r="I595" s="69"/>
      <c r="J595" s="69"/>
      <c r="K595" s="69"/>
      <c r="L595" s="74"/>
      <c r="M595" s="74"/>
      <c r="N595" s="69"/>
      <c r="O595" s="75"/>
      <c r="P595" s="75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5.75" customHeight="1">
      <c r="A596" s="68"/>
      <c r="B596" s="69"/>
      <c r="C596" s="72"/>
      <c r="D596" s="71"/>
      <c r="E596" s="72"/>
      <c r="F596" s="71"/>
      <c r="G596" s="69"/>
      <c r="H596" s="73"/>
      <c r="I596" s="69"/>
      <c r="J596" s="69"/>
      <c r="K596" s="69"/>
      <c r="L596" s="74"/>
      <c r="M596" s="74"/>
      <c r="N596" s="69"/>
      <c r="O596" s="75"/>
      <c r="P596" s="75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5.75" customHeight="1">
      <c r="A597" s="68"/>
      <c r="B597" s="69"/>
      <c r="C597" s="72"/>
      <c r="D597" s="71"/>
      <c r="E597" s="72"/>
      <c r="F597" s="71"/>
      <c r="G597" s="69"/>
      <c r="H597" s="73"/>
      <c r="I597" s="69"/>
      <c r="J597" s="69"/>
      <c r="K597" s="69"/>
      <c r="L597" s="74"/>
      <c r="M597" s="74"/>
      <c r="N597" s="69"/>
      <c r="O597" s="75"/>
      <c r="P597" s="75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5.75" customHeight="1">
      <c r="A598" s="68"/>
      <c r="B598" s="69"/>
      <c r="C598" s="72"/>
      <c r="D598" s="71"/>
      <c r="E598" s="72"/>
      <c r="F598" s="71"/>
      <c r="G598" s="69"/>
      <c r="H598" s="73"/>
      <c r="I598" s="69"/>
      <c r="J598" s="69"/>
      <c r="K598" s="69"/>
      <c r="L598" s="74"/>
      <c r="M598" s="74"/>
      <c r="N598" s="69"/>
      <c r="O598" s="75"/>
      <c r="P598" s="75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5.75" customHeight="1">
      <c r="A599" s="68"/>
      <c r="B599" s="69"/>
      <c r="C599" s="72"/>
      <c r="D599" s="71"/>
      <c r="E599" s="72"/>
      <c r="F599" s="71"/>
      <c r="G599" s="69"/>
      <c r="H599" s="73"/>
      <c r="I599" s="69"/>
      <c r="J599" s="69"/>
      <c r="K599" s="69"/>
      <c r="L599" s="74"/>
      <c r="M599" s="74"/>
      <c r="N599" s="69"/>
      <c r="O599" s="75"/>
      <c r="P599" s="75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5.75" customHeight="1">
      <c r="A600" s="68"/>
      <c r="B600" s="69"/>
      <c r="C600" s="72"/>
      <c r="D600" s="71"/>
      <c r="E600" s="72"/>
      <c r="F600" s="71"/>
      <c r="G600" s="69"/>
      <c r="H600" s="73"/>
      <c r="I600" s="69"/>
      <c r="J600" s="69"/>
      <c r="K600" s="69"/>
      <c r="L600" s="74"/>
      <c r="M600" s="74"/>
      <c r="N600" s="69"/>
      <c r="O600" s="75"/>
      <c r="P600" s="75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5.75" customHeight="1">
      <c r="A601" s="68"/>
      <c r="B601" s="69"/>
      <c r="C601" s="72"/>
      <c r="D601" s="71"/>
      <c r="E601" s="72"/>
      <c r="F601" s="71"/>
      <c r="G601" s="69"/>
      <c r="H601" s="73"/>
      <c r="I601" s="69"/>
      <c r="J601" s="69"/>
      <c r="K601" s="69"/>
      <c r="L601" s="74"/>
      <c r="M601" s="74"/>
      <c r="N601" s="69"/>
      <c r="O601" s="75"/>
      <c r="P601" s="75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5.75" customHeight="1">
      <c r="A602" s="68"/>
      <c r="B602" s="69"/>
      <c r="C602" s="72"/>
      <c r="D602" s="71"/>
      <c r="E602" s="72"/>
      <c r="F602" s="71"/>
      <c r="G602" s="69"/>
      <c r="H602" s="73"/>
      <c r="I602" s="69"/>
      <c r="J602" s="69"/>
      <c r="K602" s="69"/>
      <c r="L602" s="74"/>
      <c r="M602" s="74"/>
      <c r="N602" s="69"/>
      <c r="O602" s="75"/>
      <c r="P602" s="75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5.75" customHeight="1">
      <c r="A603" s="68"/>
      <c r="B603" s="69"/>
      <c r="C603" s="72"/>
      <c r="D603" s="71"/>
      <c r="E603" s="72"/>
      <c r="F603" s="71"/>
      <c r="G603" s="69"/>
      <c r="H603" s="73"/>
      <c r="I603" s="69"/>
      <c r="J603" s="69"/>
      <c r="K603" s="69"/>
      <c r="L603" s="74"/>
      <c r="M603" s="74"/>
      <c r="N603" s="69"/>
      <c r="O603" s="75"/>
      <c r="P603" s="75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5.75" customHeight="1">
      <c r="A604" s="68"/>
      <c r="B604" s="69"/>
      <c r="C604" s="72"/>
      <c r="D604" s="71"/>
      <c r="E604" s="72"/>
      <c r="F604" s="71"/>
      <c r="G604" s="69"/>
      <c r="H604" s="73"/>
      <c r="I604" s="69"/>
      <c r="J604" s="69"/>
      <c r="K604" s="69"/>
      <c r="L604" s="74"/>
      <c r="M604" s="74"/>
      <c r="N604" s="69"/>
      <c r="O604" s="75"/>
      <c r="P604" s="75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5.75" customHeight="1">
      <c r="A605" s="68"/>
      <c r="B605" s="69"/>
      <c r="C605" s="72"/>
      <c r="D605" s="71"/>
      <c r="E605" s="72"/>
      <c r="F605" s="71"/>
      <c r="G605" s="69"/>
      <c r="H605" s="73"/>
      <c r="I605" s="69"/>
      <c r="J605" s="69"/>
      <c r="K605" s="69"/>
      <c r="L605" s="74"/>
      <c r="M605" s="74"/>
      <c r="N605" s="69"/>
      <c r="O605" s="75"/>
      <c r="P605" s="75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5.75" customHeight="1">
      <c r="A606" s="68"/>
      <c r="B606" s="69"/>
      <c r="C606" s="72"/>
      <c r="D606" s="71"/>
      <c r="E606" s="72"/>
      <c r="F606" s="71"/>
      <c r="G606" s="69"/>
      <c r="H606" s="73"/>
      <c r="I606" s="69"/>
      <c r="J606" s="69"/>
      <c r="K606" s="69"/>
      <c r="L606" s="74"/>
      <c r="M606" s="74"/>
      <c r="N606" s="69"/>
      <c r="O606" s="75"/>
      <c r="P606" s="75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5.75" customHeight="1">
      <c r="A607" s="68"/>
      <c r="B607" s="69"/>
      <c r="C607" s="72"/>
      <c r="D607" s="71"/>
      <c r="E607" s="72"/>
      <c r="F607" s="71"/>
      <c r="G607" s="69"/>
      <c r="H607" s="73"/>
      <c r="I607" s="69"/>
      <c r="J607" s="69"/>
      <c r="K607" s="69"/>
      <c r="L607" s="74"/>
      <c r="M607" s="74"/>
      <c r="N607" s="69"/>
      <c r="O607" s="75"/>
      <c r="P607" s="75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5.75" customHeight="1">
      <c r="A608" s="68"/>
      <c r="B608" s="69"/>
      <c r="C608" s="72"/>
      <c r="D608" s="71"/>
      <c r="E608" s="72"/>
      <c r="F608" s="71"/>
      <c r="G608" s="69"/>
      <c r="H608" s="73"/>
      <c r="I608" s="69"/>
      <c r="J608" s="69"/>
      <c r="K608" s="69"/>
      <c r="L608" s="74"/>
      <c r="M608" s="74"/>
      <c r="N608" s="69"/>
      <c r="O608" s="75"/>
      <c r="P608" s="75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5.75" customHeight="1">
      <c r="A609" s="68"/>
      <c r="B609" s="69"/>
      <c r="C609" s="72"/>
      <c r="D609" s="71"/>
      <c r="E609" s="72"/>
      <c r="F609" s="71"/>
      <c r="G609" s="69"/>
      <c r="H609" s="73"/>
      <c r="I609" s="69"/>
      <c r="J609" s="69"/>
      <c r="K609" s="69"/>
      <c r="L609" s="74"/>
      <c r="M609" s="74"/>
      <c r="N609" s="69"/>
      <c r="O609" s="75"/>
      <c r="P609" s="75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5.75" customHeight="1">
      <c r="A610" s="68"/>
      <c r="B610" s="69"/>
      <c r="C610" s="72"/>
      <c r="D610" s="71"/>
      <c r="E610" s="72"/>
      <c r="F610" s="71"/>
      <c r="G610" s="69"/>
      <c r="H610" s="73"/>
      <c r="I610" s="69"/>
      <c r="J610" s="69"/>
      <c r="K610" s="69"/>
      <c r="L610" s="74"/>
      <c r="M610" s="74"/>
      <c r="N610" s="69"/>
      <c r="O610" s="75"/>
      <c r="P610" s="75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5.75" customHeight="1">
      <c r="A611" s="68"/>
      <c r="B611" s="69"/>
      <c r="C611" s="72"/>
      <c r="D611" s="71"/>
      <c r="E611" s="72"/>
      <c r="F611" s="71"/>
      <c r="G611" s="69"/>
      <c r="H611" s="73"/>
      <c r="I611" s="69"/>
      <c r="J611" s="69"/>
      <c r="K611" s="69"/>
      <c r="L611" s="74"/>
      <c r="M611" s="74"/>
      <c r="N611" s="69"/>
      <c r="O611" s="75"/>
      <c r="P611" s="75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5.75" customHeight="1">
      <c r="A612" s="68"/>
      <c r="B612" s="69"/>
      <c r="C612" s="72"/>
      <c r="D612" s="71"/>
      <c r="E612" s="72"/>
      <c r="F612" s="71"/>
      <c r="G612" s="69"/>
      <c r="H612" s="73"/>
      <c r="I612" s="69"/>
      <c r="J612" s="69"/>
      <c r="K612" s="69"/>
      <c r="L612" s="74"/>
      <c r="M612" s="74"/>
      <c r="N612" s="69"/>
      <c r="O612" s="75"/>
      <c r="P612" s="75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5.75" customHeight="1">
      <c r="A613" s="68"/>
      <c r="B613" s="69"/>
      <c r="C613" s="72"/>
      <c r="D613" s="71"/>
      <c r="E613" s="72"/>
      <c r="F613" s="71"/>
      <c r="G613" s="69"/>
      <c r="H613" s="73"/>
      <c r="I613" s="69"/>
      <c r="J613" s="69"/>
      <c r="K613" s="69"/>
      <c r="L613" s="74"/>
      <c r="M613" s="74"/>
      <c r="N613" s="69"/>
      <c r="O613" s="75"/>
      <c r="P613" s="75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5.75" customHeight="1">
      <c r="A614" s="68"/>
      <c r="B614" s="69"/>
      <c r="C614" s="72"/>
      <c r="D614" s="71"/>
      <c r="E614" s="72"/>
      <c r="F614" s="71"/>
      <c r="G614" s="69"/>
      <c r="H614" s="73"/>
      <c r="I614" s="69"/>
      <c r="J614" s="69"/>
      <c r="K614" s="69"/>
      <c r="L614" s="74"/>
      <c r="M614" s="74"/>
      <c r="N614" s="69"/>
      <c r="O614" s="75"/>
      <c r="P614" s="75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5.75" customHeight="1">
      <c r="A615" s="68"/>
      <c r="B615" s="69"/>
      <c r="C615" s="72"/>
      <c r="D615" s="71"/>
      <c r="E615" s="72"/>
      <c r="F615" s="71"/>
      <c r="G615" s="69"/>
      <c r="H615" s="73"/>
      <c r="I615" s="69"/>
      <c r="J615" s="69"/>
      <c r="K615" s="69"/>
      <c r="L615" s="74"/>
      <c r="M615" s="74"/>
      <c r="N615" s="69"/>
      <c r="O615" s="75"/>
      <c r="P615" s="75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5.75" customHeight="1">
      <c r="A616" s="68"/>
      <c r="B616" s="69"/>
      <c r="C616" s="72"/>
      <c r="D616" s="71"/>
      <c r="E616" s="72"/>
      <c r="F616" s="71"/>
      <c r="G616" s="69"/>
      <c r="H616" s="73"/>
      <c r="I616" s="69"/>
      <c r="J616" s="69"/>
      <c r="K616" s="69"/>
      <c r="L616" s="74"/>
      <c r="M616" s="74"/>
      <c r="N616" s="69"/>
      <c r="O616" s="75"/>
      <c r="P616" s="75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5.75" customHeight="1">
      <c r="A617" s="68"/>
      <c r="B617" s="69"/>
      <c r="C617" s="72"/>
      <c r="D617" s="71"/>
      <c r="E617" s="72"/>
      <c r="F617" s="71"/>
      <c r="G617" s="69"/>
      <c r="H617" s="73"/>
      <c r="I617" s="69"/>
      <c r="J617" s="69"/>
      <c r="K617" s="69"/>
      <c r="L617" s="74"/>
      <c r="M617" s="74"/>
      <c r="N617" s="69"/>
      <c r="O617" s="75"/>
      <c r="P617" s="75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5.75" customHeight="1">
      <c r="A618" s="68"/>
      <c r="B618" s="69"/>
      <c r="C618" s="72"/>
      <c r="D618" s="71"/>
      <c r="E618" s="72"/>
      <c r="F618" s="71"/>
      <c r="G618" s="69"/>
      <c r="H618" s="73"/>
      <c r="I618" s="69"/>
      <c r="J618" s="69"/>
      <c r="K618" s="69"/>
      <c r="L618" s="74"/>
      <c r="M618" s="74"/>
      <c r="N618" s="69"/>
      <c r="O618" s="75"/>
      <c r="P618" s="75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5.75" customHeight="1">
      <c r="A619" s="68"/>
      <c r="B619" s="69"/>
      <c r="C619" s="72"/>
      <c r="D619" s="71"/>
      <c r="E619" s="72"/>
      <c r="F619" s="71"/>
      <c r="G619" s="69"/>
      <c r="H619" s="73"/>
      <c r="I619" s="69"/>
      <c r="J619" s="69"/>
      <c r="K619" s="69"/>
      <c r="L619" s="74"/>
      <c r="M619" s="74"/>
      <c r="N619" s="69"/>
      <c r="O619" s="75"/>
      <c r="P619" s="75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5.75" customHeight="1">
      <c r="A620" s="68"/>
      <c r="B620" s="69"/>
      <c r="C620" s="72"/>
      <c r="D620" s="71"/>
      <c r="E620" s="72"/>
      <c r="F620" s="71"/>
      <c r="G620" s="69"/>
      <c r="H620" s="73"/>
      <c r="I620" s="69"/>
      <c r="J620" s="69"/>
      <c r="K620" s="69"/>
      <c r="L620" s="74"/>
      <c r="M620" s="74"/>
      <c r="N620" s="69"/>
      <c r="O620" s="75"/>
      <c r="P620" s="75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5.75" customHeight="1">
      <c r="A621" s="68"/>
      <c r="B621" s="69"/>
      <c r="C621" s="72"/>
      <c r="D621" s="71"/>
      <c r="E621" s="72"/>
      <c r="F621" s="71"/>
      <c r="G621" s="69"/>
      <c r="H621" s="73"/>
      <c r="I621" s="69"/>
      <c r="J621" s="69"/>
      <c r="K621" s="69"/>
      <c r="L621" s="74"/>
      <c r="M621" s="74"/>
      <c r="N621" s="69"/>
      <c r="O621" s="75"/>
      <c r="P621" s="75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5.75" customHeight="1">
      <c r="A622" s="68"/>
      <c r="B622" s="69"/>
      <c r="C622" s="72"/>
      <c r="D622" s="71"/>
      <c r="E622" s="72"/>
      <c r="F622" s="71"/>
      <c r="G622" s="69"/>
      <c r="H622" s="73"/>
      <c r="I622" s="69"/>
      <c r="J622" s="69"/>
      <c r="K622" s="69"/>
      <c r="L622" s="74"/>
      <c r="M622" s="74"/>
      <c r="N622" s="69"/>
      <c r="O622" s="75"/>
      <c r="P622" s="75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5.75" customHeight="1">
      <c r="A623" s="68"/>
      <c r="B623" s="69"/>
      <c r="C623" s="72"/>
      <c r="D623" s="71"/>
      <c r="E623" s="72"/>
      <c r="F623" s="71"/>
      <c r="G623" s="69"/>
      <c r="H623" s="73"/>
      <c r="I623" s="69"/>
      <c r="J623" s="69"/>
      <c r="K623" s="69"/>
      <c r="L623" s="74"/>
      <c r="M623" s="74"/>
      <c r="N623" s="69"/>
      <c r="O623" s="75"/>
      <c r="P623" s="75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5.75" customHeight="1">
      <c r="A624" s="68"/>
      <c r="B624" s="69"/>
      <c r="C624" s="72"/>
      <c r="D624" s="71"/>
      <c r="E624" s="72"/>
      <c r="F624" s="71"/>
      <c r="G624" s="69"/>
      <c r="H624" s="73"/>
      <c r="I624" s="69"/>
      <c r="J624" s="69"/>
      <c r="K624" s="69"/>
      <c r="L624" s="74"/>
      <c r="M624" s="74"/>
      <c r="N624" s="69"/>
      <c r="O624" s="75"/>
      <c r="P624" s="75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5.75" customHeight="1">
      <c r="A625" s="68"/>
      <c r="B625" s="69"/>
      <c r="C625" s="72"/>
      <c r="D625" s="71"/>
      <c r="E625" s="72"/>
      <c r="F625" s="71"/>
      <c r="G625" s="69"/>
      <c r="H625" s="73"/>
      <c r="I625" s="69"/>
      <c r="J625" s="69"/>
      <c r="K625" s="69"/>
      <c r="L625" s="74"/>
      <c r="M625" s="74"/>
      <c r="N625" s="69"/>
      <c r="O625" s="75"/>
      <c r="P625" s="75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5.75" customHeight="1">
      <c r="A626" s="68"/>
      <c r="B626" s="69"/>
      <c r="C626" s="72"/>
      <c r="D626" s="71"/>
      <c r="E626" s="72"/>
      <c r="F626" s="71"/>
      <c r="G626" s="69"/>
      <c r="H626" s="73"/>
      <c r="I626" s="69"/>
      <c r="J626" s="69"/>
      <c r="K626" s="69"/>
      <c r="L626" s="74"/>
      <c r="M626" s="74"/>
      <c r="N626" s="69"/>
      <c r="O626" s="75"/>
      <c r="P626" s="75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5.75" customHeight="1">
      <c r="A627" s="68"/>
      <c r="B627" s="69"/>
      <c r="C627" s="72"/>
      <c r="D627" s="71"/>
      <c r="E627" s="72"/>
      <c r="F627" s="71"/>
      <c r="G627" s="69"/>
      <c r="H627" s="73"/>
      <c r="I627" s="69"/>
      <c r="J627" s="69"/>
      <c r="K627" s="69"/>
      <c r="L627" s="74"/>
      <c r="M627" s="74"/>
      <c r="N627" s="69"/>
      <c r="O627" s="75"/>
      <c r="P627" s="75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5.75" customHeight="1">
      <c r="A628" s="68"/>
      <c r="B628" s="69"/>
      <c r="C628" s="72"/>
      <c r="D628" s="71"/>
      <c r="E628" s="72"/>
      <c r="F628" s="71"/>
      <c r="G628" s="69"/>
      <c r="H628" s="73"/>
      <c r="I628" s="69"/>
      <c r="J628" s="69"/>
      <c r="K628" s="69"/>
      <c r="L628" s="74"/>
      <c r="M628" s="74"/>
      <c r="N628" s="69"/>
      <c r="O628" s="75"/>
      <c r="P628" s="75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5.75" customHeight="1">
      <c r="A629" s="68"/>
      <c r="B629" s="69"/>
      <c r="C629" s="72"/>
      <c r="D629" s="71"/>
      <c r="E629" s="72"/>
      <c r="F629" s="71"/>
      <c r="G629" s="69"/>
      <c r="H629" s="73"/>
      <c r="I629" s="69"/>
      <c r="J629" s="69"/>
      <c r="K629" s="69"/>
      <c r="L629" s="74"/>
      <c r="M629" s="74"/>
      <c r="N629" s="69"/>
      <c r="O629" s="75"/>
      <c r="P629" s="75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5.75" customHeight="1">
      <c r="A630" s="68"/>
      <c r="B630" s="69"/>
      <c r="C630" s="72"/>
      <c r="D630" s="71"/>
      <c r="E630" s="72"/>
      <c r="F630" s="71"/>
      <c r="G630" s="69"/>
      <c r="H630" s="73"/>
      <c r="I630" s="69"/>
      <c r="J630" s="69"/>
      <c r="K630" s="69"/>
      <c r="L630" s="74"/>
      <c r="M630" s="74"/>
      <c r="N630" s="69"/>
      <c r="O630" s="75"/>
      <c r="P630" s="75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5.75" customHeight="1">
      <c r="A631" s="68"/>
      <c r="B631" s="69"/>
      <c r="C631" s="72"/>
      <c r="D631" s="71"/>
      <c r="E631" s="72"/>
      <c r="F631" s="71"/>
      <c r="G631" s="69"/>
      <c r="H631" s="73"/>
      <c r="I631" s="69"/>
      <c r="J631" s="69"/>
      <c r="K631" s="69"/>
      <c r="L631" s="74"/>
      <c r="M631" s="74"/>
      <c r="N631" s="69"/>
      <c r="O631" s="75"/>
      <c r="P631" s="75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5.75" customHeight="1">
      <c r="A632" s="68"/>
      <c r="B632" s="69"/>
      <c r="C632" s="72"/>
      <c r="D632" s="71"/>
      <c r="E632" s="72"/>
      <c r="F632" s="71"/>
      <c r="G632" s="69"/>
      <c r="H632" s="73"/>
      <c r="I632" s="69"/>
      <c r="J632" s="69"/>
      <c r="K632" s="69"/>
      <c r="L632" s="74"/>
      <c r="M632" s="74"/>
      <c r="N632" s="69"/>
      <c r="O632" s="75"/>
      <c r="P632" s="75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5.75" customHeight="1">
      <c r="A633" s="68"/>
      <c r="B633" s="69"/>
      <c r="C633" s="72"/>
      <c r="D633" s="71"/>
      <c r="E633" s="72"/>
      <c r="F633" s="71"/>
      <c r="G633" s="69"/>
      <c r="H633" s="73"/>
      <c r="I633" s="69"/>
      <c r="J633" s="69"/>
      <c r="K633" s="69"/>
      <c r="L633" s="74"/>
      <c r="M633" s="74"/>
      <c r="N633" s="69"/>
      <c r="O633" s="75"/>
      <c r="P633" s="75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5.75" customHeight="1">
      <c r="A634" s="68"/>
      <c r="B634" s="69"/>
      <c r="C634" s="72"/>
      <c r="D634" s="71"/>
      <c r="E634" s="72"/>
      <c r="F634" s="71"/>
      <c r="G634" s="69"/>
      <c r="H634" s="73"/>
      <c r="I634" s="69"/>
      <c r="J634" s="69"/>
      <c r="K634" s="69"/>
      <c r="L634" s="74"/>
      <c r="M634" s="74"/>
      <c r="N634" s="69"/>
      <c r="O634" s="75"/>
      <c r="P634" s="75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5.75" customHeight="1">
      <c r="A635" s="68"/>
      <c r="B635" s="69"/>
      <c r="C635" s="72"/>
      <c r="D635" s="71"/>
      <c r="E635" s="72"/>
      <c r="F635" s="71"/>
      <c r="G635" s="69"/>
      <c r="H635" s="73"/>
      <c r="I635" s="69"/>
      <c r="J635" s="69"/>
      <c r="K635" s="69"/>
      <c r="L635" s="74"/>
      <c r="M635" s="74"/>
      <c r="N635" s="69"/>
      <c r="O635" s="75"/>
      <c r="P635" s="75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5.75" customHeight="1">
      <c r="A636" s="68"/>
      <c r="B636" s="69"/>
      <c r="C636" s="72"/>
      <c r="D636" s="71"/>
      <c r="E636" s="72"/>
      <c r="F636" s="71"/>
      <c r="G636" s="69"/>
      <c r="H636" s="73"/>
      <c r="I636" s="69"/>
      <c r="J636" s="69"/>
      <c r="K636" s="69"/>
      <c r="L636" s="74"/>
      <c r="M636" s="74"/>
      <c r="N636" s="69"/>
      <c r="O636" s="75"/>
      <c r="P636" s="75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5.75" customHeight="1">
      <c r="A637" s="68"/>
      <c r="B637" s="69"/>
      <c r="C637" s="72"/>
      <c r="D637" s="71"/>
      <c r="E637" s="72"/>
      <c r="F637" s="71"/>
      <c r="G637" s="69"/>
      <c r="H637" s="73"/>
      <c r="I637" s="69"/>
      <c r="J637" s="69"/>
      <c r="K637" s="69"/>
      <c r="L637" s="74"/>
      <c r="M637" s="74"/>
      <c r="N637" s="69"/>
      <c r="O637" s="75"/>
      <c r="P637" s="75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5.75" customHeight="1">
      <c r="A638" s="68"/>
      <c r="B638" s="69"/>
      <c r="C638" s="72"/>
      <c r="D638" s="71"/>
      <c r="E638" s="72"/>
      <c r="F638" s="71"/>
      <c r="G638" s="69"/>
      <c r="H638" s="73"/>
      <c r="I638" s="69"/>
      <c r="J638" s="69"/>
      <c r="K638" s="69"/>
      <c r="L638" s="74"/>
      <c r="M638" s="74"/>
      <c r="N638" s="69"/>
      <c r="O638" s="75"/>
      <c r="P638" s="75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5.75" customHeight="1">
      <c r="A639" s="68"/>
      <c r="B639" s="69"/>
      <c r="C639" s="72"/>
      <c r="D639" s="71"/>
      <c r="E639" s="72"/>
      <c r="F639" s="71"/>
      <c r="G639" s="69"/>
      <c r="H639" s="73"/>
      <c r="I639" s="69"/>
      <c r="J639" s="69"/>
      <c r="K639" s="69"/>
      <c r="L639" s="74"/>
      <c r="M639" s="74"/>
      <c r="N639" s="69"/>
      <c r="O639" s="75"/>
      <c r="P639" s="75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5.75" customHeight="1">
      <c r="A640" s="68"/>
      <c r="B640" s="69"/>
      <c r="C640" s="72"/>
      <c r="D640" s="71"/>
      <c r="E640" s="72"/>
      <c r="F640" s="71"/>
      <c r="G640" s="69"/>
      <c r="H640" s="73"/>
      <c r="I640" s="69"/>
      <c r="J640" s="69"/>
      <c r="K640" s="69"/>
      <c r="L640" s="74"/>
      <c r="M640" s="74"/>
      <c r="N640" s="69"/>
      <c r="O640" s="75"/>
      <c r="P640" s="75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5.75" customHeight="1">
      <c r="A641" s="68"/>
      <c r="B641" s="69"/>
      <c r="C641" s="72"/>
      <c r="D641" s="71"/>
      <c r="E641" s="72"/>
      <c r="F641" s="71"/>
      <c r="G641" s="69"/>
      <c r="H641" s="73"/>
      <c r="I641" s="69"/>
      <c r="J641" s="69"/>
      <c r="K641" s="69"/>
      <c r="L641" s="74"/>
      <c r="M641" s="74"/>
      <c r="N641" s="69"/>
      <c r="O641" s="75"/>
      <c r="P641" s="75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5.75" customHeight="1">
      <c r="A642" s="68"/>
      <c r="B642" s="69"/>
      <c r="C642" s="72"/>
      <c r="D642" s="71"/>
      <c r="E642" s="72"/>
      <c r="F642" s="71"/>
      <c r="G642" s="69"/>
      <c r="H642" s="73"/>
      <c r="I642" s="69"/>
      <c r="J642" s="69"/>
      <c r="K642" s="69"/>
      <c r="L642" s="74"/>
      <c r="M642" s="74"/>
      <c r="N642" s="69"/>
      <c r="O642" s="75"/>
      <c r="P642" s="75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5.75" customHeight="1">
      <c r="A643" s="68"/>
      <c r="B643" s="69"/>
      <c r="C643" s="72"/>
      <c r="D643" s="71"/>
      <c r="E643" s="72"/>
      <c r="F643" s="71"/>
      <c r="G643" s="69"/>
      <c r="H643" s="73"/>
      <c r="I643" s="69"/>
      <c r="J643" s="69"/>
      <c r="K643" s="69"/>
      <c r="L643" s="74"/>
      <c r="M643" s="74"/>
      <c r="N643" s="69"/>
      <c r="O643" s="75"/>
      <c r="P643" s="75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5.75" customHeight="1">
      <c r="A644" s="68"/>
      <c r="B644" s="69"/>
      <c r="C644" s="72"/>
      <c r="D644" s="71"/>
      <c r="E644" s="72"/>
      <c r="F644" s="71"/>
      <c r="G644" s="69"/>
      <c r="H644" s="73"/>
      <c r="I644" s="69"/>
      <c r="J644" s="69"/>
      <c r="K644" s="69"/>
      <c r="L644" s="74"/>
      <c r="M644" s="74"/>
      <c r="N644" s="69"/>
      <c r="O644" s="75"/>
      <c r="P644" s="75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5.75" customHeight="1">
      <c r="A645" s="68"/>
      <c r="B645" s="69"/>
      <c r="C645" s="72"/>
      <c r="D645" s="71"/>
      <c r="E645" s="72"/>
      <c r="F645" s="71"/>
      <c r="G645" s="69"/>
      <c r="H645" s="73"/>
      <c r="I645" s="69"/>
      <c r="J645" s="69"/>
      <c r="K645" s="69"/>
      <c r="L645" s="74"/>
      <c r="M645" s="74"/>
      <c r="N645" s="69"/>
      <c r="O645" s="75"/>
      <c r="P645" s="75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5.75" customHeight="1">
      <c r="A646" s="68"/>
      <c r="B646" s="69"/>
      <c r="C646" s="72"/>
      <c r="D646" s="71"/>
      <c r="E646" s="72"/>
      <c r="F646" s="71"/>
      <c r="G646" s="69"/>
      <c r="H646" s="73"/>
      <c r="I646" s="69"/>
      <c r="J646" s="69"/>
      <c r="K646" s="69"/>
      <c r="L646" s="74"/>
      <c r="M646" s="74"/>
      <c r="N646" s="69"/>
      <c r="O646" s="75"/>
      <c r="P646" s="75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5.75" customHeight="1">
      <c r="A647" s="68"/>
      <c r="B647" s="69"/>
      <c r="C647" s="72"/>
      <c r="D647" s="71"/>
      <c r="E647" s="72"/>
      <c r="F647" s="71"/>
      <c r="G647" s="69"/>
      <c r="H647" s="73"/>
      <c r="I647" s="69"/>
      <c r="J647" s="69"/>
      <c r="K647" s="69"/>
      <c r="L647" s="74"/>
      <c r="M647" s="74"/>
      <c r="N647" s="69"/>
      <c r="O647" s="75"/>
      <c r="P647" s="75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5.75" customHeight="1">
      <c r="A648" s="68"/>
      <c r="B648" s="69"/>
      <c r="C648" s="72"/>
      <c r="D648" s="71"/>
      <c r="E648" s="72"/>
      <c r="F648" s="71"/>
      <c r="G648" s="69"/>
      <c r="H648" s="73"/>
      <c r="I648" s="69"/>
      <c r="J648" s="69"/>
      <c r="K648" s="69"/>
      <c r="L648" s="74"/>
      <c r="M648" s="74"/>
      <c r="N648" s="69"/>
      <c r="O648" s="75"/>
      <c r="P648" s="75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5.75" customHeight="1">
      <c r="A649" s="68"/>
      <c r="B649" s="69"/>
      <c r="C649" s="72"/>
      <c r="D649" s="71"/>
      <c r="E649" s="72"/>
      <c r="F649" s="71"/>
      <c r="G649" s="69"/>
      <c r="H649" s="73"/>
      <c r="I649" s="69"/>
      <c r="J649" s="69"/>
      <c r="K649" s="69"/>
      <c r="L649" s="74"/>
      <c r="M649" s="74"/>
      <c r="N649" s="69"/>
      <c r="O649" s="75"/>
      <c r="P649" s="75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5.75" customHeight="1">
      <c r="A650" s="68"/>
      <c r="B650" s="69"/>
      <c r="C650" s="72"/>
      <c r="D650" s="71"/>
      <c r="E650" s="72"/>
      <c r="F650" s="71"/>
      <c r="G650" s="69"/>
      <c r="H650" s="73"/>
      <c r="I650" s="69"/>
      <c r="J650" s="69"/>
      <c r="K650" s="69"/>
      <c r="L650" s="74"/>
      <c r="M650" s="74"/>
      <c r="N650" s="69"/>
      <c r="O650" s="75"/>
      <c r="P650" s="75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5.75" customHeight="1">
      <c r="A651" s="68"/>
      <c r="B651" s="69"/>
      <c r="C651" s="72"/>
      <c r="D651" s="71"/>
      <c r="E651" s="72"/>
      <c r="F651" s="71"/>
      <c r="G651" s="69"/>
      <c r="H651" s="73"/>
      <c r="I651" s="69"/>
      <c r="J651" s="69"/>
      <c r="K651" s="69"/>
      <c r="L651" s="74"/>
      <c r="M651" s="74"/>
      <c r="N651" s="69"/>
      <c r="O651" s="75"/>
      <c r="P651" s="75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5.75" customHeight="1">
      <c r="A652" s="68"/>
      <c r="B652" s="69"/>
      <c r="C652" s="72"/>
      <c r="D652" s="71"/>
      <c r="E652" s="72"/>
      <c r="F652" s="71"/>
      <c r="G652" s="69"/>
      <c r="H652" s="73"/>
      <c r="I652" s="69"/>
      <c r="J652" s="69"/>
      <c r="K652" s="69"/>
      <c r="L652" s="74"/>
      <c r="M652" s="74"/>
      <c r="N652" s="69"/>
      <c r="O652" s="75"/>
      <c r="P652" s="75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5.75" customHeight="1">
      <c r="A653" s="68"/>
      <c r="B653" s="69"/>
      <c r="C653" s="72"/>
      <c r="D653" s="71"/>
      <c r="E653" s="72"/>
      <c r="F653" s="71"/>
      <c r="G653" s="69"/>
      <c r="H653" s="73"/>
      <c r="I653" s="69"/>
      <c r="J653" s="69"/>
      <c r="K653" s="69"/>
      <c r="L653" s="74"/>
      <c r="M653" s="74"/>
      <c r="N653" s="69"/>
      <c r="O653" s="75"/>
      <c r="P653" s="75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5.75" customHeight="1">
      <c r="A654" s="68"/>
      <c r="B654" s="69"/>
      <c r="C654" s="72"/>
      <c r="D654" s="71"/>
      <c r="E654" s="72"/>
      <c r="F654" s="71"/>
      <c r="G654" s="69"/>
      <c r="H654" s="73"/>
      <c r="I654" s="69"/>
      <c r="J654" s="69"/>
      <c r="K654" s="69"/>
      <c r="L654" s="74"/>
      <c r="M654" s="74"/>
      <c r="N654" s="69"/>
      <c r="O654" s="75"/>
      <c r="P654" s="75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5.75" customHeight="1">
      <c r="A655" s="68"/>
      <c r="B655" s="69"/>
      <c r="C655" s="72"/>
      <c r="D655" s="71"/>
      <c r="E655" s="72"/>
      <c r="F655" s="71"/>
      <c r="G655" s="69"/>
      <c r="H655" s="73"/>
      <c r="I655" s="69"/>
      <c r="J655" s="69"/>
      <c r="K655" s="69"/>
      <c r="L655" s="74"/>
      <c r="M655" s="74"/>
      <c r="N655" s="69"/>
      <c r="O655" s="75"/>
      <c r="P655" s="75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5.75" customHeight="1">
      <c r="A656" s="68"/>
      <c r="B656" s="69"/>
      <c r="C656" s="72"/>
      <c r="D656" s="71"/>
      <c r="E656" s="72"/>
      <c r="F656" s="71"/>
      <c r="G656" s="69"/>
      <c r="H656" s="73"/>
      <c r="I656" s="69"/>
      <c r="J656" s="69"/>
      <c r="K656" s="69"/>
      <c r="L656" s="74"/>
      <c r="M656" s="74"/>
      <c r="N656" s="69"/>
      <c r="O656" s="75"/>
      <c r="P656" s="75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5.75" customHeight="1">
      <c r="A657" s="68"/>
      <c r="B657" s="69"/>
      <c r="C657" s="72"/>
      <c r="D657" s="71"/>
      <c r="E657" s="72"/>
      <c r="F657" s="71"/>
      <c r="G657" s="69"/>
      <c r="H657" s="73"/>
      <c r="I657" s="69"/>
      <c r="J657" s="69"/>
      <c r="K657" s="69"/>
      <c r="L657" s="74"/>
      <c r="M657" s="74"/>
      <c r="N657" s="69"/>
      <c r="O657" s="75"/>
      <c r="P657" s="75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5.75" customHeight="1">
      <c r="A658" s="68"/>
      <c r="B658" s="69"/>
      <c r="C658" s="72"/>
      <c r="D658" s="71"/>
      <c r="E658" s="72"/>
      <c r="F658" s="71"/>
      <c r="G658" s="69"/>
      <c r="H658" s="73"/>
      <c r="I658" s="69"/>
      <c r="J658" s="69"/>
      <c r="K658" s="69"/>
      <c r="L658" s="74"/>
      <c r="M658" s="74"/>
      <c r="N658" s="69"/>
      <c r="O658" s="75"/>
      <c r="P658" s="75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5.75" customHeight="1">
      <c r="A659" s="68"/>
      <c r="B659" s="69"/>
      <c r="C659" s="72"/>
      <c r="D659" s="71"/>
      <c r="E659" s="72"/>
      <c r="F659" s="71"/>
      <c r="G659" s="69"/>
      <c r="H659" s="73"/>
      <c r="I659" s="69"/>
      <c r="J659" s="69"/>
      <c r="K659" s="69"/>
      <c r="L659" s="74"/>
      <c r="M659" s="74"/>
      <c r="N659" s="69"/>
      <c r="O659" s="75"/>
      <c r="P659" s="75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5.75" customHeight="1">
      <c r="A660" s="68"/>
      <c r="B660" s="69"/>
      <c r="C660" s="72"/>
      <c r="D660" s="71"/>
      <c r="E660" s="72"/>
      <c r="F660" s="71"/>
      <c r="G660" s="69"/>
      <c r="H660" s="73"/>
      <c r="I660" s="69"/>
      <c r="J660" s="69"/>
      <c r="K660" s="69"/>
      <c r="L660" s="74"/>
      <c r="M660" s="74"/>
      <c r="N660" s="69"/>
      <c r="O660" s="75"/>
      <c r="P660" s="75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5.75" customHeight="1">
      <c r="A661" s="68"/>
      <c r="B661" s="69"/>
      <c r="C661" s="72"/>
      <c r="D661" s="71"/>
      <c r="E661" s="72"/>
      <c r="F661" s="71"/>
      <c r="G661" s="69"/>
      <c r="H661" s="73"/>
      <c r="I661" s="69"/>
      <c r="J661" s="69"/>
      <c r="K661" s="69"/>
      <c r="L661" s="74"/>
      <c r="M661" s="74"/>
      <c r="N661" s="69"/>
      <c r="O661" s="75"/>
      <c r="P661" s="75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5.75" customHeight="1">
      <c r="A662" s="68"/>
      <c r="B662" s="69"/>
      <c r="C662" s="72"/>
      <c r="D662" s="71"/>
      <c r="E662" s="72"/>
      <c r="F662" s="71"/>
      <c r="G662" s="69"/>
      <c r="H662" s="73"/>
      <c r="I662" s="69"/>
      <c r="J662" s="69"/>
      <c r="K662" s="69"/>
      <c r="L662" s="74"/>
      <c r="M662" s="74"/>
      <c r="N662" s="69"/>
      <c r="O662" s="75"/>
      <c r="P662" s="75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5.75" customHeight="1">
      <c r="A663" s="68"/>
      <c r="B663" s="69"/>
      <c r="C663" s="72"/>
      <c r="D663" s="71"/>
      <c r="E663" s="72"/>
      <c r="F663" s="71"/>
      <c r="G663" s="69"/>
      <c r="H663" s="73"/>
      <c r="I663" s="69"/>
      <c r="J663" s="69"/>
      <c r="K663" s="69"/>
      <c r="L663" s="74"/>
      <c r="M663" s="74"/>
      <c r="N663" s="69"/>
      <c r="O663" s="75"/>
      <c r="P663" s="75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5.75" customHeight="1">
      <c r="A664" s="68"/>
      <c r="B664" s="69"/>
      <c r="C664" s="72"/>
      <c r="D664" s="71"/>
      <c r="E664" s="72"/>
      <c r="F664" s="71"/>
      <c r="G664" s="69"/>
      <c r="H664" s="73"/>
      <c r="I664" s="69"/>
      <c r="J664" s="69"/>
      <c r="K664" s="69"/>
      <c r="L664" s="74"/>
      <c r="M664" s="74"/>
      <c r="N664" s="69"/>
      <c r="O664" s="75"/>
      <c r="P664" s="75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5.75" customHeight="1">
      <c r="A665" s="68"/>
      <c r="B665" s="69"/>
      <c r="C665" s="72"/>
      <c r="D665" s="71"/>
      <c r="E665" s="72"/>
      <c r="F665" s="71"/>
      <c r="G665" s="69"/>
      <c r="H665" s="73"/>
      <c r="I665" s="69"/>
      <c r="J665" s="69"/>
      <c r="K665" s="69"/>
      <c r="L665" s="74"/>
      <c r="M665" s="74"/>
      <c r="N665" s="69"/>
      <c r="O665" s="75"/>
      <c r="P665" s="75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5.75" customHeight="1">
      <c r="A666" s="68"/>
      <c r="B666" s="69"/>
      <c r="C666" s="72"/>
      <c r="D666" s="71"/>
      <c r="E666" s="72"/>
      <c r="F666" s="71"/>
      <c r="G666" s="69"/>
      <c r="H666" s="73"/>
      <c r="I666" s="69"/>
      <c r="J666" s="69"/>
      <c r="K666" s="69"/>
      <c r="L666" s="74"/>
      <c r="M666" s="74"/>
      <c r="N666" s="69"/>
      <c r="O666" s="75"/>
      <c r="P666" s="75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5.75" customHeight="1">
      <c r="A667" s="68"/>
      <c r="B667" s="69"/>
      <c r="C667" s="72"/>
      <c r="D667" s="71"/>
      <c r="E667" s="72"/>
      <c r="F667" s="71"/>
      <c r="G667" s="69"/>
      <c r="H667" s="73"/>
      <c r="I667" s="69"/>
      <c r="J667" s="69"/>
      <c r="K667" s="69"/>
      <c r="L667" s="74"/>
      <c r="M667" s="74"/>
      <c r="N667" s="69"/>
      <c r="O667" s="75"/>
      <c r="P667" s="75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5.75" customHeight="1">
      <c r="A668" s="68"/>
      <c r="B668" s="69"/>
      <c r="C668" s="72"/>
      <c r="D668" s="71"/>
      <c r="E668" s="72"/>
      <c r="F668" s="71"/>
      <c r="G668" s="69"/>
      <c r="H668" s="73"/>
      <c r="I668" s="69"/>
      <c r="J668" s="69"/>
      <c r="K668" s="69"/>
      <c r="L668" s="74"/>
      <c r="M668" s="74"/>
      <c r="N668" s="69"/>
      <c r="O668" s="75"/>
      <c r="P668" s="75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5.75" customHeight="1">
      <c r="A669" s="68"/>
      <c r="B669" s="69"/>
      <c r="C669" s="72"/>
      <c r="D669" s="71"/>
      <c r="E669" s="72"/>
      <c r="F669" s="71"/>
      <c r="G669" s="69"/>
      <c r="H669" s="73"/>
      <c r="I669" s="69"/>
      <c r="J669" s="69"/>
      <c r="K669" s="69"/>
      <c r="L669" s="74"/>
      <c r="M669" s="74"/>
      <c r="N669" s="69"/>
      <c r="O669" s="75"/>
      <c r="P669" s="75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5.75" customHeight="1">
      <c r="A670" s="68"/>
      <c r="B670" s="69"/>
      <c r="C670" s="72"/>
      <c r="D670" s="71"/>
      <c r="E670" s="72"/>
      <c r="F670" s="71"/>
      <c r="G670" s="69"/>
      <c r="H670" s="73"/>
      <c r="I670" s="69"/>
      <c r="J670" s="69"/>
      <c r="K670" s="69"/>
      <c r="L670" s="74"/>
      <c r="M670" s="74"/>
      <c r="N670" s="69"/>
      <c r="O670" s="75"/>
      <c r="P670" s="75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5.75" customHeight="1">
      <c r="A671" s="68"/>
      <c r="B671" s="69"/>
      <c r="C671" s="72"/>
      <c r="D671" s="71"/>
      <c r="E671" s="72"/>
      <c r="F671" s="71"/>
      <c r="G671" s="69"/>
      <c r="H671" s="73"/>
      <c r="I671" s="69"/>
      <c r="J671" s="69"/>
      <c r="K671" s="69"/>
      <c r="L671" s="74"/>
      <c r="M671" s="74"/>
      <c r="N671" s="69"/>
      <c r="O671" s="75"/>
      <c r="P671" s="75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5.75" customHeight="1">
      <c r="A672" s="68"/>
      <c r="B672" s="69"/>
      <c r="C672" s="72"/>
      <c r="D672" s="71"/>
      <c r="E672" s="72"/>
      <c r="F672" s="71"/>
      <c r="G672" s="69"/>
      <c r="H672" s="73"/>
      <c r="I672" s="69"/>
      <c r="J672" s="69"/>
      <c r="K672" s="69"/>
      <c r="L672" s="74"/>
      <c r="M672" s="74"/>
      <c r="N672" s="69"/>
      <c r="O672" s="75"/>
      <c r="P672" s="75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5.75" customHeight="1">
      <c r="A673" s="68"/>
      <c r="B673" s="69"/>
      <c r="C673" s="72"/>
      <c r="D673" s="71"/>
      <c r="E673" s="72"/>
      <c r="F673" s="71"/>
      <c r="G673" s="69"/>
      <c r="H673" s="73"/>
      <c r="I673" s="69"/>
      <c r="J673" s="69"/>
      <c r="K673" s="69"/>
      <c r="L673" s="74"/>
      <c r="M673" s="74"/>
      <c r="N673" s="69"/>
      <c r="O673" s="75"/>
      <c r="P673" s="75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5.75" customHeight="1">
      <c r="A674" s="68"/>
      <c r="B674" s="69"/>
      <c r="C674" s="72"/>
      <c r="D674" s="71"/>
      <c r="E674" s="72"/>
      <c r="F674" s="71"/>
      <c r="G674" s="69"/>
      <c r="H674" s="73"/>
      <c r="I674" s="69"/>
      <c r="J674" s="69"/>
      <c r="K674" s="69"/>
      <c r="L674" s="74"/>
      <c r="M674" s="74"/>
      <c r="N674" s="69"/>
      <c r="O674" s="75"/>
      <c r="P674" s="75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5.75" customHeight="1">
      <c r="A675" s="68"/>
      <c r="B675" s="69"/>
      <c r="C675" s="72"/>
      <c r="D675" s="71"/>
      <c r="E675" s="72"/>
      <c r="F675" s="71"/>
      <c r="G675" s="69"/>
      <c r="H675" s="73"/>
      <c r="I675" s="69"/>
      <c r="J675" s="69"/>
      <c r="K675" s="69"/>
      <c r="L675" s="74"/>
      <c r="M675" s="74"/>
      <c r="N675" s="69"/>
      <c r="O675" s="75"/>
      <c r="P675" s="75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5.75" customHeight="1">
      <c r="A676" s="68"/>
      <c r="B676" s="69"/>
      <c r="C676" s="72"/>
      <c r="D676" s="71"/>
      <c r="E676" s="72"/>
      <c r="F676" s="71"/>
      <c r="G676" s="69"/>
      <c r="H676" s="73"/>
      <c r="I676" s="69"/>
      <c r="J676" s="69"/>
      <c r="K676" s="69"/>
      <c r="L676" s="74"/>
      <c r="M676" s="74"/>
      <c r="N676" s="69"/>
      <c r="O676" s="75"/>
      <c r="P676" s="75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5.75" customHeight="1">
      <c r="A677" s="68"/>
      <c r="B677" s="69"/>
      <c r="C677" s="72"/>
      <c r="D677" s="71"/>
      <c r="E677" s="72"/>
      <c r="F677" s="71"/>
      <c r="G677" s="69"/>
      <c r="H677" s="73"/>
      <c r="I677" s="69"/>
      <c r="J677" s="69"/>
      <c r="K677" s="69"/>
      <c r="L677" s="74"/>
      <c r="M677" s="74"/>
      <c r="N677" s="69"/>
      <c r="O677" s="75"/>
      <c r="P677" s="75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5.75" customHeight="1">
      <c r="A678" s="68"/>
      <c r="B678" s="69"/>
      <c r="C678" s="72"/>
      <c r="D678" s="71"/>
      <c r="E678" s="72"/>
      <c r="F678" s="71"/>
      <c r="G678" s="69"/>
      <c r="H678" s="73"/>
      <c r="I678" s="69"/>
      <c r="J678" s="69"/>
      <c r="K678" s="69"/>
      <c r="L678" s="74"/>
      <c r="M678" s="74"/>
      <c r="N678" s="69"/>
      <c r="O678" s="75"/>
      <c r="P678" s="75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5.75" customHeight="1">
      <c r="A679" s="68"/>
      <c r="B679" s="69"/>
      <c r="C679" s="72"/>
      <c r="D679" s="71"/>
      <c r="E679" s="72"/>
      <c r="F679" s="71"/>
      <c r="G679" s="69"/>
      <c r="H679" s="73"/>
      <c r="I679" s="69"/>
      <c r="J679" s="69"/>
      <c r="K679" s="69"/>
      <c r="L679" s="74"/>
      <c r="M679" s="74"/>
      <c r="N679" s="69"/>
      <c r="O679" s="75"/>
      <c r="P679" s="75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5.75" customHeight="1">
      <c r="A680" s="68"/>
      <c r="B680" s="69"/>
      <c r="C680" s="72"/>
      <c r="D680" s="71"/>
      <c r="E680" s="72"/>
      <c r="F680" s="71"/>
      <c r="G680" s="69"/>
      <c r="H680" s="73"/>
      <c r="I680" s="69"/>
      <c r="J680" s="69"/>
      <c r="K680" s="69"/>
      <c r="L680" s="74"/>
      <c r="M680" s="74"/>
      <c r="N680" s="69"/>
      <c r="O680" s="75"/>
      <c r="P680" s="75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5.75" customHeight="1">
      <c r="A681" s="68"/>
      <c r="B681" s="69"/>
      <c r="C681" s="72"/>
      <c r="D681" s="71"/>
      <c r="E681" s="72"/>
      <c r="F681" s="71"/>
      <c r="G681" s="69"/>
      <c r="H681" s="73"/>
      <c r="I681" s="69"/>
      <c r="J681" s="69"/>
      <c r="K681" s="69"/>
      <c r="L681" s="74"/>
      <c r="M681" s="74"/>
      <c r="N681" s="69"/>
      <c r="O681" s="75"/>
      <c r="P681" s="75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5.75" customHeight="1">
      <c r="A682" s="68"/>
      <c r="B682" s="69"/>
      <c r="C682" s="72"/>
      <c r="D682" s="71"/>
      <c r="E682" s="72"/>
      <c r="F682" s="71"/>
      <c r="G682" s="69"/>
      <c r="H682" s="73"/>
      <c r="I682" s="69"/>
      <c r="J682" s="69"/>
      <c r="K682" s="69"/>
      <c r="L682" s="74"/>
      <c r="M682" s="74"/>
      <c r="N682" s="69"/>
      <c r="O682" s="75"/>
      <c r="P682" s="75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5.75" customHeight="1">
      <c r="A683" s="68"/>
      <c r="B683" s="69"/>
      <c r="C683" s="72"/>
      <c r="D683" s="71"/>
      <c r="E683" s="72"/>
      <c r="F683" s="71"/>
      <c r="G683" s="69"/>
      <c r="H683" s="73"/>
      <c r="I683" s="69"/>
      <c r="J683" s="69"/>
      <c r="K683" s="69"/>
      <c r="L683" s="74"/>
      <c r="M683" s="74"/>
      <c r="N683" s="69"/>
      <c r="O683" s="75"/>
      <c r="P683" s="75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5.75" customHeight="1">
      <c r="A684" s="68"/>
      <c r="B684" s="69"/>
      <c r="C684" s="72"/>
      <c r="D684" s="71"/>
      <c r="E684" s="72"/>
      <c r="F684" s="71"/>
      <c r="G684" s="69"/>
      <c r="H684" s="73"/>
      <c r="I684" s="69"/>
      <c r="J684" s="69"/>
      <c r="K684" s="69"/>
      <c r="L684" s="74"/>
      <c r="M684" s="74"/>
      <c r="N684" s="69"/>
      <c r="O684" s="75"/>
      <c r="P684" s="75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5.75" customHeight="1">
      <c r="A685" s="68"/>
      <c r="B685" s="69"/>
      <c r="C685" s="72"/>
      <c r="D685" s="71"/>
      <c r="E685" s="72"/>
      <c r="F685" s="71"/>
      <c r="G685" s="69"/>
      <c r="H685" s="73"/>
      <c r="I685" s="69"/>
      <c r="J685" s="69"/>
      <c r="K685" s="69"/>
      <c r="L685" s="74"/>
      <c r="M685" s="74"/>
      <c r="N685" s="69"/>
      <c r="O685" s="75"/>
      <c r="P685" s="75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5.75" customHeight="1">
      <c r="A686" s="68"/>
      <c r="B686" s="69"/>
      <c r="C686" s="72"/>
      <c r="D686" s="71"/>
      <c r="E686" s="72"/>
      <c r="F686" s="71"/>
      <c r="G686" s="69"/>
      <c r="H686" s="73"/>
      <c r="I686" s="69"/>
      <c r="J686" s="69"/>
      <c r="K686" s="69"/>
      <c r="L686" s="74"/>
      <c r="M686" s="74"/>
      <c r="N686" s="69"/>
      <c r="O686" s="75"/>
      <c r="P686" s="75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5.75" customHeight="1">
      <c r="A687" s="68"/>
      <c r="B687" s="69"/>
      <c r="C687" s="72"/>
      <c r="D687" s="71"/>
      <c r="E687" s="72"/>
      <c r="F687" s="71"/>
      <c r="G687" s="69"/>
      <c r="H687" s="73"/>
      <c r="I687" s="69"/>
      <c r="J687" s="69"/>
      <c r="K687" s="69"/>
      <c r="L687" s="74"/>
      <c r="M687" s="74"/>
      <c r="N687" s="69"/>
      <c r="O687" s="75"/>
      <c r="P687" s="75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5.75" customHeight="1">
      <c r="A688" s="68"/>
      <c r="B688" s="69"/>
      <c r="C688" s="72"/>
      <c r="D688" s="71"/>
      <c r="E688" s="72"/>
      <c r="F688" s="71"/>
      <c r="G688" s="69"/>
      <c r="H688" s="73"/>
      <c r="I688" s="69"/>
      <c r="J688" s="69"/>
      <c r="K688" s="69"/>
      <c r="L688" s="74"/>
      <c r="M688" s="74"/>
      <c r="N688" s="69"/>
      <c r="O688" s="75"/>
      <c r="P688" s="75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5.75" customHeight="1">
      <c r="A689" s="68"/>
      <c r="B689" s="69"/>
      <c r="C689" s="72"/>
      <c r="D689" s="71"/>
      <c r="E689" s="72"/>
      <c r="F689" s="71"/>
      <c r="G689" s="69"/>
      <c r="H689" s="73"/>
      <c r="I689" s="69"/>
      <c r="J689" s="69"/>
      <c r="K689" s="69"/>
      <c r="L689" s="74"/>
      <c r="M689" s="74"/>
      <c r="N689" s="69"/>
      <c r="O689" s="75"/>
      <c r="P689" s="75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5.75" customHeight="1">
      <c r="A690" s="68"/>
      <c r="B690" s="69"/>
      <c r="C690" s="72"/>
      <c r="D690" s="71"/>
      <c r="E690" s="72"/>
      <c r="F690" s="71"/>
      <c r="G690" s="69"/>
      <c r="H690" s="73"/>
      <c r="I690" s="69"/>
      <c r="J690" s="69"/>
      <c r="K690" s="69"/>
      <c r="L690" s="74"/>
      <c r="M690" s="74"/>
      <c r="N690" s="69"/>
      <c r="O690" s="75"/>
      <c r="P690" s="75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5.75" customHeight="1">
      <c r="A691" s="68"/>
      <c r="B691" s="69"/>
      <c r="C691" s="72"/>
      <c r="D691" s="71"/>
      <c r="E691" s="72"/>
      <c r="F691" s="71"/>
      <c r="G691" s="69"/>
      <c r="H691" s="73"/>
      <c r="I691" s="69"/>
      <c r="J691" s="69"/>
      <c r="K691" s="69"/>
      <c r="L691" s="74"/>
      <c r="M691" s="74"/>
      <c r="N691" s="69"/>
      <c r="O691" s="75"/>
      <c r="P691" s="75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5.75" customHeight="1">
      <c r="A692" s="68"/>
      <c r="B692" s="69"/>
      <c r="C692" s="72"/>
      <c r="D692" s="71"/>
      <c r="E692" s="72"/>
      <c r="F692" s="71"/>
      <c r="G692" s="69"/>
      <c r="H692" s="73"/>
      <c r="I692" s="69"/>
      <c r="J692" s="69"/>
      <c r="K692" s="69"/>
      <c r="L692" s="74"/>
      <c r="M692" s="74"/>
      <c r="N692" s="69"/>
      <c r="O692" s="75"/>
      <c r="P692" s="75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5.75" customHeight="1">
      <c r="A693" s="68"/>
      <c r="B693" s="69"/>
      <c r="C693" s="72"/>
      <c r="D693" s="71"/>
      <c r="E693" s="72"/>
      <c r="F693" s="71"/>
      <c r="G693" s="69"/>
      <c r="H693" s="73"/>
      <c r="I693" s="69"/>
      <c r="J693" s="69"/>
      <c r="K693" s="69"/>
      <c r="L693" s="74"/>
      <c r="M693" s="74"/>
      <c r="N693" s="69"/>
      <c r="O693" s="75"/>
      <c r="P693" s="75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5.75" customHeight="1">
      <c r="A694" s="68"/>
      <c r="B694" s="69"/>
      <c r="C694" s="72"/>
      <c r="D694" s="71"/>
      <c r="E694" s="72"/>
      <c r="F694" s="71"/>
      <c r="G694" s="69"/>
      <c r="H694" s="73"/>
      <c r="I694" s="69"/>
      <c r="J694" s="69"/>
      <c r="K694" s="69"/>
      <c r="L694" s="74"/>
      <c r="M694" s="74"/>
      <c r="N694" s="69"/>
      <c r="O694" s="75"/>
      <c r="P694" s="75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5.75" customHeight="1">
      <c r="A695" s="68"/>
      <c r="B695" s="69"/>
      <c r="C695" s="72"/>
      <c r="D695" s="71"/>
      <c r="E695" s="72"/>
      <c r="F695" s="71"/>
      <c r="G695" s="69"/>
      <c r="H695" s="73"/>
      <c r="I695" s="69"/>
      <c r="J695" s="69"/>
      <c r="K695" s="69"/>
      <c r="L695" s="74"/>
      <c r="M695" s="74"/>
      <c r="N695" s="69"/>
      <c r="O695" s="75"/>
      <c r="P695" s="75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5.75" customHeight="1">
      <c r="A696" s="68"/>
      <c r="B696" s="69"/>
      <c r="C696" s="72"/>
      <c r="D696" s="71"/>
      <c r="E696" s="72"/>
      <c r="F696" s="71"/>
      <c r="G696" s="69"/>
      <c r="H696" s="73"/>
      <c r="I696" s="69"/>
      <c r="J696" s="69"/>
      <c r="K696" s="69"/>
      <c r="L696" s="74"/>
      <c r="M696" s="74"/>
      <c r="N696" s="69"/>
      <c r="O696" s="75"/>
      <c r="P696" s="75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5.75" customHeight="1">
      <c r="A697" s="68"/>
      <c r="B697" s="69"/>
      <c r="C697" s="72"/>
      <c r="D697" s="71"/>
      <c r="E697" s="72"/>
      <c r="F697" s="71"/>
      <c r="G697" s="69"/>
      <c r="H697" s="73"/>
      <c r="I697" s="69"/>
      <c r="J697" s="69"/>
      <c r="K697" s="69"/>
      <c r="L697" s="74"/>
      <c r="M697" s="74"/>
      <c r="N697" s="69"/>
      <c r="O697" s="75"/>
      <c r="P697" s="75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5.75" customHeight="1">
      <c r="A698" s="68"/>
      <c r="B698" s="69"/>
      <c r="C698" s="72"/>
      <c r="D698" s="71"/>
      <c r="E698" s="72"/>
      <c r="F698" s="71"/>
      <c r="G698" s="69"/>
      <c r="H698" s="73"/>
      <c r="I698" s="69"/>
      <c r="J698" s="69"/>
      <c r="K698" s="69"/>
      <c r="L698" s="74"/>
      <c r="M698" s="74"/>
      <c r="N698" s="69"/>
      <c r="O698" s="75"/>
      <c r="P698" s="75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5.75" customHeight="1">
      <c r="A699" s="68"/>
      <c r="B699" s="69"/>
      <c r="C699" s="72"/>
      <c r="D699" s="71"/>
      <c r="E699" s="72"/>
      <c r="F699" s="71"/>
      <c r="G699" s="69"/>
      <c r="H699" s="73"/>
      <c r="I699" s="69"/>
      <c r="J699" s="69"/>
      <c r="K699" s="69"/>
      <c r="L699" s="74"/>
      <c r="M699" s="74"/>
      <c r="N699" s="69"/>
      <c r="O699" s="75"/>
      <c r="P699" s="75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5.75" customHeight="1">
      <c r="A700" s="68"/>
      <c r="B700" s="69"/>
      <c r="C700" s="72"/>
      <c r="D700" s="71"/>
      <c r="E700" s="72"/>
      <c r="F700" s="71"/>
      <c r="G700" s="69"/>
      <c r="H700" s="73"/>
      <c r="I700" s="69"/>
      <c r="J700" s="69"/>
      <c r="K700" s="69"/>
      <c r="L700" s="74"/>
      <c r="M700" s="74"/>
      <c r="N700" s="69"/>
      <c r="O700" s="75"/>
      <c r="P700" s="75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5.75" customHeight="1">
      <c r="A701" s="68"/>
      <c r="B701" s="69"/>
      <c r="C701" s="72"/>
      <c r="D701" s="71"/>
      <c r="E701" s="72"/>
      <c r="F701" s="71"/>
      <c r="G701" s="69"/>
      <c r="H701" s="73"/>
      <c r="I701" s="69"/>
      <c r="J701" s="69"/>
      <c r="K701" s="69"/>
      <c r="L701" s="74"/>
      <c r="M701" s="74"/>
      <c r="N701" s="69"/>
      <c r="O701" s="75"/>
      <c r="P701" s="75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5.75" customHeight="1">
      <c r="A702" s="68"/>
      <c r="B702" s="69"/>
      <c r="C702" s="72"/>
      <c r="D702" s="71"/>
      <c r="E702" s="72"/>
      <c r="F702" s="71"/>
      <c r="G702" s="69"/>
      <c r="H702" s="73"/>
      <c r="I702" s="69"/>
      <c r="J702" s="69"/>
      <c r="K702" s="69"/>
      <c r="L702" s="74"/>
      <c r="M702" s="74"/>
      <c r="N702" s="69"/>
      <c r="O702" s="75"/>
      <c r="P702" s="75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5.75" customHeight="1">
      <c r="A703" s="68"/>
      <c r="B703" s="69"/>
      <c r="C703" s="72"/>
      <c r="D703" s="71"/>
      <c r="E703" s="72"/>
      <c r="F703" s="71"/>
      <c r="G703" s="69"/>
      <c r="H703" s="73"/>
      <c r="I703" s="69"/>
      <c r="J703" s="69"/>
      <c r="K703" s="69"/>
      <c r="L703" s="74"/>
      <c r="M703" s="74"/>
      <c r="N703" s="69"/>
      <c r="O703" s="75"/>
      <c r="P703" s="75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5.75" customHeight="1">
      <c r="A704" s="68"/>
      <c r="B704" s="69"/>
      <c r="C704" s="72"/>
      <c r="D704" s="71"/>
      <c r="E704" s="72"/>
      <c r="F704" s="71"/>
      <c r="G704" s="69"/>
      <c r="H704" s="73"/>
      <c r="I704" s="69"/>
      <c r="J704" s="69"/>
      <c r="K704" s="69"/>
      <c r="L704" s="74"/>
      <c r="M704" s="74"/>
      <c r="N704" s="69"/>
      <c r="O704" s="75"/>
      <c r="P704" s="75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5.75" customHeight="1">
      <c r="A705" s="68"/>
      <c r="B705" s="69"/>
      <c r="C705" s="72"/>
      <c r="D705" s="71"/>
      <c r="E705" s="72"/>
      <c r="F705" s="71"/>
      <c r="G705" s="69"/>
      <c r="H705" s="73"/>
      <c r="I705" s="69"/>
      <c r="J705" s="69"/>
      <c r="K705" s="69"/>
      <c r="L705" s="74"/>
      <c r="M705" s="74"/>
      <c r="N705" s="69"/>
      <c r="O705" s="75"/>
      <c r="P705" s="75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5.75" customHeight="1">
      <c r="A706" s="68"/>
      <c r="B706" s="69"/>
      <c r="C706" s="72"/>
      <c r="D706" s="71"/>
      <c r="E706" s="72"/>
      <c r="F706" s="71"/>
      <c r="G706" s="69"/>
      <c r="H706" s="73"/>
      <c r="I706" s="69"/>
      <c r="J706" s="69"/>
      <c r="K706" s="69"/>
      <c r="L706" s="74"/>
      <c r="M706" s="74"/>
      <c r="N706" s="69"/>
      <c r="O706" s="75"/>
      <c r="P706" s="75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5.75" customHeight="1">
      <c r="A707" s="68"/>
      <c r="B707" s="69"/>
      <c r="C707" s="72"/>
      <c r="D707" s="71"/>
      <c r="E707" s="72"/>
      <c r="F707" s="71"/>
      <c r="G707" s="69"/>
      <c r="H707" s="73"/>
      <c r="I707" s="69"/>
      <c r="J707" s="69"/>
      <c r="K707" s="69"/>
      <c r="L707" s="74"/>
      <c r="M707" s="74"/>
      <c r="N707" s="69"/>
      <c r="O707" s="75"/>
      <c r="P707" s="75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5.75" customHeight="1">
      <c r="A708" s="68"/>
      <c r="B708" s="69"/>
      <c r="C708" s="72"/>
      <c r="D708" s="71"/>
      <c r="E708" s="72"/>
      <c r="F708" s="71"/>
      <c r="G708" s="69"/>
      <c r="H708" s="73"/>
      <c r="I708" s="69"/>
      <c r="J708" s="69"/>
      <c r="K708" s="69"/>
      <c r="L708" s="74"/>
      <c r="M708" s="74"/>
      <c r="N708" s="69"/>
      <c r="O708" s="75"/>
      <c r="P708" s="75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5.75" customHeight="1">
      <c r="A709" s="68"/>
      <c r="B709" s="69"/>
      <c r="C709" s="72"/>
      <c r="D709" s="71"/>
      <c r="E709" s="72"/>
      <c r="F709" s="71"/>
      <c r="G709" s="69"/>
      <c r="H709" s="73"/>
      <c r="I709" s="69"/>
      <c r="J709" s="69"/>
      <c r="K709" s="69"/>
      <c r="L709" s="74"/>
      <c r="M709" s="74"/>
      <c r="N709" s="69"/>
      <c r="O709" s="75"/>
      <c r="P709" s="75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5.75" customHeight="1">
      <c r="A710" s="68"/>
      <c r="B710" s="69"/>
      <c r="C710" s="72"/>
      <c r="D710" s="71"/>
      <c r="E710" s="72"/>
      <c r="F710" s="71"/>
      <c r="G710" s="69"/>
      <c r="H710" s="73"/>
      <c r="I710" s="69"/>
      <c r="J710" s="69"/>
      <c r="K710" s="69"/>
      <c r="L710" s="74"/>
      <c r="M710" s="74"/>
      <c r="N710" s="69"/>
      <c r="O710" s="75"/>
      <c r="P710" s="75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5.75" customHeight="1">
      <c r="A711" s="68"/>
      <c r="B711" s="69"/>
      <c r="C711" s="72"/>
      <c r="D711" s="71"/>
      <c r="E711" s="72"/>
      <c r="F711" s="71"/>
      <c r="G711" s="69"/>
      <c r="H711" s="73"/>
      <c r="I711" s="69"/>
      <c r="J711" s="69"/>
      <c r="K711" s="69"/>
      <c r="L711" s="74"/>
      <c r="M711" s="74"/>
      <c r="N711" s="69"/>
      <c r="O711" s="75"/>
      <c r="P711" s="75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5.75" customHeight="1">
      <c r="A712" s="68"/>
      <c r="B712" s="69"/>
      <c r="C712" s="72"/>
      <c r="D712" s="71"/>
      <c r="E712" s="72"/>
      <c r="F712" s="71"/>
      <c r="G712" s="69"/>
      <c r="H712" s="73"/>
      <c r="I712" s="69"/>
      <c r="J712" s="69"/>
      <c r="K712" s="69"/>
      <c r="L712" s="74"/>
      <c r="M712" s="74"/>
      <c r="N712" s="69"/>
      <c r="O712" s="75"/>
      <c r="P712" s="75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5.75" customHeight="1">
      <c r="A713" s="68"/>
      <c r="B713" s="69"/>
      <c r="C713" s="72"/>
      <c r="D713" s="71"/>
      <c r="E713" s="72"/>
      <c r="F713" s="71"/>
      <c r="G713" s="69"/>
      <c r="H713" s="73"/>
      <c r="I713" s="69"/>
      <c r="J713" s="69"/>
      <c r="K713" s="69"/>
      <c r="L713" s="74"/>
      <c r="M713" s="74"/>
      <c r="N713" s="69"/>
      <c r="O713" s="75"/>
      <c r="P713" s="75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5.75" customHeight="1">
      <c r="A714" s="68"/>
      <c r="B714" s="69"/>
      <c r="C714" s="72"/>
      <c r="D714" s="71"/>
      <c r="E714" s="72"/>
      <c r="F714" s="71"/>
      <c r="G714" s="69"/>
      <c r="H714" s="73"/>
      <c r="I714" s="69"/>
      <c r="J714" s="69"/>
      <c r="K714" s="69"/>
      <c r="L714" s="74"/>
      <c r="M714" s="74"/>
      <c r="N714" s="69"/>
      <c r="O714" s="75"/>
      <c r="P714" s="75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5.75" customHeight="1">
      <c r="A715" s="68"/>
      <c r="B715" s="69"/>
      <c r="C715" s="72"/>
      <c r="D715" s="71"/>
      <c r="E715" s="72"/>
      <c r="F715" s="71"/>
      <c r="G715" s="69"/>
      <c r="H715" s="73"/>
      <c r="I715" s="69"/>
      <c r="J715" s="69"/>
      <c r="K715" s="69"/>
      <c r="L715" s="74"/>
      <c r="M715" s="74"/>
      <c r="N715" s="69"/>
      <c r="O715" s="75"/>
      <c r="P715" s="75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5.75" customHeight="1">
      <c r="A716" s="68"/>
      <c r="B716" s="69"/>
      <c r="C716" s="72"/>
      <c r="D716" s="71"/>
      <c r="E716" s="72"/>
      <c r="F716" s="71"/>
      <c r="G716" s="69"/>
      <c r="H716" s="73"/>
      <c r="I716" s="69"/>
      <c r="J716" s="69"/>
      <c r="K716" s="69"/>
      <c r="L716" s="74"/>
      <c r="M716" s="74"/>
      <c r="N716" s="69"/>
      <c r="O716" s="75"/>
      <c r="P716" s="75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5.75" customHeight="1">
      <c r="A717" s="68"/>
      <c r="B717" s="69"/>
      <c r="C717" s="72"/>
      <c r="D717" s="71"/>
      <c r="E717" s="72"/>
      <c r="F717" s="71"/>
      <c r="G717" s="69"/>
      <c r="H717" s="73"/>
      <c r="I717" s="69"/>
      <c r="J717" s="69"/>
      <c r="K717" s="69"/>
      <c r="L717" s="74"/>
      <c r="M717" s="74"/>
      <c r="N717" s="69"/>
      <c r="O717" s="75"/>
      <c r="P717" s="75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5.75" customHeight="1">
      <c r="A718" s="68"/>
      <c r="B718" s="69"/>
      <c r="C718" s="72"/>
      <c r="D718" s="71"/>
      <c r="E718" s="72"/>
      <c r="F718" s="71"/>
      <c r="G718" s="69"/>
      <c r="H718" s="73"/>
      <c r="I718" s="69"/>
      <c r="J718" s="69"/>
      <c r="K718" s="69"/>
      <c r="L718" s="74"/>
      <c r="M718" s="74"/>
      <c r="N718" s="69"/>
      <c r="O718" s="75"/>
      <c r="P718" s="75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5.75" customHeight="1">
      <c r="A719" s="68"/>
      <c r="B719" s="69"/>
      <c r="C719" s="72"/>
      <c r="D719" s="71"/>
      <c r="E719" s="72"/>
      <c r="F719" s="71"/>
      <c r="G719" s="69"/>
      <c r="H719" s="73"/>
      <c r="I719" s="69"/>
      <c r="J719" s="69"/>
      <c r="K719" s="69"/>
      <c r="L719" s="74"/>
      <c r="M719" s="74"/>
      <c r="N719" s="69"/>
      <c r="O719" s="75"/>
      <c r="P719" s="75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5.75" customHeight="1">
      <c r="A720" s="68"/>
      <c r="B720" s="69"/>
      <c r="C720" s="72"/>
      <c r="D720" s="71"/>
      <c r="E720" s="72"/>
      <c r="F720" s="71"/>
      <c r="G720" s="69"/>
      <c r="H720" s="73"/>
      <c r="I720" s="69"/>
      <c r="J720" s="69"/>
      <c r="K720" s="69"/>
      <c r="L720" s="74"/>
      <c r="M720" s="74"/>
      <c r="N720" s="69"/>
      <c r="O720" s="75"/>
      <c r="P720" s="75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5.75" customHeight="1">
      <c r="A721" s="68"/>
      <c r="B721" s="69"/>
      <c r="C721" s="72"/>
      <c r="D721" s="71"/>
      <c r="E721" s="72"/>
      <c r="F721" s="71"/>
      <c r="G721" s="69"/>
      <c r="H721" s="73"/>
      <c r="I721" s="69"/>
      <c r="J721" s="69"/>
      <c r="K721" s="69"/>
      <c r="L721" s="74"/>
      <c r="M721" s="74"/>
      <c r="N721" s="69"/>
      <c r="O721" s="75"/>
      <c r="P721" s="75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5.75" customHeight="1">
      <c r="A722" s="68"/>
      <c r="B722" s="69"/>
      <c r="C722" s="72"/>
      <c r="D722" s="71"/>
      <c r="E722" s="72"/>
      <c r="F722" s="71"/>
      <c r="G722" s="69"/>
      <c r="H722" s="73"/>
      <c r="I722" s="69"/>
      <c r="J722" s="69"/>
      <c r="K722" s="69"/>
      <c r="L722" s="74"/>
      <c r="M722" s="74"/>
      <c r="N722" s="69"/>
      <c r="O722" s="75"/>
      <c r="P722" s="75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5.75" customHeight="1">
      <c r="A723" s="68"/>
      <c r="B723" s="69"/>
      <c r="C723" s="72"/>
      <c r="D723" s="71"/>
      <c r="E723" s="72"/>
      <c r="F723" s="71"/>
      <c r="G723" s="69"/>
      <c r="H723" s="73"/>
      <c r="I723" s="69"/>
      <c r="J723" s="69"/>
      <c r="K723" s="69"/>
      <c r="L723" s="74"/>
      <c r="M723" s="74"/>
      <c r="N723" s="69"/>
      <c r="O723" s="75"/>
      <c r="P723" s="75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5.75" customHeight="1">
      <c r="A724" s="68"/>
      <c r="B724" s="69"/>
      <c r="C724" s="72"/>
      <c r="D724" s="71"/>
      <c r="E724" s="72"/>
      <c r="F724" s="71"/>
      <c r="G724" s="69"/>
      <c r="H724" s="73"/>
      <c r="I724" s="69"/>
      <c r="J724" s="69"/>
      <c r="K724" s="69"/>
      <c r="L724" s="74"/>
      <c r="M724" s="74"/>
      <c r="N724" s="69"/>
      <c r="O724" s="75"/>
      <c r="P724" s="75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5.75" customHeight="1">
      <c r="A725" s="68"/>
      <c r="B725" s="69"/>
      <c r="C725" s="72"/>
      <c r="D725" s="71"/>
      <c r="E725" s="72"/>
      <c r="F725" s="71"/>
      <c r="G725" s="69"/>
      <c r="H725" s="73"/>
      <c r="I725" s="69"/>
      <c r="J725" s="69"/>
      <c r="K725" s="69"/>
      <c r="L725" s="74"/>
      <c r="M725" s="74"/>
      <c r="N725" s="69"/>
      <c r="O725" s="75"/>
      <c r="P725" s="75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5.75" customHeight="1">
      <c r="A726" s="68"/>
      <c r="B726" s="69"/>
      <c r="C726" s="72"/>
      <c r="D726" s="71"/>
      <c r="E726" s="72"/>
      <c r="F726" s="71"/>
      <c r="G726" s="69"/>
      <c r="H726" s="73"/>
      <c r="I726" s="69"/>
      <c r="J726" s="69"/>
      <c r="K726" s="69"/>
      <c r="L726" s="74"/>
      <c r="M726" s="74"/>
      <c r="N726" s="69"/>
      <c r="O726" s="75"/>
      <c r="P726" s="75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5.75" customHeight="1">
      <c r="A727" s="68"/>
      <c r="B727" s="69"/>
      <c r="C727" s="72"/>
      <c r="D727" s="71"/>
      <c r="E727" s="72"/>
      <c r="F727" s="71"/>
      <c r="G727" s="69"/>
      <c r="H727" s="73"/>
      <c r="I727" s="69"/>
      <c r="J727" s="69"/>
      <c r="K727" s="69"/>
      <c r="L727" s="74"/>
      <c r="M727" s="74"/>
      <c r="N727" s="69"/>
      <c r="O727" s="75"/>
      <c r="P727" s="75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5.75" customHeight="1">
      <c r="A728" s="68"/>
      <c r="B728" s="69"/>
      <c r="C728" s="72"/>
      <c r="D728" s="71"/>
      <c r="E728" s="72"/>
      <c r="F728" s="71"/>
      <c r="G728" s="69"/>
      <c r="H728" s="73"/>
      <c r="I728" s="69"/>
      <c r="J728" s="69"/>
      <c r="K728" s="69"/>
      <c r="L728" s="74"/>
      <c r="M728" s="74"/>
      <c r="N728" s="69"/>
      <c r="O728" s="75"/>
      <c r="P728" s="75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5.75" customHeight="1">
      <c r="A729" s="68"/>
      <c r="B729" s="69"/>
      <c r="C729" s="72"/>
      <c r="D729" s="71"/>
      <c r="E729" s="72"/>
      <c r="F729" s="71"/>
      <c r="G729" s="69"/>
      <c r="H729" s="73"/>
      <c r="I729" s="69"/>
      <c r="J729" s="69"/>
      <c r="K729" s="69"/>
      <c r="L729" s="74"/>
      <c r="M729" s="74"/>
      <c r="N729" s="69"/>
      <c r="O729" s="75"/>
      <c r="P729" s="75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5.75" customHeight="1">
      <c r="A730" s="68"/>
      <c r="B730" s="69"/>
      <c r="C730" s="72"/>
      <c r="D730" s="71"/>
      <c r="E730" s="72"/>
      <c r="F730" s="71"/>
      <c r="G730" s="69"/>
      <c r="H730" s="73"/>
      <c r="I730" s="69"/>
      <c r="J730" s="69"/>
      <c r="K730" s="69"/>
      <c r="L730" s="74"/>
      <c r="M730" s="74"/>
      <c r="N730" s="69"/>
      <c r="O730" s="75"/>
      <c r="P730" s="75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5.75" customHeight="1">
      <c r="A731" s="68"/>
      <c r="B731" s="69"/>
      <c r="C731" s="72"/>
      <c r="D731" s="71"/>
      <c r="E731" s="72"/>
      <c r="F731" s="71"/>
      <c r="G731" s="69"/>
      <c r="H731" s="73"/>
      <c r="I731" s="69"/>
      <c r="J731" s="69"/>
      <c r="K731" s="69"/>
      <c r="L731" s="74"/>
      <c r="M731" s="74"/>
      <c r="N731" s="69"/>
      <c r="O731" s="75"/>
      <c r="P731" s="75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5.75" customHeight="1">
      <c r="A732" s="68"/>
      <c r="B732" s="69"/>
      <c r="C732" s="72"/>
      <c r="D732" s="71"/>
      <c r="E732" s="72"/>
      <c r="F732" s="71"/>
      <c r="G732" s="69"/>
      <c r="H732" s="73"/>
      <c r="I732" s="69"/>
      <c r="J732" s="69"/>
      <c r="K732" s="69"/>
      <c r="L732" s="74"/>
      <c r="M732" s="74"/>
      <c r="N732" s="69"/>
      <c r="O732" s="75"/>
      <c r="P732" s="75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5.75" customHeight="1">
      <c r="A733" s="68"/>
      <c r="B733" s="69"/>
      <c r="C733" s="72"/>
      <c r="D733" s="71"/>
      <c r="E733" s="72"/>
      <c r="F733" s="71"/>
      <c r="G733" s="69"/>
      <c r="H733" s="73"/>
      <c r="I733" s="69"/>
      <c r="J733" s="69"/>
      <c r="K733" s="69"/>
      <c r="L733" s="74"/>
      <c r="M733" s="74"/>
      <c r="N733" s="69"/>
      <c r="O733" s="75"/>
      <c r="P733" s="75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5.75" customHeight="1">
      <c r="A734" s="68"/>
      <c r="B734" s="69"/>
      <c r="C734" s="72"/>
      <c r="D734" s="71"/>
      <c r="E734" s="72"/>
      <c r="F734" s="71"/>
      <c r="G734" s="69"/>
      <c r="H734" s="73"/>
      <c r="I734" s="69"/>
      <c r="J734" s="69"/>
      <c r="K734" s="69"/>
      <c r="L734" s="74"/>
      <c r="M734" s="74"/>
      <c r="N734" s="69"/>
      <c r="O734" s="75"/>
      <c r="P734" s="75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5.75" customHeight="1">
      <c r="A735" s="68"/>
      <c r="B735" s="69"/>
      <c r="C735" s="72"/>
      <c r="D735" s="71"/>
      <c r="E735" s="72"/>
      <c r="F735" s="71"/>
      <c r="G735" s="69"/>
      <c r="H735" s="73"/>
      <c r="I735" s="69"/>
      <c r="J735" s="69"/>
      <c r="K735" s="69"/>
      <c r="L735" s="74"/>
      <c r="M735" s="74"/>
      <c r="N735" s="69"/>
      <c r="O735" s="75"/>
      <c r="P735" s="75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5.75" customHeight="1">
      <c r="A736" s="68"/>
      <c r="B736" s="69"/>
      <c r="C736" s="72"/>
      <c r="D736" s="71"/>
      <c r="E736" s="72"/>
      <c r="F736" s="71"/>
      <c r="G736" s="69"/>
      <c r="H736" s="73"/>
      <c r="I736" s="69"/>
      <c r="J736" s="69"/>
      <c r="K736" s="69"/>
      <c r="L736" s="74"/>
      <c r="M736" s="74"/>
      <c r="N736" s="69"/>
      <c r="O736" s="75"/>
      <c r="P736" s="75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5.75" customHeight="1">
      <c r="A737" s="68"/>
      <c r="B737" s="69"/>
      <c r="C737" s="72"/>
      <c r="D737" s="71"/>
      <c r="E737" s="72"/>
      <c r="F737" s="71"/>
      <c r="G737" s="69"/>
      <c r="H737" s="73"/>
      <c r="I737" s="69"/>
      <c r="J737" s="69"/>
      <c r="K737" s="69"/>
      <c r="L737" s="74"/>
      <c r="M737" s="74"/>
      <c r="N737" s="69"/>
      <c r="O737" s="75"/>
      <c r="P737" s="75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5.75" customHeight="1">
      <c r="A738" s="68"/>
      <c r="B738" s="69"/>
      <c r="C738" s="72"/>
      <c r="D738" s="71"/>
      <c r="E738" s="72"/>
      <c r="F738" s="71"/>
      <c r="G738" s="69"/>
      <c r="H738" s="73"/>
      <c r="I738" s="69"/>
      <c r="J738" s="69"/>
      <c r="K738" s="69"/>
      <c r="L738" s="74"/>
      <c r="M738" s="74"/>
      <c r="N738" s="69"/>
      <c r="O738" s="75"/>
      <c r="P738" s="75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5.75" customHeight="1">
      <c r="A739" s="68"/>
      <c r="B739" s="69"/>
      <c r="C739" s="72"/>
      <c r="D739" s="71"/>
      <c r="E739" s="72"/>
      <c r="F739" s="71"/>
      <c r="G739" s="69"/>
      <c r="H739" s="73"/>
      <c r="I739" s="69"/>
      <c r="J739" s="69"/>
      <c r="K739" s="69"/>
      <c r="L739" s="74"/>
      <c r="M739" s="74"/>
      <c r="N739" s="69"/>
      <c r="O739" s="75"/>
      <c r="P739" s="75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5.75" customHeight="1">
      <c r="A740" s="68"/>
      <c r="B740" s="69"/>
      <c r="C740" s="72"/>
      <c r="D740" s="71"/>
      <c r="E740" s="72"/>
      <c r="F740" s="71"/>
      <c r="G740" s="69"/>
      <c r="H740" s="73"/>
      <c r="I740" s="69"/>
      <c r="J740" s="69"/>
      <c r="K740" s="69"/>
      <c r="L740" s="74"/>
      <c r="M740" s="74"/>
      <c r="N740" s="69"/>
      <c r="O740" s="75"/>
      <c r="P740" s="75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5.75" customHeight="1">
      <c r="A741" s="68"/>
      <c r="B741" s="69"/>
      <c r="C741" s="72"/>
      <c r="D741" s="71"/>
      <c r="E741" s="72"/>
      <c r="F741" s="71"/>
      <c r="G741" s="69"/>
      <c r="H741" s="73"/>
      <c r="I741" s="69"/>
      <c r="J741" s="69"/>
      <c r="K741" s="69"/>
      <c r="L741" s="74"/>
      <c r="M741" s="74"/>
      <c r="N741" s="69"/>
      <c r="O741" s="75"/>
      <c r="P741" s="75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5.75" customHeight="1">
      <c r="A742" s="68"/>
      <c r="B742" s="69"/>
      <c r="C742" s="72"/>
      <c r="D742" s="71"/>
      <c r="E742" s="72"/>
      <c r="F742" s="71"/>
      <c r="G742" s="69"/>
      <c r="H742" s="73"/>
      <c r="I742" s="69"/>
      <c r="J742" s="69"/>
      <c r="K742" s="69"/>
      <c r="L742" s="74"/>
      <c r="M742" s="74"/>
      <c r="N742" s="69"/>
      <c r="O742" s="75"/>
      <c r="P742" s="75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5.75" customHeight="1">
      <c r="A743" s="68"/>
      <c r="B743" s="69"/>
      <c r="C743" s="72"/>
      <c r="D743" s="71"/>
      <c r="E743" s="72"/>
      <c r="F743" s="71"/>
      <c r="G743" s="69"/>
      <c r="H743" s="73"/>
      <c r="I743" s="69"/>
      <c r="J743" s="69"/>
      <c r="K743" s="69"/>
      <c r="L743" s="74"/>
      <c r="M743" s="74"/>
      <c r="N743" s="69"/>
      <c r="O743" s="75"/>
      <c r="P743" s="75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5.75" customHeight="1">
      <c r="A744" s="68"/>
      <c r="B744" s="69"/>
      <c r="C744" s="72"/>
      <c r="D744" s="71"/>
      <c r="E744" s="72"/>
      <c r="F744" s="71"/>
      <c r="G744" s="69"/>
      <c r="H744" s="73"/>
      <c r="I744" s="69"/>
      <c r="J744" s="69"/>
      <c r="K744" s="69"/>
      <c r="L744" s="74"/>
      <c r="M744" s="74"/>
      <c r="N744" s="69"/>
      <c r="O744" s="75"/>
      <c r="P744" s="75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5.75" customHeight="1">
      <c r="A745" s="68"/>
      <c r="B745" s="69"/>
      <c r="C745" s="72"/>
      <c r="D745" s="71"/>
      <c r="E745" s="72"/>
      <c r="F745" s="71"/>
      <c r="G745" s="69"/>
      <c r="H745" s="73"/>
      <c r="I745" s="69"/>
      <c r="J745" s="69"/>
      <c r="K745" s="69"/>
      <c r="L745" s="74"/>
      <c r="M745" s="74"/>
      <c r="N745" s="69"/>
      <c r="O745" s="75"/>
      <c r="P745" s="75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5.75" customHeight="1">
      <c r="A746" s="68"/>
      <c r="B746" s="69"/>
      <c r="C746" s="72"/>
      <c r="D746" s="71"/>
      <c r="E746" s="72"/>
      <c r="F746" s="71"/>
      <c r="G746" s="69"/>
      <c r="H746" s="73"/>
      <c r="I746" s="69"/>
      <c r="J746" s="69"/>
      <c r="K746" s="69"/>
      <c r="L746" s="74"/>
      <c r="M746" s="74"/>
      <c r="N746" s="69"/>
      <c r="O746" s="75"/>
      <c r="P746" s="75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5.75" customHeight="1">
      <c r="A747" s="68"/>
      <c r="B747" s="69"/>
      <c r="C747" s="72"/>
      <c r="D747" s="71"/>
      <c r="E747" s="72"/>
      <c r="F747" s="71"/>
      <c r="G747" s="69"/>
      <c r="H747" s="73"/>
      <c r="I747" s="69"/>
      <c r="J747" s="69"/>
      <c r="K747" s="69"/>
      <c r="L747" s="74"/>
      <c r="M747" s="74"/>
      <c r="N747" s="69"/>
      <c r="O747" s="75"/>
      <c r="P747" s="75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5.75" customHeight="1">
      <c r="A748" s="68"/>
      <c r="B748" s="69"/>
      <c r="C748" s="72"/>
      <c r="D748" s="71"/>
      <c r="E748" s="72"/>
      <c r="F748" s="71"/>
      <c r="G748" s="69"/>
      <c r="H748" s="73"/>
      <c r="I748" s="69"/>
      <c r="J748" s="69"/>
      <c r="K748" s="69"/>
      <c r="L748" s="74"/>
      <c r="M748" s="74"/>
      <c r="N748" s="69"/>
      <c r="O748" s="75"/>
      <c r="P748" s="75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5.75" customHeight="1">
      <c r="A749" s="68"/>
      <c r="B749" s="69"/>
      <c r="C749" s="72"/>
      <c r="D749" s="71"/>
      <c r="E749" s="72"/>
      <c r="F749" s="71"/>
      <c r="G749" s="69"/>
      <c r="H749" s="73"/>
      <c r="I749" s="69"/>
      <c r="J749" s="69"/>
      <c r="K749" s="69"/>
      <c r="L749" s="74"/>
      <c r="M749" s="74"/>
      <c r="N749" s="69"/>
      <c r="O749" s="75"/>
      <c r="P749" s="75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5.75" customHeight="1">
      <c r="A750" s="68"/>
      <c r="B750" s="69"/>
      <c r="C750" s="72"/>
      <c r="D750" s="71"/>
      <c r="E750" s="72"/>
      <c r="F750" s="71"/>
      <c r="G750" s="69"/>
      <c r="H750" s="73"/>
      <c r="I750" s="69"/>
      <c r="J750" s="69"/>
      <c r="K750" s="69"/>
      <c r="L750" s="74"/>
      <c r="M750" s="74"/>
      <c r="N750" s="69"/>
      <c r="O750" s="75"/>
      <c r="P750" s="75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5.75" customHeight="1">
      <c r="A751" s="68"/>
      <c r="B751" s="69"/>
      <c r="C751" s="72"/>
      <c r="D751" s="71"/>
      <c r="E751" s="72"/>
      <c r="F751" s="71"/>
      <c r="G751" s="69"/>
      <c r="H751" s="73"/>
      <c r="I751" s="69"/>
      <c r="J751" s="69"/>
      <c r="K751" s="69"/>
      <c r="L751" s="74"/>
      <c r="M751" s="74"/>
      <c r="N751" s="69"/>
      <c r="O751" s="75"/>
      <c r="P751" s="75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5.75" customHeight="1">
      <c r="A752" s="68"/>
      <c r="B752" s="69"/>
      <c r="C752" s="72"/>
      <c r="D752" s="71"/>
      <c r="E752" s="72"/>
      <c r="F752" s="71"/>
      <c r="G752" s="69"/>
      <c r="H752" s="73"/>
      <c r="I752" s="69"/>
      <c r="J752" s="69"/>
      <c r="K752" s="69"/>
      <c r="L752" s="74"/>
      <c r="M752" s="74"/>
      <c r="N752" s="69"/>
      <c r="O752" s="75"/>
      <c r="P752" s="75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5.75" customHeight="1">
      <c r="A753" s="68"/>
      <c r="B753" s="69"/>
      <c r="C753" s="72"/>
      <c r="D753" s="71"/>
      <c r="E753" s="72"/>
      <c r="F753" s="71"/>
      <c r="G753" s="69"/>
      <c r="H753" s="73"/>
      <c r="I753" s="69"/>
      <c r="J753" s="69"/>
      <c r="K753" s="69"/>
      <c r="L753" s="74"/>
      <c r="M753" s="74"/>
      <c r="N753" s="69"/>
      <c r="O753" s="75"/>
      <c r="P753" s="75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5.75" customHeight="1">
      <c r="A754" s="68"/>
      <c r="B754" s="69"/>
      <c r="C754" s="72"/>
      <c r="D754" s="71"/>
      <c r="E754" s="72"/>
      <c r="F754" s="71"/>
      <c r="G754" s="69"/>
      <c r="H754" s="73"/>
      <c r="I754" s="69"/>
      <c r="J754" s="69"/>
      <c r="K754" s="69"/>
      <c r="L754" s="74"/>
      <c r="M754" s="74"/>
      <c r="N754" s="69"/>
      <c r="O754" s="75"/>
      <c r="P754" s="75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5.75" customHeight="1">
      <c r="A755" s="68"/>
      <c r="B755" s="69"/>
      <c r="C755" s="72"/>
      <c r="D755" s="71"/>
      <c r="E755" s="72"/>
      <c r="F755" s="71"/>
      <c r="G755" s="69"/>
      <c r="H755" s="73"/>
      <c r="I755" s="69"/>
      <c r="J755" s="69"/>
      <c r="K755" s="69"/>
      <c r="L755" s="74"/>
      <c r="M755" s="74"/>
      <c r="N755" s="69"/>
      <c r="O755" s="75"/>
      <c r="P755" s="75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5.75" customHeight="1">
      <c r="A756" s="68"/>
      <c r="B756" s="69"/>
      <c r="C756" s="72"/>
      <c r="D756" s="71"/>
      <c r="E756" s="72"/>
      <c r="F756" s="71"/>
      <c r="G756" s="69"/>
      <c r="H756" s="73"/>
      <c r="I756" s="69"/>
      <c r="J756" s="69"/>
      <c r="K756" s="69"/>
      <c r="L756" s="74"/>
      <c r="M756" s="74"/>
      <c r="N756" s="69"/>
      <c r="O756" s="75"/>
      <c r="P756" s="75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5.75" customHeight="1">
      <c r="A757" s="68"/>
      <c r="B757" s="69"/>
      <c r="C757" s="72"/>
      <c r="D757" s="71"/>
      <c r="E757" s="72"/>
      <c r="F757" s="71"/>
      <c r="G757" s="69"/>
      <c r="H757" s="73"/>
      <c r="I757" s="69"/>
      <c r="J757" s="69"/>
      <c r="K757" s="69"/>
      <c r="L757" s="74"/>
      <c r="M757" s="74"/>
      <c r="N757" s="69"/>
      <c r="O757" s="75"/>
      <c r="P757" s="75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5.75" customHeight="1">
      <c r="A758" s="68"/>
      <c r="B758" s="69"/>
      <c r="C758" s="72"/>
      <c r="D758" s="71"/>
      <c r="E758" s="72"/>
      <c r="F758" s="71"/>
      <c r="G758" s="69"/>
      <c r="H758" s="73"/>
      <c r="I758" s="69"/>
      <c r="J758" s="69"/>
      <c r="K758" s="69"/>
      <c r="L758" s="74"/>
      <c r="M758" s="74"/>
      <c r="N758" s="69"/>
      <c r="O758" s="75"/>
      <c r="P758" s="75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5.75" customHeight="1">
      <c r="A759" s="68"/>
      <c r="B759" s="69"/>
      <c r="C759" s="72"/>
      <c r="D759" s="71"/>
      <c r="E759" s="72"/>
      <c r="F759" s="71"/>
      <c r="G759" s="69"/>
      <c r="H759" s="73"/>
      <c r="I759" s="69"/>
      <c r="J759" s="69"/>
      <c r="K759" s="69"/>
      <c r="L759" s="74"/>
      <c r="M759" s="74"/>
      <c r="N759" s="69"/>
      <c r="O759" s="75"/>
      <c r="P759" s="75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5.75" customHeight="1">
      <c r="A760" s="68"/>
      <c r="B760" s="69"/>
      <c r="C760" s="72"/>
      <c r="D760" s="71"/>
      <c r="E760" s="72"/>
      <c r="F760" s="71"/>
      <c r="G760" s="69"/>
      <c r="H760" s="73"/>
      <c r="I760" s="69"/>
      <c r="J760" s="69"/>
      <c r="K760" s="69"/>
      <c r="L760" s="74"/>
      <c r="M760" s="74"/>
      <c r="N760" s="69"/>
      <c r="O760" s="75"/>
      <c r="P760" s="75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5.75" customHeight="1">
      <c r="A761" s="68"/>
      <c r="B761" s="69"/>
      <c r="C761" s="72"/>
      <c r="D761" s="71"/>
      <c r="E761" s="72"/>
      <c r="F761" s="71"/>
      <c r="G761" s="69"/>
      <c r="H761" s="73"/>
      <c r="I761" s="69"/>
      <c r="J761" s="69"/>
      <c r="K761" s="69"/>
      <c r="L761" s="74"/>
      <c r="M761" s="74"/>
      <c r="N761" s="69"/>
      <c r="O761" s="75"/>
      <c r="P761" s="75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5.75" customHeight="1">
      <c r="A762" s="68"/>
      <c r="B762" s="69"/>
      <c r="C762" s="72"/>
      <c r="D762" s="71"/>
      <c r="E762" s="72"/>
      <c r="F762" s="71"/>
      <c r="G762" s="69"/>
      <c r="H762" s="73"/>
      <c r="I762" s="69"/>
      <c r="J762" s="69"/>
      <c r="K762" s="69"/>
      <c r="L762" s="74"/>
      <c r="M762" s="74"/>
      <c r="N762" s="69"/>
      <c r="O762" s="75"/>
      <c r="P762" s="75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5.75" customHeight="1">
      <c r="A763" s="68"/>
      <c r="B763" s="69"/>
      <c r="C763" s="72"/>
      <c r="D763" s="71"/>
      <c r="E763" s="72"/>
      <c r="F763" s="71"/>
      <c r="G763" s="69"/>
      <c r="H763" s="73"/>
      <c r="I763" s="69"/>
      <c r="J763" s="69"/>
      <c r="K763" s="69"/>
      <c r="L763" s="74"/>
      <c r="M763" s="74"/>
      <c r="N763" s="69"/>
      <c r="O763" s="75"/>
      <c r="P763" s="75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5.75" customHeight="1">
      <c r="A764" s="68"/>
      <c r="B764" s="69"/>
      <c r="C764" s="72"/>
      <c r="D764" s="71"/>
      <c r="E764" s="72"/>
      <c r="F764" s="71"/>
      <c r="G764" s="69"/>
      <c r="H764" s="73"/>
      <c r="I764" s="69"/>
      <c r="J764" s="69"/>
      <c r="K764" s="69"/>
      <c r="L764" s="74"/>
      <c r="M764" s="74"/>
      <c r="N764" s="69"/>
      <c r="O764" s="75"/>
      <c r="P764" s="75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5.75" customHeight="1">
      <c r="A765" s="68"/>
      <c r="B765" s="69"/>
      <c r="C765" s="72"/>
      <c r="D765" s="71"/>
      <c r="E765" s="72"/>
      <c r="F765" s="71"/>
      <c r="G765" s="69"/>
      <c r="H765" s="73"/>
      <c r="I765" s="69"/>
      <c r="J765" s="69"/>
      <c r="K765" s="69"/>
      <c r="L765" s="74"/>
      <c r="M765" s="74"/>
      <c r="N765" s="69"/>
      <c r="O765" s="75"/>
      <c r="P765" s="75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5.75" customHeight="1">
      <c r="A766" s="68"/>
      <c r="B766" s="69"/>
      <c r="C766" s="72"/>
      <c r="D766" s="71"/>
      <c r="E766" s="72"/>
      <c r="F766" s="71"/>
      <c r="G766" s="69"/>
      <c r="H766" s="73"/>
      <c r="I766" s="69"/>
      <c r="J766" s="69"/>
      <c r="K766" s="69"/>
      <c r="L766" s="74"/>
      <c r="M766" s="74"/>
      <c r="N766" s="69"/>
      <c r="O766" s="75"/>
      <c r="P766" s="75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5.75" customHeight="1">
      <c r="A767" s="68"/>
      <c r="B767" s="69"/>
      <c r="C767" s="72"/>
      <c r="D767" s="71"/>
      <c r="E767" s="72"/>
      <c r="F767" s="71"/>
      <c r="G767" s="69"/>
      <c r="H767" s="73"/>
      <c r="I767" s="69"/>
      <c r="J767" s="69"/>
      <c r="K767" s="69"/>
      <c r="L767" s="74"/>
      <c r="M767" s="74"/>
      <c r="N767" s="69"/>
      <c r="O767" s="75"/>
      <c r="P767" s="75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5.75" customHeight="1">
      <c r="A768" s="68"/>
      <c r="B768" s="69"/>
      <c r="C768" s="72"/>
      <c r="D768" s="71"/>
      <c r="E768" s="72"/>
      <c r="F768" s="71"/>
      <c r="G768" s="69"/>
      <c r="H768" s="73"/>
      <c r="I768" s="69"/>
      <c r="J768" s="69"/>
      <c r="K768" s="69"/>
      <c r="L768" s="74"/>
      <c r="M768" s="74"/>
      <c r="N768" s="69"/>
      <c r="O768" s="75"/>
      <c r="P768" s="75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5.75" customHeight="1">
      <c r="A769" s="68"/>
      <c r="B769" s="69"/>
      <c r="C769" s="72"/>
      <c r="D769" s="71"/>
      <c r="E769" s="72"/>
      <c r="F769" s="71"/>
      <c r="G769" s="69"/>
      <c r="H769" s="73"/>
      <c r="I769" s="69"/>
      <c r="J769" s="69"/>
      <c r="K769" s="69"/>
      <c r="L769" s="74"/>
      <c r="M769" s="74"/>
      <c r="N769" s="69"/>
      <c r="O769" s="75"/>
      <c r="P769" s="75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5.75" customHeight="1">
      <c r="A770" s="68"/>
      <c r="B770" s="69"/>
      <c r="C770" s="72"/>
      <c r="D770" s="71"/>
      <c r="E770" s="72"/>
      <c r="F770" s="71"/>
      <c r="G770" s="69"/>
      <c r="H770" s="73"/>
      <c r="I770" s="69"/>
      <c r="J770" s="69"/>
      <c r="K770" s="69"/>
      <c r="L770" s="74"/>
      <c r="M770" s="74"/>
      <c r="N770" s="69"/>
      <c r="O770" s="75"/>
      <c r="P770" s="75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5.75" customHeight="1">
      <c r="A771" s="68"/>
      <c r="B771" s="69"/>
      <c r="C771" s="72"/>
      <c r="D771" s="71"/>
      <c r="E771" s="72"/>
      <c r="F771" s="71"/>
      <c r="G771" s="69"/>
      <c r="H771" s="73"/>
      <c r="I771" s="69"/>
      <c r="J771" s="69"/>
      <c r="K771" s="69"/>
      <c r="L771" s="74"/>
      <c r="M771" s="74"/>
      <c r="N771" s="69"/>
      <c r="O771" s="75"/>
      <c r="P771" s="75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5.75" customHeight="1">
      <c r="A772" s="68"/>
      <c r="B772" s="69"/>
      <c r="C772" s="72"/>
      <c r="D772" s="71"/>
      <c r="E772" s="72"/>
      <c r="F772" s="71"/>
      <c r="G772" s="69"/>
      <c r="H772" s="73"/>
      <c r="I772" s="69"/>
      <c r="J772" s="69"/>
      <c r="K772" s="69"/>
      <c r="L772" s="74"/>
      <c r="M772" s="74"/>
      <c r="N772" s="69"/>
      <c r="O772" s="75"/>
      <c r="P772" s="75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5.75" customHeight="1">
      <c r="A773" s="68"/>
      <c r="B773" s="69"/>
      <c r="C773" s="72"/>
      <c r="D773" s="71"/>
      <c r="E773" s="72"/>
      <c r="F773" s="71"/>
      <c r="G773" s="69"/>
      <c r="H773" s="73"/>
      <c r="I773" s="69"/>
      <c r="J773" s="69"/>
      <c r="K773" s="69"/>
      <c r="L773" s="74"/>
      <c r="M773" s="74"/>
      <c r="N773" s="69"/>
      <c r="O773" s="75"/>
      <c r="P773" s="75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5.75" customHeight="1">
      <c r="A774" s="68"/>
      <c r="B774" s="69"/>
      <c r="C774" s="72"/>
      <c r="D774" s="71"/>
      <c r="E774" s="72"/>
      <c r="F774" s="71"/>
      <c r="G774" s="69"/>
      <c r="H774" s="73"/>
      <c r="I774" s="69"/>
      <c r="J774" s="69"/>
      <c r="K774" s="69"/>
      <c r="L774" s="74"/>
      <c r="M774" s="74"/>
      <c r="N774" s="69"/>
      <c r="O774" s="75"/>
      <c r="P774" s="75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5.75" customHeight="1">
      <c r="A775" s="68"/>
      <c r="B775" s="69"/>
      <c r="C775" s="72"/>
      <c r="D775" s="71"/>
      <c r="E775" s="72"/>
      <c r="F775" s="71"/>
      <c r="G775" s="69"/>
      <c r="H775" s="73"/>
      <c r="I775" s="69"/>
      <c r="J775" s="69"/>
      <c r="K775" s="69"/>
      <c r="L775" s="74"/>
      <c r="M775" s="74"/>
      <c r="N775" s="69"/>
      <c r="O775" s="75"/>
      <c r="P775" s="75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5.75" customHeight="1">
      <c r="A776" s="68"/>
      <c r="B776" s="69"/>
      <c r="C776" s="72"/>
      <c r="D776" s="71"/>
      <c r="E776" s="72"/>
      <c r="F776" s="71"/>
      <c r="G776" s="69"/>
      <c r="H776" s="73"/>
      <c r="I776" s="69"/>
      <c r="J776" s="69"/>
      <c r="K776" s="69"/>
      <c r="L776" s="74"/>
      <c r="M776" s="74"/>
      <c r="N776" s="69"/>
      <c r="O776" s="75"/>
      <c r="P776" s="75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5.75" customHeight="1">
      <c r="A777" s="68"/>
      <c r="B777" s="69"/>
      <c r="C777" s="72"/>
      <c r="D777" s="71"/>
      <c r="E777" s="72"/>
      <c r="F777" s="71"/>
      <c r="G777" s="69"/>
      <c r="H777" s="73"/>
      <c r="I777" s="69"/>
      <c r="J777" s="69"/>
      <c r="K777" s="69"/>
      <c r="L777" s="74"/>
      <c r="M777" s="74"/>
      <c r="N777" s="69"/>
      <c r="O777" s="75"/>
      <c r="P777" s="75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5.75" customHeight="1">
      <c r="A778" s="68"/>
      <c r="B778" s="69"/>
      <c r="C778" s="72"/>
      <c r="D778" s="71"/>
      <c r="E778" s="72"/>
      <c r="F778" s="71"/>
      <c r="G778" s="69"/>
      <c r="H778" s="73"/>
      <c r="I778" s="69"/>
      <c r="J778" s="69"/>
      <c r="K778" s="69"/>
      <c r="L778" s="74"/>
      <c r="M778" s="74"/>
      <c r="N778" s="69"/>
      <c r="O778" s="75"/>
      <c r="P778" s="75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5.75" customHeight="1">
      <c r="A779" s="68"/>
      <c r="B779" s="69"/>
      <c r="C779" s="72"/>
      <c r="D779" s="71"/>
      <c r="E779" s="72"/>
      <c r="F779" s="71"/>
      <c r="G779" s="69"/>
      <c r="H779" s="73"/>
      <c r="I779" s="69"/>
      <c r="J779" s="69"/>
      <c r="K779" s="69"/>
      <c r="L779" s="74"/>
      <c r="M779" s="74"/>
      <c r="N779" s="69"/>
      <c r="O779" s="75"/>
      <c r="P779" s="75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5.75" customHeight="1">
      <c r="A780" s="68"/>
      <c r="B780" s="69"/>
      <c r="C780" s="72"/>
      <c r="D780" s="71"/>
      <c r="E780" s="72"/>
      <c r="F780" s="71"/>
      <c r="G780" s="69"/>
      <c r="H780" s="73"/>
      <c r="I780" s="69"/>
      <c r="J780" s="69"/>
      <c r="K780" s="69"/>
      <c r="L780" s="74"/>
      <c r="M780" s="74"/>
      <c r="N780" s="69"/>
      <c r="O780" s="75"/>
      <c r="P780" s="75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5.75" customHeight="1">
      <c r="A781" s="68"/>
      <c r="B781" s="69"/>
      <c r="C781" s="72"/>
      <c r="D781" s="71"/>
      <c r="E781" s="72"/>
      <c r="F781" s="71"/>
      <c r="G781" s="69"/>
      <c r="H781" s="73"/>
      <c r="I781" s="69"/>
      <c r="J781" s="69"/>
      <c r="K781" s="69"/>
      <c r="L781" s="74"/>
      <c r="M781" s="74"/>
      <c r="N781" s="69"/>
      <c r="O781" s="75"/>
      <c r="P781" s="75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5.75" customHeight="1">
      <c r="A782" s="68"/>
      <c r="B782" s="69"/>
      <c r="C782" s="72"/>
      <c r="D782" s="71"/>
      <c r="E782" s="72"/>
      <c r="F782" s="71"/>
      <c r="G782" s="69"/>
      <c r="H782" s="73"/>
      <c r="I782" s="69"/>
      <c r="J782" s="69"/>
      <c r="K782" s="69"/>
      <c r="L782" s="74"/>
      <c r="M782" s="74"/>
      <c r="N782" s="69"/>
      <c r="O782" s="75"/>
      <c r="P782" s="75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5.75" customHeight="1">
      <c r="A783" s="68"/>
      <c r="B783" s="69"/>
      <c r="C783" s="72"/>
      <c r="D783" s="71"/>
      <c r="E783" s="72"/>
      <c r="F783" s="71"/>
      <c r="G783" s="69"/>
      <c r="H783" s="73"/>
      <c r="I783" s="69"/>
      <c r="J783" s="69"/>
      <c r="K783" s="69"/>
      <c r="L783" s="74"/>
      <c r="M783" s="74"/>
      <c r="N783" s="69"/>
      <c r="O783" s="75"/>
      <c r="P783" s="75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5.75" customHeight="1">
      <c r="A784" s="68"/>
      <c r="B784" s="69"/>
      <c r="C784" s="72"/>
      <c r="D784" s="71"/>
      <c r="E784" s="72"/>
      <c r="F784" s="71"/>
      <c r="G784" s="69"/>
      <c r="H784" s="73"/>
      <c r="I784" s="69"/>
      <c r="J784" s="69"/>
      <c r="K784" s="69"/>
      <c r="L784" s="74"/>
      <c r="M784" s="74"/>
      <c r="N784" s="69"/>
      <c r="O784" s="75"/>
      <c r="P784" s="75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5.75" customHeight="1">
      <c r="A785" s="68"/>
      <c r="B785" s="69"/>
      <c r="C785" s="72"/>
      <c r="D785" s="71"/>
      <c r="E785" s="72"/>
      <c r="F785" s="71"/>
      <c r="G785" s="69"/>
      <c r="H785" s="73"/>
      <c r="I785" s="69"/>
      <c r="J785" s="69"/>
      <c r="K785" s="69"/>
      <c r="L785" s="74"/>
      <c r="M785" s="74"/>
      <c r="N785" s="69"/>
      <c r="O785" s="75"/>
      <c r="P785" s="75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5.75" customHeight="1">
      <c r="A786" s="68"/>
      <c r="B786" s="69"/>
      <c r="C786" s="72"/>
      <c r="D786" s="71"/>
      <c r="E786" s="72"/>
      <c r="F786" s="71"/>
      <c r="G786" s="69"/>
      <c r="H786" s="73"/>
      <c r="I786" s="69"/>
      <c r="J786" s="69"/>
      <c r="K786" s="69"/>
      <c r="L786" s="74"/>
      <c r="M786" s="74"/>
      <c r="N786" s="69"/>
      <c r="O786" s="75"/>
      <c r="P786" s="75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5.75" customHeight="1">
      <c r="A787" s="68"/>
      <c r="B787" s="69"/>
      <c r="C787" s="72"/>
      <c r="D787" s="71"/>
      <c r="E787" s="72"/>
      <c r="F787" s="71"/>
      <c r="G787" s="69"/>
      <c r="H787" s="73"/>
      <c r="I787" s="69"/>
      <c r="J787" s="69"/>
      <c r="K787" s="69"/>
      <c r="L787" s="74"/>
      <c r="M787" s="74"/>
      <c r="N787" s="69"/>
      <c r="O787" s="75"/>
      <c r="P787" s="75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5.75" customHeight="1">
      <c r="A788" s="68"/>
      <c r="B788" s="69"/>
      <c r="C788" s="72"/>
      <c r="D788" s="71"/>
      <c r="E788" s="72"/>
      <c r="F788" s="71"/>
      <c r="G788" s="69"/>
      <c r="H788" s="73"/>
      <c r="I788" s="69"/>
      <c r="J788" s="69"/>
      <c r="K788" s="69"/>
      <c r="L788" s="74"/>
      <c r="M788" s="74"/>
      <c r="N788" s="69"/>
      <c r="O788" s="75"/>
      <c r="P788" s="75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5.75" customHeight="1">
      <c r="A789" s="68"/>
      <c r="B789" s="69"/>
      <c r="C789" s="72"/>
      <c r="D789" s="71"/>
      <c r="E789" s="72"/>
      <c r="F789" s="71"/>
      <c r="G789" s="69"/>
      <c r="H789" s="73"/>
      <c r="I789" s="69"/>
      <c r="J789" s="69"/>
      <c r="K789" s="69"/>
      <c r="L789" s="74"/>
      <c r="M789" s="74"/>
      <c r="N789" s="69"/>
      <c r="O789" s="75"/>
      <c r="P789" s="75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5.75" customHeight="1">
      <c r="A790" s="68"/>
      <c r="B790" s="69"/>
      <c r="C790" s="72"/>
      <c r="D790" s="71"/>
      <c r="E790" s="72"/>
      <c r="F790" s="71"/>
      <c r="G790" s="69"/>
      <c r="H790" s="73"/>
      <c r="I790" s="69"/>
      <c r="J790" s="69"/>
      <c r="K790" s="69"/>
      <c r="L790" s="74"/>
      <c r="M790" s="74"/>
      <c r="N790" s="69"/>
      <c r="O790" s="75"/>
      <c r="P790" s="75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5.75" customHeight="1">
      <c r="A791" s="68"/>
      <c r="B791" s="69"/>
      <c r="C791" s="72"/>
      <c r="D791" s="71"/>
      <c r="E791" s="72"/>
      <c r="F791" s="71"/>
      <c r="G791" s="69"/>
      <c r="H791" s="73"/>
      <c r="I791" s="69"/>
      <c r="J791" s="69"/>
      <c r="K791" s="69"/>
      <c r="L791" s="74"/>
      <c r="M791" s="74"/>
      <c r="N791" s="69"/>
      <c r="O791" s="75"/>
      <c r="P791" s="75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5.75" customHeight="1">
      <c r="A792" s="68"/>
      <c r="B792" s="69"/>
      <c r="C792" s="72"/>
      <c r="D792" s="71"/>
      <c r="E792" s="72"/>
      <c r="F792" s="71"/>
      <c r="G792" s="69"/>
      <c r="H792" s="73"/>
      <c r="I792" s="69"/>
      <c r="J792" s="69"/>
      <c r="K792" s="69"/>
      <c r="L792" s="74"/>
      <c r="M792" s="74"/>
      <c r="N792" s="69"/>
      <c r="O792" s="75"/>
      <c r="P792" s="75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5.75" customHeight="1">
      <c r="A793" s="68"/>
      <c r="B793" s="69"/>
      <c r="C793" s="72"/>
      <c r="D793" s="71"/>
      <c r="E793" s="72"/>
      <c r="F793" s="71"/>
      <c r="G793" s="69"/>
      <c r="H793" s="73"/>
      <c r="I793" s="69"/>
      <c r="J793" s="69"/>
      <c r="K793" s="69"/>
      <c r="L793" s="74"/>
      <c r="M793" s="74"/>
      <c r="N793" s="69"/>
      <c r="O793" s="75"/>
      <c r="P793" s="75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5.75" customHeight="1">
      <c r="A794" s="68"/>
      <c r="B794" s="69"/>
      <c r="C794" s="72"/>
      <c r="D794" s="71"/>
      <c r="E794" s="72"/>
      <c r="F794" s="71"/>
      <c r="G794" s="69"/>
      <c r="H794" s="73"/>
      <c r="I794" s="69"/>
      <c r="J794" s="69"/>
      <c r="K794" s="69"/>
      <c r="L794" s="74"/>
      <c r="M794" s="74"/>
      <c r="N794" s="69"/>
      <c r="O794" s="75"/>
      <c r="P794" s="75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5.75" customHeight="1">
      <c r="A795" s="68"/>
      <c r="B795" s="69"/>
      <c r="C795" s="72"/>
      <c r="D795" s="71"/>
      <c r="E795" s="72"/>
      <c r="F795" s="71"/>
      <c r="G795" s="69"/>
      <c r="H795" s="73"/>
      <c r="I795" s="69"/>
      <c r="J795" s="69"/>
      <c r="K795" s="69"/>
      <c r="L795" s="74"/>
      <c r="M795" s="74"/>
      <c r="N795" s="69"/>
      <c r="O795" s="75"/>
      <c r="P795" s="75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5.75" customHeight="1">
      <c r="A796" s="68"/>
      <c r="B796" s="69"/>
      <c r="C796" s="72"/>
      <c r="D796" s="71"/>
      <c r="E796" s="72"/>
      <c r="F796" s="71"/>
      <c r="G796" s="69"/>
      <c r="H796" s="73"/>
      <c r="I796" s="69"/>
      <c r="J796" s="69"/>
      <c r="K796" s="69"/>
      <c r="L796" s="74"/>
      <c r="M796" s="74"/>
      <c r="N796" s="69"/>
      <c r="O796" s="75"/>
      <c r="P796" s="75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5.75" customHeight="1">
      <c r="A797" s="68"/>
      <c r="B797" s="69"/>
      <c r="C797" s="72"/>
      <c r="D797" s="71"/>
      <c r="E797" s="72"/>
      <c r="F797" s="71"/>
      <c r="G797" s="69"/>
      <c r="H797" s="73"/>
      <c r="I797" s="69"/>
      <c r="J797" s="69"/>
      <c r="K797" s="69"/>
      <c r="L797" s="74"/>
      <c r="M797" s="74"/>
      <c r="N797" s="69"/>
      <c r="O797" s="75"/>
      <c r="P797" s="75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5.75" customHeight="1">
      <c r="A798" s="68"/>
      <c r="B798" s="69"/>
      <c r="C798" s="72"/>
      <c r="D798" s="71"/>
      <c r="E798" s="72"/>
      <c r="F798" s="71"/>
      <c r="G798" s="69"/>
      <c r="H798" s="73"/>
      <c r="I798" s="69"/>
      <c r="J798" s="69"/>
      <c r="K798" s="69"/>
      <c r="L798" s="74"/>
      <c r="M798" s="74"/>
      <c r="N798" s="69"/>
      <c r="O798" s="75"/>
      <c r="P798" s="75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5.75" customHeight="1">
      <c r="A799" s="68"/>
      <c r="B799" s="69"/>
      <c r="C799" s="72"/>
      <c r="D799" s="71"/>
      <c r="E799" s="72"/>
      <c r="F799" s="71"/>
      <c r="G799" s="69"/>
      <c r="H799" s="73"/>
      <c r="I799" s="69"/>
      <c r="J799" s="69"/>
      <c r="K799" s="69"/>
      <c r="L799" s="74"/>
      <c r="M799" s="74"/>
      <c r="N799" s="69"/>
      <c r="O799" s="75"/>
      <c r="P799" s="75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5.75" customHeight="1">
      <c r="A800" s="68"/>
      <c r="B800" s="69"/>
      <c r="C800" s="72"/>
      <c r="D800" s="71"/>
      <c r="E800" s="72"/>
      <c r="F800" s="71"/>
      <c r="G800" s="69"/>
      <c r="H800" s="73"/>
      <c r="I800" s="69"/>
      <c r="J800" s="69"/>
      <c r="K800" s="69"/>
      <c r="L800" s="74"/>
      <c r="M800" s="74"/>
      <c r="N800" s="69"/>
      <c r="O800" s="75"/>
      <c r="P800" s="75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5.75" customHeight="1">
      <c r="A801" s="68"/>
      <c r="B801" s="69"/>
      <c r="C801" s="72"/>
      <c r="D801" s="71"/>
      <c r="E801" s="72"/>
      <c r="F801" s="71"/>
      <c r="G801" s="69"/>
      <c r="H801" s="73"/>
      <c r="I801" s="69"/>
      <c r="J801" s="69"/>
      <c r="K801" s="69"/>
      <c r="L801" s="74"/>
      <c r="M801" s="74"/>
      <c r="N801" s="69"/>
      <c r="O801" s="75"/>
      <c r="P801" s="75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5.75" customHeight="1">
      <c r="A802" s="68"/>
      <c r="B802" s="69"/>
      <c r="C802" s="72"/>
      <c r="D802" s="71"/>
      <c r="E802" s="72"/>
      <c r="F802" s="71"/>
      <c r="G802" s="69"/>
      <c r="H802" s="73"/>
      <c r="I802" s="69"/>
      <c r="J802" s="69"/>
      <c r="K802" s="69"/>
      <c r="L802" s="74"/>
      <c r="M802" s="74"/>
      <c r="N802" s="69"/>
      <c r="O802" s="75"/>
      <c r="P802" s="75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5.75" customHeight="1">
      <c r="A803" s="68"/>
      <c r="B803" s="69"/>
      <c r="C803" s="72"/>
      <c r="D803" s="71"/>
      <c r="E803" s="72"/>
      <c r="F803" s="71"/>
      <c r="G803" s="69"/>
      <c r="H803" s="73"/>
      <c r="I803" s="69"/>
      <c r="J803" s="69"/>
      <c r="K803" s="69"/>
      <c r="L803" s="74"/>
      <c r="M803" s="74"/>
      <c r="N803" s="69"/>
      <c r="O803" s="75"/>
      <c r="P803" s="75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5.75" customHeight="1">
      <c r="A804" s="68"/>
      <c r="B804" s="69"/>
      <c r="C804" s="72"/>
      <c r="D804" s="71"/>
      <c r="E804" s="72"/>
      <c r="F804" s="71"/>
      <c r="G804" s="69"/>
      <c r="H804" s="73"/>
      <c r="I804" s="69"/>
      <c r="J804" s="69"/>
      <c r="K804" s="69"/>
      <c r="L804" s="74"/>
      <c r="M804" s="74"/>
      <c r="N804" s="69"/>
      <c r="O804" s="75"/>
      <c r="P804" s="75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5.75" customHeight="1">
      <c r="A805" s="68"/>
      <c r="B805" s="69"/>
      <c r="C805" s="72"/>
      <c r="D805" s="71"/>
      <c r="E805" s="72"/>
      <c r="F805" s="71"/>
      <c r="G805" s="69"/>
      <c r="H805" s="73"/>
      <c r="I805" s="69"/>
      <c r="J805" s="69"/>
      <c r="K805" s="69"/>
      <c r="L805" s="74"/>
      <c r="M805" s="74"/>
      <c r="N805" s="69"/>
      <c r="O805" s="75"/>
      <c r="P805" s="75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5.75" customHeight="1">
      <c r="A806" s="68"/>
      <c r="B806" s="69"/>
      <c r="C806" s="72"/>
      <c r="D806" s="71"/>
      <c r="E806" s="72"/>
      <c r="F806" s="71"/>
      <c r="G806" s="69"/>
      <c r="H806" s="73"/>
      <c r="I806" s="69"/>
      <c r="J806" s="69"/>
      <c r="K806" s="69"/>
      <c r="L806" s="74"/>
      <c r="M806" s="74"/>
      <c r="N806" s="69"/>
      <c r="O806" s="75"/>
      <c r="P806" s="75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5.75" customHeight="1">
      <c r="A807" s="68"/>
      <c r="B807" s="69"/>
      <c r="C807" s="72"/>
      <c r="D807" s="71"/>
      <c r="E807" s="72"/>
      <c r="F807" s="71"/>
      <c r="G807" s="69"/>
      <c r="H807" s="73"/>
      <c r="I807" s="69"/>
      <c r="J807" s="69"/>
      <c r="K807" s="69"/>
      <c r="L807" s="74"/>
      <c r="M807" s="74"/>
      <c r="N807" s="69"/>
      <c r="O807" s="75"/>
      <c r="P807" s="75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5.75" customHeight="1">
      <c r="A808" s="68"/>
      <c r="B808" s="69"/>
      <c r="C808" s="72"/>
      <c r="D808" s="71"/>
      <c r="E808" s="72"/>
      <c r="F808" s="71"/>
      <c r="G808" s="69"/>
      <c r="H808" s="73"/>
      <c r="I808" s="69"/>
      <c r="J808" s="69"/>
      <c r="K808" s="69"/>
      <c r="L808" s="74"/>
      <c r="M808" s="74"/>
      <c r="N808" s="69"/>
      <c r="O808" s="75"/>
      <c r="P808" s="75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5.75" customHeight="1">
      <c r="A809" s="68"/>
      <c r="B809" s="69"/>
      <c r="C809" s="72"/>
      <c r="D809" s="71"/>
      <c r="E809" s="72"/>
      <c r="F809" s="71"/>
      <c r="G809" s="69"/>
      <c r="H809" s="73"/>
      <c r="I809" s="69"/>
      <c r="J809" s="69"/>
      <c r="K809" s="69"/>
      <c r="L809" s="74"/>
      <c r="M809" s="74"/>
      <c r="N809" s="69"/>
      <c r="O809" s="75"/>
      <c r="P809" s="75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5.75" customHeight="1">
      <c r="A810" s="68"/>
      <c r="B810" s="69"/>
      <c r="C810" s="72"/>
      <c r="D810" s="71"/>
      <c r="E810" s="72"/>
      <c r="F810" s="71"/>
      <c r="G810" s="69"/>
      <c r="H810" s="73"/>
      <c r="I810" s="69"/>
      <c r="J810" s="69"/>
      <c r="K810" s="69"/>
      <c r="L810" s="74"/>
      <c r="M810" s="74"/>
      <c r="N810" s="69"/>
      <c r="O810" s="75"/>
      <c r="P810" s="75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5.75" customHeight="1">
      <c r="A811" s="68"/>
      <c r="B811" s="69"/>
      <c r="C811" s="72"/>
      <c r="D811" s="71"/>
      <c r="E811" s="72"/>
      <c r="F811" s="71"/>
      <c r="G811" s="69"/>
      <c r="H811" s="73"/>
      <c r="I811" s="69"/>
      <c r="J811" s="69"/>
      <c r="K811" s="69"/>
      <c r="L811" s="74"/>
      <c r="M811" s="74"/>
      <c r="N811" s="69"/>
      <c r="O811" s="75"/>
      <c r="P811" s="75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5.75" customHeight="1">
      <c r="A812" s="68"/>
      <c r="B812" s="69"/>
      <c r="C812" s="72"/>
      <c r="D812" s="71"/>
      <c r="E812" s="72"/>
      <c r="F812" s="71"/>
      <c r="G812" s="69"/>
      <c r="H812" s="73"/>
      <c r="I812" s="69"/>
      <c r="J812" s="69"/>
      <c r="K812" s="69"/>
      <c r="L812" s="74"/>
      <c r="M812" s="74"/>
      <c r="N812" s="69"/>
      <c r="O812" s="75"/>
      <c r="P812" s="75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5.75" customHeight="1">
      <c r="A813" s="68"/>
      <c r="B813" s="69"/>
      <c r="C813" s="72"/>
      <c r="D813" s="71"/>
      <c r="E813" s="72"/>
      <c r="F813" s="71"/>
      <c r="G813" s="69"/>
      <c r="H813" s="73"/>
      <c r="I813" s="69"/>
      <c r="J813" s="69"/>
      <c r="K813" s="69"/>
      <c r="L813" s="74"/>
      <c r="M813" s="74"/>
      <c r="N813" s="69"/>
      <c r="O813" s="75"/>
      <c r="P813" s="75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5.75" customHeight="1">
      <c r="A814" s="68"/>
      <c r="B814" s="69"/>
      <c r="C814" s="72"/>
      <c r="D814" s="71"/>
      <c r="E814" s="72"/>
      <c r="F814" s="71"/>
      <c r="G814" s="69"/>
      <c r="H814" s="73"/>
      <c r="I814" s="69"/>
      <c r="J814" s="69"/>
      <c r="K814" s="69"/>
      <c r="L814" s="74"/>
      <c r="M814" s="74"/>
      <c r="N814" s="69"/>
      <c r="O814" s="75"/>
      <c r="P814" s="75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5.75" customHeight="1">
      <c r="A815" s="68"/>
      <c r="B815" s="69"/>
      <c r="C815" s="72"/>
      <c r="D815" s="71"/>
      <c r="E815" s="72"/>
      <c r="F815" s="71"/>
      <c r="G815" s="69"/>
      <c r="H815" s="73"/>
      <c r="I815" s="69"/>
      <c r="J815" s="69"/>
      <c r="K815" s="69"/>
      <c r="L815" s="74"/>
      <c r="M815" s="74"/>
      <c r="N815" s="69"/>
      <c r="O815" s="75"/>
      <c r="P815" s="75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5.75" customHeight="1">
      <c r="A816" s="68"/>
      <c r="B816" s="69"/>
      <c r="C816" s="72"/>
      <c r="D816" s="71"/>
      <c r="E816" s="72"/>
      <c r="F816" s="71"/>
      <c r="G816" s="69"/>
      <c r="H816" s="73"/>
      <c r="I816" s="69"/>
      <c r="J816" s="69"/>
      <c r="K816" s="69"/>
      <c r="L816" s="74"/>
      <c r="M816" s="74"/>
      <c r="N816" s="69"/>
      <c r="O816" s="75"/>
      <c r="P816" s="75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5.75" customHeight="1">
      <c r="A817" s="68"/>
      <c r="B817" s="69"/>
      <c r="C817" s="72"/>
      <c r="D817" s="71"/>
      <c r="E817" s="72"/>
      <c r="F817" s="71"/>
      <c r="G817" s="69"/>
      <c r="H817" s="73"/>
      <c r="I817" s="69"/>
      <c r="J817" s="69"/>
      <c r="K817" s="69"/>
      <c r="L817" s="74"/>
      <c r="M817" s="74"/>
      <c r="N817" s="69"/>
      <c r="O817" s="75"/>
      <c r="P817" s="75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5.75" customHeight="1">
      <c r="A818" s="68"/>
      <c r="B818" s="69"/>
      <c r="C818" s="72"/>
      <c r="D818" s="71"/>
      <c r="E818" s="72"/>
      <c r="F818" s="71"/>
      <c r="G818" s="69"/>
      <c r="H818" s="73"/>
      <c r="I818" s="69"/>
      <c r="J818" s="69"/>
      <c r="K818" s="69"/>
      <c r="L818" s="74"/>
      <c r="M818" s="74"/>
      <c r="N818" s="69"/>
      <c r="O818" s="75"/>
      <c r="P818" s="75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5.75" customHeight="1">
      <c r="A819" s="68"/>
      <c r="B819" s="69"/>
      <c r="C819" s="72"/>
      <c r="D819" s="71"/>
      <c r="E819" s="72"/>
      <c r="F819" s="71"/>
      <c r="G819" s="69"/>
      <c r="H819" s="73"/>
      <c r="I819" s="69"/>
      <c r="J819" s="69"/>
      <c r="K819" s="69"/>
      <c r="L819" s="74"/>
      <c r="M819" s="74"/>
      <c r="N819" s="69"/>
      <c r="O819" s="75"/>
      <c r="P819" s="75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5.75" customHeight="1">
      <c r="A820" s="68"/>
      <c r="B820" s="69"/>
      <c r="C820" s="72"/>
      <c r="D820" s="71"/>
      <c r="E820" s="72"/>
      <c r="F820" s="71"/>
      <c r="G820" s="69"/>
      <c r="H820" s="73"/>
      <c r="I820" s="69"/>
      <c r="J820" s="69"/>
      <c r="K820" s="69"/>
      <c r="L820" s="74"/>
      <c r="M820" s="74"/>
      <c r="N820" s="69"/>
      <c r="O820" s="75"/>
      <c r="P820" s="75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5.75" customHeight="1">
      <c r="A821" s="68"/>
      <c r="B821" s="69"/>
      <c r="C821" s="72"/>
      <c r="D821" s="71"/>
      <c r="E821" s="72"/>
      <c r="F821" s="71"/>
      <c r="G821" s="69"/>
      <c r="H821" s="73"/>
      <c r="I821" s="69"/>
      <c r="J821" s="69"/>
      <c r="K821" s="69"/>
      <c r="L821" s="74"/>
      <c r="M821" s="74"/>
      <c r="N821" s="69"/>
      <c r="O821" s="75"/>
      <c r="P821" s="75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5.75" customHeight="1">
      <c r="A822" s="68"/>
      <c r="B822" s="69"/>
      <c r="C822" s="72"/>
      <c r="D822" s="71"/>
      <c r="E822" s="72"/>
      <c r="F822" s="71"/>
      <c r="G822" s="69"/>
      <c r="H822" s="73"/>
      <c r="I822" s="69"/>
      <c r="J822" s="69"/>
      <c r="K822" s="69"/>
      <c r="L822" s="74"/>
      <c r="M822" s="74"/>
      <c r="N822" s="69"/>
      <c r="O822" s="75"/>
      <c r="P822" s="75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5.75" customHeight="1">
      <c r="A823" s="68"/>
      <c r="B823" s="69"/>
      <c r="C823" s="72"/>
      <c r="D823" s="71"/>
      <c r="E823" s="72"/>
      <c r="F823" s="71"/>
      <c r="G823" s="69"/>
      <c r="H823" s="73"/>
      <c r="I823" s="69"/>
      <c r="J823" s="69"/>
      <c r="K823" s="69"/>
      <c r="L823" s="74"/>
      <c r="M823" s="74"/>
      <c r="N823" s="69"/>
      <c r="O823" s="75"/>
      <c r="P823" s="75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5.75" customHeight="1">
      <c r="A824" s="68"/>
      <c r="B824" s="69"/>
      <c r="C824" s="72"/>
      <c r="D824" s="71"/>
      <c r="E824" s="72"/>
      <c r="F824" s="71"/>
      <c r="G824" s="69"/>
      <c r="H824" s="73"/>
      <c r="I824" s="69"/>
      <c r="J824" s="69"/>
      <c r="K824" s="69"/>
      <c r="L824" s="74"/>
      <c r="M824" s="74"/>
      <c r="N824" s="69"/>
      <c r="O824" s="75"/>
      <c r="P824" s="75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5.75" customHeight="1">
      <c r="A825" s="68"/>
      <c r="B825" s="69"/>
      <c r="C825" s="72"/>
      <c r="D825" s="71"/>
      <c r="E825" s="72"/>
      <c r="F825" s="71"/>
      <c r="G825" s="69"/>
      <c r="H825" s="73"/>
      <c r="I825" s="69"/>
      <c r="J825" s="69"/>
      <c r="K825" s="69"/>
      <c r="L825" s="74"/>
      <c r="M825" s="74"/>
      <c r="N825" s="69"/>
      <c r="O825" s="75"/>
      <c r="P825" s="75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5.75" customHeight="1">
      <c r="A826" s="68"/>
      <c r="B826" s="69"/>
      <c r="C826" s="72"/>
      <c r="D826" s="71"/>
      <c r="E826" s="72"/>
      <c r="F826" s="71"/>
      <c r="G826" s="69"/>
      <c r="H826" s="73"/>
      <c r="I826" s="69"/>
      <c r="J826" s="69"/>
      <c r="K826" s="69"/>
      <c r="L826" s="74"/>
      <c r="M826" s="74"/>
      <c r="N826" s="69"/>
      <c r="O826" s="75"/>
      <c r="P826" s="75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5.75" customHeight="1">
      <c r="A827" s="68"/>
      <c r="B827" s="69"/>
      <c r="C827" s="72"/>
      <c r="D827" s="71"/>
      <c r="E827" s="72"/>
      <c r="F827" s="71"/>
      <c r="G827" s="69"/>
      <c r="H827" s="73"/>
      <c r="I827" s="69"/>
      <c r="J827" s="69"/>
      <c r="K827" s="69"/>
      <c r="L827" s="74"/>
      <c r="M827" s="74"/>
      <c r="N827" s="69"/>
      <c r="O827" s="75"/>
      <c r="P827" s="75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5.75" customHeight="1">
      <c r="A828" s="68"/>
      <c r="B828" s="69"/>
      <c r="C828" s="72"/>
      <c r="D828" s="71"/>
      <c r="E828" s="72"/>
      <c r="F828" s="71"/>
      <c r="G828" s="69"/>
      <c r="H828" s="73"/>
      <c r="I828" s="69"/>
      <c r="J828" s="69"/>
      <c r="K828" s="69"/>
      <c r="L828" s="74"/>
      <c r="M828" s="74"/>
      <c r="N828" s="69"/>
      <c r="O828" s="75"/>
      <c r="P828" s="75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5.75" customHeight="1">
      <c r="A829" s="68"/>
      <c r="B829" s="69"/>
      <c r="C829" s="72"/>
      <c r="D829" s="71"/>
      <c r="E829" s="72"/>
      <c r="F829" s="71"/>
      <c r="G829" s="69"/>
      <c r="H829" s="73"/>
      <c r="I829" s="69"/>
      <c r="J829" s="69"/>
      <c r="K829" s="69"/>
      <c r="L829" s="74"/>
      <c r="M829" s="74"/>
      <c r="N829" s="69"/>
      <c r="O829" s="75"/>
      <c r="P829" s="75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5.75" customHeight="1">
      <c r="A830" s="68"/>
      <c r="B830" s="69"/>
      <c r="C830" s="72"/>
      <c r="D830" s="71"/>
      <c r="E830" s="72"/>
      <c r="F830" s="71"/>
      <c r="G830" s="69"/>
      <c r="H830" s="73"/>
      <c r="I830" s="69"/>
      <c r="J830" s="69"/>
      <c r="K830" s="69"/>
      <c r="L830" s="74"/>
      <c r="M830" s="74"/>
      <c r="N830" s="69"/>
      <c r="O830" s="75"/>
      <c r="P830" s="75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5.75" customHeight="1">
      <c r="A831" s="68"/>
      <c r="B831" s="69"/>
      <c r="C831" s="72"/>
      <c r="D831" s="71"/>
      <c r="E831" s="72"/>
      <c r="F831" s="71"/>
      <c r="G831" s="69"/>
      <c r="H831" s="73"/>
      <c r="I831" s="69"/>
      <c r="J831" s="69"/>
      <c r="K831" s="69"/>
      <c r="L831" s="74"/>
      <c r="M831" s="74"/>
      <c r="N831" s="69"/>
      <c r="O831" s="75"/>
      <c r="P831" s="75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5.75" customHeight="1">
      <c r="A832" s="68"/>
      <c r="B832" s="69"/>
      <c r="C832" s="72"/>
      <c r="D832" s="71"/>
      <c r="E832" s="72"/>
      <c r="F832" s="71"/>
      <c r="G832" s="69"/>
      <c r="H832" s="73"/>
      <c r="I832" s="69"/>
      <c r="J832" s="69"/>
      <c r="K832" s="69"/>
      <c r="L832" s="74"/>
      <c r="M832" s="74"/>
      <c r="N832" s="69"/>
      <c r="O832" s="75"/>
      <c r="P832" s="75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5.75" customHeight="1">
      <c r="A833" s="68"/>
      <c r="B833" s="69"/>
      <c r="C833" s="72"/>
      <c r="D833" s="71"/>
      <c r="E833" s="72"/>
      <c r="F833" s="71"/>
      <c r="G833" s="69"/>
      <c r="H833" s="73"/>
      <c r="I833" s="69"/>
      <c r="J833" s="69"/>
      <c r="K833" s="69"/>
      <c r="L833" s="74"/>
      <c r="M833" s="74"/>
      <c r="N833" s="69"/>
      <c r="O833" s="75"/>
      <c r="P833" s="75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5.75" customHeight="1">
      <c r="A834" s="68"/>
      <c r="B834" s="69"/>
      <c r="C834" s="72"/>
      <c r="D834" s="71"/>
      <c r="E834" s="72"/>
      <c r="F834" s="71"/>
      <c r="G834" s="69"/>
      <c r="H834" s="73"/>
      <c r="I834" s="69"/>
      <c r="J834" s="69"/>
      <c r="K834" s="69"/>
      <c r="L834" s="74"/>
      <c r="M834" s="74"/>
      <c r="N834" s="69"/>
      <c r="O834" s="75"/>
      <c r="P834" s="75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5.75" customHeight="1">
      <c r="A835" s="68"/>
      <c r="B835" s="69"/>
      <c r="C835" s="72"/>
      <c r="D835" s="71"/>
      <c r="E835" s="72"/>
      <c r="F835" s="71"/>
      <c r="G835" s="69"/>
      <c r="H835" s="73"/>
      <c r="I835" s="69"/>
      <c r="J835" s="69"/>
      <c r="K835" s="69"/>
      <c r="L835" s="74"/>
      <c r="M835" s="74"/>
      <c r="N835" s="69"/>
      <c r="O835" s="75"/>
      <c r="P835" s="75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5.75" customHeight="1">
      <c r="A836" s="68"/>
      <c r="B836" s="69"/>
      <c r="C836" s="72"/>
      <c r="D836" s="71"/>
      <c r="E836" s="72"/>
      <c r="F836" s="71"/>
      <c r="G836" s="69"/>
      <c r="H836" s="73"/>
      <c r="I836" s="69"/>
      <c r="J836" s="69"/>
      <c r="K836" s="69"/>
      <c r="L836" s="74"/>
      <c r="M836" s="74"/>
      <c r="N836" s="69"/>
      <c r="O836" s="75"/>
      <c r="P836" s="75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5.75" customHeight="1">
      <c r="A837" s="68"/>
      <c r="B837" s="69"/>
      <c r="C837" s="72"/>
      <c r="D837" s="71"/>
      <c r="E837" s="72"/>
      <c r="F837" s="71"/>
      <c r="G837" s="69"/>
      <c r="H837" s="73"/>
      <c r="I837" s="69"/>
      <c r="J837" s="69"/>
      <c r="K837" s="69"/>
      <c r="L837" s="74"/>
      <c r="M837" s="74"/>
      <c r="N837" s="69"/>
      <c r="O837" s="75"/>
      <c r="P837" s="75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5.75" customHeight="1">
      <c r="A838" s="68"/>
      <c r="B838" s="69"/>
      <c r="C838" s="72"/>
      <c r="D838" s="71"/>
      <c r="E838" s="72"/>
      <c r="F838" s="71"/>
      <c r="G838" s="69"/>
      <c r="H838" s="73"/>
      <c r="I838" s="69"/>
      <c r="J838" s="69"/>
      <c r="K838" s="69"/>
      <c r="L838" s="74"/>
      <c r="M838" s="74"/>
      <c r="N838" s="69"/>
      <c r="O838" s="75"/>
      <c r="P838" s="75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5.75" customHeight="1">
      <c r="A839" s="68"/>
      <c r="B839" s="69"/>
      <c r="C839" s="72"/>
      <c r="D839" s="71"/>
      <c r="E839" s="72"/>
      <c r="F839" s="71"/>
      <c r="G839" s="69"/>
      <c r="H839" s="73"/>
      <c r="I839" s="69"/>
      <c r="J839" s="69"/>
      <c r="K839" s="69"/>
      <c r="L839" s="74"/>
      <c r="M839" s="74"/>
      <c r="N839" s="69"/>
      <c r="O839" s="75"/>
      <c r="P839" s="75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5.75" customHeight="1">
      <c r="A840" s="68"/>
      <c r="B840" s="69"/>
      <c r="C840" s="72"/>
      <c r="D840" s="71"/>
      <c r="E840" s="72"/>
      <c r="F840" s="71"/>
      <c r="G840" s="69"/>
      <c r="H840" s="73"/>
      <c r="I840" s="69"/>
      <c r="J840" s="69"/>
      <c r="K840" s="69"/>
      <c r="L840" s="74"/>
      <c r="M840" s="74"/>
      <c r="N840" s="69"/>
      <c r="O840" s="75"/>
      <c r="P840" s="75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5.75" customHeight="1">
      <c r="A841" s="68"/>
      <c r="B841" s="69"/>
      <c r="C841" s="72"/>
      <c r="D841" s="71"/>
      <c r="E841" s="72"/>
      <c r="F841" s="71"/>
      <c r="G841" s="69"/>
      <c r="H841" s="73"/>
      <c r="I841" s="69"/>
      <c r="J841" s="69"/>
      <c r="K841" s="69"/>
      <c r="L841" s="74"/>
      <c r="M841" s="74"/>
      <c r="N841" s="69"/>
      <c r="O841" s="75"/>
      <c r="P841" s="75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5.75" customHeight="1">
      <c r="A842" s="68"/>
      <c r="B842" s="69"/>
      <c r="C842" s="72"/>
      <c r="D842" s="71"/>
      <c r="E842" s="72"/>
      <c r="F842" s="71"/>
      <c r="G842" s="69"/>
      <c r="H842" s="73"/>
      <c r="I842" s="69"/>
      <c r="J842" s="69"/>
      <c r="K842" s="69"/>
      <c r="L842" s="74"/>
      <c r="M842" s="74"/>
      <c r="N842" s="69"/>
      <c r="O842" s="75"/>
      <c r="P842" s="75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5.75" customHeight="1">
      <c r="A843" s="68"/>
      <c r="B843" s="69"/>
      <c r="C843" s="72"/>
      <c r="D843" s="71"/>
      <c r="E843" s="72"/>
      <c r="F843" s="71"/>
      <c r="G843" s="69"/>
      <c r="H843" s="73"/>
      <c r="I843" s="69"/>
      <c r="J843" s="69"/>
      <c r="K843" s="69"/>
      <c r="L843" s="74"/>
      <c r="M843" s="74"/>
      <c r="N843" s="69"/>
      <c r="O843" s="75"/>
      <c r="P843" s="75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5.75" customHeight="1">
      <c r="A844" s="68"/>
      <c r="B844" s="69"/>
      <c r="C844" s="72"/>
      <c r="D844" s="71"/>
      <c r="E844" s="72"/>
      <c r="F844" s="71"/>
      <c r="G844" s="69"/>
      <c r="H844" s="73"/>
      <c r="I844" s="69"/>
      <c r="J844" s="69"/>
      <c r="K844" s="69"/>
      <c r="L844" s="74"/>
      <c r="M844" s="74"/>
      <c r="N844" s="69"/>
      <c r="O844" s="75"/>
      <c r="P844" s="75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5.75" customHeight="1">
      <c r="A845" s="68"/>
      <c r="B845" s="69"/>
      <c r="C845" s="72"/>
      <c r="D845" s="71"/>
      <c r="E845" s="72"/>
      <c r="F845" s="71"/>
      <c r="G845" s="69"/>
      <c r="H845" s="73"/>
      <c r="I845" s="69"/>
      <c r="J845" s="69"/>
      <c r="K845" s="69"/>
      <c r="L845" s="74"/>
      <c r="M845" s="74"/>
      <c r="N845" s="69"/>
      <c r="O845" s="75"/>
      <c r="P845" s="75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5.75" customHeight="1">
      <c r="A846" s="68"/>
      <c r="B846" s="69"/>
      <c r="C846" s="72"/>
      <c r="D846" s="71"/>
      <c r="E846" s="72"/>
      <c r="F846" s="71"/>
      <c r="G846" s="69"/>
      <c r="H846" s="73"/>
      <c r="I846" s="69"/>
      <c r="J846" s="69"/>
      <c r="K846" s="69"/>
      <c r="L846" s="74"/>
      <c r="M846" s="74"/>
      <c r="N846" s="69"/>
      <c r="O846" s="75"/>
      <c r="P846" s="75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5.75" customHeight="1">
      <c r="A847" s="68"/>
      <c r="B847" s="69"/>
      <c r="C847" s="72"/>
      <c r="D847" s="71"/>
      <c r="E847" s="72"/>
      <c r="F847" s="71"/>
      <c r="G847" s="69"/>
      <c r="H847" s="73"/>
      <c r="I847" s="69"/>
      <c r="J847" s="69"/>
      <c r="K847" s="69"/>
      <c r="L847" s="74"/>
      <c r="M847" s="74"/>
      <c r="N847" s="69"/>
      <c r="O847" s="75"/>
      <c r="P847" s="75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5.75" customHeight="1">
      <c r="A848" s="68"/>
      <c r="B848" s="69"/>
      <c r="C848" s="72"/>
      <c r="D848" s="71"/>
      <c r="E848" s="72"/>
      <c r="F848" s="71"/>
      <c r="G848" s="69"/>
      <c r="H848" s="73"/>
      <c r="I848" s="69"/>
      <c r="J848" s="69"/>
      <c r="K848" s="69"/>
      <c r="L848" s="74"/>
      <c r="M848" s="74"/>
      <c r="N848" s="69"/>
      <c r="O848" s="75"/>
      <c r="P848" s="75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5.75" customHeight="1">
      <c r="A849" s="68"/>
      <c r="B849" s="69"/>
      <c r="C849" s="72"/>
      <c r="D849" s="71"/>
      <c r="E849" s="72"/>
      <c r="F849" s="71"/>
      <c r="G849" s="69"/>
      <c r="H849" s="73"/>
      <c r="I849" s="69"/>
      <c r="J849" s="69"/>
      <c r="K849" s="69"/>
      <c r="L849" s="74"/>
      <c r="M849" s="74"/>
      <c r="N849" s="69"/>
      <c r="O849" s="75"/>
      <c r="P849" s="75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5.75" customHeight="1">
      <c r="A850" s="68"/>
      <c r="B850" s="69"/>
      <c r="C850" s="72"/>
      <c r="D850" s="71"/>
      <c r="E850" s="72"/>
      <c r="F850" s="71"/>
      <c r="G850" s="69"/>
      <c r="H850" s="73"/>
      <c r="I850" s="69"/>
      <c r="J850" s="69"/>
      <c r="K850" s="69"/>
      <c r="L850" s="74"/>
      <c r="M850" s="74"/>
      <c r="N850" s="69"/>
      <c r="O850" s="75"/>
      <c r="P850" s="75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5.75" customHeight="1">
      <c r="A851" s="68"/>
      <c r="B851" s="69"/>
      <c r="C851" s="72"/>
      <c r="D851" s="71"/>
      <c r="E851" s="72"/>
      <c r="F851" s="71"/>
      <c r="G851" s="69"/>
      <c r="H851" s="73"/>
      <c r="I851" s="69"/>
      <c r="J851" s="69"/>
      <c r="K851" s="69"/>
      <c r="L851" s="74"/>
      <c r="M851" s="74"/>
      <c r="N851" s="69"/>
      <c r="O851" s="75"/>
      <c r="P851" s="75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5.75" customHeight="1">
      <c r="A852" s="68"/>
      <c r="B852" s="69"/>
      <c r="C852" s="72"/>
      <c r="D852" s="71"/>
      <c r="E852" s="72"/>
      <c r="F852" s="71"/>
      <c r="G852" s="69"/>
      <c r="H852" s="73"/>
      <c r="I852" s="69"/>
      <c r="J852" s="69"/>
      <c r="K852" s="69"/>
      <c r="L852" s="74"/>
      <c r="M852" s="74"/>
      <c r="N852" s="69"/>
      <c r="O852" s="75"/>
      <c r="P852" s="75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5.75" customHeight="1">
      <c r="A853" s="68"/>
      <c r="B853" s="69"/>
      <c r="C853" s="72"/>
      <c r="D853" s="71"/>
      <c r="E853" s="72"/>
      <c r="F853" s="71"/>
      <c r="G853" s="69"/>
      <c r="H853" s="73"/>
      <c r="I853" s="69"/>
      <c r="J853" s="69"/>
      <c r="K853" s="69"/>
      <c r="L853" s="74"/>
      <c r="M853" s="74"/>
      <c r="N853" s="69"/>
      <c r="O853" s="75"/>
      <c r="P853" s="75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5.75" customHeight="1">
      <c r="A854" s="68"/>
      <c r="B854" s="69"/>
      <c r="C854" s="72"/>
      <c r="D854" s="71"/>
      <c r="E854" s="72"/>
      <c r="F854" s="71"/>
      <c r="G854" s="69"/>
      <c r="H854" s="73"/>
      <c r="I854" s="69"/>
      <c r="J854" s="69"/>
      <c r="K854" s="69"/>
      <c r="L854" s="74"/>
      <c r="M854" s="74"/>
      <c r="N854" s="69"/>
      <c r="O854" s="75"/>
      <c r="P854" s="75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5.75" customHeight="1">
      <c r="A855" s="68"/>
      <c r="B855" s="69"/>
      <c r="C855" s="72"/>
      <c r="D855" s="71"/>
      <c r="E855" s="72"/>
      <c r="F855" s="71"/>
      <c r="G855" s="69"/>
      <c r="H855" s="73"/>
      <c r="I855" s="69"/>
      <c r="J855" s="69"/>
      <c r="K855" s="69"/>
      <c r="L855" s="74"/>
      <c r="M855" s="74"/>
      <c r="N855" s="69"/>
      <c r="O855" s="75"/>
      <c r="P855" s="75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5.75" customHeight="1">
      <c r="A856" s="68"/>
      <c r="B856" s="69"/>
      <c r="C856" s="72"/>
      <c r="D856" s="71"/>
      <c r="E856" s="72"/>
      <c r="F856" s="71"/>
      <c r="G856" s="69"/>
      <c r="H856" s="73"/>
      <c r="I856" s="69"/>
      <c r="J856" s="69"/>
      <c r="K856" s="69"/>
      <c r="L856" s="74"/>
      <c r="M856" s="74"/>
      <c r="N856" s="69"/>
      <c r="O856" s="75"/>
      <c r="P856" s="75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5.75" customHeight="1">
      <c r="A857" s="68"/>
      <c r="B857" s="69"/>
      <c r="C857" s="72"/>
      <c r="D857" s="71"/>
      <c r="E857" s="72"/>
      <c r="F857" s="71"/>
      <c r="G857" s="69"/>
      <c r="H857" s="73"/>
      <c r="I857" s="69"/>
      <c r="J857" s="69"/>
      <c r="K857" s="69"/>
      <c r="L857" s="74"/>
      <c r="M857" s="74"/>
      <c r="N857" s="69"/>
      <c r="O857" s="75"/>
      <c r="P857" s="75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5.75" customHeight="1">
      <c r="A858" s="68"/>
      <c r="B858" s="69"/>
      <c r="C858" s="72"/>
      <c r="D858" s="71"/>
      <c r="E858" s="72"/>
      <c r="F858" s="71"/>
      <c r="G858" s="69"/>
      <c r="H858" s="73"/>
      <c r="I858" s="69"/>
      <c r="J858" s="69"/>
      <c r="K858" s="69"/>
      <c r="L858" s="74"/>
      <c r="M858" s="74"/>
      <c r="N858" s="69"/>
      <c r="O858" s="75"/>
      <c r="P858" s="75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5.75" customHeight="1">
      <c r="A859" s="68"/>
      <c r="B859" s="69"/>
      <c r="C859" s="72"/>
      <c r="D859" s="71"/>
      <c r="E859" s="72"/>
      <c r="F859" s="71"/>
      <c r="G859" s="69"/>
      <c r="H859" s="73"/>
      <c r="I859" s="69"/>
      <c r="J859" s="69"/>
      <c r="K859" s="69"/>
      <c r="L859" s="74"/>
      <c r="M859" s="74"/>
      <c r="N859" s="69"/>
      <c r="O859" s="75"/>
      <c r="P859" s="75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5.75" customHeight="1">
      <c r="A860" s="68"/>
      <c r="B860" s="69"/>
      <c r="C860" s="72"/>
      <c r="D860" s="71"/>
      <c r="E860" s="72"/>
      <c r="F860" s="71"/>
      <c r="G860" s="69"/>
      <c r="H860" s="73"/>
      <c r="I860" s="69"/>
      <c r="J860" s="69"/>
      <c r="K860" s="69"/>
      <c r="L860" s="74"/>
      <c r="M860" s="74"/>
      <c r="N860" s="69"/>
      <c r="O860" s="75"/>
      <c r="P860" s="75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5.75" customHeight="1">
      <c r="A861" s="68"/>
      <c r="B861" s="69"/>
      <c r="C861" s="72"/>
      <c r="D861" s="71"/>
      <c r="E861" s="72"/>
      <c r="F861" s="71"/>
      <c r="G861" s="69"/>
      <c r="H861" s="73"/>
      <c r="I861" s="69"/>
      <c r="J861" s="69"/>
      <c r="K861" s="69"/>
      <c r="L861" s="74"/>
      <c r="M861" s="74"/>
      <c r="N861" s="69"/>
      <c r="O861" s="75"/>
      <c r="P861" s="75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5.75" customHeight="1">
      <c r="A862" s="68"/>
      <c r="B862" s="69"/>
      <c r="C862" s="72"/>
      <c r="D862" s="71"/>
      <c r="E862" s="72"/>
      <c r="F862" s="71"/>
      <c r="G862" s="69"/>
      <c r="H862" s="73"/>
      <c r="I862" s="69"/>
      <c r="J862" s="69"/>
      <c r="K862" s="69"/>
      <c r="L862" s="74"/>
      <c r="M862" s="74"/>
      <c r="N862" s="69"/>
      <c r="O862" s="75"/>
      <c r="P862" s="75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5.75" customHeight="1">
      <c r="A863" s="68"/>
      <c r="B863" s="69"/>
      <c r="C863" s="72"/>
      <c r="D863" s="71"/>
      <c r="E863" s="72"/>
      <c r="F863" s="71"/>
      <c r="G863" s="69"/>
      <c r="H863" s="73"/>
      <c r="I863" s="69"/>
      <c r="J863" s="69"/>
      <c r="K863" s="69"/>
      <c r="L863" s="74"/>
      <c r="M863" s="74"/>
      <c r="N863" s="69"/>
      <c r="O863" s="75"/>
      <c r="P863" s="75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5.75" customHeight="1">
      <c r="A864" s="68"/>
      <c r="B864" s="69"/>
      <c r="C864" s="72"/>
      <c r="D864" s="71"/>
      <c r="E864" s="72"/>
      <c r="F864" s="71"/>
      <c r="G864" s="69"/>
      <c r="H864" s="73"/>
      <c r="I864" s="69"/>
      <c r="J864" s="69"/>
      <c r="K864" s="69"/>
      <c r="L864" s="74"/>
      <c r="M864" s="74"/>
      <c r="N864" s="69"/>
      <c r="O864" s="75"/>
      <c r="P864" s="75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5.75" customHeight="1">
      <c r="A865" s="68"/>
      <c r="B865" s="69"/>
      <c r="C865" s="72"/>
      <c r="D865" s="71"/>
      <c r="E865" s="72"/>
      <c r="F865" s="71"/>
      <c r="G865" s="69"/>
      <c r="H865" s="73"/>
      <c r="I865" s="69"/>
      <c r="J865" s="69"/>
      <c r="K865" s="69"/>
      <c r="L865" s="74"/>
      <c r="M865" s="74"/>
      <c r="N865" s="69"/>
      <c r="O865" s="75"/>
      <c r="P865" s="75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5.75" customHeight="1">
      <c r="A866" s="68"/>
      <c r="B866" s="69"/>
      <c r="C866" s="72"/>
      <c r="D866" s="71"/>
      <c r="E866" s="72"/>
      <c r="F866" s="71"/>
      <c r="G866" s="69"/>
      <c r="H866" s="73"/>
      <c r="I866" s="69"/>
      <c r="J866" s="69"/>
      <c r="K866" s="69"/>
      <c r="L866" s="74"/>
      <c r="M866" s="74"/>
      <c r="N866" s="69"/>
      <c r="O866" s="75"/>
      <c r="P866" s="75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5.75" customHeight="1">
      <c r="A867" s="68"/>
      <c r="B867" s="69"/>
      <c r="C867" s="72"/>
      <c r="D867" s="71"/>
      <c r="E867" s="72"/>
      <c r="F867" s="71"/>
      <c r="G867" s="69"/>
      <c r="H867" s="73"/>
      <c r="I867" s="69"/>
      <c r="J867" s="69"/>
      <c r="K867" s="69"/>
      <c r="L867" s="74"/>
      <c r="M867" s="74"/>
      <c r="N867" s="69"/>
      <c r="O867" s="75"/>
      <c r="P867" s="75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5.75" customHeight="1">
      <c r="A868" s="68"/>
      <c r="B868" s="69"/>
      <c r="C868" s="72"/>
      <c r="D868" s="71"/>
      <c r="E868" s="72"/>
      <c r="F868" s="71"/>
      <c r="G868" s="69"/>
      <c r="H868" s="73"/>
      <c r="I868" s="69"/>
      <c r="J868" s="69"/>
      <c r="K868" s="69"/>
      <c r="L868" s="74"/>
      <c r="M868" s="74"/>
      <c r="N868" s="69"/>
      <c r="O868" s="75"/>
      <c r="P868" s="75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5.75" customHeight="1">
      <c r="A869" s="68"/>
      <c r="B869" s="69"/>
      <c r="C869" s="72"/>
      <c r="D869" s="71"/>
      <c r="E869" s="72"/>
      <c r="F869" s="71"/>
      <c r="G869" s="69"/>
      <c r="H869" s="73"/>
      <c r="I869" s="69"/>
      <c r="J869" s="69"/>
      <c r="K869" s="69"/>
      <c r="L869" s="74"/>
      <c r="M869" s="74"/>
      <c r="N869" s="69"/>
      <c r="O869" s="75"/>
      <c r="P869" s="75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5.75" customHeight="1">
      <c r="A870" s="68"/>
      <c r="B870" s="69"/>
      <c r="C870" s="72"/>
      <c r="D870" s="71"/>
      <c r="E870" s="72"/>
      <c r="F870" s="71"/>
      <c r="G870" s="69"/>
      <c r="H870" s="73"/>
      <c r="I870" s="69"/>
      <c r="J870" s="69"/>
      <c r="K870" s="69"/>
      <c r="L870" s="74"/>
      <c r="M870" s="74"/>
      <c r="N870" s="69"/>
      <c r="O870" s="75"/>
      <c r="P870" s="75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5.75" customHeight="1">
      <c r="A871" s="68"/>
      <c r="B871" s="69"/>
      <c r="C871" s="72"/>
      <c r="D871" s="71"/>
      <c r="E871" s="72"/>
      <c r="F871" s="71"/>
      <c r="G871" s="69"/>
      <c r="H871" s="73"/>
      <c r="I871" s="69"/>
      <c r="J871" s="69"/>
      <c r="K871" s="69"/>
      <c r="L871" s="74"/>
      <c r="M871" s="74"/>
      <c r="N871" s="69"/>
      <c r="O871" s="75"/>
      <c r="P871" s="75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5.75" customHeight="1">
      <c r="A872" s="68"/>
      <c r="B872" s="69"/>
      <c r="C872" s="72"/>
      <c r="D872" s="71"/>
      <c r="E872" s="72"/>
      <c r="F872" s="71"/>
      <c r="G872" s="69"/>
      <c r="H872" s="73"/>
      <c r="I872" s="69"/>
      <c r="J872" s="69"/>
      <c r="K872" s="69"/>
      <c r="L872" s="74"/>
      <c r="M872" s="74"/>
      <c r="N872" s="69"/>
      <c r="O872" s="75"/>
      <c r="P872" s="75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5.75" customHeight="1">
      <c r="A873" s="68"/>
      <c r="B873" s="69"/>
      <c r="C873" s="72"/>
      <c r="D873" s="71"/>
      <c r="E873" s="72"/>
      <c r="F873" s="71"/>
      <c r="G873" s="69"/>
      <c r="H873" s="73"/>
      <c r="I873" s="69"/>
      <c r="J873" s="69"/>
      <c r="K873" s="69"/>
      <c r="L873" s="74"/>
      <c r="M873" s="74"/>
      <c r="N873" s="69"/>
      <c r="O873" s="75"/>
      <c r="P873" s="75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5.75" customHeight="1">
      <c r="A874" s="68"/>
      <c r="B874" s="69"/>
      <c r="C874" s="72"/>
      <c r="D874" s="71"/>
      <c r="E874" s="72"/>
      <c r="F874" s="71"/>
      <c r="G874" s="69"/>
      <c r="H874" s="73"/>
      <c r="I874" s="69"/>
      <c r="J874" s="69"/>
      <c r="K874" s="69"/>
      <c r="L874" s="74"/>
      <c r="M874" s="74"/>
      <c r="N874" s="69"/>
      <c r="O874" s="75"/>
      <c r="P874" s="75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5.75" customHeight="1">
      <c r="A875" s="68"/>
      <c r="B875" s="69"/>
      <c r="C875" s="72"/>
      <c r="D875" s="71"/>
      <c r="E875" s="72"/>
      <c r="F875" s="71"/>
      <c r="G875" s="69"/>
      <c r="H875" s="73"/>
      <c r="I875" s="69"/>
      <c r="J875" s="69"/>
      <c r="K875" s="69"/>
      <c r="L875" s="74"/>
      <c r="M875" s="74"/>
      <c r="N875" s="69"/>
      <c r="O875" s="75"/>
      <c r="P875" s="75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5.75" customHeight="1">
      <c r="A876" s="68"/>
      <c r="B876" s="69"/>
      <c r="C876" s="72"/>
      <c r="D876" s="71"/>
      <c r="E876" s="72"/>
      <c r="F876" s="71"/>
      <c r="G876" s="69"/>
      <c r="H876" s="73"/>
      <c r="I876" s="69"/>
      <c r="J876" s="69"/>
      <c r="K876" s="69"/>
      <c r="L876" s="74"/>
      <c r="M876" s="74"/>
      <c r="N876" s="69"/>
      <c r="O876" s="75"/>
      <c r="P876" s="75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5.75" customHeight="1">
      <c r="A877" s="68"/>
      <c r="B877" s="69"/>
      <c r="C877" s="72"/>
      <c r="D877" s="71"/>
      <c r="E877" s="72"/>
      <c r="F877" s="71"/>
      <c r="G877" s="69"/>
      <c r="H877" s="73"/>
      <c r="I877" s="69"/>
      <c r="J877" s="69"/>
      <c r="K877" s="69"/>
      <c r="L877" s="74"/>
      <c r="M877" s="74"/>
      <c r="N877" s="69"/>
      <c r="O877" s="75"/>
      <c r="P877" s="75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5.75" customHeight="1">
      <c r="A878" s="68"/>
      <c r="B878" s="69"/>
      <c r="C878" s="72"/>
      <c r="D878" s="71"/>
      <c r="E878" s="72"/>
      <c r="F878" s="71"/>
      <c r="G878" s="69"/>
      <c r="H878" s="73"/>
      <c r="I878" s="69"/>
      <c r="J878" s="69"/>
      <c r="K878" s="69"/>
      <c r="L878" s="74"/>
      <c r="M878" s="74"/>
      <c r="N878" s="69"/>
      <c r="O878" s="75"/>
      <c r="P878" s="75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5.75" customHeight="1">
      <c r="A879" s="68"/>
      <c r="B879" s="69"/>
      <c r="C879" s="72"/>
      <c r="D879" s="71"/>
      <c r="E879" s="72"/>
      <c r="F879" s="71"/>
      <c r="G879" s="69"/>
      <c r="H879" s="73"/>
      <c r="I879" s="69"/>
      <c r="J879" s="69"/>
      <c r="K879" s="69"/>
      <c r="L879" s="74"/>
      <c r="M879" s="74"/>
      <c r="N879" s="69"/>
      <c r="O879" s="75"/>
      <c r="P879" s="75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5.75" customHeight="1">
      <c r="A880" s="68"/>
      <c r="B880" s="69"/>
      <c r="C880" s="72"/>
      <c r="D880" s="71"/>
      <c r="E880" s="72"/>
      <c r="F880" s="71"/>
      <c r="G880" s="69"/>
      <c r="H880" s="73"/>
      <c r="I880" s="69"/>
      <c r="J880" s="69"/>
      <c r="K880" s="69"/>
      <c r="L880" s="74"/>
      <c r="M880" s="74"/>
      <c r="N880" s="69"/>
      <c r="O880" s="75"/>
      <c r="P880" s="75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5.75" customHeight="1">
      <c r="A881" s="68"/>
      <c r="B881" s="69"/>
      <c r="C881" s="72"/>
      <c r="D881" s="71"/>
      <c r="E881" s="72"/>
      <c r="F881" s="71"/>
      <c r="G881" s="69"/>
      <c r="H881" s="73"/>
      <c r="I881" s="69"/>
      <c r="J881" s="69"/>
      <c r="K881" s="69"/>
      <c r="L881" s="74"/>
      <c r="M881" s="74"/>
      <c r="N881" s="69"/>
      <c r="O881" s="75"/>
      <c r="P881" s="75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5.75" customHeight="1">
      <c r="A882" s="68"/>
      <c r="B882" s="69"/>
      <c r="C882" s="72"/>
      <c r="D882" s="71"/>
      <c r="E882" s="72"/>
      <c r="F882" s="71"/>
      <c r="G882" s="69"/>
      <c r="H882" s="73"/>
      <c r="I882" s="69"/>
      <c r="J882" s="69"/>
      <c r="K882" s="69"/>
      <c r="L882" s="74"/>
      <c r="M882" s="74"/>
      <c r="N882" s="69"/>
      <c r="O882" s="75"/>
      <c r="P882" s="75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5.75" customHeight="1">
      <c r="A883" s="68"/>
      <c r="B883" s="69"/>
      <c r="C883" s="72"/>
      <c r="D883" s="71"/>
      <c r="E883" s="72"/>
      <c r="F883" s="71"/>
      <c r="G883" s="69"/>
      <c r="H883" s="73"/>
      <c r="I883" s="69"/>
      <c r="J883" s="69"/>
      <c r="K883" s="69"/>
      <c r="L883" s="74"/>
      <c r="M883" s="74"/>
      <c r="N883" s="69"/>
      <c r="O883" s="75"/>
      <c r="P883" s="75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5.75" customHeight="1">
      <c r="A884" s="68"/>
      <c r="B884" s="69"/>
      <c r="C884" s="72"/>
      <c r="D884" s="71"/>
      <c r="E884" s="72"/>
      <c r="F884" s="71"/>
      <c r="G884" s="69"/>
      <c r="H884" s="73"/>
      <c r="I884" s="69"/>
      <c r="J884" s="69"/>
      <c r="K884" s="69"/>
      <c r="L884" s="74"/>
      <c r="M884" s="74"/>
      <c r="N884" s="69"/>
      <c r="O884" s="75"/>
      <c r="P884" s="75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5.75" customHeight="1">
      <c r="A885" s="68"/>
      <c r="B885" s="69"/>
      <c r="C885" s="72"/>
      <c r="D885" s="71"/>
      <c r="E885" s="72"/>
      <c r="F885" s="71"/>
      <c r="G885" s="69"/>
      <c r="H885" s="73"/>
      <c r="I885" s="69"/>
      <c r="J885" s="69"/>
      <c r="K885" s="69"/>
      <c r="L885" s="74"/>
      <c r="M885" s="74"/>
      <c r="N885" s="69"/>
      <c r="O885" s="75"/>
      <c r="P885" s="75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5.75" customHeight="1">
      <c r="A886" s="68"/>
      <c r="B886" s="69"/>
      <c r="C886" s="72"/>
      <c r="D886" s="71"/>
      <c r="E886" s="72"/>
      <c r="F886" s="71"/>
      <c r="G886" s="69"/>
      <c r="H886" s="73"/>
      <c r="I886" s="69"/>
      <c r="J886" s="69"/>
      <c r="K886" s="69"/>
      <c r="L886" s="74"/>
      <c r="M886" s="74"/>
      <c r="N886" s="69"/>
      <c r="O886" s="75"/>
      <c r="P886" s="75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5.75" customHeight="1">
      <c r="A887" s="68"/>
      <c r="B887" s="69"/>
      <c r="C887" s="72"/>
      <c r="D887" s="71"/>
      <c r="E887" s="72"/>
      <c r="F887" s="71"/>
      <c r="G887" s="69"/>
      <c r="H887" s="73"/>
      <c r="I887" s="69"/>
      <c r="J887" s="69"/>
      <c r="K887" s="69"/>
      <c r="L887" s="74"/>
      <c r="M887" s="74"/>
      <c r="N887" s="69"/>
      <c r="O887" s="75"/>
      <c r="P887" s="75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5.75" customHeight="1">
      <c r="A888" s="68"/>
      <c r="B888" s="69"/>
      <c r="C888" s="72"/>
      <c r="D888" s="71"/>
      <c r="E888" s="72"/>
      <c r="F888" s="71"/>
      <c r="G888" s="69"/>
      <c r="H888" s="73"/>
      <c r="I888" s="69"/>
      <c r="J888" s="69"/>
      <c r="K888" s="69"/>
      <c r="L888" s="74"/>
      <c r="M888" s="74"/>
      <c r="N888" s="69"/>
      <c r="O888" s="75"/>
      <c r="P888" s="75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5.75" customHeight="1">
      <c r="A889" s="68"/>
      <c r="B889" s="69"/>
      <c r="C889" s="72"/>
      <c r="D889" s="71"/>
      <c r="E889" s="72"/>
      <c r="F889" s="71"/>
      <c r="G889" s="69"/>
      <c r="H889" s="73"/>
      <c r="I889" s="69"/>
      <c r="J889" s="69"/>
      <c r="K889" s="69"/>
      <c r="L889" s="74"/>
      <c r="M889" s="74"/>
      <c r="N889" s="69"/>
      <c r="O889" s="75"/>
      <c r="P889" s="75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5.75" customHeight="1">
      <c r="A890" s="68"/>
      <c r="B890" s="69"/>
      <c r="C890" s="72"/>
      <c r="D890" s="71"/>
      <c r="E890" s="72"/>
      <c r="F890" s="71"/>
      <c r="G890" s="69"/>
      <c r="H890" s="73"/>
      <c r="I890" s="69"/>
      <c r="J890" s="69"/>
      <c r="K890" s="69"/>
      <c r="L890" s="74"/>
      <c r="M890" s="74"/>
      <c r="N890" s="69"/>
      <c r="O890" s="75"/>
      <c r="P890" s="75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5.75" customHeight="1">
      <c r="A891" s="68"/>
      <c r="B891" s="69"/>
      <c r="C891" s="72"/>
      <c r="D891" s="71"/>
      <c r="E891" s="72"/>
      <c r="F891" s="71"/>
      <c r="G891" s="69"/>
      <c r="H891" s="73"/>
      <c r="I891" s="69"/>
      <c r="J891" s="69"/>
      <c r="K891" s="69"/>
      <c r="L891" s="74"/>
      <c r="M891" s="74"/>
      <c r="N891" s="69"/>
      <c r="O891" s="75"/>
      <c r="P891" s="75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5.75" customHeight="1">
      <c r="A892" s="68"/>
      <c r="B892" s="69"/>
      <c r="C892" s="72"/>
      <c r="D892" s="71"/>
      <c r="E892" s="72"/>
      <c r="F892" s="71"/>
      <c r="G892" s="69"/>
      <c r="H892" s="73"/>
      <c r="I892" s="69"/>
      <c r="J892" s="69"/>
      <c r="K892" s="69"/>
      <c r="L892" s="74"/>
      <c r="M892" s="74"/>
      <c r="N892" s="69"/>
      <c r="O892" s="75"/>
      <c r="P892" s="75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5.75" customHeight="1">
      <c r="A893" s="68"/>
      <c r="B893" s="69"/>
      <c r="C893" s="72"/>
      <c r="D893" s="71"/>
      <c r="E893" s="72"/>
      <c r="F893" s="71"/>
      <c r="G893" s="69"/>
      <c r="H893" s="73"/>
      <c r="I893" s="69"/>
      <c r="J893" s="69"/>
      <c r="K893" s="69"/>
      <c r="L893" s="74"/>
      <c r="M893" s="74"/>
      <c r="N893" s="69"/>
      <c r="O893" s="75"/>
      <c r="P893" s="75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5.75" customHeight="1">
      <c r="A894" s="68"/>
      <c r="B894" s="69"/>
      <c r="C894" s="72"/>
      <c r="D894" s="71"/>
      <c r="E894" s="72"/>
      <c r="F894" s="71"/>
      <c r="G894" s="69"/>
      <c r="H894" s="73"/>
      <c r="I894" s="69"/>
      <c r="J894" s="69"/>
      <c r="K894" s="69"/>
      <c r="L894" s="74"/>
      <c r="M894" s="74"/>
      <c r="N894" s="69"/>
      <c r="O894" s="75"/>
      <c r="P894" s="75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5.75" customHeight="1">
      <c r="A895" s="68"/>
      <c r="B895" s="69"/>
      <c r="C895" s="72"/>
      <c r="D895" s="71"/>
      <c r="E895" s="72"/>
      <c r="F895" s="71"/>
      <c r="G895" s="69"/>
      <c r="H895" s="73"/>
      <c r="I895" s="69"/>
      <c r="J895" s="69"/>
      <c r="K895" s="69"/>
      <c r="L895" s="74"/>
      <c r="M895" s="74"/>
      <c r="N895" s="69"/>
      <c r="O895" s="75"/>
      <c r="P895" s="75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5.75" customHeight="1">
      <c r="A896" s="68"/>
      <c r="B896" s="69"/>
      <c r="C896" s="72"/>
      <c r="D896" s="71"/>
      <c r="E896" s="72"/>
      <c r="F896" s="71"/>
      <c r="G896" s="69"/>
      <c r="H896" s="73"/>
      <c r="I896" s="69"/>
      <c r="J896" s="69"/>
      <c r="K896" s="69"/>
      <c r="L896" s="74"/>
      <c r="M896" s="74"/>
      <c r="N896" s="69"/>
      <c r="O896" s="75"/>
      <c r="P896" s="75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5.75" customHeight="1">
      <c r="A897" s="68"/>
      <c r="B897" s="69"/>
      <c r="C897" s="72"/>
      <c r="D897" s="71"/>
      <c r="E897" s="72"/>
      <c r="F897" s="71"/>
      <c r="G897" s="69"/>
      <c r="H897" s="73"/>
      <c r="I897" s="69"/>
      <c r="J897" s="69"/>
      <c r="K897" s="69"/>
      <c r="L897" s="74"/>
      <c r="M897" s="74"/>
      <c r="N897" s="69"/>
      <c r="O897" s="75"/>
      <c r="P897" s="75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5.75" customHeight="1">
      <c r="A898" s="68"/>
      <c r="B898" s="69"/>
      <c r="C898" s="72"/>
      <c r="D898" s="71"/>
      <c r="E898" s="72"/>
      <c r="F898" s="71"/>
      <c r="G898" s="69"/>
      <c r="H898" s="73"/>
      <c r="I898" s="69"/>
      <c r="J898" s="69"/>
      <c r="K898" s="69"/>
      <c r="L898" s="74"/>
      <c r="M898" s="74"/>
      <c r="N898" s="69"/>
      <c r="O898" s="75"/>
      <c r="P898" s="75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5.75" customHeight="1">
      <c r="A899" s="68"/>
      <c r="B899" s="69"/>
      <c r="C899" s="72"/>
      <c r="D899" s="71"/>
      <c r="E899" s="72"/>
      <c r="F899" s="71"/>
      <c r="G899" s="69"/>
      <c r="H899" s="73"/>
      <c r="I899" s="69"/>
      <c r="J899" s="69"/>
      <c r="K899" s="69"/>
      <c r="L899" s="74"/>
      <c r="M899" s="74"/>
      <c r="N899" s="69"/>
      <c r="O899" s="75"/>
      <c r="P899" s="75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5.75" customHeight="1">
      <c r="A900" s="68"/>
      <c r="B900" s="69"/>
      <c r="C900" s="72"/>
      <c r="D900" s="71"/>
      <c r="E900" s="72"/>
      <c r="F900" s="71"/>
      <c r="G900" s="69"/>
      <c r="H900" s="73"/>
      <c r="I900" s="69"/>
      <c r="J900" s="69"/>
      <c r="K900" s="69"/>
      <c r="L900" s="74"/>
      <c r="M900" s="74"/>
      <c r="N900" s="69"/>
      <c r="O900" s="75"/>
      <c r="P900" s="75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5.75" customHeight="1">
      <c r="A901" s="68"/>
      <c r="B901" s="69"/>
      <c r="C901" s="72"/>
      <c r="D901" s="71"/>
      <c r="E901" s="72"/>
      <c r="F901" s="71"/>
      <c r="G901" s="69"/>
      <c r="H901" s="73"/>
      <c r="I901" s="69"/>
      <c r="J901" s="69"/>
      <c r="K901" s="69"/>
      <c r="L901" s="74"/>
      <c r="M901" s="74"/>
      <c r="N901" s="69"/>
      <c r="O901" s="75"/>
      <c r="P901" s="75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5.75" customHeight="1">
      <c r="A902" s="68"/>
      <c r="B902" s="69"/>
      <c r="C902" s="72"/>
      <c r="D902" s="71"/>
      <c r="E902" s="72"/>
      <c r="F902" s="71"/>
      <c r="G902" s="69"/>
      <c r="H902" s="73"/>
      <c r="I902" s="69"/>
      <c r="J902" s="69"/>
      <c r="K902" s="69"/>
      <c r="L902" s="74"/>
      <c r="M902" s="74"/>
      <c r="N902" s="69"/>
      <c r="O902" s="75"/>
      <c r="P902" s="75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5.75" customHeight="1">
      <c r="A903" s="68"/>
      <c r="B903" s="69"/>
      <c r="C903" s="72"/>
      <c r="D903" s="71"/>
      <c r="E903" s="72"/>
      <c r="F903" s="71"/>
      <c r="G903" s="69"/>
      <c r="H903" s="73"/>
      <c r="I903" s="69"/>
      <c r="J903" s="69"/>
      <c r="K903" s="69"/>
      <c r="L903" s="74"/>
      <c r="M903" s="74"/>
      <c r="N903" s="69"/>
      <c r="O903" s="75"/>
      <c r="P903" s="75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5.75" customHeight="1">
      <c r="A904" s="68"/>
      <c r="B904" s="69"/>
      <c r="C904" s="72"/>
      <c r="D904" s="71"/>
      <c r="E904" s="72"/>
      <c r="F904" s="71"/>
      <c r="G904" s="69"/>
      <c r="H904" s="73"/>
      <c r="I904" s="69"/>
      <c r="J904" s="69"/>
      <c r="K904" s="69"/>
      <c r="L904" s="74"/>
      <c r="M904" s="74"/>
      <c r="N904" s="69"/>
      <c r="O904" s="75"/>
      <c r="P904" s="75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5.75" customHeight="1">
      <c r="A905" s="68"/>
      <c r="B905" s="69"/>
      <c r="C905" s="72"/>
      <c r="D905" s="71"/>
      <c r="E905" s="72"/>
      <c r="F905" s="71"/>
      <c r="G905" s="69"/>
      <c r="H905" s="73"/>
      <c r="I905" s="69"/>
      <c r="J905" s="69"/>
      <c r="K905" s="69"/>
      <c r="L905" s="74"/>
      <c r="M905" s="74"/>
      <c r="N905" s="69"/>
      <c r="O905" s="75"/>
      <c r="P905" s="75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5.75" customHeight="1">
      <c r="A906" s="68"/>
      <c r="B906" s="69"/>
      <c r="C906" s="72"/>
      <c r="D906" s="71"/>
      <c r="E906" s="72"/>
      <c r="F906" s="71"/>
      <c r="G906" s="69"/>
      <c r="H906" s="73"/>
      <c r="I906" s="69"/>
      <c r="J906" s="69"/>
      <c r="K906" s="69"/>
      <c r="L906" s="74"/>
      <c r="M906" s="74"/>
      <c r="N906" s="69"/>
      <c r="O906" s="75"/>
      <c r="P906" s="75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5.75" customHeight="1">
      <c r="A907" s="68"/>
      <c r="B907" s="69"/>
      <c r="C907" s="72"/>
      <c r="D907" s="71"/>
      <c r="E907" s="72"/>
      <c r="F907" s="71"/>
      <c r="G907" s="69"/>
      <c r="H907" s="73"/>
      <c r="I907" s="69"/>
      <c r="J907" s="69"/>
      <c r="K907" s="69"/>
      <c r="L907" s="74"/>
      <c r="M907" s="74"/>
      <c r="N907" s="69"/>
      <c r="O907" s="75"/>
      <c r="P907" s="75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5.75" customHeight="1">
      <c r="A908" s="68"/>
      <c r="B908" s="69"/>
      <c r="C908" s="72"/>
      <c r="D908" s="71"/>
      <c r="E908" s="72"/>
      <c r="F908" s="71"/>
      <c r="G908" s="69"/>
      <c r="H908" s="73"/>
      <c r="I908" s="69"/>
      <c r="J908" s="69"/>
      <c r="K908" s="69"/>
      <c r="L908" s="74"/>
      <c r="M908" s="74"/>
      <c r="N908" s="69"/>
      <c r="O908" s="75"/>
      <c r="P908" s="75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5.75" customHeight="1">
      <c r="A909" s="68"/>
      <c r="B909" s="69"/>
      <c r="C909" s="72"/>
      <c r="D909" s="71"/>
      <c r="E909" s="72"/>
      <c r="F909" s="71"/>
      <c r="G909" s="69"/>
      <c r="H909" s="73"/>
      <c r="I909" s="69"/>
      <c r="J909" s="69"/>
      <c r="K909" s="69"/>
      <c r="L909" s="74"/>
      <c r="M909" s="74"/>
      <c r="N909" s="69"/>
      <c r="O909" s="75"/>
      <c r="P909" s="75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5.75" customHeight="1">
      <c r="A910" s="68"/>
      <c r="B910" s="69"/>
      <c r="C910" s="72"/>
      <c r="D910" s="71"/>
      <c r="E910" s="72"/>
      <c r="F910" s="71"/>
      <c r="G910" s="69"/>
      <c r="H910" s="73"/>
      <c r="I910" s="69"/>
      <c r="J910" s="69"/>
      <c r="K910" s="69"/>
      <c r="L910" s="74"/>
      <c r="M910" s="74"/>
      <c r="N910" s="69"/>
      <c r="O910" s="75"/>
      <c r="P910" s="75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5.75" customHeight="1">
      <c r="A911" s="68"/>
      <c r="B911" s="69"/>
      <c r="C911" s="72"/>
      <c r="D911" s="71"/>
      <c r="E911" s="72"/>
      <c r="F911" s="71"/>
      <c r="G911" s="69"/>
      <c r="H911" s="73"/>
      <c r="I911" s="69"/>
      <c r="J911" s="69"/>
      <c r="K911" s="69"/>
      <c r="L911" s="74"/>
      <c r="M911" s="74"/>
      <c r="N911" s="69"/>
      <c r="O911" s="75"/>
      <c r="P911" s="75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5.75" customHeight="1">
      <c r="A912" s="68"/>
      <c r="B912" s="69"/>
      <c r="C912" s="72"/>
      <c r="D912" s="71"/>
      <c r="E912" s="72"/>
      <c r="F912" s="71"/>
      <c r="G912" s="69"/>
      <c r="H912" s="73"/>
      <c r="I912" s="69"/>
      <c r="J912" s="69"/>
      <c r="K912" s="69"/>
      <c r="L912" s="74"/>
      <c r="M912" s="74"/>
      <c r="N912" s="69"/>
      <c r="O912" s="75"/>
      <c r="P912" s="75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5.75" customHeight="1">
      <c r="A913" s="68"/>
      <c r="B913" s="69"/>
      <c r="C913" s="72"/>
      <c r="D913" s="71"/>
      <c r="E913" s="72"/>
      <c r="F913" s="71"/>
      <c r="G913" s="69"/>
      <c r="H913" s="73"/>
      <c r="I913" s="69"/>
      <c r="J913" s="69"/>
      <c r="K913" s="69"/>
      <c r="L913" s="74"/>
      <c r="M913" s="74"/>
      <c r="N913" s="69"/>
      <c r="O913" s="75"/>
      <c r="P913" s="75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5.75" customHeight="1">
      <c r="A914" s="68"/>
      <c r="B914" s="69"/>
      <c r="C914" s="72"/>
      <c r="D914" s="71"/>
      <c r="E914" s="72"/>
      <c r="F914" s="71"/>
      <c r="G914" s="69"/>
      <c r="H914" s="73"/>
      <c r="I914" s="69"/>
      <c r="J914" s="69"/>
      <c r="K914" s="69"/>
      <c r="L914" s="74"/>
      <c r="M914" s="74"/>
      <c r="N914" s="69"/>
      <c r="O914" s="75"/>
      <c r="P914" s="75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5.75" customHeight="1">
      <c r="A915" s="68"/>
      <c r="B915" s="69"/>
      <c r="C915" s="72"/>
      <c r="D915" s="71"/>
      <c r="E915" s="72"/>
      <c r="F915" s="71"/>
      <c r="G915" s="69"/>
      <c r="H915" s="73"/>
      <c r="I915" s="69"/>
      <c r="J915" s="69"/>
      <c r="K915" s="69"/>
      <c r="L915" s="74"/>
      <c r="M915" s="74"/>
      <c r="N915" s="69"/>
      <c r="O915" s="75"/>
      <c r="P915" s="75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5.75" customHeight="1">
      <c r="A916" s="68"/>
      <c r="B916" s="69"/>
      <c r="C916" s="72"/>
      <c r="D916" s="71"/>
      <c r="E916" s="72"/>
      <c r="F916" s="71"/>
      <c r="G916" s="69"/>
      <c r="H916" s="73"/>
      <c r="I916" s="69"/>
      <c r="J916" s="69"/>
      <c r="K916" s="69"/>
      <c r="L916" s="74"/>
      <c r="M916" s="74"/>
      <c r="N916" s="69"/>
      <c r="O916" s="75"/>
      <c r="P916" s="75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5.75" customHeight="1">
      <c r="A917" s="68"/>
      <c r="B917" s="69"/>
      <c r="C917" s="72"/>
      <c r="D917" s="71"/>
      <c r="E917" s="72"/>
      <c r="F917" s="71"/>
      <c r="G917" s="69"/>
      <c r="H917" s="73"/>
      <c r="I917" s="69"/>
      <c r="J917" s="69"/>
      <c r="K917" s="69"/>
      <c r="L917" s="74"/>
      <c r="M917" s="74"/>
      <c r="N917" s="69"/>
      <c r="O917" s="75"/>
      <c r="P917" s="75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5.75" customHeight="1">
      <c r="A918" s="68"/>
      <c r="B918" s="69"/>
      <c r="C918" s="72"/>
      <c r="D918" s="71"/>
      <c r="E918" s="72"/>
      <c r="F918" s="71"/>
      <c r="G918" s="69"/>
      <c r="H918" s="73"/>
      <c r="I918" s="69"/>
      <c r="J918" s="69"/>
      <c r="K918" s="69"/>
      <c r="L918" s="74"/>
      <c r="M918" s="74"/>
      <c r="N918" s="69"/>
      <c r="O918" s="75"/>
      <c r="P918" s="75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5.75" customHeight="1">
      <c r="A919" s="68"/>
      <c r="B919" s="69"/>
      <c r="C919" s="72"/>
      <c r="D919" s="71"/>
      <c r="E919" s="72"/>
      <c r="F919" s="71"/>
      <c r="G919" s="69"/>
      <c r="H919" s="73"/>
      <c r="I919" s="69"/>
      <c r="J919" s="69"/>
      <c r="K919" s="69"/>
      <c r="L919" s="74"/>
      <c r="M919" s="74"/>
      <c r="N919" s="69"/>
      <c r="O919" s="75"/>
      <c r="P919" s="75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5.75" customHeight="1">
      <c r="A920" s="68"/>
      <c r="B920" s="69"/>
      <c r="C920" s="72"/>
      <c r="D920" s="71"/>
      <c r="E920" s="72"/>
      <c r="F920" s="71"/>
      <c r="G920" s="69"/>
      <c r="H920" s="73"/>
      <c r="I920" s="69"/>
      <c r="J920" s="69"/>
      <c r="K920" s="69"/>
      <c r="L920" s="74"/>
      <c r="M920" s="74"/>
      <c r="N920" s="69"/>
      <c r="O920" s="75"/>
      <c r="P920" s="75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5.75" customHeight="1">
      <c r="A921" s="68"/>
      <c r="B921" s="69"/>
      <c r="C921" s="72"/>
      <c r="D921" s="71"/>
      <c r="E921" s="72"/>
      <c r="F921" s="71"/>
      <c r="G921" s="69"/>
      <c r="H921" s="73"/>
      <c r="I921" s="69"/>
      <c r="J921" s="69"/>
      <c r="K921" s="69"/>
      <c r="L921" s="74"/>
      <c r="M921" s="74"/>
      <c r="N921" s="69"/>
      <c r="O921" s="75"/>
      <c r="P921" s="75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5.75" customHeight="1">
      <c r="A922" s="68"/>
      <c r="B922" s="69"/>
      <c r="C922" s="72"/>
      <c r="D922" s="71"/>
      <c r="E922" s="72"/>
      <c r="F922" s="71"/>
      <c r="G922" s="69"/>
      <c r="H922" s="73"/>
      <c r="I922" s="69"/>
      <c r="J922" s="69"/>
      <c r="K922" s="69"/>
      <c r="L922" s="74"/>
      <c r="M922" s="74"/>
      <c r="N922" s="69"/>
      <c r="O922" s="75"/>
      <c r="P922" s="75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5.75" customHeight="1">
      <c r="A923" s="68"/>
      <c r="B923" s="69"/>
      <c r="C923" s="72"/>
      <c r="D923" s="71"/>
      <c r="E923" s="72"/>
      <c r="F923" s="71"/>
      <c r="G923" s="69"/>
      <c r="H923" s="73"/>
      <c r="I923" s="69"/>
      <c r="J923" s="69"/>
      <c r="K923" s="69"/>
      <c r="L923" s="74"/>
      <c r="M923" s="74"/>
      <c r="N923" s="69"/>
      <c r="O923" s="75"/>
      <c r="P923" s="75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5.75" customHeight="1">
      <c r="A924" s="68"/>
      <c r="B924" s="69"/>
      <c r="C924" s="72"/>
      <c r="D924" s="71"/>
      <c r="E924" s="72"/>
      <c r="F924" s="71"/>
      <c r="G924" s="69"/>
      <c r="H924" s="73"/>
      <c r="I924" s="69"/>
      <c r="J924" s="69"/>
      <c r="K924" s="69"/>
      <c r="L924" s="74"/>
      <c r="M924" s="74"/>
      <c r="N924" s="69"/>
      <c r="O924" s="75"/>
      <c r="P924" s="75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5.75" customHeight="1">
      <c r="A925" s="68"/>
      <c r="B925" s="69"/>
      <c r="C925" s="72"/>
      <c r="D925" s="71"/>
      <c r="E925" s="72"/>
      <c r="F925" s="71"/>
      <c r="G925" s="69"/>
      <c r="H925" s="73"/>
      <c r="I925" s="69"/>
      <c r="J925" s="69"/>
      <c r="K925" s="69"/>
      <c r="L925" s="74"/>
      <c r="M925" s="74"/>
      <c r="N925" s="69"/>
      <c r="O925" s="75"/>
      <c r="P925" s="75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5.75" customHeight="1">
      <c r="A926" s="68"/>
      <c r="B926" s="69"/>
      <c r="C926" s="72"/>
      <c r="D926" s="71"/>
      <c r="E926" s="72"/>
      <c r="F926" s="71"/>
      <c r="G926" s="69"/>
      <c r="H926" s="73"/>
      <c r="I926" s="69"/>
      <c r="J926" s="69"/>
      <c r="K926" s="69"/>
      <c r="L926" s="74"/>
      <c r="M926" s="74"/>
      <c r="N926" s="69"/>
      <c r="O926" s="75"/>
      <c r="P926" s="75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5.75" customHeight="1">
      <c r="A927" s="68"/>
      <c r="B927" s="69"/>
      <c r="C927" s="72"/>
      <c r="D927" s="71"/>
      <c r="E927" s="72"/>
      <c r="F927" s="71"/>
      <c r="G927" s="69"/>
      <c r="H927" s="73"/>
      <c r="I927" s="69"/>
      <c r="J927" s="69"/>
      <c r="K927" s="69"/>
      <c r="L927" s="74"/>
      <c r="M927" s="74"/>
      <c r="N927" s="69"/>
      <c r="O927" s="75"/>
      <c r="P927" s="75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5.75" customHeight="1">
      <c r="A928" s="68"/>
      <c r="B928" s="69"/>
      <c r="C928" s="72"/>
      <c r="D928" s="71"/>
      <c r="E928" s="72"/>
      <c r="F928" s="71"/>
      <c r="G928" s="69"/>
      <c r="H928" s="73"/>
      <c r="I928" s="69"/>
      <c r="J928" s="69"/>
      <c r="K928" s="69"/>
      <c r="L928" s="74"/>
      <c r="M928" s="74"/>
      <c r="N928" s="69"/>
      <c r="O928" s="75"/>
      <c r="P928" s="75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5.75" customHeight="1">
      <c r="A929" s="68"/>
      <c r="B929" s="69"/>
      <c r="C929" s="72"/>
      <c r="D929" s="71"/>
      <c r="E929" s="72"/>
      <c r="F929" s="71"/>
      <c r="G929" s="69"/>
      <c r="H929" s="73"/>
      <c r="I929" s="69"/>
      <c r="J929" s="69"/>
      <c r="K929" s="69"/>
      <c r="L929" s="74"/>
      <c r="M929" s="74"/>
      <c r="N929" s="69"/>
      <c r="O929" s="75"/>
      <c r="P929" s="75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5.75" customHeight="1">
      <c r="A930" s="68"/>
      <c r="B930" s="69"/>
      <c r="C930" s="72"/>
      <c r="D930" s="71"/>
      <c r="E930" s="72"/>
      <c r="F930" s="71"/>
      <c r="G930" s="69"/>
      <c r="H930" s="73"/>
      <c r="I930" s="69"/>
      <c r="J930" s="69"/>
      <c r="K930" s="69"/>
      <c r="L930" s="74"/>
      <c r="M930" s="74"/>
      <c r="N930" s="69"/>
      <c r="O930" s="75"/>
      <c r="P930" s="75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5.75" customHeight="1">
      <c r="A931" s="68"/>
      <c r="B931" s="69"/>
      <c r="C931" s="72"/>
      <c r="D931" s="71"/>
      <c r="E931" s="72"/>
      <c r="F931" s="71"/>
      <c r="G931" s="69"/>
      <c r="H931" s="73"/>
      <c r="I931" s="69"/>
      <c r="J931" s="69"/>
      <c r="K931" s="69"/>
      <c r="L931" s="74"/>
      <c r="M931" s="74"/>
      <c r="N931" s="69"/>
      <c r="O931" s="75"/>
      <c r="P931" s="75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5.75" customHeight="1">
      <c r="A932" s="68"/>
      <c r="B932" s="69"/>
      <c r="C932" s="72"/>
      <c r="D932" s="71"/>
      <c r="E932" s="72"/>
      <c r="F932" s="71"/>
      <c r="G932" s="69"/>
      <c r="H932" s="73"/>
      <c r="I932" s="69"/>
      <c r="J932" s="69"/>
      <c r="K932" s="69"/>
      <c r="L932" s="74"/>
      <c r="M932" s="74"/>
      <c r="N932" s="69"/>
      <c r="O932" s="75"/>
      <c r="P932" s="75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5.75" customHeight="1">
      <c r="A933" s="68"/>
      <c r="B933" s="69"/>
      <c r="C933" s="72"/>
      <c r="D933" s="71"/>
      <c r="E933" s="72"/>
      <c r="F933" s="71"/>
      <c r="G933" s="69"/>
      <c r="H933" s="73"/>
      <c r="I933" s="69"/>
      <c r="J933" s="69"/>
      <c r="K933" s="69"/>
      <c r="L933" s="74"/>
      <c r="M933" s="74"/>
      <c r="N933" s="69"/>
      <c r="O933" s="75"/>
      <c r="P933" s="75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5.75" customHeight="1">
      <c r="A934" s="68"/>
      <c r="B934" s="69"/>
      <c r="C934" s="72"/>
      <c r="D934" s="71"/>
      <c r="E934" s="72"/>
      <c r="F934" s="71"/>
      <c r="G934" s="69"/>
      <c r="H934" s="73"/>
      <c r="I934" s="69"/>
      <c r="J934" s="69"/>
      <c r="K934" s="69"/>
      <c r="L934" s="74"/>
      <c r="M934" s="74"/>
      <c r="N934" s="69"/>
      <c r="O934" s="75"/>
      <c r="P934" s="75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5.75" customHeight="1">
      <c r="A935" s="68"/>
      <c r="B935" s="69"/>
      <c r="C935" s="72"/>
      <c r="D935" s="71"/>
      <c r="E935" s="72"/>
      <c r="F935" s="71"/>
      <c r="G935" s="69"/>
      <c r="H935" s="73"/>
      <c r="I935" s="69"/>
      <c r="J935" s="69"/>
      <c r="K935" s="69"/>
      <c r="L935" s="74"/>
      <c r="M935" s="74"/>
      <c r="N935" s="69"/>
      <c r="O935" s="75"/>
      <c r="P935" s="75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5.75" customHeight="1">
      <c r="A936" s="68"/>
      <c r="B936" s="69"/>
      <c r="C936" s="72"/>
      <c r="D936" s="71"/>
      <c r="E936" s="72"/>
      <c r="F936" s="71"/>
      <c r="G936" s="69"/>
      <c r="H936" s="73"/>
      <c r="I936" s="69"/>
      <c r="J936" s="69"/>
      <c r="K936" s="69"/>
      <c r="L936" s="74"/>
      <c r="M936" s="74"/>
      <c r="N936" s="69"/>
      <c r="O936" s="75"/>
      <c r="P936" s="75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5.75" customHeight="1">
      <c r="A937" s="68"/>
      <c r="B937" s="69"/>
      <c r="C937" s="72"/>
      <c r="D937" s="71"/>
      <c r="E937" s="72"/>
      <c r="F937" s="71"/>
      <c r="G937" s="69"/>
      <c r="H937" s="73"/>
      <c r="I937" s="69"/>
      <c r="J937" s="69"/>
      <c r="K937" s="69"/>
      <c r="L937" s="74"/>
      <c r="M937" s="74"/>
      <c r="N937" s="69"/>
      <c r="O937" s="75"/>
      <c r="P937" s="75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5.75" customHeight="1">
      <c r="A938" s="68"/>
      <c r="B938" s="69"/>
      <c r="C938" s="72"/>
      <c r="D938" s="71"/>
      <c r="E938" s="72"/>
      <c r="F938" s="71"/>
      <c r="G938" s="69"/>
      <c r="H938" s="73"/>
      <c r="I938" s="69"/>
      <c r="J938" s="69"/>
      <c r="K938" s="69"/>
      <c r="L938" s="74"/>
      <c r="M938" s="74"/>
      <c r="N938" s="69"/>
      <c r="O938" s="75"/>
      <c r="P938" s="75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5.75" customHeight="1">
      <c r="A939" s="68"/>
      <c r="B939" s="69"/>
      <c r="C939" s="72"/>
      <c r="D939" s="71"/>
      <c r="E939" s="72"/>
      <c r="F939" s="71"/>
      <c r="G939" s="69"/>
      <c r="H939" s="73"/>
      <c r="I939" s="69"/>
      <c r="J939" s="69"/>
      <c r="K939" s="69"/>
      <c r="L939" s="74"/>
      <c r="M939" s="74"/>
      <c r="N939" s="69"/>
      <c r="O939" s="75"/>
      <c r="P939" s="75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5.75" customHeight="1">
      <c r="A940" s="68"/>
      <c r="B940" s="69"/>
      <c r="C940" s="72"/>
      <c r="D940" s="71"/>
      <c r="E940" s="72"/>
      <c r="F940" s="71"/>
      <c r="G940" s="69"/>
      <c r="H940" s="73"/>
      <c r="I940" s="69"/>
      <c r="J940" s="69"/>
      <c r="K940" s="69"/>
      <c r="L940" s="74"/>
      <c r="M940" s="74"/>
      <c r="N940" s="69"/>
      <c r="O940" s="75"/>
      <c r="P940" s="75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5.75" customHeight="1">
      <c r="A941" s="68"/>
      <c r="B941" s="69"/>
      <c r="C941" s="72"/>
      <c r="D941" s="71"/>
      <c r="E941" s="72"/>
      <c r="F941" s="71"/>
      <c r="G941" s="69"/>
      <c r="H941" s="73"/>
      <c r="I941" s="69"/>
      <c r="J941" s="69"/>
      <c r="K941" s="69"/>
      <c r="L941" s="74"/>
      <c r="M941" s="74"/>
      <c r="N941" s="69"/>
      <c r="O941" s="75"/>
      <c r="P941" s="75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5.75" customHeight="1">
      <c r="A942" s="68"/>
      <c r="B942" s="69"/>
      <c r="C942" s="72"/>
      <c r="D942" s="71"/>
      <c r="E942" s="72"/>
      <c r="F942" s="71"/>
      <c r="G942" s="69"/>
      <c r="H942" s="73"/>
      <c r="I942" s="69"/>
      <c r="J942" s="69"/>
      <c r="K942" s="69"/>
      <c r="L942" s="74"/>
      <c r="M942" s="74"/>
      <c r="N942" s="69"/>
      <c r="O942" s="75"/>
      <c r="P942" s="75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5.75" customHeight="1">
      <c r="A943" s="68"/>
      <c r="B943" s="69"/>
      <c r="C943" s="72"/>
      <c r="D943" s="71"/>
      <c r="E943" s="72"/>
      <c r="F943" s="71"/>
      <c r="G943" s="69"/>
      <c r="H943" s="73"/>
      <c r="I943" s="69"/>
      <c r="J943" s="69"/>
      <c r="K943" s="69"/>
      <c r="L943" s="74"/>
      <c r="M943" s="74"/>
      <c r="N943" s="69"/>
      <c r="O943" s="75"/>
      <c r="P943" s="75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5.75" customHeight="1">
      <c r="A944" s="68"/>
      <c r="B944" s="69"/>
      <c r="C944" s="72"/>
      <c r="D944" s="71"/>
      <c r="E944" s="72"/>
      <c r="F944" s="71"/>
      <c r="G944" s="69"/>
      <c r="H944" s="73"/>
      <c r="I944" s="69"/>
      <c r="J944" s="69"/>
      <c r="K944" s="69"/>
      <c r="L944" s="74"/>
      <c r="M944" s="74"/>
      <c r="N944" s="69"/>
      <c r="O944" s="75"/>
      <c r="P944" s="75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5.75" customHeight="1">
      <c r="A945" s="68"/>
      <c r="B945" s="69"/>
      <c r="C945" s="72"/>
      <c r="D945" s="71"/>
      <c r="E945" s="72"/>
      <c r="F945" s="71"/>
      <c r="G945" s="69"/>
      <c r="H945" s="73"/>
      <c r="I945" s="69"/>
      <c r="J945" s="69"/>
      <c r="K945" s="69"/>
      <c r="L945" s="74"/>
      <c r="M945" s="74"/>
      <c r="N945" s="69"/>
      <c r="O945" s="75"/>
      <c r="P945" s="75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5.75" customHeight="1">
      <c r="A946" s="68"/>
      <c r="B946" s="69"/>
      <c r="C946" s="72"/>
      <c r="D946" s="71"/>
      <c r="E946" s="72"/>
      <c r="F946" s="71"/>
      <c r="G946" s="69"/>
      <c r="H946" s="73"/>
      <c r="I946" s="69"/>
      <c r="J946" s="69"/>
      <c r="K946" s="69"/>
      <c r="L946" s="74"/>
      <c r="M946" s="74"/>
      <c r="N946" s="69"/>
      <c r="O946" s="75"/>
      <c r="P946" s="75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5.75" customHeight="1">
      <c r="A947" s="68"/>
      <c r="B947" s="69"/>
      <c r="C947" s="72"/>
      <c r="D947" s="71"/>
      <c r="E947" s="72"/>
      <c r="F947" s="71"/>
      <c r="G947" s="69"/>
      <c r="H947" s="73"/>
      <c r="I947" s="69"/>
      <c r="J947" s="69"/>
      <c r="K947" s="69"/>
      <c r="L947" s="74"/>
      <c r="M947" s="74"/>
      <c r="N947" s="69"/>
      <c r="O947" s="75"/>
      <c r="P947" s="75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5.75" customHeight="1">
      <c r="A948" s="68"/>
      <c r="B948" s="69"/>
      <c r="C948" s="72"/>
      <c r="D948" s="71"/>
      <c r="E948" s="72"/>
      <c r="F948" s="71"/>
      <c r="G948" s="69"/>
      <c r="H948" s="73"/>
      <c r="I948" s="69"/>
      <c r="J948" s="69"/>
      <c r="K948" s="69"/>
      <c r="L948" s="74"/>
      <c r="M948" s="74"/>
      <c r="N948" s="69"/>
      <c r="O948" s="75"/>
      <c r="P948" s="75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5.75" customHeight="1">
      <c r="A949" s="68"/>
      <c r="B949" s="69"/>
      <c r="C949" s="72"/>
      <c r="D949" s="71"/>
      <c r="E949" s="72"/>
      <c r="F949" s="71"/>
      <c r="G949" s="69"/>
      <c r="H949" s="73"/>
      <c r="I949" s="69"/>
      <c r="J949" s="69"/>
      <c r="K949" s="69"/>
      <c r="L949" s="74"/>
      <c r="M949" s="74"/>
      <c r="N949" s="69"/>
      <c r="O949" s="75"/>
      <c r="P949" s="75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5.75" customHeight="1">
      <c r="A950" s="68"/>
      <c r="B950" s="69"/>
      <c r="C950" s="72"/>
      <c r="D950" s="71"/>
      <c r="E950" s="72"/>
      <c r="F950" s="71"/>
      <c r="G950" s="69"/>
      <c r="H950" s="73"/>
      <c r="I950" s="69"/>
      <c r="J950" s="69"/>
      <c r="K950" s="69"/>
      <c r="L950" s="74"/>
      <c r="M950" s="74"/>
      <c r="N950" s="69"/>
      <c r="O950" s="75"/>
      <c r="P950" s="75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5.75" customHeight="1">
      <c r="A951" s="68"/>
      <c r="B951" s="69"/>
      <c r="C951" s="72"/>
      <c r="D951" s="71"/>
      <c r="E951" s="72"/>
      <c r="F951" s="71"/>
      <c r="G951" s="69"/>
      <c r="H951" s="73"/>
      <c r="I951" s="69"/>
      <c r="J951" s="69"/>
      <c r="K951" s="69"/>
      <c r="L951" s="74"/>
      <c r="M951" s="74"/>
      <c r="N951" s="69"/>
      <c r="O951" s="75"/>
      <c r="P951" s="75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5.75" customHeight="1">
      <c r="A952" s="68"/>
      <c r="B952" s="69"/>
      <c r="C952" s="72"/>
      <c r="D952" s="71"/>
      <c r="E952" s="72"/>
      <c r="F952" s="71"/>
      <c r="G952" s="69"/>
      <c r="H952" s="73"/>
      <c r="I952" s="69"/>
      <c r="J952" s="69"/>
      <c r="K952" s="69"/>
      <c r="L952" s="74"/>
      <c r="M952" s="74"/>
      <c r="N952" s="69"/>
      <c r="O952" s="75"/>
      <c r="P952" s="75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5.75" customHeight="1">
      <c r="A953" s="68"/>
      <c r="B953" s="69"/>
      <c r="C953" s="72"/>
      <c r="D953" s="71"/>
      <c r="E953" s="72"/>
      <c r="F953" s="71"/>
      <c r="G953" s="69"/>
      <c r="H953" s="73"/>
      <c r="I953" s="69"/>
      <c r="J953" s="69"/>
      <c r="K953" s="69"/>
      <c r="L953" s="74"/>
      <c r="M953" s="74"/>
      <c r="N953" s="69"/>
      <c r="O953" s="75"/>
      <c r="P953" s="75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5.75" customHeight="1">
      <c r="A954" s="68"/>
      <c r="B954" s="69"/>
      <c r="C954" s="72"/>
      <c r="D954" s="71"/>
      <c r="E954" s="72"/>
      <c r="F954" s="71"/>
      <c r="G954" s="69"/>
      <c r="H954" s="73"/>
      <c r="I954" s="69"/>
      <c r="J954" s="69"/>
      <c r="K954" s="69"/>
      <c r="L954" s="74"/>
      <c r="M954" s="74"/>
      <c r="N954" s="69"/>
      <c r="O954" s="75"/>
      <c r="P954" s="75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5.75" customHeight="1">
      <c r="A955" s="68"/>
      <c r="B955" s="69"/>
      <c r="C955" s="72"/>
      <c r="D955" s="71"/>
      <c r="E955" s="72"/>
      <c r="F955" s="71"/>
      <c r="G955" s="69"/>
      <c r="H955" s="73"/>
      <c r="I955" s="69"/>
      <c r="J955" s="69"/>
      <c r="K955" s="69"/>
      <c r="L955" s="74"/>
      <c r="M955" s="74"/>
      <c r="N955" s="69"/>
      <c r="O955" s="75"/>
      <c r="P955" s="75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5.75" customHeight="1">
      <c r="A956" s="68"/>
      <c r="B956" s="69"/>
      <c r="C956" s="72"/>
      <c r="D956" s="71"/>
      <c r="E956" s="72"/>
      <c r="F956" s="71"/>
      <c r="G956" s="69"/>
      <c r="H956" s="73"/>
      <c r="I956" s="69"/>
      <c r="J956" s="69"/>
      <c r="K956" s="69"/>
      <c r="L956" s="74"/>
      <c r="M956" s="74"/>
      <c r="N956" s="69"/>
      <c r="O956" s="75"/>
      <c r="P956" s="75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5.75" customHeight="1">
      <c r="A957" s="68"/>
      <c r="B957" s="69"/>
      <c r="C957" s="72"/>
      <c r="D957" s="71"/>
      <c r="E957" s="72"/>
      <c r="F957" s="71"/>
      <c r="G957" s="69"/>
      <c r="H957" s="73"/>
      <c r="I957" s="69"/>
      <c r="J957" s="69"/>
      <c r="K957" s="69"/>
      <c r="L957" s="74"/>
      <c r="M957" s="74"/>
      <c r="N957" s="69"/>
      <c r="O957" s="75"/>
      <c r="P957" s="75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5.75" customHeight="1">
      <c r="A958" s="68"/>
      <c r="B958" s="69"/>
      <c r="C958" s="72"/>
      <c r="D958" s="71"/>
      <c r="E958" s="72"/>
      <c r="F958" s="71"/>
      <c r="G958" s="69"/>
      <c r="H958" s="73"/>
      <c r="I958" s="69"/>
      <c r="J958" s="69"/>
      <c r="K958" s="69"/>
      <c r="L958" s="74"/>
      <c r="M958" s="74"/>
      <c r="N958" s="69"/>
      <c r="O958" s="75"/>
      <c r="P958" s="75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5.75" customHeight="1">
      <c r="A959" s="68"/>
      <c r="B959" s="69"/>
      <c r="C959" s="72"/>
      <c r="D959" s="71"/>
      <c r="E959" s="72"/>
      <c r="F959" s="71"/>
      <c r="G959" s="69"/>
      <c r="H959" s="73"/>
      <c r="I959" s="69"/>
      <c r="J959" s="69"/>
      <c r="K959" s="69"/>
      <c r="L959" s="74"/>
      <c r="M959" s="74"/>
      <c r="N959" s="69"/>
      <c r="O959" s="75"/>
      <c r="P959" s="75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5.75" customHeight="1">
      <c r="A960" s="68"/>
      <c r="B960" s="69"/>
      <c r="C960" s="72"/>
      <c r="D960" s="71"/>
      <c r="E960" s="72"/>
      <c r="F960" s="71"/>
      <c r="G960" s="69"/>
      <c r="H960" s="73"/>
      <c r="I960" s="69"/>
      <c r="J960" s="69"/>
      <c r="K960" s="69"/>
      <c r="L960" s="74"/>
      <c r="M960" s="74"/>
      <c r="N960" s="69"/>
      <c r="O960" s="75"/>
      <c r="P960" s="75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5.75" customHeight="1">
      <c r="A961" s="68"/>
      <c r="B961" s="69"/>
      <c r="C961" s="72"/>
      <c r="D961" s="71"/>
      <c r="E961" s="72"/>
      <c r="F961" s="71"/>
      <c r="G961" s="69"/>
      <c r="H961" s="73"/>
      <c r="I961" s="69"/>
      <c r="J961" s="69"/>
      <c r="K961" s="69"/>
      <c r="L961" s="74"/>
      <c r="M961" s="74"/>
      <c r="N961" s="69"/>
      <c r="O961" s="75"/>
      <c r="P961" s="75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5.75" customHeight="1">
      <c r="A962" s="68"/>
      <c r="B962" s="69"/>
      <c r="C962" s="72"/>
      <c r="D962" s="71"/>
      <c r="E962" s="72"/>
      <c r="F962" s="71"/>
      <c r="G962" s="69"/>
      <c r="H962" s="73"/>
      <c r="I962" s="69"/>
      <c r="J962" s="69"/>
      <c r="K962" s="69"/>
      <c r="L962" s="74"/>
      <c r="M962" s="74"/>
      <c r="N962" s="69"/>
      <c r="O962" s="75"/>
      <c r="P962" s="75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5.75" customHeight="1">
      <c r="A963" s="68"/>
      <c r="B963" s="69"/>
      <c r="C963" s="72"/>
      <c r="D963" s="71"/>
      <c r="E963" s="72"/>
      <c r="F963" s="71"/>
      <c r="G963" s="69"/>
      <c r="H963" s="73"/>
      <c r="I963" s="69"/>
      <c r="J963" s="69"/>
      <c r="K963" s="69"/>
      <c r="L963" s="74"/>
      <c r="M963" s="74"/>
      <c r="N963" s="69"/>
      <c r="O963" s="75"/>
      <c r="P963" s="75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5.75" customHeight="1">
      <c r="A964" s="68"/>
      <c r="B964" s="69"/>
      <c r="C964" s="72"/>
      <c r="D964" s="71"/>
      <c r="E964" s="72"/>
      <c r="F964" s="71"/>
      <c r="G964" s="69"/>
      <c r="H964" s="73"/>
      <c r="I964" s="69"/>
      <c r="J964" s="69"/>
      <c r="K964" s="69"/>
      <c r="L964" s="74"/>
      <c r="M964" s="74"/>
      <c r="N964" s="69"/>
      <c r="O964" s="75"/>
      <c r="P964" s="75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5.75" customHeight="1">
      <c r="A965" s="68"/>
      <c r="B965" s="69"/>
      <c r="C965" s="72"/>
      <c r="D965" s="71"/>
      <c r="E965" s="72"/>
      <c r="F965" s="71"/>
      <c r="G965" s="69"/>
      <c r="H965" s="73"/>
      <c r="I965" s="69"/>
      <c r="J965" s="69"/>
      <c r="K965" s="69"/>
      <c r="L965" s="74"/>
      <c r="M965" s="74"/>
      <c r="N965" s="69"/>
      <c r="O965" s="75"/>
      <c r="P965" s="75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5.75" customHeight="1">
      <c r="A966" s="68"/>
      <c r="B966" s="69"/>
      <c r="C966" s="72"/>
      <c r="D966" s="71"/>
      <c r="E966" s="72"/>
      <c r="F966" s="71"/>
      <c r="G966" s="69"/>
      <c r="H966" s="73"/>
      <c r="I966" s="69"/>
      <c r="J966" s="69"/>
      <c r="K966" s="69"/>
      <c r="L966" s="74"/>
      <c r="M966" s="74"/>
      <c r="N966" s="69"/>
      <c r="O966" s="75"/>
      <c r="P966" s="75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5.75" customHeight="1">
      <c r="A967" s="68"/>
      <c r="B967" s="69"/>
      <c r="C967" s="72"/>
      <c r="D967" s="71"/>
      <c r="E967" s="72"/>
      <c r="F967" s="71"/>
      <c r="G967" s="69"/>
      <c r="H967" s="73"/>
      <c r="I967" s="69"/>
      <c r="J967" s="69"/>
      <c r="K967" s="69"/>
      <c r="L967" s="74"/>
      <c r="M967" s="74"/>
      <c r="N967" s="69"/>
      <c r="O967" s="75"/>
      <c r="P967" s="75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5.75" customHeight="1">
      <c r="A968" s="68"/>
      <c r="B968" s="69"/>
      <c r="C968" s="72"/>
      <c r="D968" s="71"/>
      <c r="E968" s="72"/>
      <c r="F968" s="71"/>
      <c r="G968" s="69"/>
      <c r="H968" s="73"/>
      <c r="I968" s="69"/>
      <c r="J968" s="69"/>
      <c r="K968" s="69"/>
      <c r="L968" s="74"/>
      <c r="M968" s="74"/>
      <c r="N968" s="69"/>
      <c r="O968" s="75"/>
      <c r="P968" s="75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5.75" customHeight="1">
      <c r="A969" s="68"/>
      <c r="B969" s="69"/>
      <c r="C969" s="72"/>
      <c r="D969" s="71"/>
      <c r="E969" s="72"/>
      <c r="F969" s="71"/>
      <c r="G969" s="69"/>
      <c r="H969" s="73"/>
      <c r="I969" s="69"/>
      <c r="J969" s="69"/>
      <c r="K969" s="69"/>
      <c r="L969" s="74"/>
      <c r="M969" s="74"/>
      <c r="N969" s="69"/>
      <c r="O969" s="75"/>
      <c r="P969" s="75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5.75" customHeight="1">
      <c r="A970" s="68"/>
      <c r="B970" s="69"/>
      <c r="C970" s="72"/>
      <c r="D970" s="71"/>
      <c r="E970" s="72"/>
      <c r="F970" s="71"/>
      <c r="G970" s="69"/>
      <c r="H970" s="73"/>
      <c r="I970" s="69"/>
      <c r="J970" s="69"/>
      <c r="K970" s="69"/>
      <c r="L970" s="74"/>
      <c r="M970" s="74"/>
      <c r="N970" s="69"/>
      <c r="O970" s="75"/>
      <c r="P970" s="75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5.75" customHeight="1">
      <c r="A971" s="68"/>
      <c r="B971" s="69"/>
      <c r="C971" s="72"/>
      <c r="D971" s="71"/>
      <c r="E971" s="72"/>
      <c r="F971" s="71"/>
      <c r="G971" s="69"/>
      <c r="H971" s="73"/>
      <c r="I971" s="69"/>
      <c r="J971" s="69"/>
      <c r="K971" s="69"/>
      <c r="L971" s="74"/>
      <c r="M971" s="74"/>
      <c r="N971" s="69"/>
      <c r="O971" s="75"/>
      <c r="P971" s="75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5.75" customHeight="1">
      <c r="A972" s="68"/>
      <c r="B972" s="69"/>
      <c r="C972" s="72"/>
      <c r="D972" s="71"/>
      <c r="E972" s="72"/>
      <c r="F972" s="71"/>
      <c r="G972" s="69"/>
      <c r="H972" s="73"/>
      <c r="I972" s="69"/>
      <c r="J972" s="69"/>
      <c r="K972" s="69"/>
      <c r="L972" s="74"/>
      <c r="M972" s="74"/>
      <c r="N972" s="69"/>
      <c r="O972" s="75"/>
      <c r="P972" s="75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5.75" customHeight="1">
      <c r="A973" s="68"/>
      <c r="B973" s="69"/>
      <c r="C973" s="72"/>
      <c r="D973" s="71"/>
      <c r="E973" s="72"/>
      <c r="F973" s="71"/>
      <c r="G973" s="69"/>
      <c r="H973" s="73"/>
      <c r="I973" s="69"/>
      <c r="J973" s="69"/>
      <c r="K973" s="69"/>
      <c r="L973" s="74"/>
      <c r="M973" s="74"/>
      <c r="N973" s="69"/>
      <c r="O973" s="75"/>
      <c r="P973" s="75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5.75" customHeight="1">
      <c r="A974" s="68"/>
      <c r="B974" s="69"/>
      <c r="C974" s="72"/>
      <c r="D974" s="71"/>
      <c r="E974" s="72"/>
      <c r="F974" s="71"/>
      <c r="G974" s="69"/>
      <c r="H974" s="73"/>
      <c r="I974" s="69"/>
      <c r="J974" s="69"/>
      <c r="K974" s="69"/>
      <c r="L974" s="74"/>
      <c r="M974" s="74"/>
      <c r="N974" s="69"/>
      <c r="O974" s="75"/>
      <c r="P974" s="75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5.75" customHeight="1">
      <c r="A975" s="68"/>
      <c r="B975" s="69"/>
      <c r="C975" s="72"/>
      <c r="D975" s="71"/>
      <c r="E975" s="72"/>
      <c r="F975" s="71"/>
      <c r="G975" s="69"/>
      <c r="H975" s="73"/>
      <c r="I975" s="69"/>
      <c r="J975" s="69"/>
      <c r="K975" s="69"/>
      <c r="L975" s="74"/>
      <c r="M975" s="74"/>
      <c r="N975" s="69"/>
      <c r="O975" s="75"/>
      <c r="P975" s="75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5.75" customHeight="1">
      <c r="A976" s="68"/>
      <c r="B976" s="69"/>
      <c r="C976" s="72"/>
      <c r="D976" s="71"/>
      <c r="E976" s="72"/>
      <c r="F976" s="71"/>
      <c r="G976" s="69"/>
      <c r="H976" s="73"/>
      <c r="I976" s="69"/>
      <c r="J976" s="69"/>
      <c r="K976" s="69"/>
      <c r="L976" s="74"/>
      <c r="M976" s="74"/>
      <c r="N976" s="69"/>
      <c r="O976" s="75"/>
      <c r="P976" s="75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5.75" customHeight="1">
      <c r="A977" s="68"/>
      <c r="B977" s="69"/>
      <c r="C977" s="72"/>
      <c r="D977" s="71"/>
      <c r="E977" s="72"/>
      <c r="F977" s="71"/>
      <c r="G977" s="69"/>
      <c r="H977" s="73"/>
      <c r="I977" s="69"/>
      <c r="J977" s="69"/>
      <c r="K977" s="69"/>
      <c r="L977" s="74"/>
      <c r="M977" s="74"/>
      <c r="N977" s="69"/>
      <c r="O977" s="75"/>
      <c r="P977" s="75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5.75" customHeight="1">
      <c r="A978" s="68"/>
      <c r="B978" s="69"/>
      <c r="C978" s="72"/>
      <c r="D978" s="71"/>
      <c r="E978" s="72"/>
      <c r="F978" s="71"/>
      <c r="G978" s="69"/>
      <c r="H978" s="73"/>
      <c r="I978" s="69"/>
      <c r="J978" s="69"/>
      <c r="K978" s="69"/>
      <c r="L978" s="74"/>
      <c r="M978" s="74"/>
      <c r="N978" s="69"/>
      <c r="O978" s="75"/>
      <c r="P978" s="75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5.75" customHeight="1">
      <c r="A979" s="68"/>
      <c r="B979" s="69"/>
      <c r="C979" s="72"/>
      <c r="D979" s="71"/>
      <c r="E979" s="72"/>
      <c r="F979" s="71"/>
      <c r="G979" s="69"/>
      <c r="H979" s="73"/>
      <c r="I979" s="69"/>
      <c r="J979" s="69"/>
      <c r="K979" s="69"/>
      <c r="L979" s="74"/>
      <c r="M979" s="74"/>
      <c r="N979" s="69"/>
      <c r="O979" s="75"/>
      <c r="P979" s="75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5.75" customHeight="1">
      <c r="A980" s="68"/>
      <c r="B980" s="69"/>
      <c r="C980" s="72"/>
      <c r="D980" s="71"/>
      <c r="E980" s="72"/>
      <c r="F980" s="71"/>
      <c r="G980" s="69"/>
      <c r="H980" s="73"/>
      <c r="I980" s="69"/>
      <c r="J980" s="69"/>
      <c r="K980" s="69"/>
      <c r="L980" s="74"/>
      <c r="M980" s="74"/>
      <c r="N980" s="69"/>
      <c r="O980" s="75"/>
      <c r="P980" s="75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5.75" customHeight="1">
      <c r="A981" s="68"/>
      <c r="B981" s="69"/>
      <c r="C981" s="72"/>
      <c r="D981" s="71"/>
      <c r="E981" s="72"/>
      <c r="F981" s="71"/>
      <c r="G981" s="69"/>
      <c r="H981" s="73"/>
      <c r="I981" s="69"/>
      <c r="J981" s="69"/>
      <c r="K981" s="69"/>
      <c r="L981" s="74"/>
      <c r="M981" s="74"/>
      <c r="N981" s="69"/>
      <c r="O981" s="75"/>
      <c r="P981" s="75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5.75" customHeight="1">
      <c r="A982" s="68"/>
      <c r="B982" s="69"/>
      <c r="C982" s="72"/>
      <c r="D982" s="71"/>
      <c r="E982" s="72"/>
      <c r="F982" s="71"/>
      <c r="G982" s="69"/>
      <c r="H982" s="73"/>
      <c r="I982" s="69"/>
      <c r="J982" s="69"/>
      <c r="K982" s="69"/>
      <c r="L982" s="74"/>
      <c r="M982" s="74"/>
      <c r="N982" s="69"/>
      <c r="O982" s="75"/>
      <c r="P982" s="75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5.75" customHeight="1">
      <c r="A983" s="68"/>
      <c r="B983" s="69"/>
      <c r="C983" s="72"/>
      <c r="D983" s="71"/>
      <c r="E983" s="72"/>
      <c r="F983" s="71"/>
      <c r="G983" s="69"/>
      <c r="H983" s="73"/>
      <c r="I983" s="69"/>
      <c r="J983" s="69"/>
      <c r="K983" s="69"/>
      <c r="L983" s="74"/>
      <c r="M983" s="74"/>
      <c r="N983" s="69"/>
      <c r="O983" s="75"/>
      <c r="P983" s="75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5.75" customHeight="1">
      <c r="A984" s="68"/>
      <c r="B984" s="69"/>
      <c r="C984" s="72"/>
      <c r="D984" s="71"/>
      <c r="E984" s="72"/>
      <c r="F984" s="71"/>
      <c r="G984" s="69"/>
      <c r="H984" s="73"/>
      <c r="I984" s="69"/>
      <c r="J984" s="69"/>
      <c r="K984" s="69"/>
      <c r="L984" s="74"/>
      <c r="M984" s="74"/>
      <c r="N984" s="69"/>
      <c r="O984" s="75"/>
      <c r="P984" s="75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5.75" customHeight="1">
      <c r="A985" s="68"/>
      <c r="B985" s="69"/>
      <c r="C985" s="72"/>
      <c r="D985" s="71"/>
      <c r="E985" s="72"/>
      <c r="F985" s="71"/>
      <c r="G985" s="69"/>
      <c r="H985" s="73"/>
      <c r="I985" s="69"/>
      <c r="J985" s="69"/>
      <c r="K985" s="69"/>
      <c r="L985" s="74"/>
      <c r="M985" s="74"/>
      <c r="N985" s="69"/>
      <c r="O985" s="75"/>
      <c r="P985" s="75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5.75" customHeight="1">
      <c r="A986" s="68"/>
      <c r="B986" s="69"/>
      <c r="C986" s="72"/>
      <c r="D986" s="71"/>
      <c r="E986" s="72"/>
      <c r="F986" s="71"/>
      <c r="G986" s="69"/>
      <c r="H986" s="73"/>
      <c r="I986" s="69"/>
      <c r="J986" s="69"/>
      <c r="K986" s="69"/>
      <c r="L986" s="74"/>
      <c r="M986" s="74"/>
      <c r="N986" s="69"/>
      <c r="O986" s="75"/>
      <c r="P986" s="75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5.75" customHeight="1">
      <c r="A987" s="68"/>
      <c r="B987" s="69"/>
      <c r="C987" s="72"/>
      <c r="D987" s="71"/>
      <c r="E987" s="72"/>
      <c r="F987" s="71"/>
      <c r="G987" s="69"/>
      <c r="H987" s="73"/>
      <c r="I987" s="69"/>
      <c r="J987" s="69"/>
      <c r="K987" s="69"/>
      <c r="L987" s="74"/>
      <c r="M987" s="74"/>
      <c r="N987" s="69"/>
      <c r="O987" s="75"/>
      <c r="P987" s="75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5.75" customHeight="1">
      <c r="A988" s="68"/>
      <c r="B988" s="69"/>
      <c r="C988" s="72"/>
      <c r="D988" s="71"/>
      <c r="E988" s="72"/>
      <c r="F988" s="71"/>
      <c r="G988" s="69"/>
      <c r="H988" s="73"/>
      <c r="I988" s="69"/>
      <c r="J988" s="69"/>
      <c r="K988" s="69"/>
      <c r="L988" s="74"/>
      <c r="M988" s="74"/>
      <c r="N988" s="69"/>
      <c r="O988" s="75"/>
      <c r="P988" s="75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5.75" customHeight="1">
      <c r="A989" s="68"/>
      <c r="B989" s="69"/>
      <c r="C989" s="72"/>
      <c r="D989" s="71"/>
      <c r="E989" s="72"/>
      <c r="F989" s="71"/>
      <c r="G989" s="69"/>
      <c r="H989" s="73"/>
      <c r="I989" s="69"/>
      <c r="J989" s="69"/>
      <c r="K989" s="69"/>
      <c r="L989" s="74"/>
      <c r="M989" s="74"/>
      <c r="N989" s="69"/>
      <c r="O989" s="75"/>
      <c r="P989" s="75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5.75" customHeight="1">
      <c r="A990" s="68"/>
      <c r="B990" s="69"/>
      <c r="C990" s="72"/>
      <c r="D990" s="71"/>
      <c r="E990" s="72"/>
      <c r="F990" s="71"/>
      <c r="G990" s="69"/>
      <c r="H990" s="73"/>
      <c r="I990" s="69"/>
      <c r="J990" s="69"/>
      <c r="K990" s="69"/>
      <c r="L990" s="74"/>
      <c r="M990" s="74"/>
      <c r="N990" s="69"/>
      <c r="O990" s="75"/>
      <c r="P990" s="75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5.75" customHeight="1">
      <c r="A991" s="68"/>
      <c r="B991" s="69"/>
      <c r="C991" s="72"/>
      <c r="D991" s="71"/>
      <c r="E991" s="72"/>
      <c r="F991" s="71"/>
      <c r="G991" s="69"/>
      <c r="H991" s="73"/>
      <c r="I991" s="69"/>
      <c r="J991" s="69"/>
      <c r="K991" s="69"/>
      <c r="L991" s="74"/>
      <c r="M991" s="74"/>
      <c r="N991" s="69"/>
      <c r="O991" s="75"/>
      <c r="P991" s="75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5.75" customHeight="1">
      <c r="A992" s="68"/>
      <c r="B992" s="69"/>
      <c r="C992" s="72"/>
      <c r="D992" s="71"/>
      <c r="E992" s="72"/>
      <c r="F992" s="71"/>
      <c r="G992" s="69"/>
      <c r="H992" s="73"/>
      <c r="I992" s="69"/>
      <c r="J992" s="69"/>
      <c r="K992" s="69"/>
      <c r="L992" s="74"/>
      <c r="M992" s="74"/>
      <c r="N992" s="69"/>
      <c r="O992" s="75"/>
      <c r="P992" s="75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5.75" customHeight="1">
      <c r="A993" s="68"/>
      <c r="B993" s="69"/>
      <c r="C993" s="72"/>
      <c r="D993" s="71"/>
      <c r="E993" s="72"/>
      <c r="F993" s="71"/>
      <c r="G993" s="69"/>
      <c r="H993" s="73"/>
      <c r="I993" s="69"/>
      <c r="J993" s="69"/>
      <c r="K993" s="69"/>
      <c r="L993" s="74"/>
      <c r="M993" s="74"/>
      <c r="N993" s="69"/>
      <c r="O993" s="75"/>
      <c r="P993" s="75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5.75" customHeight="1">
      <c r="A994" s="68"/>
      <c r="B994" s="69"/>
      <c r="C994" s="72"/>
      <c r="D994" s="71"/>
      <c r="E994" s="72"/>
      <c r="F994" s="71"/>
      <c r="G994" s="69"/>
      <c r="H994" s="73"/>
      <c r="I994" s="69"/>
      <c r="J994" s="69"/>
      <c r="K994" s="69"/>
      <c r="L994" s="74"/>
      <c r="M994" s="74"/>
      <c r="N994" s="69"/>
      <c r="O994" s="75"/>
      <c r="P994" s="75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5.75" customHeight="1">
      <c r="A995" s="68"/>
      <c r="B995" s="69"/>
      <c r="C995" s="72"/>
      <c r="D995" s="71"/>
      <c r="E995" s="72"/>
      <c r="F995" s="71"/>
      <c r="G995" s="69"/>
      <c r="H995" s="73"/>
      <c r="I995" s="69"/>
      <c r="J995" s="69"/>
      <c r="K995" s="69"/>
      <c r="L995" s="74"/>
      <c r="M995" s="74"/>
      <c r="N995" s="69"/>
      <c r="O995" s="75"/>
      <c r="P995" s="75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5.75" customHeight="1">
      <c r="A996" s="68"/>
      <c r="B996" s="69"/>
      <c r="C996" s="72"/>
      <c r="D996" s="71"/>
      <c r="E996" s="72"/>
      <c r="F996" s="71"/>
      <c r="G996" s="69"/>
      <c r="H996" s="73"/>
      <c r="I996" s="69"/>
      <c r="J996" s="69"/>
      <c r="K996" s="69"/>
      <c r="L996" s="74"/>
      <c r="M996" s="74"/>
      <c r="N996" s="69"/>
      <c r="O996" s="75"/>
      <c r="P996" s="75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1:29" ht="15.75" customHeight="1">
      <c r="A997" s="68"/>
      <c r="B997" s="69"/>
      <c r="C997" s="72"/>
      <c r="D997" s="71"/>
      <c r="E997" s="72"/>
      <c r="F997" s="71"/>
      <c r="G997" s="69"/>
      <c r="H997" s="73"/>
      <c r="I997" s="69"/>
      <c r="J997" s="69"/>
      <c r="K997" s="69"/>
      <c r="L997" s="74"/>
      <c r="M997" s="74"/>
      <c r="N997" s="69"/>
      <c r="O997" s="75"/>
      <c r="P997" s="75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1:29" ht="15.75" customHeight="1">
      <c r="A998" s="68"/>
      <c r="B998" s="69"/>
      <c r="C998" s="72"/>
      <c r="D998" s="71"/>
      <c r="E998" s="72"/>
      <c r="F998" s="71"/>
      <c r="G998" s="69"/>
      <c r="H998" s="73"/>
      <c r="I998" s="69"/>
      <c r="J998" s="69"/>
      <c r="K998" s="69"/>
      <c r="L998" s="74"/>
      <c r="M998" s="74"/>
      <c r="N998" s="69"/>
      <c r="O998" s="75"/>
      <c r="P998" s="75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8"/>
  <sheetViews>
    <sheetView topLeftCell="A17" workbookViewId="0">
      <selection activeCell="A22" sqref="A22"/>
    </sheetView>
  </sheetViews>
  <sheetFormatPr defaultColWidth="11.125" defaultRowHeight="15" customHeight="1"/>
  <cols>
    <col min="1" max="1" width="15.625" customWidth="1"/>
    <col min="2" max="3" width="10.875" customWidth="1"/>
    <col min="4" max="4" width="10.125" customWidth="1"/>
    <col min="5" max="5" width="9.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875" customWidth="1"/>
    <col min="14" max="15" width="12.375" customWidth="1"/>
    <col min="16" max="16" width="25.125" customWidth="1"/>
    <col min="17" max="31" width="10.5" customWidth="1"/>
  </cols>
  <sheetData>
    <row r="1" spans="1:16" ht="15.75" customHeight="1">
      <c r="A1" s="80" t="s">
        <v>0</v>
      </c>
      <c r="B1" s="3" t="s">
        <v>129</v>
      </c>
      <c r="C1" s="6" t="s">
        <v>3</v>
      </c>
      <c r="D1" s="3" t="s">
        <v>130</v>
      </c>
      <c r="E1" s="81" t="s">
        <v>131</v>
      </c>
      <c r="F1" s="6" t="s">
        <v>132</v>
      </c>
      <c r="G1" s="3" t="s">
        <v>133</v>
      </c>
      <c r="H1" s="81" t="s">
        <v>134</v>
      </c>
      <c r="I1" s="6" t="s">
        <v>135</v>
      </c>
      <c r="J1" s="6" t="s">
        <v>136</v>
      </c>
      <c r="K1" s="6" t="s">
        <v>137</v>
      </c>
      <c r="L1" s="6" t="s">
        <v>138</v>
      </c>
      <c r="M1" s="82" t="s">
        <v>139</v>
      </c>
      <c r="N1" s="6" t="s">
        <v>14</v>
      </c>
      <c r="O1" s="6" t="s">
        <v>12</v>
      </c>
      <c r="P1" s="83" t="s">
        <v>140</v>
      </c>
    </row>
    <row r="2" spans="1:16" ht="15.75" customHeight="1">
      <c r="A2" s="84" t="s">
        <v>141</v>
      </c>
      <c r="B2" s="12">
        <v>45009</v>
      </c>
      <c r="C2" s="15" t="s">
        <v>17</v>
      </c>
      <c r="D2" s="12">
        <v>45009</v>
      </c>
      <c r="E2" s="85">
        <v>0.64583333333333337</v>
      </c>
      <c r="F2" s="86">
        <v>41</v>
      </c>
      <c r="G2" s="12">
        <v>45010</v>
      </c>
      <c r="H2" s="85">
        <v>0.64583333333333337</v>
      </c>
      <c r="I2" s="86">
        <v>41</v>
      </c>
      <c r="J2" s="87">
        <v>0</v>
      </c>
      <c r="K2" s="87">
        <v>0</v>
      </c>
      <c r="L2" s="15" t="s">
        <v>142</v>
      </c>
      <c r="M2" s="88" t="str">
        <f t="shared" ref="M2:M46" si="0">IF(L2="&lt; 1","&lt; 10",IF(L2="&gt; 2419.6","&gt; 24196",L2*10))</f>
        <v>&lt; 10</v>
      </c>
      <c r="N2" s="15" t="s">
        <v>21</v>
      </c>
      <c r="O2" s="15" t="s">
        <v>25</v>
      </c>
      <c r="P2" s="428" t="s">
        <v>143</v>
      </c>
    </row>
    <row r="3" spans="1:16" ht="15.75" customHeight="1">
      <c r="A3" s="84" t="s">
        <v>144</v>
      </c>
      <c r="B3" s="12">
        <v>45010</v>
      </c>
      <c r="C3" s="15" t="s">
        <v>17</v>
      </c>
      <c r="D3" s="12">
        <v>45009</v>
      </c>
      <c r="E3" s="85">
        <v>0.64583333333333337</v>
      </c>
      <c r="F3" s="86">
        <v>41</v>
      </c>
      <c r="G3" s="12">
        <v>45010</v>
      </c>
      <c r="H3" s="85">
        <v>0.64583333333333337</v>
      </c>
      <c r="I3" s="86">
        <v>41</v>
      </c>
      <c r="J3" s="87">
        <v>0</v>
      </c>
      <c r="K3" s="87">
        <v>0</v>
      </c>
      <c r="L3" s="15" t="s">
        <v>142</v>
      </c>
      <c r="M3" s="88" t="str">
        <f t="shared" si="0"/>
        <v>&lt; 10</v>
      </c>
      <c r="N3" s="15" t="s">
        <v>21</v>
      </c>
      <c r="O3" s="15" t="s">
        <v>25</v>
      </c>
      <c r="P3" s="429"/>
    </row>
    <row r="4" spans="1:16" ht="15.75" customHeight="1">
      <c r="A4" s="84" t="s">
        <v>145</v>
      </c>
      <c r="B4" s="12">
        <v>45011</v>
      </c>
      <c r="C4" s="15" t="s">
        <v>17</v>
      </c>
      <c r="D4" s="12">
        <v>45009</v>
      </c>
      <c r="E4" s="85">
        <v>0.64583333333333337</v>
      </c>
      <c r="F4" s="86">
        <v>41</v>
      </c>
      <c r="G4" s="12">
        <v>45010</v>
      </c>
      <c r="H4" s="85">
        <v>0.64583333333333337</v>
      </c>
      <c r="I4" s="86">
        <v>41</v>
      </c>
      <c r="J4" s="87">
        <v>49</v>
      </c>
      <c r="K4" s="87">
        <v>48</v>
      </c>
      <c r="L4" s="15" t="s">
        <v>146</v>
      </c>
      <c r="M4" s="88" t="str">
        <f t="shared" si="0"/>
        <v>&gt; 24196</v>
      </c>
      <c r="N4" s="15" t="s">
        <v>21</v>
      </c>
      <c r="O4" s="15" t="s">
        <v>25</v>
      </c>
      <c r="P4" s="429"/>
    </row>
    <row r="5" spans="1:16" ht="15.75" customHeight="1">
      <c r="A5" s="44" t="s">
        <v>65</v>
      </c>
      <c r="B5" s="12">
        <v>45011</v>
      </c>
      <c r="C5" s="15" t="s">
        <v>17</v>
      </c>
      <c r="D5" s="12">
        <v>45009</v>
      </c>
      <c r="E5" s="85">
        <v>0.64583333333333337</v>
      </c>
      <c r="F5" s="86">
        <v>41</v>
      </c>
      <c r="G5" s="12">
        <v>45010</v>
      </c>
      <c r="H5" s="85">
        <v>0.64583333333333337</v>
      </c>
      <c r="I5" s="86">
        <v>41</v>
      </c>
      <c r="J5" s="87">
        <v>0</v>
      </c>
      <c r="K5" s="87">
        <v>0</v>
      </c>
      <c r="L5" s="15" t="s">
        <v>142</v>
      </c>
      <c r="M5" s="88" t="str">
        <f t="shared" si="0"/>
        <v>&lt; 10</v>
      </c>
      <c r="N5" s="15" t="s">
        <v>21</v>
      </c>
      <c r="O5" s="15" t="s">
        <v>25</v>
      </c>
      <c r="P5" s="427"/>
    </row>
    <row r="6" spans="1:16" ht="15.75" customHeight="1">
      <c r="A6" s="44" t="s">
        <v>147</v>
      </c>
      <c r="B6" s="12">
        <v>45188</v>
      </c>
      <c r="C6" s="89">
        <v>0.39583333333333331</v>
      </c>
      <c r="D6" s="12">
        <v>45188</v>
      </c>
      <c r="E6" s="85">
        <v>0.46944444444444444</v>
      </c>
      <c r="F6" s="86">
        <v>41</v>
      </c>
      <c r="G6" s="12">
        <v>45188</v>
      </c>
      <c r="H6" s="85">
        <v>0.46944444444444444</v>
      </c>
      <c r="I6" s="86">
        <v>41.1</v>
      </c>
      <c r="J6" s="87">
        <v>0</v>
      </c>
      <c r="K6" s="87">
        <v>0</v>
      </c>
      <c r="L6" s="15" t="s">
        <v>142</v>
      </c>
      <c r="M6" s="88" t="str">
        <f t="shared" si="0"/>
        <v>&lt; 10</v>
      </c>
      <c r="N6" s="15" t="s">
        <v>21</v>
      </c>
      <c r="O6" s="15" t="s">
        <v>25</v>
      </c>
      <c r="P6" s="15" t="s">
        <v>148</v>
      </c>
    </row>
    <row r="7" spans="1:16" ht="15.75" customHeight="1">
      <c r="A7" s="44" t="s">
        <v>149</v>
      </c>
      <c r="B7" s="12">
        <v>45188</v>
      </c>
      <c r="C7" s="89">
        <v>0.36041666666666666</v>
      </c>
      <c r="D7" s="12">
        <v>45188</v>
      </c>
      <c r="E7" s="85">
        <v>0.47152777777777777</v>
      </c>
      <c r="F7" s="86">
        <v>41</v>
      </c>
      <c r="G7" s="12">
        <v>45188</v>
      </c>
      <c r="H7" s="85">
        <v>0.47152777777777777</v>
      </c>
      <c r="I7" s="86">
        <v>41.1</v>
      </c>
      <c r="J7" s="87">
        <v>0</v>
      </c>
      <c r="K7" s="87">
        <v>0</v>
      </c>
      <c r="L7" s="15" t="s">
        <v>142</v>
      </c>
      <c r="M7" s="88" t="str">
        <f t="shared" si="0"/>
        <v>&lt; 10</v>
      </c>
      <c r="N7" s="15" t="s">
        <v>21</v>
      </c>
      <c r="O7" s="15" t="s">
        <v>25</v>
      </c>
      <c r="P7" s="15"/>
    </row>
    <row r="8" spans="1:16" ht="15.75" customHeight="1">
      <c r="A8" s="44" t="s">
        <v>150</v>
      </c>
      <c r="B8" s="12">
        <v>45188</v>
      </c>
      <c r="C8" s="13">
        <v>0.42499999999999999</v>
      </c>
      <c r="D8" s="12">
        <v>45188</v>
      </c>
      <c r="E8" s="85">
        <v>0.47291666666666665</v>
      </c>
      <c r="F8" s="86">
        <v>41</v>
      </c>
      <c r="G8" s="12">
        <v>45188</v>
      </c>
      <c r="H8" s="85">
        <v>0.47291666666666665</v>
      </c>
      <c r="I8" s="86">
        <v>41.1</v>
      </c>
      <c r="J8" s="87">
        <v>0</v>
      </c>
      <c r="K8" s="87">
        <v>0</v>
      </c>
      <c r="L8" s="15" t="s">
        <v>142</v>
      </c>
      <c r="M8" s="88" t="str">
        <f t="shared" si="0"/>
        <v>&lt; 10</v>
      </c>
      <c r="N8" s="15" t="s">
        <v>21</v>
      </c>
      <c r="O8" s="15" t="s">
        <v>25</v>
      </c>
      <c r="P8" s="90"/>
    </row>
    <row r="9" spans="1:16" ht="15.75" customHeight="1">
      <c r="A9" s="44" t="s">
        <v>151</v>
      </c>
      <c r="B9" s="12">
        <v>45188</v>
      </c>
      <c r="C9" s="13">
        <v>0.44722222222222224</v>
      </c>
      <c r="D9" s="12">
        <v>45188</v>
      </c>
      <c r="E9" s="85">
        <v>0.47499999999999998</v>
      </c>
      <c r="F9" s="86">
        <v>41</v>
      </c>
      <c r="G9" s="12">
        <v>45188</v>
      </c>
      <c r="H9" s="85">
        <v>0.47499999999999998</v>
      </c>
      <c r="I9" s="86">
        <v>41.1</v>
      </c>
      <c r="J9" s="87">
        <v>0</v>
      </c>
      <c r="K9" s="87">
        <v>0</v>
      </c>
      <c r="L9" s="15" t="s">
        <v>142</v>
      </c>
      <c r="M9" s="88" t="str">
        <f t="shared" si="0"/>
        <v>&lt; 10</v>
      </c>
      <c r="N9" s="15" t="s">
        <v>21</v>
      </c>
      <c r="O9" s="15" t="s">
        <v>25</v>
      </c>
      <c r="P9" s="430"/>
    </row>
    <row r="10" spans="1:16" ht="15.75" customHeight="1">
      <c r="A10" s="44" t="s">
        <v>152</v>
      </c>
      <c r="B10" s="12">
        <v>45189</v>
      </c>
      <c r="C10" s="13">
        <v>0.3888888888888889</v>
      </c>
      <c r="D10" s="12">
        <v>45189</v>
      </c>
      <c r="E10" s="85">
        <v>0.58680555555555558</v>
      </c>
      <c r="F10" s="86">
        <v>41.1</v>
      </c>
      <c r="G10" s="12">
        <v>45190</v>
      </c>
      <c r="H10" s="85">
        <v>0.58680555555555558</v>
      </c>
      <c r="I10" s="86">
        <v>41.1</v>
      </c>
      <c r="J10" s="87">
        <v>0</v>
      </c>
      <c r="K10" s="87">
        <v>0</v>
      </c>
      <c r="L10" s="15" t="s">
        <v>142</v>
      </c>
      <c r="M10" s="88" t="str">
        <f t="shared" si="0"/>
        <v>&lt; 10</v>
      </c>
      <c r="N10" s="15" t="s">
        <v>21</v>
      </c>
      <c r="O10" s="15" t="s">
        <v>25</v>
      </c>
      <c r="P10" s="429"/>
    </row>
    <row r="11" spans="1:16" ht="16.5" customHeight="1">
      <c r="A11" s="44" t="s">
        <v>153</v>
      </c>
      <c r="B11" s="12">
        <v>45189</v>
      </c>
      <c r="C11" s="13">
        <v>0.42986111111111114</v>
      </c>
      <c r="D11" s="12">
        <v>45189</v>
      </c>
      <c r="E11" s="85">
        <v>0.58750000000000002</v>
      </c>
      <c r="F11" s="86">
        <v>41.1</v>
      </c>
      <c r="G11" s="12">
        <v>45190</v>
      </c>
      <c r="H11" s="85">
        <v>0.58750000000000002</v>
      </c>
      <c r="I11" s="86">
        <v>41.1</v>
      </c>
      <c r="J11" s="87">
        <v>0</v>
      </c>
      <c r="K11" s="87">
        <v>0</v>
      </c>
      <c r="L11" s="15" t="s">
        <v>142</v>
      </c>
      <c r="M11" s="88" t="str">
        <f t="shared" si="0"/>
        <v>&lt; 10</v>
      </c>
      <c r="N11" s="15" t="s">
        <v>21</v>
      </c>
      <c r="O11" s="15" t="s">
        <v>25</v>
      </c>
      <c r="P11" s="427"/>
    </row>
    <row r="12" spans="1:16" ht="15.75" customHeight="1">
      <c r="A12" s="44" t="s">
        <v>154</v>
      </c>
      <c r="B12" s="12">
        <v>45189</v>
      </c>
      <c r="C12" s="13">
        <v>0.45208333333333334</v>
      </c>
      <c r="D12" s="12">
        <v>45189</v>
      </c>
      <c r="E12" s="85">
        <v>0.58888888888888891</v>
      </c>
      <c r="F12" s="86">
        <v>41.1</v>
      </c>
      <c r="G12" s="12">
        <v>45190</v>
      </c>
      <c r="H12" s="85">
        <v>0.58888888888888891</v>
      </c>
      <c r="I12" s="86">
        <v>41.1</v>
      </c>
      <c r="J12" s="87">
        <v>0</v>
      </c>
      <c r="K12" s="87">
        <v>0</v>
      </c>
      <c r="L12" s="15" t="s">
        <v>142</v>
      </c>
      <c r="M12" s="88" t="str">
        <f t="shared" si="0"/>
        <v>&lt; 10</v>
      </c>
      <c r="N12" s="15" t="s">
        <v>21</v>
      </c>
      <c r="O12" s="15" t="s">
        <v>25</v>
      </c>
      <c r="P12" s="90"/>
    </row>
    <row r="13" spans="1:16" ht="15.75" customHeight="1">
      <c r="A13" s="44" t="s">
        <v>155</v>
      </c>
      <c r="B13" s="43">
        <v>45190</v>
      </c>
      <c r="C13" s="13">
        <v>0.39583333333333331</v>
      </c>
      <c r="D13" s="43">
        <v>45190</v>
      </c>
      <c r="E13" s="85">
        <v>0.56388888888888888</v>
      </c>
      <c r="F13" s="86">
        <v>41.1</v>
      </c>
      <c r="G13" s="12">
        <v>45190</v>
      </c>
      <c r="H13" s="85">
        <v>0.60555555555555551</v>
      </c>
      <c r="I13" s="86">
        <v>41</v>
      </c>
      <c r="J13" s="87">
        <v>0</v>
      </c>
      <c r="K13" s="87">
        <v>0</v>
      </c>
      <c r="L13" s="15" t="s">
        <v>142</v>
      </c>
      <c r="M13" s="88" t="str">
        <f t="shared" si="0"/>
        <v>&lt; 10</v>
      </c>
      <c r="N13" s="15" t="s">
        <v>21</v>
      </c>
      <c r="O13" s="15" t="s">
        <v>25</v>
      </c>
      <c r="P13" s="430"/>
    </row>
    <row r="14" spans="1:16" ht="15.75" customHeight="1">
      <c r="A14" s="44" t="s">
        <v>156</v>
      </c>
      <c r="B14" s="43">
        <v>45190</v>
      </c>
      <c r="C14" s="13">
        <v>0.41944444444444445</v>
      </c>
      <c r="D14" s="43">
        <v>45190</v>
      </c>
      <c r="E14" s="85">
        <v>0.56527777777777777</v>
      </c>
      <c r="F14" s="86">
        <v>41.1</v>
      </c>
      <c r="G14" s="12">
        <v>45191</v>
      </c>
      <c r="H14" s="85">
        <v>0.6069444444444444</v>
      </c>
      <c r="I14" s="86">
        <v>41</v>
      </c>
      <c r="J14" s="87">
        <v>0</v>
      </c>
      <c r="K14" s="87">
        <v>0</v>
      </c>
      <c r="L14" s="15" t="s">
        <v>142</v>
      </c>
      <c r="M14" s="88" t="str">
        <f t="shared" si="0"/>
        <v>&lt; 10</v>
      </c>
      <c r="N14" s="15" t="s">
        <v>21</v>
      </c>
      <c r="O14" s="15" t="s">
        <v>25</v>
      </c>
      <c r="P14" s="429"/>
    </row>
    <row r="15" spans="1:16" ht="15.75" customHeight="1">
      <c r="A15" s="44" t="s">
        <v>157</v>
      </c>
      <c r="B15" s="43">
        <v>45190</v>
      </c>
      <c r="C15" s="13">
        <v>0.46111111111111114</v>
      </c>
      <c r="D15" s="43">
        <v>45190</v>
      </c>
      <c r="E15" s="85">
        <v>0.56666666666666665</v>
      </c>
      <c r="F15" s="86">
        <v>41.1</v>
      </c>
      <c r="G15" s="12">
        <v>45191</v>
      </c>
      <c r="H15" s="85">
        <v>0.60833333333333328</v>
      </c>
      <c r="I15" s="86">
        <v>41</v>
      </c>
      <c r="J15" s="87">
        <v>0</v>
      </c>
      <c r="K15" s="87">
        <v>0</v>
      </c>
      <c r="L15" s="15" t="s">
        <v>142</v>
      </c>
      <c r="M15" s="88" t="str">
        <f t="shared" si="0"/>
        <v>&lt; 10</v>
      </c>
      <c r="N15" s="15" t="s">
        <v>21</v>
      </c>
      <c r="O15" s="15" t="s">
        <v>25</v>
      </c>
      <c r="P15" s="427"/>
    </row>
    <row r="16" spans="1:16" ht="15.75" customHeight="1">
      <c r="A16" s="44" t="s">
        <v>158</v>
      </c>
      <c r="B16" s="43">
        <v>45190</v>
      </c>
      <c r="C16" s="13">
        <v>0.49722222222222223</v>
      </c>
      <c r="D16" s="43">
        <v>45190</v>
      </c>
      <c r="E16" s="85">
        <v>0.56805555555555554</v>
      </c>
      <c r="F16" s="86">
        <v>41.1</v>
      </c>
      <c r="G16" s="12">
        <v>45191</v>
      </c>
      <c r="H16" s="85">
        <v>0.60972222222222228</v>
      </c>
      <c r="I16" s="86">
        <v>41</v>
      </c>
      <c r="J16" s="87">
        <v>0</v>
      </c>
      <c r="K16" s="87">
        <v>0</v>
      </c>
      <c r="L16" s="15" t="s">
        <v>142</v>
      </c>
      <c r="M16" s="88" t="str">
        <f t="shared" si="0"/>
        <v>&lt; 10</v>
      </c>
      <c r="N16" s="15" t="s">
        <v>21</v>
      </c>
      <c r="O16" s="15" t="s">
        <v>25</v>
      </c>
      <c r="P16" s="90"/>
    </row>
    <row r="17" spans="1:16" ht="15.75" customHeight="1">
      <c r="A17" s="44" t="s">
        <v>159</v>
      </c>
      <c r="B17" s="12">
        <v>45204</v>
      </c>
      <c r="C17" s="13">
        <v>0.37777777777777777</v>
      </c>
      <c r="D17" s="12">
        <v>45204</v>
      </c>
      <c r="E17" s="85">
        <v>0.58472222222222225</v>
      </c>
      <c r="F17" s="86">
        <v>40.799999999999997</v>
      </c>
      <c r="G17" s="12">
        <v>45205</v>
      </c>
      <c r="H17" s="85">
        <v>0.58472222222222225</v>
      </c>
      <c r="I17" s="86">
        <v>41</v>
      </c>
      <c r="J17" s="87">
        <v>0</v>
      </c>
      <c r="K17" s="87">
        <v>0</v>
      </c>
      <c r="L17" s="15" t="s">
        <v>142</v>
      </c>
      <c r="M17" s="88" t="str">
        <f t="shared" si="0"/>
        <v>&lt; 10</v>
      </c>
      <c r="N17" s="15" t="s">
        <v>21</v>
      </c>
      <c r="O17" s="15" t="s">
        <v>25</v>
      </c>
      <c r="P17" s="90"/>
    </row>
    <row r="18" spans="1:16" ht="15.75" customHeight="1">
      <c r="A18" s="44" t="s">
        <v>160</v>
      </c>
      <c r="B18" s="12">
        <v>45204</v>
      </c>
      <c r="C18" s="13">
        <v>0.41805555555555557</v>
      </c>
      <c r="D18" s="12">
        <v>45204</v>
      </c>
      <c r="E18" s="21">
        <v>0.61111111111111116</v>
      </c>
      <c r="F18" s="86">
        <v>41.1</v>
      </c>
      <c r="G18" s="12">
        <v>45205</v>
      </c>
      <c r="H18" s="21">
        <v>0.61111111111111116</v>
      </c>
      <c r="I18" s="86">
        <v>41</v>
      </c>
      <c r="J18" s="87">
        <v>0</v>
      </c>
      <c r="K18" s="87">
        <v>0</v>
      </c>
      <c r="L18" s="15" t="s">
        <v>142</v>
      </c>
      <c r="M18" s="88" t="str">
        <f t="shared" si="0"/>
        <v>&lt; 10</v>
      </c>
      <c r="N18" s="15" t="s">
        <v>21</v>
      </c>
      <c r="O18" s="15" t="s">
        <v>25</v>
      </c>
      <c r="P18" s="426"/>
    </row>
    <row r="19" spans="1:16" ht="15.75" customHeight="1">
      <c r="A19" s="44" t="s">
        <v>161</v>
      </c>
      <c r="B19" s="12">
        <v>45204</v>
      </c>
      <c r="C19" s="13">
        <v>0.45</v>
      </c>
      <c r="D19" s="12">
        <v>45204</v>
      </c>
      <c r="E19" s="21">
        <v>0.59513888888888888</v>
      </c>
      <c r="F19" s="86">
        <v>41.1</v>
      </c>
      <c r="G19" s="12">
        <v>45205</v>
      </c>
      <c r="H19" s="21">
        <v>0.59513888888888888</v>
      </c>
      <c r="I19" s="86">
        <v>41</v>
      </c>
      <c r="J19" s="87">
        <v>0</v>
      </c>
      <c r="K19" s="87">
        <v>0</v>
      </c>
      <c r="L19" s="15" t="s">
        <v>142</v>
      </c>
      <c r="M19" s="88" t="str">
        <f t="shared" si="0"/>
        <v>&lt; 10</v>
      </c>
      <c r="N19" s="15" t="s">
        <v>259</v>
      </c>
      <c r="O19" s="15" t="s">
        <v>25</v>
      </c>
      <c r="P19" s="429"/>
    </row>
    <row r="20" spans="1:16" ht="15.75" customHeight="1">
      <c r="A20" s="44" t="s">
        <v>162</v>
      </c>
      <c r="B20" s="12">
        <v>45205</v>
      </c>
      <c r="C20" s="13">
        <v>0.29236111111111113</v>
      </c>
      <c r="D20" s="12">
        <v>45205</v>
      </c>
      <c r="E20" s="21">
        <v>0.52777777777777779</v>
      </c>
      <c r="F20" s="86">
        <v>41</v>
      </c>
      <c r="G20" s="12">
        <v>45206</v>
      </c>
      <c r="H20" s="21">
        <v>0.52777777777777779</v>
      </c>
      <c r="I20" s="86">
        <v>41</v>
      </c>
      <c r="J20" s="87">
        <v>0</v>
      </c>
      <c r="K20" s="87">
        <v>0</v>
      </c>
      <c r="L20" s="15" t="s">
        <v>142</v>
      </c>
      <c r="M20" s="88" t="str">
        <f t="shared" si="0"/>
        <v>&lt; 10</v>
      </c>
      <c r="N20" s="15" t="s">
        <v>21</v>
      </c>
      <c r="O20" s="15" t="s">
        <v>25</v>
      </c>
      <c r="P20" s="429"/>
    </row>
    <row r="21" spans="1:16" ht="15.75" customHeight="1">
      <c r="A21" s="44" t="s">
        <v>1186</v>
      </c>
      <c r="B21" s="12">
        <v>45205</v>
      </c>
      <c r="C21" s="13">
        <v>0.30555555555555558</v>
      </c>
      <c r="D21" s="12">
        <v>45205</v>
      </c>
      <c r="E21" s="21">
        <v>0.53749999999999998</v>
      </c>
      <c r="F21" s="86">
        <v>41</v>
      </c>
      <c r="G21" s="12">
        <v>45206</v>
      </c>
      <c r="H21" s="21">
        <v>0.53749999999999998</v>
      </c>
      <c r="I21" s="86">
        <v>41</v>
      </c>
      <c r="J21" s="87">
        <v>0</v>
      </c>
      <c r="K21" s="87">
        <v>0</v>
      </c>
      <c r="L21" s="15" t="s">
        <v>142</v>
      </c>
      <c r="M21" s="88" t="str">
        <f t="shared" si="0"/>
        <v>&lt; 10</v>
      </c>
      <c r="N21" s="15" t="s">
        <v>259</v>
      </c>
      <c r="O21" s="15" t="s">
        <v>25</v>
      </c>
      <c r="P21" s="429"/>
    </row>
    <row r="22" spans="1:16" ht="15.75" customHeight="1">
      <c r="A22" s="44" t="s">
        <v>163</v>
      </c>
      <c r="B22" s="12">
        <v>45205</v>
      </c>
      <c r="C22" s="21">
        <v>0.41111111111111109</v>
      </c>
      <c r="D22" s="12">
        <v>45205</v>
      </c>
      <c r="E22" s="21">
        <v>0.65972222222222221</v>
      </c>
      <c r="F22" s="86">
        <v>41</v>
      </c>
      <c r="G22" s="12">
        <v>45206</v>
      </c>
      <c r="H22" s="21">
        <v>0.54861111111111116</v>
      </c>
      <c r="I22" s="86">
        <v>41</v>
      </c>
      <c r="J22" s="87">
        <v>0</v>
      </c>
      <c r="K22" s="87">
        <v>0</v>
      </c>
      <c r="L22" s="15" t="s">
        <v>142</v>
      </c>
      <c r="M22" s="88" t="str">
        <f t="shared" si="0"/>
        <v>&lt; 10</v>
      </c>
      <c r="N22" s="15" t="s">
        <v>21</v>
      </c>
      <c r="O22" s="15" t="s">
        <v>25</v>
      </c>
      <c r="P22" s="429"/>
    </row>
    <row r="23" spans="1:16" ht="15.75" customHeight="1">
      <c r="A23" s="44" t="s">
        <v>164</v>
      </c>
      <c r="B23" s="12">
        <v>45212</v>
      </c>
      <c r="C23" s="21">
        <v>0.32083333333333336</v>
      </c>
      <c r="D23" s="12">
        <v>45212</v>
      </c>
      <c r="E23" s="21">
        <v>0.52777777777777779</v>
      </c>
      <c r="F23" s="86">
        <v>41</v>
      </c>
      <c r="G23" s="12">
        <v>45213</v>
      </c>
      <c r="H23" s="21">
        <v>0.55208333333333337</v>
      </c>
      <c r="I23" s="86">
        <v>41</v>
      </c>
      <c r="J23" s="87">
        <v>0</v>
      </c>
      <c r="K23" s="87">
        <v>0</v>
      </c>
      <c r="L23" s="15" t="s">
        <v>142</v>
      </c>
      <c r="M23" s="88" t="str">
        <f t="shared" si="0"/>
        <v>&lt; 10</v>
      </c>
      <c r="N23" s="15" t="s">
        <v>21</v>
      </c>
      <c r="O23" s="15" t="s">
        <v>165</v>
      </c>
      <c r="P23" s="429"/>
    </row>
    <row r="24" spans="1:16" ht="15.75" customHeight="1">
      <c r="A24" s="44" t="s">
        <v>166</v>
      </c>
      <c r="B24" s="12">
        <v>45212</v>
      </c>
      <c r="C24" s="21">
        <v>0.34166666666666667</v>
      </c>
      <c r="D24" s="12">
        <v>45212</v>
      </c>
      <c r="E24" s="21">
        <v>0.53402777777777777</v>
      </c>
      <c r="F24" s="86">
        <v>41</v>
      </c>
      <c r="G24" s="12">
        <v>45213</v>
      </c>
      <c r="H24" s="21">
        <v>0.55277777777777781</v>
      </c>
      <c r="I24" s="86">
        <v>40</v>
      </c>
      <c r="J24" s="87">
        <v>0</v>
      </c>
      <c r="K24" s="87">
        <v>0</v>
      </c>
      <c r="L24" s="15" t="s">
        <v>142</v>
      </c>
      <c r="M24" s="88" t="str">
        <f t="shared" si="0"/>
        <v>&lt; 10</v>
      </c>
      <c r="N24" s="15" t="s">
        <v>21</v>
      </c>
      <c r="O24" s="15" t="s">
        <v>165</v>
      </c>
      <c r="P24" s="429"/>
    </row>
    <row r="25" spans="1:16" ht="15.75" customHeight="1">
      <c r="A25" s="44" t="s">
        <v>167</v>
      </c>
      <c r="B25" s="12">
        <v>45212</v>
      </c>
      <c r="C25" s="21">
        <v>0.37083333333333335</v>
      </c>
      <c r="D25" s="12">
        <v>45212</v>
      </c>
      <c r="E25" s="21">
        <v>0.54027777777777775</v>
      </c>
      <c r="F25" s="86">
        <v>41</v>
      </c>
      <c r="G25" s="12">
        <v>45213</v>
      </c>
      <c r="H25" s="21">
        <v>0.55347222222222225</v>
      </c>
      <c r="I25" s="86">
        <v>40</v>
      </c>
      <c r="J25" s="87">
        <v>0</v>
      </c>
      <c r="K25" s="87">
        <v>0</v>
      </c>
      <c r="L25" s="15" t="s">
        <v>142</v>
      </c>
      <c r="M25" s="88" t="str">
        <f t="shared" si="0"/>
        <v>&lt; 10</v>
      </c>
      <c r="N25" s="15" t="s">
        <v>21</v>
      </c>
      <c r="O25" s="15" t="s">
        <v>165</v>
      </c>
      <c r="P25" s="429"/>
    </row>
    <row r="26" spans="1:16" ht="15.75" customHeight="1">
      <c r="A26" s="44" t="s">
        <v>168</v>
      </c>
      <c r="B26" s="12">
        <v>45212</v>
      </c>
      <c r="C26" s="21">
        <v>0.40833333333333333</v>
      </c>
      <c r="D26" s="12">
        <v>45212</v>
      </c>
      <c r="E26" s="21">
        <v>0.54583333333333328</v>
      </c>
      <c r="F26" s="86">
        <v>41</v>
      </c>
      <c r="G26" s="12">
        <v>45213</v>
      </c>
      <c r="H26" s="21">
        <v>0.5541666666666667</v>
      </c>
      <c r="I26" s="86">
        <v>40</v>
      </c>
      <c r="J26" s="87">
        <v>0</v>
      </c>
      <c r="K26" s="87">
        <v>0</v>
      </c>
      <c r="L26" s="15" t="s">
        <v>142</v>
      </c>
      <c r="M26" s="88" t="str">
        <f t="shared" si="0"/>
        <v>&lt; 10</v>
      </c>
      <c r="N26" s="15" t="s">
        <v>21</v>
      </c>
      <c r="O26" s="15" t="s">
        <v>165</v>
      </c>
      <c r="P26" s="427"/>
    </row>
    <row r="27" spans="1:16" ht="15.75" customHeight="1">
      <c r="A27" s="44" t="s">
        <v>169</v>
      </c>
      <c r="B27" s="12">
        <v>45213</v>
      </c>
      <c r="C27" s="21">
        <v>0.34375</v>
      </c>
      <c r="D27" s="12">
        <v>45213</v>
      </c>
      <c r="E27" s="21">
        <v>0.56458333333333333</v>
      </c>
      <c r="F27" s="86">
        <v>41</v>
      </c>
      <c r="G27" s="12">
        <v>45214</v>
      </c>
      <c r="H27" s="85">
        <v>0.56458333333333333</v>
      </c>
      <c r="I27" s="86">
        <v>41</v>
      </c>
      <c r="J27" s="87">
        <v>0</v>
      </c>
      <c r="K27" s="87">
        <v>0</v>
      </c>
      <c r="L27" s="15" t="s">
        <v>142</v>
      </c>
      <c r="M27" s="88" t="str">
        <f t="shared" si="0"/>
        <v>&lt; 10</v>
      </c>
      <c r="N27" s="15" t="s">
        <v>21</v>
      </c>
      <c r="O27" s="15" t="s">
        <v>165</v>
      </c>
      <c r="P27" s="431"/>
    </row>
    <row r="28" spans="1:16" ht="15.75" customHeight="1">
      <c r="A28" s="44" t="s">
        <v>170</v>
      </c>
      <c r="B28" s="12">
        <v>45213</v>
      </c>
      <c r="C28" s="21">
        <v>0.40555555555555556</v>
      </c>
      <c r="D28" s="12">
        <v>45213</v>
      </c>
      <c r="E28" s="21">
        <v>0.57291666666666663</v>
      </c>
      <c r="F28" s="86">
        <v>41</v>
      </c>
      <c r="G28" s="12">
        <v>45214</v>
      </c>
      <c r="H28" s="85">
        <v>0.57361111111111107</v>
      </c>
      <c r="I28" s="86">
        <v>40</v>
      </c>
      <c r="J28" s="87">
        <v>0</v>
      </c>
      <c r="K28" s="87">
        <v>0</v>
      </c>
      <c r="L28" s="15" t="s">
        <v>142</v>
      </c>
      <c r="M28" s="88" t="str">
        <f t="shared" si="0"/>
        <v>&lt; 10</v>
      </c>
      <c r="N28" s="15" t="s">
        <v>21</v>
      </c>
      <c r="O28" s="15" t="s">
        <v>165</v>
      </c>
      <c r="P28" s="429"/>
    </row>
    <row r="29" spans="1:16" ht="15.75" customHeight="1">
      <c r="A29" s="44" t="s">
        <v>171</v>
      </c>
      <c r="B29" s="12">
        <v>45213</v>
      </c>
      <c r="C29" s="21">
        <v>0.44236111111111109</v>
      </c>
      <c r="D29" s="12">
        <v>45213</v>
      </c>
      <c r="E29" s="21">
        <v>0.57499999999999996</v>
      </c>
      <c r="F29" s="86">
        <v>39</v>
      </c>
      <c r="G29" s="12">
        <v>45214</v>
      </c>
      <c r="H29" s="85">
        <v>0.57499999999999996</v>
      </c>
      <c r="I29" s="86">
        <v>40</v>
      </c>
      <c r="J29" s="87">
        <v>0</v>
      </c>
      <c r="K29" s="87">
        <v>0</v>
      </c>
      <c r="L29" s="15" t="s">
        <v>142</v>
      </c>
      <c r="M29" s="88" t="str">
        <f t="shared" si="0"/>
        <v>&lt; 10</v>
      </c>
      <c r="N29" s="15" t="s">
        <v>21</v>
      </c>
      <c r="O29" s="15" t="s">
        <v>165</v>
      </c>
      <c r="P29" s="427"/>
    </row>
    <row r="30" spans="1:16" ht="15.75" customHeight="1">
      <c r="A30" s="44" t="s">
        <v>172</v>
      </c>
      <c r="B30" s="12">
        <v>45214</v>
      </c>
      <c r="C30" s="21">
        <v>0.37430555555555556</v>
      </c>
      <c r="D30" s="12">
        <v>45214</v>
      </c>
      <c r="E30" s="21">
        <v>0.53472222222222221</v>
      </c>
      <c r="F30" s="86">
        <v>39</v>
      </c>
      <c r="G30" s="12">
        <v>45215</v>
      </c>
      <c r="H30" s="85">
        <v>0.53472222222222221</v>
      </c>
      <c r="I30" s="86">
        <v>41</v>
      </c>
      <c r="J30" s="87">
        <v>0</v>
      </c>
      <c r="K30" s="87">
        <v>0</v>
      </c>
      <c r="L30" s="15" t="s">
        <v>142</v>
      </c>
      <c r="M30" s="88" t="str">
        <f t="shared" si="0"/>
        <v>&lt; 10</v>
      </c>
      <c r="N30" s="15" t="s">
        <v>21</v>
      </c>
      <c r="O30" s="15" t="s">
        <v>173</v>
      </c>
      <c r="P30" s="432"/>
    </row>
    <row r="31" spans="1:16" ht="15.75" customHeight="1">
      <c r="A31" s="44" t="s">
        <v>174</v>
      </c>
      <c r="B31" s="12">
        <v>45214</v>
      </c>
      <c r="C31" s="21">
        <v>0.41805555555555557</v>
      </c>
      <c r="D31" s="12">
        <v>45214</v>
      </c>
      <c r="E31" s="21">
        <v>0.53680555555555554</v>
      </c>
      <c r="F31" s="86">
        <v>41</v>
      </c>
      <c r="G31" s="12">
        <v>45215</v>
      </c>
      <c r="H31" s="85">
        <v>0.53541666666666665</v>
      </c>
      <c r="I31" s="86">
        <v>41</v>
      </c>
      <c r="J31" s="87">
        <v>0</v>
      </c>
      <c r="K31" s="87">
        <v>2</v>
      </c>
      <c r="L31" s="11">
        <v>2</v>
      </c>
      <c r="M31" s="88">
        <f t="shared" si="0"/>
        <v>20</v>
      </c>
      <c r="N31" s="15" t="s">
        <v>21</v>
      </c>
      <c r="O31" s="15" t="s">
        <v>173</v>
      </c>
      <c r="P31" s="433"/>
    </row>
    <row r="32" spans="1:16" ht="15.75" customHeight="1">
      <c r="A32" s="44" t="s">
        <v>175</v>
      </c>
      <c r="B32" s="12">
        <v>45214</v>
      </c>
      <c r="C32" s="21">
        <v>0.30208333333333331</v>
      </c>
      <c r="D32" s="12">
        <v>45214</v>
      </c>
      <c r="E32" s="21">
        <v>0.52638888888888891</v>
      </c>
      <c r="F32" s="86">
        <v>41</v>
      </c>
      <c r="G32" s="12">
        <v>45215</v>
      </c>
      <c r="H32" s="85">
        <v>0.53611111111111109</v>
      </c>
      <c r="I32" s="86">
        <v>41</v>
      </c>
      <c r="J32" s="87">
        <v>0</v>
      </c>
      <c r="K32" s="87">
        <v>0</v>
      </c>
      <c r="L32" s="15" t="s">
        <v>142</v>
      </c>
      <c r="M32" s="88" t="str">
        <f t="shared" si="0"/>
        <v>&lt; 10</v>
      </c>
      <c r="N32" s="15" t="s">
        <v>21</v>
      </c>
      <c r="O32" s="15" t="s">
        <v>173</v>
      </c>
      <c r="P32" s="433"/>
    </row>
    <row r="33" spans="1:16" ht="15.75" customHeight="1">
      <c r="A33" s="44" t="s">
        <v>176</v>
      </c>
      <c r="B33" s="12">
        <v>45214</v>
      </c>
      <c r="C33" s="21">
        <v>0.33611111111111114</v>
      </c>
      <c r="D33" s="12">
        <v>45214</v>
      </c>
      <c r="E33" s="21">
        <v>0.53194444444444444</v>
      </c>
      <c r="F33" s="86">
        <v>41</v>
      </c>
      <c r="G33" s="12">
        <v>45215</v>
      </c>
      <c r="H33" s="85">
        <v>0.53680555555555554</v>
      </c>
      <c r="I33" s="86">
        <v>41</v>
      </c>
      <c r="J33" s="87">
        <v>0</v>
      </c>
      <c r="K33" s="87">
        <v>0</v>
      </c>
      <c r="L33" s="15" t="s">
        <v>142</v>
      </c>
      <c r="M33" s="88" t="str">
        <f t="shared" si="0"/>
        <v>&lt; 10</v>
      </c>
      <c r="N33" s="15" t="s">
        <v>21</v>
      </c>
      <c r="O33" s="15" t="s">
        <v>173</v>
      </c>
      <c r="P33" s="433"/>
    </row>
    <row r="34" spans="1:16" ht="15.75" customHeight="1">
      <c r="A34" s="52" t="s">
        <v>177</v>
      </c>
      <c r="B34" s="53">
        <v>38283</v>
      </c>
      <c r="C34" s="21">
        <v>0.42638888888888887</v>
      </c>
      <c r="D34" s="53">
        <v>38283</v>
      </c>
      <c r="E34" s="85">
        <v>0.53819444444444442</v>
      </c>
      <c r="F34" s="86">
        <v>40.299999999999997</v>
      </c>
      <c r="G34" s="53">
        <v>45223</v>
      </c>
      <c r="H34" s="85">
        <v>0.53819444444444442</v>
      </c>
      <c r="I34" s="86">
        <v>41</v>
      </c>
      <c r="J34" s="87">
        <v>0</v>
      </c>
      <c r="K34" s="87">
        <v>0</v>
      </c>
      <c r="L34" s="15" t="s">
        <v>142</v>
      </c>
      <c r="M34" s="88" t="str">
        <f t="shared" si="0"/>
        <v>&lt; 10</v>
      </c>
      <c r="N34" s="15" t="s">
        <v>21</v>
      </c>
      <c r="O34" s="15" t="s">
        <v>178</v>
      </c>
      <c r="P34" s="433"/>
    </row>
    <row r="35" spans="1:16" ht="15.75" customHeight="1">
      <c r="A35" s="52" t="s">
        <v>179</v>
      </c>
      <c r="B35" s="53">
        <v>38283</v>
      </c>
      <c r="C35" s="21">
        <v>0.45</v>
      </c>
      <c r="D35" s="53">
        <v>38283</v>
      </c>
      <c r="E35" s="85">
        <v>0.6333333333333333</v>
      </c>
      <c r="F35" s="86">
        <v>40.299999999999997</v>
      </c>
      <c r="G35" s="53">
        <v>45223</v>
      </c>
      <c r="H35" s="85">
        <v>0.6333333333333333</v>
      </c>
      <c r="I35" s="86">
        <v>41</v>
      </c>
      <c r="J35" s="87">
        <v>0</v>
      </c>
      <c r="K35" s="87">
        <v>0</v>
      </c>
      <c r="L35" s="15" t="s">
        <v>142</v>
      </c>
      <c r="M35" s="88" t="str">
        <f t="shared" si="0"/>
        <v>&lt; 10</v>
      </c>
      <c r="N35" s="15" t="s">
        <v>21</v>
      </c>
      <c r="O35" s="15" t="s">
        <v>178</v>
      </c>
      <c r="P35" s="434"/>
    </row>
    <row r="36" spans="1:16" ht="15.75" customHeight="1">
      <c r="A36" s="52" t="s">
        <v>180</v>
      </c>
      <c r="B36" s="53">
        <v>38283</v>
      </c>
      <c r="C36" s="41">
        <v>0.48333333333333334</v>
      </c>
      <c r="D36" s="53">
        <v>38283</v>
      </c>
      <c r="E36" s="85">
        <v>0.6430555555555556</v>
      </c>
      <c r="F36" s="86">
        <v>40.299999999999997</v>
      </c>
      <c r="G36" s="53">
        <v>45223</v>
      </c>
      <c r="H36" s="85">
        <v>0.6430555555555556</v>
      </c>
      <c r="I36" s="86">
        <v>41</v>
      </c>
      <c r="J36" s="87">
        <v>0</v>
      </c>
      <c r="K36" s="87">
        <v>0</v>
      </c>
      <c r="L36" s="15" t="s">
        <v>142</v>
      </c>
      <c r="M36" s="88" t="str">
        <f t="shared" si="0"/>
        <v>&lt; 10</v>
      </c>
      <c r="N36" s="15" t="s">
        <v>21</v>
      </c>
      <c r="O36" s="15" t="s">
        <v>178</v>
      </c>
      <c r="P36" s="426"/>
    </row>
    <row r="37" spans="1:16" ht="15.75" customHeight="1">
      <c r="A37" s="52" t="s">
        <v>181</v>
      </c>
      <c r="B37" s="91">
        <v>38283</v>
      </c>
      <c r="C37" s="41">
        <v>0.50624999999999998</v>
      </c>
      <c r="D37" s="91">
        <v>38283</v>
      </c>
      <c r="E37" s="85">
        <v>0.62986111111111109</v>
      </c>
      <c r="F37" s="86">
        <v>40.299999999999997</v>
      </c>
      <c r="G37" s="53">
        <v>45223</v>
      </c>
      <c r="H37" s="85">
        <v>0.62986111111111109</v>
      </c>
      <c r="I37" s="86">
        <v>41</v>
      </c>
      <c r="J37" s="87">
        <v>0</v>
      </c>
      <c r="K37" s="87">
        <v>0</v>
      </c>
      <c r="L37" s="15" t="s">
        <v>142</v>
      </c>
      <c r="M37" s="88" t="str">
        <f t="shared" si="0"/>
        <v>&lt; 10</v>
      </c>
      <c r="N37" s="15" t="s">
        <v>21</v>
      </c>
      <c r="O37" s="15" t="s">
        <v>178</v>
      </c>
      <c r="P37" s="429"/>
    </row>
    <row r="38" spans="1:16" ht="15.75" customHeight="1">
      <c r="A38" s="52" t="s">
        <v>182</v>
      </c>
      <c r="B38" s="91">
        <v>38283</v>
      </c>
      <c r="C38" s="41">
        <v>0.6020833333333333</v>
      </c>
      <c r="D38" s="91">
        <v>38283</v>
      </c>
      <c r="E38" s="85">
        <v>0.71597222222222223</v>
      </c>
      <c r="F38" s="86">
        <v>40.299999999999997</v>
      </c>
      <c r="G38" s="53">
        <v>45223</v>
      </c>
      <c r="H38" s="85">
        <v>0.71597222222222223</v>
      </c>
      <c r="I38" s="86">
        <v>41</v>
      </c>
      <c r="J38" s="87">
        <v>0</v>
      </c>
      <c r="K38" s="87">
        <v>0</v>
      </c>
      <c r="L38" s="15" t="s">
        <v>142</v>
      </c>
      <c r="M38" s="88" t="str">
        <f t="shared" si="0"/>
        <v>&lt; 10</v>
      </c>
      <c r="N38" s="15" t="s">
        <v>21</v>
      </c>
      <c r="O38" s="15" t="s">
        <v>178</v>
      </c>
      <c r="P38" s="427"/>
    </row>
    <row r="39" spans="1:16" ht="15.75" customHeight="1">
      <c r="A39" s="92" t="s">
        <v>183</v>
      </c>
      <c r="B39" s="53">
        <v>45223</v>
      </c>
      <c r="C39" s="21">
        <v>0.40277777777777779</v>
      </c>
      <c r="D39" s="53">
        <v>45223</v>
      </c>
      <c r="E39" s="21">
        <v>0.57986111111111116</v>
      </c>
      <c r="F39" s="86">
        <v>41</v>
      </c>
      <c r="G39" s="12">
        <v>45224</v>
      </c>
      <c r="H39" s="21">
        <v>0.57986111111111116</v>
      </c>
      <c r="I39" s="86">
        <v>41</v>
      </c>
      <c r="J39" s="87">
        <v>0</v>
      </c>
      <c r="K39" s="87">
        <v>0</v>
      </c>
      <c r="L39" s="15" t="s">
        <v>142</v>
      </c>
      <c r="M39" s="88" t="str">
        <f t="shared" si="0"/>
        <v>&lt; 10</v>
      </c>
      <c r="N39" s="15" t="s">
        <v>21</v>
      </c>
      <c r="O39" s="15" t="s">
        <v>178</v>
      </c>
      <c r="P39" s="426"/>
    </row>
    <row r="40" spans="1:16" ht="15.75" customHeight="1">
      <c r="A40" s="52" t="s">
        <v>184</v>
      </c>
      <c r="B40" s="53">
        <v>45223</v>
      </c>
      <c r="C40" s="21">
        <v>0.43055555555555558</v>
      </c>
      <c r="D40" s="53">
        <v>45223</v>
      </c>
      <c r="E40" s="93">
        <v>0.58194444444444449</v>
      </c>
      <c r="F40" s="86">
        <v>41</v>
      </c>
      <c r="G40" s="12">
        <v>45224</v>
      </c>
      <c r="H40" s="93">
        <v>0.58194444444444449</v>
      </c>
      <c r="I40" s="86">
        <v>41</v>
      </c>
      <c r="J40" s="87">
        <v>0</v>
      </c>
      <c r="K40" s="87">
        <v>0</v>
      </c>
      <c r="L40" s="15" t="s">
        <v>142</v>
      </c>
      <c r="M40" s="88" t="str">
        <f t="shared" si="0"/>
        <v>&lt; 10</v>
      </c>
      <c r="N40" s="15" t="s">
        <v>21</v>
      </c>
      <c r="O40" s="15" t="s">
        <v>178</v>
      </c>
      <c r="P40" s="429"/>
    </row>
    <row r="41" spans="1:16" ht="15.75" customHeight="1">
      <c r="A41" s="92" t="s">
        <v>185</v>
      </c>
      <c r="B41" s="53">
        <v>45223</v>
      </c>
      <c r="C41" s="21">
        <v>0.45555555555555555</v>
      </c>
      <c r="D41" s="53">
        <v>45223</v>
      </c>
      <c r="E41" s="85">
        <v>0.58472222222222225</v>
      </c>
      <c r="F41" s="86">
        <v>41</v>
      </c>
      <c r="G41" s="12">
        <v>45224</v>
      </c>
      <c r="H41" s="85">
        <v>0.58472222222222225</v>
      </c>
      <c r="I41" s="86">
        <v>41</v>
      </c>
      <c r="J41" s="87">
        <v>0</v>
      </c>
      <c r="K41" s="87">
        <v>0</v>
      </c>
      <c r="L41" s="15" t="s">
        <v>142</v>
      </c>
      <c r="M41" s="88" t="str">
        <f t="shared" si="0"/>
        <v>&lt; 10</v>
      </c>
      <c r="N41" s="15" t="s">
        <v>21</v>
      </c>
      <c r="O41" s="15" t="s">
        <v>178</v>
      </c>
      <c r="P41" s="427"/>
    </row>
    <row r="42" spans="1:16" ht="15.75" customHeight="1">
      <c r="A42" s="52" t="s">
        <v>186</v>
      </c>
      <c r="B42" s="53">
        <v>45223</v>
      </c>
      <c r="C42" s="21">
        <v>0.50138888888888888</v>
      </c>
      <c r="D42" s="53">
        <v>45223</v>
      </c>
      <c r="E42" s="85">
        <v>0.58680555555555558</v>
      </c>
      <c r="F42" s="86">
        <v>41</v>
      </c>
      <c r="G42" s="12">
        <v>45224</v>
      </c>
      <c r="H42" s="85">
        <v>0.58680555555555558</v>
      </c>
      <c r="I42" s="86">
        <v>41</v>
      </c>
      <c r="J42" s="87">
        <v>0</v>
      </c>
      <c r="K42" s="87">
        <v>0</v>
      </c>
      <c r="L42" s="15" t="s">
        <v>142</v>
      </c>
      <c r="M42" s="88" t="str">
        <f t="shared" si="0"/>
        <v>&lt; 10</v>
      </c>
      <c r="N42" s="15" t="s">
        <v>21</v>
      </c>
      <c r="O42" s="15" t="s">
        <v>178</v>
      </c>
      <c r="P42" s="426"/>
    </row>
    <row r="43" spans="1:16" ht="15.75" customHeight="1">
      <c r="A43" s="44" t="s">
        <v>187</v>
      </c>
      <c r="B43" s="12">
        <v>45224</v>
      </c>
      <c r="C43" s="21">
        <v>0.34166666666666667</v>
      </c>
      <c r="D43" s="12">
        <v>45224</v>
      </c>
      <c r="E43" s="85">
        <v>0.56527777777777777</v>
      </c>
      <c r="F43" s="86">
        <v>41</v>
      </c>
      <c r="G43" s="12">
        <v>45225</v>
      </c>
      <c r="H43" s="85">
        <v>0.56527777777777777</v>
      </c>
      <c r="I43" s="86">
        <v>41</v>
      </c>
      <c r="J43" s="87">
        <v>1</v>
      </c>
      <c r="K43" s="87">
        <v>0</v>
      </c>
      <c r="L43" s="11">
        <v>1</v>
      </c>
      <c r="M43" s="88">
        <f t="shared" si="0"/>
        <v>10</v>
      </c>
      <c r="N43" s="15" t="s">
        <v>21</v>
      </c>
      <c r="O43" s="15" t="s">
        <v>178</v>
      </c>
      <c r="P43" s="429"/>
    </row>
    <row r="44" spans="1:16" ht="15.75" customHeight="1">
      <c r="A44" s="44" t="s">
        <v>188</v>
      </c>
      <c r="B44" s="12">
        <v>45224</v>
      </c>
      <c r="C44" s="21">
        <v>0.36319444444444443</v>
      </c>
      <c r="D44" s="12">
        <v>45224</v>
      </c>
      <c r="E44" s="85">
        <v>0.56041666666666667</v>
      </c>
      <c r="F44" s="86">
        <v>41</v>
      </c>
      <c r="G44" s="12">
        <v>45225</v>
      </c>
      <c r="H44" s="85">
        <v>0.56041666666666667</v>
      </c>
      <c r="I44" s="86">
        <v>41</v>
      </c>
      <c r="J44" s="87">
        <v>0</v>
      </c>
      <c r="K44" s="87">
        <v>0</v>
      </c>
      <c r="L44" s="15" t="s">
        <v>142</v>
      </c>
      <c r="M44" s="88" t="str">
        <f t="shared" si="0"/>
        <v>&lt; 10</v>
      </c>
      <c r="N44" s="15" t="s">
        <v>21</v>
      </c>
      <c r="O44" s="15" t="s">
        <v>178</v>
      </c>
      <c r="P44" s="429"/>
    </row>
    <row r="45" spans="1:16" ht="15.75" customHeight="1">
      <c r="A45" s="44" t="s">
        <v>189</v>
      </c>
      <c r="B45" s="12">
        <v>45224</v>
      </c>
      <c r="C45" s="21">
        <v>0.39444444444444443</v>
      </c>
      <c r="D45" s="12">
        <v>45224</v>
      </c>
      <c r="E45" s="85">
        <v>0.56874999999999998</v>
      </c>
      <c r="F45" s="86">
        <v>41</v>
      </c>
      <c r="G45" s="12">
        <v>45225</v>
      </c>
      <c r="H45" s="85">
        <v>0.56874999999999998</v>
      </c>
      <c r="I45" s="86">
        <v>41</v>
      </c>
      <c r="J45" s="87">
        <v>1</v>
      </c>
      <c r="K45" s="87">
        <v>0</v>
      </c>
      <c r="L45" s="11">
        <v>1</v>
      </c>
      <c r="M45" s="88">
        <f t="shared" si="0"/>
        <v>10</v>
      </c>
      <c r="N45" s="15" t="s">
        <v>21</v>
      </c>
      <c r="O45" s="15" t="s">
        <v>178</v>
      </c>
      <c r="P45" s="427"/>
    </row>
    <row r="46" spans="1:16" ht="15.75" customHeight="1">
      <c r="A46" s="44" t="s">
        <v>190</v>
      </c>
      <c r="B46" s="12">
        <v>45224</v>
      </c>
      <c r="C46" s="21">
        <v>0.42569444444444443</v>
      </c>
      <c r="D46" s="12">
        <v>45224</v>
      </c>
      <c r="E46" s="21">
        <v>0.57013888888888886</v>
      </c>
      <c r="F46" s="86">
        <v>41</v>
      </c>
      <c r="G46" s="12">
        <v>45225</v>
      </c>
      <c r="H46" s="21">
        <v>0.57013888888888886</v>
      </c>
      <c r="I46" s="86">
        <v>41</v>
      </c>
      <c r="J46" s="87">
        <v>0</v>
      </c>
      <c r="K46" s="87">
        <v>0</v>
      </c>
      <c r="L46" s="15" t="s">
        <v>142</v>
      </c>
      <c r="M46" s="88" t="str">
        <f t="shared" si="0"/>
        <v>&lt; 10</v>
      </c>
      <c r="N46" s="15" t="s">
        <v>21</v>
      </c>
      <c r="O46" s="15" t="s">
        <v>178</v>
      </c>
      <c r="P46" s="426"/>
    </row>
    <row r="47" spans="1:16" ht="15.75" customHeight="1">
      <c r="A47" s="44"/>
      <c r="B47" s="12"/>
      <c r="C47" s="21"/>
      <c r="D47" s="12"/>
      <c r="E47" s="21"/>
      <c r="F47" s="86"/>
      <c r="G47" s="12"/>
      <c r="H47" s="21"/>
      <c r="I47" s="86"/>
      <c r="J47" s="87"/>
      <c r="K47" s="87"/>
      <c r="L47" s="15"/>
      <c r="M47" s="88"/>
      <c r="N47" s="15"/>
      <c r="O47" s="15"/>
      <c r="P47" s="429"/>
    </row>
    <row r="48" spans="1:16" ht="15.75" customHeight="1">
      <c r="A48" s="44"/>
      <c r="B48" s="12"/>
      <c r="C48" s="21"/>
      <c r="D48" s="12"/>
      <c r="E48" s="21"/>
      <c r="F48" s="86"/>
      <c r="G48" s="12"/>
      <c r="H48" s="21"/>
      <c r="I48" s="86"/>
      <c r="J48" s="87"/>
      <c r="K48" s="87"/>
      <c r="L48" s="15"/>
      <c r="M48" s="88"/>
      <c r="N48" s="15"/>
      <c r="O48" s="15"/>
      <c r="P48" s="429"/>
    </row>
    <row r="49" spans="1:16" ht="15.75" customHeight="1">
      <c r="A49" s="44"/>
      <c r="B49" s="12"/>
      <c r="C49" s="21"/>
      <c r="D49" s="12"/>
      <c r="E49" s="21"/>
      <c r="F49" s="86"/>
      <c r="G49" s="12"/>
      <c r="H49" s="21"/>
      <c r="I49" s="86"/>
      <c r="J49" s="87"/>
      <c r="K49" s="87"/>
      <c r="L49" s="15"/>
      <c r="M49" s="88"/>
      <c r="N49" s="15"/>
      <c r="O49" s="15"/>
      <c r="P49" s="427"/>
    </row>
    <row r="50" spans="1:16" ht="15.75" customHeight="1">
      <c r="A50" s="44"/>
      <c r="B50" s="12"/>
      <c r="C50" s="21"/>
      <c r="D50" s="12"/>
      <c r="E50" s="21"/>
      <c r="F50" s="86"/>
      <c r="G50" s="12"/>
      <c r="H50" s="21"/>
      <c r="I50" s="86"/>
      <c r="J50" s="87"/>
      <c r="K50" s="87"/>
      <c r="L50" s="15"/>
      <c r="M50" s="88"/>
      <c r="N50" s="15"/>
      <c r="O50" s="15"/>
      <c r="P50" s="426"/>
    </row>
    <row r="51" spans="1:16" ht="15.75" customHeight="1">
      <c r="A51" s="44"/>
      <c r="B51" s="12"/>
      <c r="C51" s="21"/>
      <c r="D51" s="12"/>
      <c r="E51" s="21"/>
      <c r="F51" s="86"/>
      <c r="G51" s="12"/>
      <c r="H51" s="21"/>
      <c r="I51" s="86"/>
      <c r="J51" s="87"/>
      <c r="K51" s="87"/>
      <c r="L51" s="15"/>
      <c r="M51" s="88"/>
      <c r="N51" s="15"/>
      <c r="O51" s="15"/>
      <c r="P51" s="429"/>
    </row>
    <row r="52" spans="1:16" ht="15.75" customHeight="1">
      <c r="A52" s="44"/>
      <c r="B52" s="12"/>
      <c r="C52" s="21"/>
      <c r="D52" s="12"/>
      <c r="E52" s="21"/>
      <c r="F52" s="86"/>
      <c r="G52" s="12"/>
      <c r="H52" s="21"/>
      <c r="I52" s="86"/>
      <c r="J52" s="87"/>
      <c r="K52" s="87"/>
      <c r="L52" s="15"/>
      <c r="M52" s="88"/>
      <c r="N52" s="15"/>
      <c r="O52" s="15"/>
      <c r="P52" s="427"/>
    </row>
    <row r="53" spans="1:16" ht="15.75" customHeight="1">
      <c r="A53" s="44"/>
      <c r="B53" s="12"/>
      <c r="C53" s="21"/>
      <c r="D53" s="12"/>
      <c r="E53" s="21"/>
      <c r="F53" s="86"/>
      <c r="G53" s="12"/>
      <c r="H53" s="21"/>
      <c r="I53" s="86"/>
      <c r="J53" s="87"/>
      <c r="K53" s="87"/>
      <c r="L53" s="15"/>
      <c r="M53" s="88"/>
      <c r="N53" s="15"/>
      <c r="O53" s="15"/>
      <c r="P53" s="426"/>
    </row>
    <row r="54" spans="1:16" ht="15.75" customHeight="1">
      <c r="A54" s="44"/>
      <c r="B54" s="12"/>
      <c r="C54" s="21"/>
      <c r="D54" s="12"/>
      <c r="E54" s="21"/>
      <c r="F54" s="86"/>
      <c r="G54" s="12"/>
      <c r="H54" s="21"/>
      <c r="I54" s="86"/>
      <c r="J54" s="87"/>
      <c r="K54" s="87"/>
      <c r="L54" s="15"/>
      <c r="M54" s="88"/>
      <c r="N54" s="15"/>
      <c r="O54" s="15"/>
      <c r="P54" s="427"/>
    </row>
    <row r="55" spans="1:16" ht="15.75" customHeight="1">
      <c r="A55" s="44"/>
      <c r="B55" s="12"/>
      <c r="C55" s="21"/>
      <c r="D55" s="12"/>
      <c r="E55" s="21"/>
      <c r="F55" s="86"/>
      <c r="G55" s="12"/>
      <c r="H55" s="21"/>
      <c r="I55" s="86"/>
      <c r="J55" s="87"/>
      <c r="K55" s="87"/>
      <c r="L55" s="15"/>
      <c r="M55" s="88"/>
      <c r="N55" s="15"/>
      <c r="O55" s="15"/>
      <c r="P55" s="426"/>
    </row>
    <row r="56" spans="1:16" ht="15.75" customHeight="1">
      <c r="A56" s="44"/>
      <c r="B56" s="12"/>
      <c r="C56" s="21"/>
      <c r="D56" s="12"/>
      <c r="E56" s="21"/>
      <c r="F56" s="86"/>
      <c r="G56" s="12"/>
      <c r="H56" s="21"/>
      <c r="I56" s="86"/>
      <c r="J56" s="87"/>
      <c r="K56" s="87"/>
      <c r="L56" s="15"/>
      <c r="M56" s="88"/>
      <c r="N56" s="15"/>
      <c r="O56" s="15"/>
      <c r="P56" s="427"/>
    </row>
    <row r="57" spans="1:16" ht="15.75" customHeight="1">
      <c r="A57" s="94"/>
      <c r="B57" s="72"/>
      <c r="C57" s="74"/>
      <c r="D57" s="72"/>
      <c r="E57" s="95"/>
      <c r="F57" s="74"/>
      <c r="G57" s="72"/>
      <c r="H57" s="95"/>
      <c r="I57" s="74"/>
      <c r="J57" s="74"/>
      <c r="K57" s="74"/>
      <c r="L57" s="74"/>
      <c r="M57" s="96"/>
      <c r="N57" s="74"/>
      <c r="O57" s="74"/>
      <c r="P57" s="74"/>
    </row>
    <row r="58" spans="1:16" ht="15.75" customHeight="1">
      <c r="A58" s="94"/>
      <c r="B58" s="72"/>
      <c r="C58" s="74"/>
      <c r="D58" s="72"/>
      <c r="E58" s="95"/>
      <c r="F58" s="74"/>
      <c r="G58" s="72"/>
      <c r="H58" s="95"/>
      <c r="I58" s="74"/>
      <c r="J58" s="74"/>
      <c r="K58" s="74"/>
      <c r="L58" s="74"/>
      <c r="M58" s="96"/>
      <c r="N58" s="74"/>
      <c r="O58" s="74"/>
      <c r="P58" s="74"/>
    </row>
    <row r="59" spans="1:16" ht="15.75" customHeight="1">
      <c r="A59" s="94"/>
      <c r="B59" s="72"/>
      <c r="C59" s="74"/>
      <c r="D59" s="72"/>
      <c r="E59" s="95"/>
      <c r="F59" s="74"/>
      <c r="G59" s="72"/>
      <c r="H59" s="95"/>
      <c r="I59" s="74"/>
      <c r="J59" s="74"/>
      <c r="K59" s="74"/>
      <c r="L59" s="74"/>
      <c r="M59" s="96"/>
      <c r="N59" s="74"/>
      <c r="O59" s="74"/>
      <c r="P59" s="74"/>
    </row>
    <row r="60" spans="1:16" ht="15.75" customHeight="1">
      <c r="A60" s="94"/>
      <c r="B60" s="72"/>
      <c r="C60" s="74"/>
      <c r="D60" s="72"/>
      <c r="E60" s="95"/>
      <c r="F60" s="74"/>
      <c r="G60" s="72"/>
      <c r="H60" s="95"/>
      <c r="I60" s="74"/>
      <c r="J60" s="74"/>
      <c r="K60" s="74"/>
      <c r="L60" s="74"/>
      <c r="M60" s="96"/>
      <c r="N60" s="74"/>
      <c r="O60" s="74"/>
      <c r="P60" s="74"/>
    </row>
    <row r="61" spans="1:16" ht="15.75" customHeight="1">
      <c r="A61" s="94"/>
      <c r="B61" s="72"/>
      <c r="C61" s="74"/>
      <c r="D61" s="72"/>
      <c r="E61" s="95"/>
      <c r="F61" s="74"/>
      <c r="G61" s="72"/>
      <c r="H61" s="95"/>
      <c r="I61" s="74"/>
      <c r="J61" s="74"/>
      <c r="K61" s="74"/>
      <c r="L61" s="74"/>
      <c r="M61" s="96"/>
      <c r="N61" s="74"/>
      <c r="O61" s="74"/>
      <c r="P61" s="74"/>
    </row>
    <row r="62" spans="1:16" ht="15.75" customHeight="1">
      <c r="A62" s="94"/>
      <c r="B62" s="72"/>
      <c r="C62" s="74"/>
      <c r="D62" s="72"/>
      <c r="E62" s="95"/>
      <c r="F62" s="74"/>
      <c r="G62" s="72"/>
      <c r="H62" s="95"/>
      <c r="I62" s="74"/>
      <c r="J62" s="74"/>
      <c r="K62" s="74"/>
      <c r="L62" s="74"/>
      <c r="M62" s="96"/>
      <c r="N62" s="74"/>
      <c r="O62" s="74"/>
      <c r="P62" s="74"/>
    </row>
    <row r="63" spans="1:16" ht="15.75" customHeight="1">
      <c r="A63" s="94"/>
      <c r="B63" s="72"/>
      <c r="C63" s="74"/>
      <c r="D63" s="72"/>
      <c r="E63" s="95"/>
      <c r="F63" s="74"/>
      <c r="G63" s="72"/>
      <c r="H63" s="95"/>
      <c r="I63" s="74"/>
      <c r="J63" s="74"/>
      <c r="K63" s="74"/>
      <c r="L63" s="74"/>
      <c r="M63" s="96"/>
      <c r="N63" s="74"/>
      <c r="O63" s="74"/>
      <c r="P63" s="74"/>
    </row>
    <row r="64" spans="1:16" ht="15.75" customHeight="1">
      <c r="A64" s="94"/>
      <c r="B64" s="72"/>
      <c r="C64" s="74"/>
      <c r="D64" s="72"/>
      <c r="E64" s="95"/>
      <c r="F64" s="74"/>
      <c r="G64" s="72"/>
      <c r="H64" s="95"/>
      <c r="I64" s="74"/>
      <c r="J64" s="74"/>
      <c r="K64" s="74"/>
      <c r="L64" s="74"/>
      <c r="M64" s="96"/>
      <c r="N64" s="74"/>
      <c r="O64" s="74"/>
      <c r="P64" s="74"/>
    </row>
    <row r="65" spans="1:16" ht="15.75" customHeight="1">
      <c r="A65" s="94"/>
      <c r="B65" s="72"/>
      <c r="C65" s="74"/>
      <c r="D65" s="72"/>
      <c r="E65" s="95"/>
      <c r="F65" s="74"/>
      <c r="G65" s="72"/>
      <c r="H65" s="95"/>
      <c r="I65" s="74"/>
      <c r="J65" s="74"/>
      <c r="K65" s="74"/>
      <c r="L65" s="74"/>
      <c r="M65" s="96"/>
      <c r="N65" s="74"/>
      <c r="O65" s="74"/>
      <c r="P65" s="74"/>
    </row>
    <row r="66" spans="1:16" ht="15.75" customHeight="1">
      <c r="A66" s="94"/>
      <c r="B66" s="72"/>
      <c r="C66" s="74"/>
      <c r="D66" s="72"/>
      <c r="E66" s="95"/>
      <c r="F66" s="74"/>
      <c r="G66" s="72"/>
      <c r="H66" s="95"/>
      <c r="I66" s="74"/>
      <c r="J66" s="74"/>
      <c r="K66" s="74"/>
      <c r="L66" s="74"/>
      <c r="M66" s="96"/>
      <c r="N66" s="74"/>
      <c r="O66" s="74"/>
      <c r="P66" s="74"/>
    </row>
    <row r="67" spans="1:16" ht="15.75" customHeight="1">
      <c r="A67" s="94"/>
      <c r="B67" s="72"/>
      <c r="C67" s="74"/>
      <c r="D67" s="72"/>
      <c r="E67" s="95"/>
      <c r="F67" s="74"/>
      <c r="G67" s="72"/>
      <c r="H67" s="95"/>
      <c r="I67" s="74"/>
      <c r="J67" s="74"/>
      <c r="K67" s="74"/>
      <c r="L67" s="74"/>
      <c r="M67" s="96"/>
      <c r="N67" s="74"/>
      <c r="O67" s="74"/>
      <c r="P67" s="74"/>
    </row>
    <row r="68" spans="1:16" ht="15.75" customHeight="1">
      <c r="A68" s="94"/>
      <c r="B68" s="72"/>
      <c r="C68" s="74"/>
      <c r="D68" s="72"/>
      <c r="E68" s="95"/>
      <c r="F68" s="74"/>
      <c r="G68" s="72"/>
      <c r="H68" s="95"/>
      <c r="I68" s="74"/>
      <c r="J68" s="74"/>
      <c r="K68" s="74"/>
      <c r="L68" s="74"/>
      <c r="M68" s="96"/>
      <c r="N68" s="74"/>
      <c r="O68" s="74"/>
      <c r="P68" s="74"/>
    </row>
    <row r="69" spans="1:16" ht="15.75" customHeight="1">
      <c r="A69" s="94"/>
      <c r="B69" s="72"/>
      <c r="C69" s="74"/>
      <c r="D69" s="72"/>
      <c r="E69" s="95"/>
      <c r="F69" s="74"/>
      <c r="G69" s="72"/>
      <c r="H69" s="95"/>
      <c r="I69" s="74"/>
      <c r="J69" s="74"/>
      <c r="K69" s="74"/>
      <c r="L69" s="74"/>
      <c r="M69" s="96"/>
      <c r="N69" s="74"/>
      <c r="O69" s="74"/>
      <c r="P69" s="74"/>
    </row>
    <row r="70" spans="1:16" ht="15.75" customHeight="1">
      <c r="A70" s="94"/>
      <c r="B70" s="72"/>
      <c r="C70" s="74"/>
      <c r="D70" s="72"/>
      <c r="E70" s="95"/>
      <c r="F70" s="74"/>
      <c r="G70" s="72"/>
      <c r="H70" s="95"/>
      <c r="I70" s="74"/>
      <c r="J70" s="74"/>
      <c r="K70" s="74"/>
      <c r="L70" s="74"/>
      <c r="M70" s="96"/>
      <c r="N70" s="74"/>
      <c r="O70" s="74"/>
      <c r="P70" s="74"/>
    </row>
    <row r="71" spans="1:16" ht="15.75" customHeight="1">
      <c r="A71" s="94"/>
      <c r="B71" s="72"/>
      <c r="C71" s="74"/>
      <c r="D71" s="72"/>
      <c r="E71" s="95"/>
      <c r="F71" s="74"/>
      <c r="G71" s="72"/>
      <c r="H71" s="95"/>
      <c r="I71" s="74"/>
      <c r="J71" s="74"/>
      <c r="K71" s="74"/>
      <c r="L71" s="74"/>
      <c r="M71" s="96"/>
      <c r="N71" s="74"/>
      <c r="O71" s="74"/>
      <c r="P71" s="74"/>
    </row>
    <row r="72" spans="1:16" ht="15.75" customHeight="1">
      <c r="A72" s="94"/>
      <c r="B72" s="72"/>
      <c r="C72" s="74"/>
      <c r="D72" s="72"/>
      <c r="E72" s="95"/>
      <c r="F72" s="74"/>
      <c r="G72" s="72"/>
      <c r="H72" s="95"/>
      <c r="I72" s="74"/>
      <c r="J72" s="74"/>
      <c r="K72" s="74"/>
      <c r="L72" s="74"/>
      <c r="M72" s="96"/>
      <c r="N72" s="74"/>
      <c r="O72" s="74"/>
      <c r="P72" s="74"/>
    </row>
    <row r="73" spans="1:16" ht="15.75" customHeight="1">
      <c r="A73" s="94"/>
      <c r="B73" s="72"/>
      <c r="C73" s="74"/>
      <c r="D73" s="72"/>
      <c r="E73" s="95"/>
      <c r="F73" s="74"/>
      <c r="G73" s="72"/>
      <c r="H73" s="95"/>
      <c r="I73" s="74"/>
      <c r="J73" s="74"/>
      <c r="K73" s="74"/>
      <c r="L73" s="74"/>
      <c r="M73" s="96"/>
      <c r="N73" s="74"/>
      <c r="O73" s="74"/>
      <c r="P73" s="74"/>
    </row>
    <row r="74" spans="1:16" ht="15.75" customHeight="1">
      <c r="A74" s="94"/>
      <c r="B74" s="72"/>
      <c r="C74" s="74"/>
      <c r="D74" s="72"/>
      <c r="E74" s="95"/>
      <c r="F74" s="74"/>
      <c r="G74" s="72"/>
      <c r="H74" s="95"/>
      <c r="I74" s="74"/>
      <c r="J74" s="74"/>
      <c r="K74" s="74"/>
      <c r="L74" s="74"/>
      <c r="M74" s="96"/>
      <c r="N74" s="74"/>
      <c r="O74" s="74"/>
      <c r="P74" s="74"/>
    </row>
    <row r="75" spans="1:16" ht="15.75" customHeight="1">
      <c r="A75" s="94"/>
      <c r="B75" s="72"/>
      <c r="C75" s="74"/>
      <c r="D75" s="72"/>
      <c r="E75" s="95"/>
      <c r="F75" s="74"/>
      <c r="G75" s="72"/>
      <c r="H75" s="95"/>
      <c r="I75" s="74"/>
      <c r="J75" s="74"/>
      <c r="K75" s="74"/>
      <c r="L75" s="74"/>
      <c r="M75" s="96"/>
      <c r="N75" s="74"/>
      <c r="O75" s="74"/>
      <c r="P75" s="74"/>
    </row>
    <row r="76" spans="1:16" ht="15.75" customHeight="1">
      <c r="A76" s="94"/>
      <c r="B76" s="72"/>
      <c r="C76" s="74"/>
      <c r="D76" s="72"/>
      <c r="E76" s="95"/>
      <c r="F76" s="74"/>
      <c r="G76" s="72"/>
      <c r="H76" s="95"/>
      <c r="I76" s="74"/>
      <c r="J76" s="74"/>
      <c r="K76" s="74"/>
      <c r="L76" s="74"/>
      <c r="M76" s="96"/>
      <c r="N76" s="74"/>
      <c r="O76" s="74"/>
      <c r="P76" s="74"/>
    </row>
    <row r="77" spans="1:16" ht="15.75" customHeight="1">
      <c r="A77" s="94"/>
      <c r="B77" s="72"/>
      <c r="C77" s="74"/>
      <c r="D77" s="72"/>
      <c r="E77" s="95"/>
      <c r="F77" s="74"/>
      <c r="G77" s="72"/>
      <c r="H77" s="95"/>
      <c r="I77" s="74"/>
      <c r="J77" s="74"/>
      <c r="K77" s="74"/>
      <c r="L77" s="74"/>
      <c r="M77" s="96"/>
      <c r="N77" s="74"/>
      <c r="O77" s="74"/>
      <c r="P77" s="74"/>
    </row>
    <row r="78" spans="1:16" ht="15.75" customHeight="1">
      <c r="A78" s="94"/>
      <c r="B78" s="72"/>
      <c r="C78" s="74"/>
      <c r="D78" s="72"/>
      <c r="E78" s="95"/>
      <c r="F78" s="74"/>
      <c r="G78" s="72"/>
      <c r="H78" s="95"/>
      <c r="I78" s="74"/>
      <c r="J78" s="74"/>
      <c r="K78" s="74"/>
      <c r="L78" s="74"/>
      <c r="M78" s="96"/>
      <c r="N78" s="74"/>
      <c r="O78" s="74"/>
      <c r="P78" s="74"/>
    </row>
    <row r="79" spans="1:16" ht="15.75" customHeight="1">
      <c r="A79" s="94"/>
      <c r="B79" s="72"/>
      <c r="C79" s="74"/>
      <c r="D79" s="72"/>
      <c r="E79" s="95"/>
      <c r="F79" s="74"/>
      <c r="G79" s="72"/>
      <c r="H79" s="95"/>
      <c r="I79" s="74"/>
      <c r="J79" s="74"/>
      <c r="K79" s="74"/>
      <c r="L79" s="74"/>
      <c r="M79" s="96"/>
      <c r="N79" s="74"/>
      <c r="O79" s="74"/>
      <c r="P79" s="74"/>
    </row>
    <row r="80" spans="1:16" ht="15.75" customHeight="1">
      <c r="A80" s="94"/>
      <c r="B80" s="72"/>
      <c r="C80" s="74"/>
      <c r="D80" s="72"/>
      <c r="E80" s="95"/>
      <c r="F80" s="74"/>
      <c r="G80" s="72"/>
      <c r="H80" s="95"/>
      <c r="I80" s="74"/>
      <c r="J80" s="74"/>
      <c r="K80" s="74"/>
      <c r="L80" s="74"/>
      <c r="M80" s="96"/>
      <c r="N80" s="74"/>
      <c r="O80" s="74"/>
      <c r="P80" s="74"/>
    </row>
    <row r="81" spans="1:16" ht="15.75" customHeight="1">
      <c r="A81" s="94"/>
      <c r="B81" s="72"/>
      <c r="C81" s="74"/>
      <c r="D81" s="72"/>
      <c r="E81" s="95"/>
      <c r="F81" s="74"/>
      <c r="G81" s="72"/>
      <c r="H81" s="95"/>
      <c r="I81" s="74"/>
      <c r="J81" s="74"/>
      <c r="K81" s="74"/>
      <c r="L81" s="74"/>
      <c r="M81" s="96"/>
      <c r="N81" s="74"/>
      <c r="O81" s="74"/>
      <c r="P81" s="74"/>
    </row>
    <row r="82" spans="1:16" ht="15.75" customHeight="1">
      <c r="A82" s="94"/>
      <c r="B82" s="72"/>
      <c r="C82" s="74"/>
      <c r="D82" s="72"/>
      <c r="E82" s="95"/>
      <c r="F82" s="74"/>
      <c r="G82" s="72"/>
      <c r="H82" s="95"/>
      <c r="I82" s="74"/>
      <c r="J82" s="74"/>
      <c r="K82" s="74"/>
      <c r="L82" s="74"/>
      <c r="M82" s="96"/>
      <c r="N82" s="74"/>
      <c r="O82" s="74"/>
      <c r="P82" s="74"/>
    </row>
    <row r="83" spans="1:16" ht="15.75" customHeight="1">
      <c r="A83" s="94"/>
      <c r="B83" s="72"/>
      <c r="C83" s="74"/>
      <c r="D83" s="72"/>
      <c r="E83" s="95"/>
      <c r="F83" s="74"/>
      <c r="G83" s="72"/>
      <c r="H83" s="95"/>
      <c r="I83" s="74"/>
      <c r="J83" s="74"/>
      <c r="K83" s="74"/>
      <c r="L83" s="74"/>
      <c r="M83" s="96"/>
      <c r="N83" s="74"/>
      <c r="O83" s="74"/>
      <c r="P83" s="74"/>
    </row>
    <row r="84" spans="1:16" ht="15.75" customHeight="1">
      <c r="A84" s="94"/>
      <c r="B84" s="72"/>
      <c r="C84" s="74"/>
      <c r="D84" s="72"/>
      <c r="E84" s="95"/>
      <c r="F84" s="74"/>
      <c r="G84" s="72"/>
      <c r="H84" s="95"/>
      <c r="I84" s="74"/>
      <c r="J84" s="74"/>
      <c r="K84" s="74"/>
      <c r="L84" s="74"/>
      <c r="M84" s="96"/>
      <c r="N84" s="74"/>
      <c r="O84" s="74"/>
      <c r="P84" s="74"/>
    </row>
    <row r="85" spans="1:16" ht="15.75" customHeight="1">
      <c r="A85" s="94"/>
      <c r="B85" s="72"/>
      <c r="C85" s="74"/>
      <c r="D85" s="72"/>
      <c r="E85" s="95"/>
      <c r="F85" s="74"/>
      <c r="G85" s="72"/>
      <c r="H85" s="95"/>
      <c r="I85" s="74"/>
      <c r="J85" s="74"/>
      <c r="K85" s="74"/>
      <c r="L85" s="74"/>
      <c r="M85" s="96"/>
      <c r="N85" s="74"/>
      <c r="O85" s="74"/>
      <c r="P85" s="74"/>
    </row>
    <row r="86" spans="1:16" ht="15.75" customHeight="1">
      <c r="A86" s="94"/>
      <c r="B86" s="72"/>
      <c r="C86" s="74"/>
      <c r="D86" s="72"/>
      <c r="E86" s="95"/>
      <c r="F86" s="74"/>
      <c r="G86" s="72"/>
      <c r="H86" s="95"/>
      <c r="I86" s="74"/>
      <c r="J86" s="74"/>
      <c r="K86" s="74"/>
      <c r="L86" s="74"/>
      <c r="M86" s="96"/>
      <c r="N86" s="74"/>
      <c r="O86" s="74"/>
      <c r="P86" s="74"/>
    </row>
    <row r="87" spans="1:16" ht="15.75" customHeight="1">
      <c r="A87" s="94"/>
      <c r="B87" s="72"/>
      <c r="C87" s="74"/>
      <c r="D87" s="72"/>
      <c r="E87" s="95"/>
      <c r="F87" s="74"/>
      <c r="G87" s="72"/>
      <c r="H87" s="95"/>
      <c r="I87" s="74"/>
      <c r="J87" s="74"/>
      <c r="K87" s="74"/>
      <c r="L87" s="74"/>
      <c r="M87" s="96"/>
      <c r="N87" s="74"/>
      <c r="O87" s="74"/>
      <c r="P87" s="74"/>
    </row>
    <row r="88" spans="1:16" ht="15.75" customHeight="1">
      <c r="A88" s="94"/>
      <c r="B88" s="72"/>
      <c r="C88" s="74"/>
      <c r="D88" s="72"/>
      <c r="E88" s="95"/>
      <c r="F88" s="74"/>
      <c r="G88" s="72"/>
      <c r="H88" s="95"/>
      <c r="I88" s="74"/>
      <c r="J88" s="74"/>
      <c r="K88" s="74"/>
      <c r="L88" s="74"/>
      <c r="M88" s="96"/>
      <c r="N88" s="74"/>
      <c r="O88" s="74"/>
      <c r="P88" s="74"/>
    </row>
    <row r="89" spans="1:16" ht="15.75" customHeight="1">
      <c r="A89" s="94"/>
      <c r="B89" s="72"/>
      <c r="C89" s="74"/>
      <c r="D89" s="72"/>
      <c r="E89" s="95"/>
      <c r="F89" s="74"/>
      <c r="G89" s="72"/>
      <c r="H89" s="95"/>
      <c r="I89" s="74"/>
      <c r="J89" s="74"/>
      <c r="K89" s="74"/>
      <c r="L89" s="74"/>
      <c r="M89" s="96"/>
      <c r="N89" s="74"/>
      <c r="O89" s="74"/>
      <c r="P89" s="74"/>
    </row>
    <row r="90" spans="1:16" ht="15.75" customHeight="1">
      <c r="A90" s="94"/>
      <c r="B90" s="72"/>
      <c r="C90" s="74"/>
      <c r="D90" s="72"/>
      <c r="E90" s="95"/>
      <c r="F90" s="74"/>
      <c r="G90" s="72"/>
      <c r="H90" s="95"/>
      <c r="I90" s="74"/>
      <c r="J90" s="74"/>
      <c r="K90" s="74"/>
      <c r="L90" s="74"/>
      <c r="M90" s="96"/>
      <c r="N90" s="74"/>
      <c r="O90" s="74"/>
      <c r="P90" s="74"/>
    </row>
    <row r="91" spans="1:16" ht="15.75" customHeight="1">
      <c r="A91" s="94"/>
      <c r="B91" s="72"/>
      <c r="C91" s="74"/>
      <c r="D91" s="72"/>
      <c r="E91" s="95"/>
      <c r="F91" s="74"/>
      <c r="G91" s="72"/>
      <c r="H91" s="95"/>
      <c r="I91" s="74"/>
      <c r="J91" s="74"/>
      <c r="K91" s="74"/>
      <c r="L91" s="74"/>
      <c r="M91" s="96"/>
      <c r="N91" s="74"/>
      <c r="O91" s="74"/>
      <c r="P91" s="74"/>
    </row>
    <row r="92" spans="1:16" ht="15.75" customHeight="1">
      <c r="A92" s="94"/>
      <c r="B92" s="72"/>
      <c r="C92" s="74"/>
      <c r="D92" s="72"/>
      <c r="E92" s="95"/>
      <c r="F92" s="74"/>
      <c r="G92" s="72"/>
      <c r="H92" s="95"/>
      <c r="I92" s="74"/>
      <c r="J92" s="74"/>
      <c r="K92" s="74"/>
      <c r="L92" s="74"/>
      <c r="M92" s="96"/>
      <c r="N92" s="74"/>
      <c r="O92" s="74"/>
      <c r="P92" s="74"/>
    </row>
    <row r="93" spans="1:16" ht="15.75" customHeight="1">
      <c r="A93" s="94"/>
      <c r="B93" s="72"/>
      <c r="C93" s="74"/>
      <c r="D93" s="72"/>
      <c r="E93" s="95"/>
      <c r="F93" s="74"/>
      <c r="G93" s="72"/>
      <c r="H93" s="95"/>
      <c r="I93" s="74"/>
      <c r="J93" s="74"/>
      <c r="K93" s="74"/>
      <c r="L93" s="74"/>
      <c r="M93" s="96"/>
      <c r="N93" s="74"/>
      <c r="O93" s="74"/>
      <c r="P93" s="74"/>
    </row>
    <row r="94" spans="1:16" ht="15.75" customHeight="1">
      <c r="A94" s="94"/>
      <c r="B94" s="72"/>
      <c r="C94" s="74"/>
      <c r="D94" s="72"/>
      <c r="E94" s="95"/>
      <c r="F94" s="74"/>
      <c r="G94" s="72"/>
      <c r="H94" s="95"/>
      <c r="I94" s="74"/>
      <c r="J94" s="74"/>
      <c r="K94" s="74"/>
      <c r="L94" s="74"/>
      <c r="M94" s="96"/>
      <c r="N94" s="74"/>
      <c r="O94" s="74"/>
      <c r="P94" s="74"/>
    </row>
    <row r="95" spans="1:16" ht="15.75" customHeight="1">
      <c r="A95" s="94"/>
      <c r="B95" s="72"/>
      <c r="C95" s="74"/>
      <c r="D95" s="72"/>
      <c r="E95" s="95"/>
      <c r="F95" s="74"/>
      <c r="G95" s="72"/>
      <c r="H95" s="95"/>
      <c r="I95" s="74"/>
      <c r="J95" s="74"/>
      <c r="K95" s="74"/>
      <c r="L95" s="74"/>
      <c r="M95" s="96"/>
      <c r="N95" s="74"/>
      <c r="O95" s="74"/>
      <c r="P95" s="74"/>
    </row>
    <row r="96" spans="1:16" ht="15.75" customHeight="1">
      <c r="A96" s="94"/>
      <c r="B96" s="72"/>
      <c r="C96" s="74"/>
      <c r="D96" s="72"/>
      <c r="E96" s="95"/>
      <c r="F96" s="74"/>
      <c r="G96" s="72"/>
      <c r="H96" s="95"/>
      <c r="I96" s="74"/>
      <c r="J96" s="74"/>
      <c r="K96" s="74"/>
      <c r="L96" s="74"/>
      <c r="M96" s="96"/>
      <c r="N96" s="74"/>
      <c r="O96" s="74"/>
      <c r="P96" s="74"/>
    </row>
    <row r="97" spans="1:16" ht="15.75" customHeight="1">
      <c r="A97" s="94"/>
      <c r="B97" s="72"/>
      <c r="C97" s="74"/>
      <c r="D97" s="72"/>
      <c r="E97" s="95"/>
      <c r="F97" s="74"/>
      <c r="G97" s="72"/>
      <c r="H97" s="95"/>
      <c r="I97" s="74"/>
      <c r="J97" s="74"/>
      <c r="K97" s="74"/>
      <c r="L97" s="74"/>
      <c r="M97" s="96"/>
      <c r="N97" s="74"/>
      <c r="O97" s="74"/>
      <c r="P97" s="74"/>
    </row>
    <row r="98" spans="1:16" ht="15.75" customHeight="1">
      <c r="A98" s="94"/>
      <c r="B98" s="72"/>
      <c r="C98" s="74"/>
      <c r="D98" s="72"/>
      <c r="E98" s="95"/>
      <c r="F98" s="74"/>
      <c r="G98" s="72"/>
      <c r="H98" s="95"/>
      <c r="I98" s="74"/>
      <c r="J98" s="74"/>
      <c r="K98" s="74"/>
      <c r="L98" s="74"/>
      <c r="M98" s="96"/>
      <c r="N98" s="74"/>
      <c r="O98" s="74"/>
      <c r="P98" s="74"/>
    </row>
    <row r="99" spans="1:16" ht="15.75" customHeight="1">
      <c r="A99" s="94"/>
      <c r="B99" s="72"/>
      <c r="C99" s="74"/>
      <c r="D99" s="72"/>
      <c r="E99" s="95"/>
      <c r="F99" s="74"/>
      <c r="G99" s="72"/>
      <c r="H99" s="95"/>
      <c r="I99" s="74"/>
      <c r="J99" s="74"/>
      <c r="K99" s="74"/>
      <c r="L99" s="74"/>
      <c r="M99" s="96"/>
      <c r="N99" s="74"/>
      <c r="O99" s="74"/>
      <c r="P99" s="74"/>
    </row>
    <row r="100" spans="1:16" ht="15.75" customHeight="1">
      <c r="A100" s="94"/>
      <c r="B100" s="72"/>
      <c r="C100" s="74"/>
      <c r="D100" s="72"/>
      <c r="E100" s="95"/>
      <c r="F100" s="74"/>
      <c r="G100" s="72"/>
      <c r="H100" s="95"/>
      <c r="I100" s="74"/>
      <c r="J100" s="74"/>
      <c r="K100" s="74"/>
      <c r="L100" s="74"/>
      <c r="M100" s="96"/>
      <c r="N100" s="74"/>
      <c r="O100" s="74"/>
      <c r="P100" s="74"/>
    </row>
    <row r="101" spans="1:16" ht="15.75" customHeight="1">
      <c r="A101" s="94"/>
      <c r="B101" s="72"/>
      <c r="C101" s="74"/>
      <c r="D101" s="72"/>
      <c r="E101" s="95"/>
      <c r="F101" s="74"/>
      <c r="G101" s="72"/>
      <c r="H101" s="95"/>
      <c r="I101" s="74"/>
      <c r="J101" s="74"/>
      <c r="K101" s="74"/>
      <c r="L101" s="74"/>
      <c r="M101" s="96"/>
      <c r="N101" s="74"/>
      <c r="O101" s="74"/>
      <c r="P101" s="74"/>
    </row>
    <row r="102" spans="1:16" ht="15.75" customHeight="1">
      <c r="A102" s="94"/>
      <c r="B102" s="72"/>
      <c r="C102" s="74"/>
      <c r="D102" s="72"/>
      <c r="E102" s="95"/>
      <c r="F102" s="74"/>
      <c r="G102" s="72"/>
      <c r="H102" s="95"/>
      <c r="I102" s="74"/>
      <c r="J102" s="74"/>
      <c r="K102" s="74"/>
      <c r="L102" s="74"/>
      <c r="M102" s="96"/>
      <c r="N102" s="74"/>
      <c r="O102" s="74"/>
      <c r="P102" s="74"/>
    </row>
    <row r="103" spans="1:16" ht="15.75" customHeight="1">
      <c r="A103" s="94"/>
      <c r="B103" s="72"/>
      <c r="C103" s="74"/>
      <c r="D103" s="72"/>
      <c r="E103" s="95"/>
      <c r="F103" s="74"/>
      <c r="G103" s="72"/>
      <c r="H103" s="95"/>
      <c r="I103" s="74"/>
      <c r="J103" s="74"/>
      <c r="K103" s="74"/>
      <c r="L103" s="74"/>
      <c r="M103" s="96"/>
      <c r="N103" s="74"/>
      <c r="O103" s="74"/>
      <c r="P103" s="74"/>
    </row>
    <row r="104" spans="1:16" ht="15.75" customHeight="1">
      <c r="A104" s="94"/>
      <c r="B104" s="72"/>
      <c r="C104" s="74"/>
      <c r="D104" s="72"/>
      <c r="E104" s="95"/>
      <c r="F104" s="74"/>
      <c r="G104" s="72"/>
      <c r="H104" s="95"/>
      <c r="I104" s="74"/>
      <c r="J104" s="74"/>
      <c r="K104" s="74"/>
      <c r="L104" s="74"/>
      <c r="M104" s="96"/>
      <c r="N104" s="74"/>
      <c r="O104" s="74"/>
      <c r="P104" s="74"/>
    </row>
    <row r="105" spans="1:16" ht="15.75" customHeight="1">
      <c r="A105" s="94"/>
      <c r="B105" s="72"/>
      <c r="C105" s="74"/>
      <c r="D105" s="72"/>
      <c r="E105" s="95"/>
      <c r="F105" s="74"/>
      <c r="G105" s="72"/>
      <c r="H105" s="95"/>
      <c r="I105" s="74"/>
      <c r="J105" s="74"/>
      <c r="K105" s="74"/>
      <c r="L105" s="74"/>
      <c r="M105" s="96"/>
      <c r="N105" s="74"/>
      <c r="O105" s="74"/>
      <c r="P105" s="74"/>
    </row>
    <row r="106" spans="1:16" ht="15.75" customHeight="1">
      <c r="A106" s="94"/>
      <c r="B106" s="72"/>
      <c r="C106" s="74"/>
      <c r="D106" s="72"/>
      <c r="E106" s="95"/>
      <c r="F106" s="74"/>
      <c r="G106" s="72"/>
      <c r="H106" s="95"/>
      <c r="I106" s="74"/>
      <c r="J106" s="74"/>
      <c r="K106" s="74"/>
      <c r="L106" s="74"/>
      <c r="M106" s="96"/>
      <c r="N106" s="74"/>
      <c r="O106" s="74"/>
      <c r="P106" s="74"/>
    </row>
    <row r="107" spans="1:16" ht="15.75" customHeight="1">
      <c r="A107" s="94"/>
      <c r="B107" s="72"/>
      <c r="C107" s="74"/>
      <c r="D107" s="72"/>
      <c r="E107" s="95"/>
      <c r="F107" s="74"/>
      <c r="G107" s="72"/>
      <c r="H107" s="95"/>
      <c r="I107" s="74"/>
      <c r="J107" s="74"/>
      <c r="K107" s="74"/>
      <c r="L107" s="74"/>
      <c r="M107" s="96"/>
      <c r="N107" s="74"/>
      <c r="O107" s="74"/>
      <c r="P107" s="74"/>
    </row>
    <row r="108" spans="1:16" ht="15.75" customHeight="1">
      <c r="A108" s="94"/>
      <c r="B108" s="72"/>
      <c r="C108" s="74"/>
      <c r="D108" s="72"/>
      <c r="E108" s="95"/>
      <c r="F108" s="74"/>
      <c r="G108" s="72"/>
      <c r="H108" s="95"/>
      <c r="I108" s="74"/>
      <c r="J108" s="74"/>
      <c r="K108" s="74"/>
      <c r="L108" s="74"/>
      <c r="M108" s="96"/>
      <c r="N108" s="74"/>
      <c r="O108" s="74"/>
      <c r="P108" s="74"/>
    </row>
    <row r="109" spans="1:16" ht="15.75" customHeight="1">
      <c r="A109" s="94"/>
      <c r="B109" s="72"/>
      <c r="C109" s="74"/>
      <c r="D109" s="72"/>
      <c r="E109" s="95"/>
      <c r="F109" s="74"/>
      <c r="G109" s="72"/>
      <c r="H109" s="95"/>
      <c r="I109" s="74"/>
      <c r="J109" s="74"/>
      <c r="K109" s="74"/>
      <c r="L109" s="74"/>
      <c r="M109" s="96"/>
      <c r="N109" s="74"/>
      <c r="O109" s="74"/>
      <c r="P109" s="74"/>
    </row>
    <row r="110" spans="1:16" ht="15.75" customHeight="1">
      <c r="A110" s="94"/>
      <c r="B110" s="72"/>
      <c r="C110" s="74"/>
      <c r="D110" s="72"/>
      <c r="E110" s="95"/>
      <c r="F110" s="74"/>
      <c r="G110" s="72"/>
      <c r="H110" s="95"/>
      <c r="I110" s="74"/>
      <c r="J110" s="74"/>
      <c r="K110" s="74"/>
      <c r="L110" s="74"/>
      <c r="M110" s="96"/>
      <c r="N110" s="74"/>
      <c r="O110" s="74"/>
      <c r="P110" s="74"/>
    </row>
    <row r="111" spans="1:16" ht="15.75" customHeight="1">
      <c r="A111" s="94"/>
      <c r="B111" s="72"/>
      <c r="C111" s="74"/>
      <c r="D111" s="72"/>
      <c r="E111" s="95"/>
      <c r="F111" s="74"/>
      <c r="G111" s="72"/>
      <c r="H111" s="95"/>
      <c r="I111" s="74"/>
      <c r="J111" s="74"/>
      <c r="K111" s="74"/>
      <c r="L111" s="74"/>
      <c r="M111" s="96"/>
      <c r="N111" s="74"/>
      <c r="O111" s="74"/>
      <c r="P111" s="74"/>
    </row>
    <row r="112" spans="1:16" ht="15.75" customHeight="1">
      <c r="A112" s="94"/>
      <c r="B112" s="72"/>
      <c r="C112" s="74"/>
      <c r="D112" s="72"/>
      <c r="E112" s="95"/>
      <c r="F112" s="74"/>
      <c r="G112" s="72"/>
      <c r="H112" s="95"/>
      <c r="I112" s="74"/>
      <c r="J112" s="74"/>
      <c r="K112" s="74"/>
      <c r="L112" s="74"/>
      <c r="M112" s="96"/>
      <c r="N112" s="74"/>
      <c r="O112" s="74"/>
      <c r="P112" s="74"/>
    </row>
    <row r="113" spans="1:16" ht="15.75" customHeight="1">
      <c r="A113" s="94"/>
      <c r="B113" s="72"/>
      <c r="C113" s="74"/>
      <c r="D113" s="72"/>
      <c r="E113" s="95"/>
      <c r="F113" s="74"/>
      <c r="G113" s="72"/>
      <c r="H113" s="95"/>
      <c r="I113" s="74"/>
      <c r="J113" s="74"/>
      <c r="K113" s="74"/>
      <c r="L113" s="74"/>
      <c r="M113" s="96"/>
      <c r="N113" s="74"/>
      <c r="O113" s="74"/>
      <c r="P113" s="74"/>
    </row>
    <row r="114" spans="1:16" ht="15.75" customHeight="1">
      <c r="A114" s="94"/>
      <c r="B114" s="72"/>
      <c r="C114" s="74"/>
      <c r="D114" s="72"/>
      <c r="E114" s="95"/>
      <c r="F114" s="74"/>
      <c r="G114" s="72"/>
      <c r="H114" s="95"/>
      <c r="I114" s="74"/>
      <c r="J114" s="74"/>
      <c r="K114" s="74"/>
      <c r="L114" s="74"/>
      <c r="M114" s="96"/>
      <c r="N114" s="74"/>
      <c r="O114" s="74"/>
      <c r="P114" s="74"/>
    </row>
    <row r="115" spans="1:16" ht="15.75" customHeight="1">
      <c r="A115" s="94"/>
      <c r="B115" s="72"/>
      <c r="C115" s="74"/>
      <c r="D115" s="72"/>
      <c r="E115" s="95"/>
      <c r="F115" s="74"/>
      <c r="G115" s="72"/>
      <c r="H115" s="95"/>
      <c r="I115" s="74"/>
      <c r="J115" s="74"/>
      <c r="K115" s="74"/>
      <c r="L115" s="74"/>
      <c r="M115" s="96"/>
      <c r="N115" s="74"/>
      <c r="O115" s="74"/>
      <c r="P115" s="74"/>
    </row>
    <row r="116" spans="1:16" ht="15.75" customHeight="1">
      <c r="A116" s="94"/>
      <c r="B116" s="72"/>
      <c r="C116" s="74"/>
      <c r="D116" s="72"/>
      <c r="E116" s="95"/>
      <c r="F116" s="74"/>
      <c r="G116" s="72"/>
      <c r="H116" s="95"/>
      <c r="I116" s="74"/>
      <c r="J116" s="74"/>
      <c r="K116" s="74"/>
      <c r="L116" s="74"/>
      <c r="M116" s="96"/>
      <c r="N116" s="74"/>
      <c r="O116" s="74"/>
      <c r="P116" s="74"/>
    </row>
    <row r="117" spans="1:16" ht="15.75" customHeight="1">
      <c r="A117" s="94"/>
      <c r="B117" s="72"/>
      <c r="C117" s="74"/>
      <c r="D117" s="72"/>
      <c r="E117" s="95"/>
      <c r="F117" s="74"/>
      <c r="G117" s="72"/>
      <c r="H117" s="95"/>
      <c r="I117" s="74"/>
      <c r="J117" s="74"/>
      <c r="K117" s="74"/>
      <c r="L117" s="74"/>
      <c r="M117" s="96"/>
      <c r="N117" s="74"/>
      <c r="O117" s="74"/>
      <c r="P117" s="74"/>
    </row>
    <row r="118" spans="1:16" ht="15.75" customHeight="1">
      <c r="A118" s="94"/>
      <c r="B118" s="72"/>
      <c r="C118" s="74"/>
      <c r="D118" s="72"/>
      <c r="E118" s="95"/>
      <c r="F118" s="74"/>
      <c r="G118" s="72"/>
      <c r="H118" s="95"/>
      <c r="I118" s="74"/>
      <c r="J118" s="74"/>
      <c r="K118" s="74"/>
      <c r="L118" s="74"/>
      <c r="M118" s="96"/>
      <c r="N118" s="74"/>
      <c r="O118" s="74"/>
      <c r="P118" s="74"/>
    </row>
    <row r="119" spans="1:16" ht="15.75" customHeight="1">
      <c r="A119" s="94"/>
      <c r="B119" s="72"/>
      <c r="C119" s="74"/>
      <c r="D119" s="72"/>
      <c r="E119" s="95"/>
      <c r="F119" s="74"/>
      <c r="G119" s="72"/>
      <c r="H119" s="95"/>
      <c r="I119" s="74"/>
      <c r="J119" s="74"/>
      <c r="K119" s="74"/>
      <c r="L119" s="74"/>
      <c r="M119" s="96"/>
      <c r="N119" s="74"/>
      <c r="O119" s="74"/>
      <c r="P119" s="74"/>
    </row>
    <row r="120" spans="1:16" ht="15.75" customHeight="1">
      <c r="A120" s="94"/>
      <c r="B120" s="72"/>
      <c r="C120" s="74"/>
      <c r="D120" s="72"/>
      <c r="E120" s="95"/>
      <c r="F120" s="74"/>
      <c r="G120" s="72"/>
      <c r="H120" s="95"/>
      <c r="I120" s="74"/>
      <c r="J120" s="74"/>
      <c r="K120" s="74"/>
      <c r="L120" s="74"/>
      <c r="M120" s="96"/>
      <c r="N120" s="74"/>
      <c r="O120" s="74"/>
      <c r="P120" s="74"/>
    </row>
    <row r="121" spans="1:16" ht="15.75" customHeight="1">
      <c r="A121" s="94"/>
      <c r="B121" s="72"/>
      <c r="C121" s="74"/>
      <c r="D121" s="72"/>
      <c r="E121" s="95"/>
      <c r="F121" s="74"/>
      <c r="G121" s="72"/>
      <c r="H121" s="95"/>
      <c r="I121" s="74"/>
      <c r="J121" s="74"/>
      <c r="K121" s="74"/>
      <c r="L121" s="74"/>
      <c r="M121" s="96"/>
      <c r="N121" s="74"/>
      <c r="O121" s="74"/>
      <c r="P121" s="74"/>
    </row>
    <row r="122" spans="1:16" ht="15.75" customHeight="1">
      <c r="A122" s="94"/>
      <c r="B122" s="72"/>
      <c r="C122" s="74"/>
      <c r="D122" s="72"/>
      <c r="E122" s="95"/>
      <c r="F122" s="74"/>
      <c r="G122" s="72"/>
      <c r="H122" s="95"/>
      <c r="I122" s="74"/>
      <c r="J122" s="74"/>
      <c r="K122" s="74"/>
      <c r="L122" s="74"/>
      <c r="M122" s="96"/>
      <c r="N122" s="74"/>
      <c r="O122" s="74"/>
      <c r="P122" s="74"/>
    </row>
    <row r="123" spans="1:16" ht="15.75" customHeight="1">
      <c r="A123" s="94"/>
      <c r="B123" s="72"/>
      <c r="C123" s="74"/>
      <c r="D123" s="72"/>
      <c r="E123" s="95"/>
      <c r="F123" s="74"/>
      <c r="G123" s="72"/>
      <c r="H123" s="95"/>
      <c r="I123" s="74"/>
      <c r="J123" s="74"/>
      <c r="K123" s="74"/>
      <c r="L123" s="74"/>
      <c r="M123" s="96"/>
      <c r="N123" s="74"/>
      <c r="O123" s="74"/>
      <c r="P123" s="74"/>
    </row>
    <row r="124" spans="1:16" ht="15.75" customHeight="1">
      <c r="A124" s="94"/>
      <c r="B124" s="72"/>
      <c r="C124" s="74"/>
      <c r="D124" s="72"/>
      <c r="E124" s="95"/>
      <c r="F124" s="74"/>
      <c r="G124" s="72"/>
      <c r="H124" s="95"/>
      <c r="I124" s="74"/>
      <c r="J124" s="74"/>
      <c r="K124" s="74"/>
      <c r="L124" s="74"/>
      <c r="M124" s="96"/>
      <c r="N124" s="74"/>
      <c r="O124" s="74"/>
      <c r="P124" s="74"/>
    </row>
    <row r="125" spans="1:16" ht="15.75" customHeight="1">
      <c r="A125" s="94"/>
      <c r="B125" s="72"/>
      <c r="C125" s="74"/>
      <c r="D125" s="72"/>
      <c r="E125" s="95"/>
      <c r="F125" s="74"/>
      <c r="G125" s="72"/>
      <c r="H125" s="95"/>
      <c r="I125" s="74"/>
      <c r="J125" s="74"/>
      <c r="K125" s="74"/>
      <c r="L125" s="74"/>
      <c r="M125" s="96"/>
      <c r="N125" s="74"/>
      <c r="O125" s="74"/>
      <c r="P125" s="74"/>
    </row>
    <row r="126" spans="1:16" ht="15.75" customHeight="1">
      <c r="A126" s="94"/>
      <c r="B126" s="72"/>
      <c r="C126" s="74"/>
      <c r="D126" s="72"/>
      <c r="E126" s="95"/>
      <c r="F126" s="74"/>
      <c r="G126" s="72"/>
      <c r="H126" s="95"/>
      <c r="I126" s="74"/>
      <c r="J126" s="74"/>
      <c r="K126" s="74"/>
      <c r="L126" s="74"/>
      <c r="M126" s="96"/>
      <c r="N126" s="74"/>
      <c r="O126" s="74"/>
      <c r="P126" s="74"/>
    </row>
    <row r="127" spans="1:16" ht="15.75" customHeight="1">
      <c r="A127" s="94"/>
      <c r="B127" s="72"/>
      <c r="C127" s="74"/>
      <c r="D127" s="72"/>
      <c r="E127" s="95"/>
      <c r="F127" s="74"/>
      <c r="G127" s="72"/>
      <c r="H127" s="95"/>
      <c r="I127" s="74"/>
      <c r="J127" s="74"/>
      <c r="K127" s="74"/>
      <c r="L127" s="74"/>
      <c r="M127" s="96"/>
      <c r="N127" s="74"/>
      <c r="O127" s="74"/>
      <c r="P127" s="74"/>
    </row>
    <row r="128" spans="1:16" ht="15.75" customHeight="1">
      <c r="A128" s="94"/>
      <c r="B128" s="72"/>
      <c r="C128" s="74"/>
      <c r="D128" s="72"/>
      <c r="E128" s="95"/>
      <c r="F128" s="74"/>
      <c r="G128" s="72"/>
      <c r="H128" s="95"/>
      <c r="I128" s="74"/>
      <c r="J128" s="74"/>
      <c r="K128" s="74"/>
      <c r="L128" s="74"/>
      <c r="M128" s="96"/>
      <c r="N128" s="74"/>
      <c r="O128" s="74"/>
      <c r="P128" s="74"/>
    </row>
    <row r="129" spans="1:16" ht="15.75" customHeight="1">
      <c r="A129" s="94"/>
      <c r="B129" s="72"/>
      <c r="C129" s="74"/>
      <c r="D129" s="72"/>
      <c r="E129" s="95"/>
      <c r="F129" s="74"/>
      <c r="G129" s="72"/>
      <c r="H129" s="95"/>
      <c r="I129" s="74"/>
      <c r="J129" s="74"/>
      <c r="K129" s="74"/>
      <c r="L129" s="74"/>
      <c r="M129" s="96"/>
      <c r="N129" s="74"/>
      <c r="O129" s="74"/>
      <c r="P129" s="74"/>
    </row>
    <row r="130" spans="1:16" ht="15.75" customHeight="1">
      <c r="A130" s="94"/>
      <c r="B130" s="72"/>
      <c r="C130" s="74"/>
      <c r="D130" s="72"/>
      <c r="E130" s="95"/>
      <c r="F130" s="74"/>
      <c r="G130" s="72"/>
      <c r="H130" s="95"/>
      <c r="I130" s="74"/>
      <c r="J130" s="74"/>
      <c r="K130" s="74"/>
      <c r="L130" s="74"/>
      <c r="M130" s="96"/>
      <c r="N130" s="74"/>
      <c r="O130" s="74"/>
      <c r="P130" s="74"/>
    </row>
    <row r="131" spans="1:16" ht="15.75" customHeight="1">
      <c r="A131" s="94"/>
      <c r="B131" s="72"/>
      <c r="C131" s="74"/>
      <c r="D131" s="72"/>
      <c r="E131" s="95"/>
      <c r="F131" s="74"/>
      <c r="G131" s="72"/>
      <c r="H131" s="95"/>
      <c r="I131" s="74"/>
      <c r="J131" s="74"/>
      <c r="K131" s="74"/>
      <c r="L131" s="74"/>
      <c r="M131" s="96"/>
      <c r="N131" s="74"/>
      <c r="O131" s="74"/>
      <c r="P131" s="74"/>
    </row>
    <row r="132" spans="1:16" ht="15.75" customHeight="1">
      <c r="A132" s="94"/>
      <c r="B132" s="72"/>
      <c r="C132" s="74"/>
      <c r="D132" s="72"/>
      <c r="E132" s="95"/>
      <c r="F132" s="74"/>
      <c r="G132" s="72"/>
      <c r="H132" s="95"/>
      <c r="I132" s="74"/>
      <c r="J132" s="74"/>
      <c r="K132" s="74"/>
      <c r="L132" s="74"/>
      <c r="M132" s="96"/>
      <c r="N132" s="74"/>
      <c r="O132" s="74"/>
      <c r="P132" s="74"/>
    </row>
    <row r="133" spans="1:16" ht="15.75" customHeight="1">
      <c r="A133" s="94"/>
      <c r="B133" s="72"/>
      <c r="C133" s="74"/>
      <c r="D133" s="72"/>
      <c r="E133" s="95"/>
      <c r="F133" s="74"/>
      <c r="G133" s="72"/>
      <c r="H133" s="95"/>
      <c r="I133" s="74"/>
      <c r="J133" s="74"/>
      <c r="K133" s="74"/>
      <c r="L133" s="74"/>
      <c r="M133" s="96"/>
      <c r="N133" s="74"/>
      <c r="O133" s="74"/>
      <c r="P133" s="74"/>
    </row>
    <row r="134" spans="1:16" ht="15.75" customHeight="1">
      <c r="A134" s="94"/>
      <c r="B134" s="72"/>
      <c r="C134" s="74"/>
      <c r="D134" s="72"/>
      <c r="E134" s="95"/>
      <c r="F134" s="74"/>
      <c r="G134" s="72"/>
      <c r="H134" s="95"/>
      <c r="I134" s="74"/>
      <c r="J134" s="74"/>
      <c r="K134" s="74"/>
      <c r="L134" s="74"/>
      <c r="M134" s="96"/>
      <c r="N134" s="74"/>
      <c r="O134" s="74"/>
      <c r="P134" s="74"/>
    </row>
    <row r="135" spans="1:16" ht="15.75" customHeight="1">
      <c r="A135" s="94"/>
      <c r="B135" s="72"/>
      <c r="C135" s="74"/>
      <c r="D135" s="72"/>
      <c r="E135" s="95"/>
      <c r="F135" s="74"/>
      <c r="G135" s="72"/>
      <c r="H135" s="95"/>
      <c r="I135" s="74"/>
      <c r="J135" s="74"/>
      <c r="K135" s="74"/>
      <c r="L135" s="74"/>
      <c r="M135" s="96"/>
      <c r="N135" s="74"/>
      <c r="O135" s="74"/>
      <c r="P135" s="74"/>
    </row>
    <row r="136" spans="1:16" ht="15.75" customHeight="1">
      <c r="A136" s="94"/>
      <c r="B136" s="72"/>
      <c r="C136" s="74"/>
      <c r="D136" s="72"/>
      <c r="E136" s="95"/>
      <c r="F136" s="74"/>
      <c r="G136" s="72"/>
      <c r="H136" s="95"/>
      <c r="I136" s="74"/>
      <c r="J136" s="74"/>
      <c r="K136" s="74"/>
      <c r="L136" s="74"/>
      <c r="M136" s="96"/>
      <c r="N136" s="74"/>
      <c r="O136" s="74"/>
      <c r="P136" s="74"/>
    </row>
    <row r="137" spans="1:16" ht="15.75" customHeight="1">
      <c r="A137" s="94"/>
      <c r="B137" s="72"/>
      <c r="C137" s="74"/>
      <c r="D137" s="72"/>
      <c r="E137" s="95"/>
      <c r="F137" s="74"/>
      <c r="G137" s="72"/>
      <c r="H137" s="95"/>
      <c r="I137" s="74"/>
      <c r="J137" s="74"/>
      <c r="K137" s="74"/>
      <c r="L137" s="74"/>
      <c r="M137" s="96"/>
      <c r="N137" s="74"/>
      <c r="O137" s="74"/>
      <c r="P137" s="74"/>
    </row>
    <row r="138" spans="1:16" ht="15.75" customHeight="1">
      <c r="A138" s="94"/>
      <c r="B138" s="72"/>
      <c r="C138" s="74"/>
      <c r="D138" s="72"/>
      <c r="E138" s="95"/>
      <c r="F138" s="74"/>
      <c r="G138" s="72"/>
      <c r="H138" s="95"/>
      <c r="I138" s="74"/>
      <c r="J138" s="74"/>
      <c r="K138" s="74"/>
      <c r="L138" s="74"/>
      <c r="M138" s="96"/>
      <c r="N138" s="74"/>
      <c r="O138" s="74"/>
      <c r="P138" s="74"/>
    </row>
    <row r="139" spans="1:16" ht="15.75" customHeight="1">
      <c r="A139" s="94"/>
      <c r="B139" s="72"/>
      <c r="C139" s="74"/>
      <c r="D139" s="72"/>
      <c r="E139" s="95"/>
      <c r="F139" s="74"/>
      <c r="G139" s="72"/>
      <c r="H139" s="95"/>
      <c r="I139" s="74"/>
      <c r="J139" s="74"/>
      <c r="K139" s="74"/>
      <c r="L139" s="74"/>
      <c r="M139" s="96"/>
      <c r="N139" s="74"/>
      <c r="O139" s="74"/>
      <c r="P139" s="74"/>
    </row>
    <row r="140" spans="1:16" ht="15.75" customHeight="1">
      <c r="A140" s="94"/>
      <c r="B140" s="72"/>
      <c r="C140" s="74"/>
      <c r="D140" s="72"/>
      <c r="E140" s="95"/>
      <c r="F140" s="74"/>
      <c r="G140" s="72"/>
      <c r="H140" s="95"/>
      <c r="I140" s="74"/>
      <c r="J140" s="74"/>
      <c r="K140" s="74"/>
      <c r="L140" s="74"/>
      <c r="M140" s="96"/>
      <c r="N140" s="74"/>
      <c r="O140" s="74"/>
      <c r="P140" s="74"/>
    </row>
    <row r="141" spans="1:16" ht="15.75" customHeight="1">
      <c r="A141" s="94"/>
      <c r="B141" s="72"/>
      <c r="C141" s="74"/>
      <c r="D141" s="72"/>
      <c r="E141" s="95"/>
      <c r="F141" s="74"/>
      <c r="G141" s="72"/>
      <c r="H141" s="95"/>
      <c r="I141" s="74"/>
      <c r="J141" s="74"/>
      <c r="K141" s="74"/>
      <c r="L141" s="74"/>
      <c r="M141" s="96"/>
      <c r="N141" s="74"/>
      <c r="O141" s="74"/>
      <c r="P141" s="74"/>
    </row>
    <row r="142" spans="1:16" ht="15.75" customHeight="1">
      <c r="A142" s="94"/>
      <c r="B142" s="72"/>
      <c r="C142" s="74"/>
      <c r="D142" s="72"/>
      <c r="E142" s="95"/>
      <c r="F142" s="74"/>
      <c r="G142" s="72"/>
      <c r="H142" s="95"/>
      <c r="I142" s="74"/>
      <c r="J142" s="74"/>
      <c r="K142" s="74"/>
      <c r="L142" s="74"/>
      <c r="M142" s="96"/>
      <c r="N142" s="74"/>
      <c r="O142" s="74"/>
      <c r="P142" s="74"/>
    </row>
    <row r="143" spans="1:16" ht="15.75" customHeight="1">
      <c r="A143" s="94"/>
      <c r="B143" s="72"/>
      <c r="C143" s="74"/>
      <c r="D143" s="72"/>
      <c r="E143" s="95"/>
      <c r="F143" s="74"/>
      <c r="G143" s="72"/>
      <c r="H143" s="95"/>
      <c r="I143" s="74"/>
      <c r="J143" s="74"/>
      <c r="K143" s="74"/>
      <c r="L143" s="74"/>
      <c r="M143" s="96"/>
      <c r="N143" s="74"/>
      <c r="O143" s="74"/>
      <c r="P143" s="74"/>
    </row>
    <row r="144" spans="1:16" ht="15.75" customHeight="1">
      <c r="A144" s="94"/>
      <c r="B144" s="72"/>
      <c r="C144" s="74"/>
      <c r="D144" s="72"/>
      <c r="E144" s="95"/>
      <c r="F144" s="74"/>
      <c r="G144" s="72"/>
      <c r="H144" s="95"/>
      <c r="I144" s="74"/>
      <c r="J144" s="74"/>
      <c r="K144" s="74"/>
      <c r="L144" s="74"/>
      <c r="M144" s="96"/>
      <c r="N144" s="74"/>
      <c r="O144" s="74"/>
      <c r="P144" s="74"/>
    </row>
    <row r="145" spans="1:16" ht="15.75" customHeight="1">
      <c r="A145" s="94"/>
      <c r="B145" s="72"/>
      <c r="C145" s="74"/>
      <c r="D145" s="72"/>
      <c r="E145" s="95"/>
      <c r="F145" s="74"/>
      <c r="G145" s="72"/>
      <c r="H145" s="95"/>
      <c r="I145" s="74"/>
      <c r="J145" s="74"/>
      <c r="K145" s="74"/>
      <c r="L145" s="74"/>
      <c r="M145" s="96"/>
      <c r="N145" s="74"/>
      <c r="O145" s="74"/>
      <c r="P145" s="74"/>
    </row>
    <row r="146" spans="1:16" ht="15.75" customHeight="1">
      <c r="A146" s="94"/>
      <c r="B146" s="72"/>
      <c r="C146" s="74"/>
      <c r="D146" s="72"/>
      <c r="E146" s="95"/>
      <c r="F146" s="74"/>
      <c r="G146" s="72"/>
      <c r="H146" s="95"/>
      <c r="I146" s="74"/>
      <c r="J146" s="74"/>
      <c r="K146" s="74"/>
      <c r="L146" s="74"/>
      <c r="M146" s="96"/>
      <c r="N146" s="74"/>
      <c r="O146" s="74"/>
      <c r="P146" s="74"/>
    </row>
    <row r="147" spans="1:16" ht="15.75" customHeight="1">
      <c r="A147" s="94"/>
      <c r="B147" s="72"/>
      <c r="C147" s="74"/>
      <c r="D147" s="72"/>
      <c r="E147" s="95"/>
      <c r="F147" s="74"/>
      <c r="G147" s="72"/>
      <c r="H147" s="95"/>
      <c r="I147" s="74"/>
      <c r="J147" s="74"/>
      <c r="K147" s="74"/>
      <c r="L147" s="74"/>
      <c r="M147" s="96"/>
      <c r="N147" s="74"/>
      <c r="O147" s="74"/>
      <c r="P147" s="74"/>
    </row>
    <row r="148" spans="1:16" ht="15.75" customHeight="1">
      <c r="A148" s="94"/>
      <c r="B148" s="72"/>
      <c r="C148" s="74"/>
      <c r="D148" s="72"/>
      <c r="E148" s="95"/>
      <c r="F148" s="74"/>
      <c r="G148" s="72"/>
      <c r="H148" s="95"/>
      <c r="I148" s="74"/>
      <c r="J148" s="74"/>
      <c r="K148" s="74"/>
      <c r="L148" s="74"/>
      <c r="M148" s="96"/>
      <c r="N148" s="74"/>
      <c r="O148" s="74"/>
      <c r="P148" s="74"/>
    </row>
    <row r="149" spans="1:16" ht="15.75" customHeight="1">
      <c r="A149" s="94"/>
      <c r="B149" s="72"/>
      <c r="C149" s="74"/>
      <c r="D149" s="72"/>
      <c r="E149" s="95"/>
      <c r="F149" s="74"/>
      <c r="G149" s="72"/>
      <c r="H149" s="95"/>
      <c r="I149" s="74"/>
      <c r="J149" s="74"/>
      <c r="K149" s="74"/>
      <c r="L149" s="74"/>
      <c r="M149" s="96"/>
      <c r="N149" s="74"/>
      <c r="O149" s="74"/>
      <c r="P149" s="74"/>
    </row>
    <row r="150" spans="1:16" ht="15.75" customHeight="1">
      <c r="A150" s="94"/>
      <c r="B150" s="72"/>
      <c r="C150" s="74"/>
      <c r="D150" s="72"/>
      <c r="E150" s="95"/>
      <c r="F150" s="74"/>
      <c r="G150" s="72"/>
      <c r="H150" s="95"/>
      <c r="I150" s="74"/>
      <c r="J150" s="74"/>
      <c r="K150" s="74"/>
      <c r="L150" s="74"/>
      <c r="M150" s="96"/>
      <c r="N150" s="74"/>
      <c r="O150" s="74"/>
      <c r="P150" s="74"/>
    </row>
    <row r="151" spans="1:16" ht="15.75" customHeight="1">
      <c r="A151" s="94"/>
      <c r="B151" s="72"/>
      <c r="C151" s="74"/>
      <c r="D151" s="72"/>
      <c r="E151" s="95"/>
      <c r="F151" s="74"/>
      <c r="G151" s="72"/>
      <c r="H151" s="95"/>
      <c r="I151" s="74"/>
      <c r="J151" s="74"/>
      <c r="K151" s="74"/>
      <c r="L151" s="74"/>
      <c r="M151" s="96"/>
      <c r="N151" s="74"/>
      <c r="O151" s="74"/>
      <c r="P151" s="74"/>
    </row>
    <row r="152" spans="1:16" ht="15.75" customHeight="1">
      <c r="A152" s="94"/>
      <c r="B152" s="72"/>
      <c r="C152" s="74"/>
      <c r="D152" s="72"/>
      <c r="E152" s="95"/>
      <c r="F152" s="74"/>
      <c r="G152" s="72"/>
      <c r="H152" s="95"/>
      <c r="I152" s="74"/>
      <c r="J152" s="74"/>
      <c r="K152" s="74"/>
      <c r="L152" s="74"/>
      <c r="M152" s="96"/>
      <c r="N152" s="74"/>
      <c r="O152" s="74"/>
      <c r="P152" s="74"/>
    </row>
    <row r="153" spans="1:16" ht="15.75" customHeight="1">
      <c r="A153" s="94"/>
      <c r="B153" s="72"/>
      <c r="C153" s="74"/>
      <c r="D153" s="72"/>
      <c r="E153" s="95"/>
      <c r="F153" s="74"/>
      <c r="G153" s="72"/>
      <c r="H153" s="95"/>
      <c r="I153" s="74"/>
      <c r="J153" s="74"/>
      <c r="K153" s="74"/>
      <c r="L153" s="74"/>
      <c r="M153" s="96"/>
      <c r="N153" s="74"/>
      <c r="O153" s="74"/>
      <c r="P153" s="74"/>
    </row>
    <row r="154" spans="1:16" ht="15.75" customHeight="1">
      <c r="A154" s="94"/>
      <c r="B154" s="72"/>
      <c r="C154" s="74"/>
      <c r="D154" s="72"/>
      <c r="E154" s="95"/>
      <c r="F154" s="74"/>
      <c r="G154" s="72"/>
      <c r="H154" s="95"/>
      <c r="I154" s="74"/>
      <c r="J154" s="74"/>
      <c r="K154" s="74"/>
      <c r="L154" s="74"/>
      <c r="M154" s="96"/>
      <c r="N154" s="74"/>
      <c r="O154" s="74"/>
      <c r="P154" s="74"/>
    </row>
    <row r="155" spans="1:16" ht="15.75" customHeight="1">
      <c r="A155" s="94"/>
      <c r="B155" s="72"/>
      <c r="C155" s="74"/>
      <c r="D155" s="72"/>
      <c r="E155" s="95"/>
      <c r="F155" s="74"/>
      <c r="G155" s="72"/>
      <c r="H155" s="95"/>
      <c r="I155" s="74"/>
      <c r="J155" s="74"/>
      <c r="K155" s="74"/>
      <c r="L155" s="74"/>
      <c r="M155" s="96"/>
      <c r="N155" s="74"/>
      <c r="O155" s="74"/>
      <c r="P155" s="74"/>
    </row>
    <row r="156" spans="1:16" ht="15.75" customHeight="1">
      <c r="A156" s="94"/>
      <c r="B156" s="72"/>
      <c r="C156" s="74"/>
      <c r="D156" s="72"/>
      <c r="E156" s="95"/>
      <c r="F156" s="74"/>
      <c r="G156" s="72"/>
      <c r="H156" s="95"/>
      <c r="I156" s="74"/>
      <c r="J156" s="74"/>
      <c r="K156" s="74"/>
      <c r="L156" s="74"/>
      <c r="M156" s="96"/>
      <c r="N156" s="74"/>
      <c r="O156" s="74"/>
      <c r="P156" s="74"/>
    </row>
    <row r="157" spans="1:16" ht="15.75" customHeight="1">
      <c r="A157" s="94"/>
      <c r="B157" s="72"/>
      <c r="C157" s="74"/>
      <c r="D157" s="72"/>
      <c r="E157" s="95"/>
      <c r="F157" s="74"/>
      <c r="G157" s="72"/>
      <c r="H157" s="95"/>
      <c r="I157" s="74"/>
      <c r="J157" s="74"/>
      <c r="K157" s="74"/>
      <c r="L157" s="74"/>
      <c r="M157" s="96"/>
      <c r="N157" s="74"/>
      <c r="O157" s="74"/>
      <c r="P157" s="74"/>
    </row>
    <row r="158" spans="1:16" ht="15.75" customHeight="1">
      <c r="A158" s="94"/>
      <c r="B158" s="72"/>
      <c r="C158" s="74"/>
      <c r="D158" s="72"/>
      <c r="E158" s="95"/>
      <c r="F158" s="74"/>
      <c r="G158" s="72"/>
      <c r="H158" s="95"/>
      <c r="I158" s="74"/>
      <c r="J158" s="74"/>
      <c r="K158" s="74"/>
      <c r="L158" s="74"/>
      <c r="M158" s="96"/>
      <c r="N158" s="74"/>
      <c r="O158" s="74"/>
      <c r="P158" s="74"/>
    </row>
    <row r="159" spans="1:16" ht="15.75" customHeight="1">
      <c r="A159" s="94"/>
      <c r="B159" s="72"/>
      <c r="C159" s="74"/>
      <c r="D159" s="72"/>
      <c r="E159" s="95"/>
      <c r="F159" s="74"/>
      <c r="G159" s="72"/>
      <c r="H159" s="95"/>
      <c r="I159" s="74"/>
      <c r="J159" s="74"/>
      <c r="K159" s="74"/>
      <c r="L159" s="74"/>
      <c r="M159" s="96"/>
      <c r="N159" s="74"/>
      <c r="O159" s="74"/>
      <c r="P159" s="74"/>
    </row>
    <row r="160" spans="1:16" ht="15.75" customHeight="1">
      <c r="A160" s="94"/>
      <c r="B160" s="72"/>
      <c r="C160" s="74"/>
      <c r="D160" s="72"/>
      <c r="E160" s="95"/>
      <c r="F160" s="74"/>
      <c r="G160" s="72"/>
      <c r="H160" s="95"/>
      <c r="I160" s="74"/>
      <c r="J160" s="74"/>
      <c r="K160" s="74"/>
      <c r="L160" s="74"/>
      <c r="M160" s="96"/>
      <c r="N160" s="74"/>
      <c r="O160" s="74"/>
      <c r="P160" s="74"/>
    </row>
    <row r="161" spans="1:16" ht="15.75" customHeight="1">
      <c r="A161" s="94"/>
      <c r="B161" s="72"/>
      <c r="C161" s="74"/>
      <c r="D161" s="72"/>
      <c r="E161" s="95"/>
      <c r="F161" s="74"/>
      <c r="G161" s="72"/>
      <c r="H161" s="95"/>
      <c r="I161" s="74"/>
      <c r="J161" s="74"/>
      <c r="K161" s="74"/>
      <c r="L161" s="74"/>
      <c r="M161" s="96"/>
      <c r="N161" s="74"/>
      <c r="O161" s="74"/>
      <c r="P161" s="74"/>
    </row>
    <row r="162" spans="1:16" ht="15.75" customHeight="1">
      <c r="A162" s="94"/>
      <c r="B162" s="72"/>
      <c r="C162" s="74"/>
      <c r="D162" s="72"/>
      <c r="E162" s="95"/>
      <c r="F162" s="74"/>
      <c r="G162" s="72"/>
      <c r="H162" s="95"/>
      <c r="I162" s="74"/>
      <c r="J162" s="74"/>
      <c r="K162" s="74"/>
      <c r="L162" s="74"/>
      <c r="M162" s="96"/>
      <c r="N162" s="74"/>
      <c r="O162" s="74"/>
      <c r="P162" s="74"/>
    </row>
    <row r="163" spans="1:16" ht="15.75" customHeight="1">
      <c r="A163" s="94"/>
      <c r="B163" s="72"/>
      <c r="C163" s="74"/>
      <c r="D163" s="72"/>
      <c r="E163" s="95"/>
      <c r="F163" s="74"/>
      <c r="G163" s="72"/>
      <c r="H163" s="95"/>
      <c r="I163" s="74"/>
      <c r="J163" s="74"/>
      <c r="K163" s="74"/>
      <c r="L163" s="74"/>
      <c r="M163" s="96"/>
      <c r="N163" s="74"/>
      <c r="O163" s="74"/>
      <c r="P163" s="74"/>
    </row>
    <row r="164" spans="1:16" ht="15.75" customHeight="1">
      <c r="A164" s="94"/>
      <c r="B164" s="72"/>
      <c r="C164" s="74"/>
      <c r="D164" s="72"/>
      <c r="E164" s="95"/>
      <c r="F164" s="74"/>
      <c r="G164" s="72"/>
      <c r="H164" s="95"/>
      <c r="I164" s="74"/>
      <c r="J164" s="74"/>
      <c r="K164" s="74"/>
      <c r="L164" s="74"/>
      <c r="M164" s="96"/>
      <c r="N164" s="74"/>
      <c r="O164" s="74"/>
      <c r="P164" s="74"/>
    </row>
    <row r="165" spans="1:16" ht="15.75" customHeight="1">
      <c r="A165" s="94"/>
      <c r="B165" s="72"/>
      <c r="C165" s="74"/>
      <c r="D165" s="72"/>
      <c r="E165" s="95"/>
      <c r="F165" s="74"/>
      <c r="G165" s="72"/>
      <c r="H165" s="95"/>
      <c r="I165" s="74"/>
      <c r="J165" s="74"/>
      <c r="K165" s="74"/>
      <c r="L165" s="74"/>
      <c r="M165" s="96"/>
      <c r="N165" s="74"/>
      <c r="O165" s="74"/>
      <c r="P165" s="74"/>
    </row>
    <row r="166" spans="1:16" ht="15.75" customHeight="1">
      <c r="A166" s="94"/>
      <c r="B166" s="72"/>
      <c r="C166" s="74"/>
      <c r="D166" s="72"/>
      <c r="E166" s="95"/>
      <c r="F166" s="74"/>
      <c r="G166" s="72"/>
      <c r="H166" s="95"/>
      <c r="I166" s="74"/>
      <c r="J166" s="74"/>
      <c r="K166" s="74"/>
      <c r="L166" s="74"/>
      <c r="M166" s="96"/>
      <c r="N166" s="74"/>
      <c r="O166" s="74"/>
      <c r="P166" s="74"/>
    </row>
    <row r="167" spans="1:16" ht="15.75" customHeight="1">
      <c r="A167" s="94"/>
      <c r="B167" s="72"/>
      <c r="C167" s="74"/>
      <c r="D167" s="72"/>
      <c r="E167" s="95"/>
      <c r="F167" s="74"/>
      <c r="G167" s="72"/>
      <c r="H167" s="95"/>
      <c r="I167" s="74"/>
      <c r="J167" s="74"/>
      <c r="K167" s="74"/>
      <c r="L167" s="74"/>
      <c r="M167" s="96"/>
      <c r="N167" s="74"/>
      <c r="O167" s="74"/>
      <c r="P167" s="74"/>
    </row>
    <row r="168" spans="1:16" ht="15.75" customHeight="1">
      <c r="A168" s="94"/>
      <c r="B168" s="72"/>
      <c r="C168" s="74"/>
      <c r="D168" s="72"/>
      <c r="E168" s="95"/>
      <c r="F168" s="74"/>
      <c r="G168" s="72"/>
      <c r="H168" s="95"/>
      <c r="I168" s="74"/>
      <c r="J168" s="74"/>
      <c r="K168" s="74"/>
      <c r="L168" s="74"/>
      <c r="M168" s="96"/>
      <c r="N168" s="74"/>
      <c r="O168" s="74"/>
      <c r="P168" s="74"/>
    </row>
    <row r="169" spans="1:16" ht="15.75" customHeight="1">
      <c r="A169" s="94"/>
      <c r="B169" s="72"/>
      <c r="C169" s="74"/>
      <c r="D169" s="72"/>
      <c r="E169" s="95"/>
      <c r="F169" s="74"/>
      <c r="G169" s="72"/>
      <c r="H169" s="95"/>
      <c r="I169" s="74"/>
      <c r="J169" s="74"/>
      <c r="K169" s="74"/>
      <c r="L169" s="74"/>
      <c r="M169" s="96"/>
      <c r="N169" s="74"/>
      <c r="O169" s="74"/>
      <c r="P169" s="74"/>
    </row>
    <row r="170" spans="1:16" ht="15.75" customHeight="1">
      <c r="A170" s="94"/>
      <c r="B170" s="72"/>
      <c r="C170" s="74"/>
      <c r="D170" s="72"/>
      <c r="E170" s="95"/>
      <c r="F170" s="74"/>
      <c r="G170" s="72"/>
      <c r="H170" s="95"/>
      <c r="I170" s="74"/>
      <c r="J170" s="74"/>
      <c r="K170" s="74"/>
      <c r="L170" s="74"/>
      <c r="M170" s="96"/>
      <c r="N170" s="74"/>
      <c r="O170" s="74"/>
      <c r="P170" s="74"/>
    </row>
    <row r="171" spans="1:16" ht="15.75" customHeight="1">
      <c r="A171" s="94"/>
      <c r="B171" s="72"/>
      <c r="C171" s="74"/>
      <c r="D171" s="72"/>
      <c r="E171" s="95"/>
      <c r="F171" s="74"/>
      <c r="G171" s="72"/>
      <c r="H171" s="95"/>
      <c r="I171" s="74"/>
      <c r="J171" s="74"/>
      <c r="K171" s="74"/>
      <c r="L171" s="74"/>
      <c r="M171" s="96"/>
      <c r="N171" s="74"/>
      <c r="O171" s="74"/>
      <c r="P171" s="74"/>
    </row>
    <row r="172" spans="1:16" ht="15.75" customHeight="1">
      <c r="A172" s="94"/>
      <c r="B172" s="72"/>
      <c r="C172" s="74"/>
      <c r="D172" s="72"/>
      <c r="E172" s="95"/>
      <c r="F172" s="74"/>
      <c r="G172" s="72"/>
      <c r="H172" s="95"/>
      <c r="I172" s="74"/>
      <c r="J172" s="74"/>
      <c r="K172" s="74"/>
      <c r="L172" s="74"/>
      <c r="M172" s="96"/>
      <c r="N172" s="74"/>
      <c r="O172" s="74"/>
      <c r="P172" s="74"/>
    </row>
    <row r="173" spans="1:16" ht="15.75" customHeight="1">
      <c r="A173" s="94"/>
      <c r="B173" s="72"/>
      <c r="C173" s="74"/>
      <c r="D173" s="72"/>
      <c r="E173" s="95"/>
      <c r="F173" s="74"/>
      <c r="G173" s="72"/>
      <c r="H173" s="95"/>
      <c r="I173" s="74"/>
      <c r="J173" s="74"/>
      <c r="K173" s="74"/>
      <c r="L173" s="74"/>
      <c r="M173" s="96"/>
      <c r="N173" s="74"/>
      <c r="O173" s="74"/>
      <c r="P173" s="74"/>
    </row>
    <row r="174" spans="1:16" ht="15.75" customHeight="1">
      <c r="A174" s="94"/>
      <c r="B174" s="72"/>
      <c r="C174" s="74"/>
      <c r="D174" s="72"/>
      <c r="E174" s="95"/>
      <c r="F174" s="74"/>
      <c r="G174" s="72"/>
      <c r="H174" s="95"/>
      <c r="I174" s="74"/>
      <c r="J174" s="74"/>
      <c r="K174" s="74"/>
      <c r="L174" s="74"/>
      <c r="M174" s="96"/>
      <c r="N174" s="74"/>
      <c r="O174" s="74"/>
      <c r="P174" s="74"/>
    </row>
    <row r="175" spans="1:16" ht="15.75" customHeight="1">
      <c r="A175" s="94"/>
      <c r="B175" s="72"/>
      <c r="C175" s="74"/>
      <c r="D175" s="72"/>
      <c r="E175" s="95"/>
      <c r="F175" s="74"/>
      <c r="G175" s="72"/>
      <c r="H175" s="95"/>
      <c r="I175" s="74"/>
      <c r="J175" s="74"/>
      <c r="K175" s="74"/>
      <c r="L175" s="74"/>
      <c r="M175" s="96"/>
      <c r="N175" s="74"/>
      <c r="O175" s="74"/>
      <c r="P175" s="74"/>
    </row>
    <row r="176" spans="1:16" ht="15.75" customHeight="1">
      <c r="A176" s="94"/>
      <c r="B176" s="72"/>
      <c r="C176" s="74"/>
      <c r="D176" s="72"/>
      <c r="E176" s="95"/>
      <c r="F176" s="74"/>
      <c r="G176" s="72"/>
      <c r="H176" s="95"/>
      <c r="I176" s="74"/>
      <c r="J176" s="74"/>
      <c r="K176" s="74"/>
      <c r="L176" s="74"/>
      <c r="M176" s="96"/>
      <c r="N176" s="74"/>
      <c r="O176" s="74"/>
      <c r="P176" s="74"/>
    </row>
    <row r="177" spans="1:16" ht="15.75" customHeight="1">
      <c r="A177" s="94"/>
      <c r="B177" s="72"/>
      <c r="C177" s="74"/>
      <c r="D177" s="72"/>
      <c r="E177" s="95"/>
      <c r="F177" s="74"/>
      <c r="G177" s="72"/>
      <c r="H177" s="95"/>
      <c r="I177" s="74"/>
      <c r="J177" s="74"/>
      <c r="K177" s="74"/>
      <c r="L177" s="74"/>
      <c r="M177" s="96"/>
      <c r="N177" s="74"/>
      <c r="O177" s="74"/>
      <c r="P177" s="74"/>
    </row>
    <row r="178" spans="1:16" ht="15.75" customHeight="1">
      <c r="A178" s="94"/>
      <c r="B178" s="72"/>
      <c r="C178" s="74"/>
      <c r="D178" s="72"/>
      <c r="E178" s="95"/>
      <c r="F178" s="74"/>
      <c r="G178" s="72"/>
      <c r="H178" s="95"/>
      <c r="I178" s="74"/>
      <c r="J178" s="74"/>
      <c r="K178" s="74"/>
      <c r="L178" s="74"/>
      <c r="M178" s="96"/>
      <c r="N178" s="74"/>
      <c r="O178" s="74"/>
      <c r="P178" s="74"/>
    </row>
    <row r="179" spans="1:16" ht="15.75" customHeight="1">
      <c r="A179" s="94"/>
      <c r="B179" s="72"/>
      <c r="C179" s="74"/>
      <c r="D179" s="72"/>
      <c r="E179" s="95"/>
      <c r="F179" s="74"/>
      <c r="G179" s="72"/>
      <c r="H179" s="95"/>
      <c r="I179" s="74"/>
      <c r="J179" s="74"/>
      <c r="K179" s="74"/>
      <c r="L179" s="74"/>
      <c r="M179" s="96"/>
      <c r="N179" s="74"/>
      <c r="O179" s="74"/>
      <c r="P179" s="74"/>
    </row>
    <row r="180" spans="1:16" ht="15.75" customHeight="1">
      <c r="A180" s="94"/>
      <c r="B180" s="72"/>
      <c r="C180" s="74"/>
      <c r="D180" s="72"/>
      <c r="E180" s="95"/>
      <c r="F180" s="74"/>
      <c r="G180" s="72"/>
      <c r="H180" s="95"/>
      <c r="I180" s="74"/>
      <c r="J180" s="74"/>
      <c r="K180" s="74"/>
      <c r="L180" s="74"/>
      <c r="M180" s="96"/>
      <c r="N180" s="74"/>
      <c r="O180" s="74"/>
      <c r="P180" s="74"/>
    </row>
    <row r="181" spans="1:16" ht="15.75" customHeight="1">
      <c r="A181" s="94"/>
      <c r="B181" s="72"/>
      <c r="C181" s="74"/>
      <c r="D181" s="72"/>
      <c r="E181" s="95"/>
      <c r="F181" s="74"/>
      <c r="G181" s="72"/>
      <c r="H181" s="95"/>
      <c r="I181" s="74"/>
      <c r="J181" s="74"/>
      <c r="K181" s="74"/>
      <c r="L181" s="74"/>
      <c r="M181" s="96"/>
      <c r="N181" s="74"/>
      <c r="O181" s="74"/>
      <c r="P181" s="74"/>
    </row>
    <row r="182" spans="1:16" ht="15.75" customHeight="1">
      <c r="A182" s="94"/>
      <c r="B182" s="72"/>
      <c r="C182" s="74"/>
      <c r="D182" s="72"/>
      <c r="E182" s="95"/>
      <c r="F182" s="74"/>
      <c r="G182" s="72"/>
      <c r="H182" s="95"/>
      <c r="I182" s="74"/>
      <c r="J182" s="74"/>
      <c r="K182" s="74"/>
      <c r="L182" s="74"/>
      <c r="M182" s="96"/>
      <c r="N182" s="74"/>
      <c r="O182" s="74"/>
      <c r="P182" s="74"/>
    </row>
    <row r="183" spans="1:16" ht="15.75" customHeight="1">
      <c r="A183" s="94"/>
      <c r="B183" s="72"/>
      <c r="C183" s="74"/>
      <c r="D183" s="72"/>
      <c r="E183" s="95"/>
      <c r="F183" s="74"/>
      <c r="G183" s="72"/>
      <c r="H183" s="95"/>
      <c r="I183" s="74"/>
      <c r="J183" s="74"/>
      <c r="K183" s="74"/>
      <c r="L183" s="74"/>
      <c r="M183" s="96"/>
      <c r="N183" s="74"/>
      <c r="O183" s="74"/>
      <c r="P183" s="74"/>
    </row>
    <row r="184" spans="1:16" ht="15.75" customHeight="1">
      <c r="A184" s="94"/>
      <c r="B184" s="72"/>
      <c r="C184" s="74"/>
      <c r="D184" s="72"/>
      <c r="E184" s="95"/>
      <c r="F184" s="74"/>
      <c r="G184" s="72"/>
      <c r="H184" s="95"/>
      <c r="I184" s="74"/>
      <c r="J184" s="74"/>
      <c r="K184" s="74"/>
      <c r="L184" s="74"/>
      <c r="M184" s="96"/>
      <c r="N184" s="74"/>
      <c r="O184" s="74"/>
      <c r="P184" s="74"/>
    </row>
    <row r="185" spans="1:16" ht="15.75" customHeight="1">
      <c r="A185" s="94"/>
      <c r="B185" s="72"/>
      <c r="C185" s="74"/>
      <c r="D185" s="72"/>
      <c r="E185" s="95"/>
      <c r="F185" s="74"/>
      <c r="G185" s="72"/>
      <c r="H185" s="95"/>
      <c r="I185" s="74"/>
      <c r="J185" s="74"/>
      <c r="K185" s="74"/>
      <c r="L185" s="74"/>
      <c r="M185" s="96"/>
      <c r="N185" s="74"/>
      <c r="O185" s="74"/>
      <c r="P185" s="74"/>
    </row>
    <row r="186" spans="1:16" ht="15.75" customHeight="1">
      <c r="A186" s="94"/>
      <c r="B186" s="72"/>
      <c r="C186" s="74"/>
      <c r="D186" s="72"/>
      <c r="E186" s="95"/>
      <c r="F186" s="74"/>
      <c r="G186" s="72"/>
      <c r="H186" s="95"/>
      <c r="I186" s="74"/>
      <c r="J186" s="74"/>
      <c r="K186" s="74"/>
      <c r="L186" s="74"/>
      <c r="M186" s="96"/>
      <c r="N186" s="74"/>
      <c r="O186" s="74"/>
      <c r="P186" s="74"/>
    </row>
    <row r="187" spans="1:16" ht="15.75" customHeight="1">
      <c r="A187" s="94"/>
      <c r="B187" s="72"/>
      <c r="C187" s="74"/>
      <c r="D187" s="72"/>
      <c r="E187" s="95"/>
      <c r="F187" s="74"/>
      <c r="G187" s="72"/>
      <c r="H187" s="95"/>
      <c r="I187" s="74"/>
      <c r="J187" s="74"/>
      <c r="K187" s="74"/>
      <c r="L187" s="74"/>
      <c r="M187" s="96"/>
      <c r="N187" s="74"/>
      <c r="O187" s="74"/>
      <c r="P187" s="74"/>
    </row>
    <row r="188" spans="1:16" ht="15.75" customHeight="1">
      <c r="A188" s="94"/>
      <c r="B188" s="72"/>
      <c r="C188" s="74"/>
      <c r="D188" s="72"/>
      <c r="E188" s="95"/>
      <c r="F188" s="74"/>
      <c r="G188" s="72"/>
      <c r="H188" s="95"/>
      <c r="I188" s="74"/>
      <c r="J188" s="74"/>
      <c r="K188" s="74"/>
      <c r="L188" s="74"/>
      <c r="M188" s="96"/>
      <c r="N188" s="74"/>
      <c r="O188" s="74"/>
      <c r="P188" s="74"/>
    </row>
    <row r="189" spans="1:16" ht="15.75" customHeight="1">
      <c r="A189" s="94"/>
      <c r="B189" s="72"/>
      <c r="C189" s="74"/>
      <c r="D189" s="72"/>
      <c r="E189" s="95"/>
      <c r="F189" s="74"/>
      <c r="G189" s="72"/>
      <c r="H189" s="95"/>
      <c r="I189" s="74"/>
      <c r="J189" s="74"/>
      <c r="K189" s="74"/>
      <c r="L189" s="74"/>
      <c r="M189" s="96"/>
      <c r="N189" s="74"/>
      <c r="O189" s="74"/>
      <c r="P189" s="74"/>
    </row>
    <row r="190" spans="1:16" ht="15.75" customHeight="1">
      <c r="A190" s="94"/>
      <c r="B190" s="72"/>
      <c r="C190" s="74"/>
      <c r="D190" s="72"/>
      <c r="E190" s="95"/>
      <c r="F190" s="74"/>
      <c r="G190" s="72"/>
      <c r="H190" s="95"/>
      <c r="I190" s="74"/>
      <c r="J190" s="74"/>
      <c r="K190" s="74"/>
      <c r="L190" s="74"/>
      <c r="M190" s="96"/>
      <c r="N190" s="74"/>
      <c r="O190" s="74"/>
      <c r="P190" s="74"/>
    </row>
    <row r="191" spans="1:16" ht="15.75" customHeight="1">
      <c r="A191" s="94"/>
      <c r="B191" s="72"/>
      <c r="C191" s="74"/>
      <c r="D191" s="72"/>
      <c r="E191" s="95"/>
      <c r="F191" s="74"/>
      <c r="G191" s="72"/>
      <c r="H191" s="95"/>
      <c r="I191" s="74"/>
      <c r="J191" s="74"/>
      <c r="K191" s="74"/>
      <c r="L191" s="74"/>
      <c r="M191" s="96"/>
      <c r="N191" s="74"/>
      <c r="O191" s="74"/>
      <c r="P191" s="74"/>
    </row>
    <row r="192" spans="1:16" ht="15.75" customHeight="1">
      <c r="A192" s="94"/>
      <c r="B192" s="72"/>
      <c r="C192" s="74"/>
      <c r="D192" s="72"/>
      <c r="E192" s="95"/>
      <c r="F192" s="74"/>
      <c r="G192" s="72"/>
      <c r="H192" s="95"/>
      <c r="I192" s="74"/>
      <c r="J192" s="74"/>
      <c r="K192" s="74"/>
      <c r="L192" s="74"/>
      <c r="M192" s="96"/>
      <c r="N192" s="74"/>
      <c r="O192" s="74"/>
      <c r="P192" s="74"/>
    </row>
    <row r="193" spans="1:16" ht="15.75" customHeight="1">
      <c r="A193" s="94"/>
      <c r="B193" s="72"/>
      <c r="C193" s="74"/>
      <c r="D193" s="72"/>
      <c r="E193" s="95"/>
      <c r="F193" s="74"/>
      <c r="G193" s="72"/>
      <c r="H193" s="95"/>
      <c r="I193" s="74"/>
      <c r="J193" s="74"/>
      <c r="K193" s="74"/>
      <c r="L193" s="74"/>
      <c r="M193" s="96"/>
      <c r="N193" s="74"/>
      <c r="O193" s="74"/>
      <c r="P193" s="74"/>
    </row>
    <row r="194" spans="1:16" ht="15.75" customHeight="1">
      <c r="A194" s="94"/>
      <c r="B194" s="72"/>
      <c r="C194" s="74"/>
      <c r="D194" s="72"/>
      <c r="E194" s="95"/>
      <c r="F194" s="74"/>
      <c r="G194" s="72"/>
      <c r="H194" s="95"/>
      <c r="I194" s="74"/>
      <c r="J194" s="74"/>
      <c r="K194" s="74"/>
      <c r="L194" s="74"/>
      <c r="M194" s="96"/>
      <c r="N194" s="74"/>
      <c r="O194" s="74"/>
      <c r="P194" s="74"/>
    </row>
    <row r="195" spans="1:16" ht="15.75" customHeight="1">
      <c r="A195" s="94"/>
      <c r="B195" s="72"/>
      <c r="C195" s="74"/>
      <c r="D195" s="72"/>
      <c r="E195" s="95"/>
      <c r="F195" s="74"/>
      <c r="G195" s="72"/>
      <c r="H195" s="95"/>
      <c r="I195" s="74"/>
      <c r="J195" s="74"/>
      <c r="K195" s="74"/>
      <c r="L195" s="74"/>
      <c r="M195" s="96"/>
      <c r="N195" s="74"/>
      <c r="O195" s="74"/>
      <c r="P195" s="74"/>
    </row>
    <row r="196" spans="1:16" ht="15.75" customHeight="1">
      <c r="A196" s="94"/>
      <c r="B196" s="72"/>
      <c r="C196" s="74"/>
      <c r="D196" s="72"/>
      <c r="E196" s="95"/>
      <c r="F196" s="74"/>
      <c r="G196" s="72"/>
      <c r="H196" s="95"/>
      <c r="I196" s="74"/>
      <c r="J196" s="74"/>
      <c r="K196" s="74"/>
      <c r="L196" s="74"/>
      <c r="M196" s="96"/>
      <c r="N196" s="74"/>
      <c r="O196" s="74"/>
      <c r="P196" s="74"/>
    </row>
    <row r="197" spans="1:16" ht="15.75" customHeight="1">
      <c r="A197" s="94"/>
      <c r="B197" s="72"/>
      <c r="C197" s="74"/>
      <c r="D197" s="72"/>
      <c r="E197" s="95"/>
      <c r="F197" s="74"/>
      <c r="G197" s="72"/>
      <c r="H197" s="95"/>
      <c r="I197" s="74"/>
      <c r="J197" s="74"/>
      <c r="K197" s="74"/>
      <c r="L197" s="74"/>
      <c r="M197" s="96"/>
      <c r="N197" s="74"/>
      <c r="O197" s="74"/>
      <c r="P197" s="74"/>
    </row>
    <row r="198" spans="1:16" ht="15.75" customHeight="1">
      <c r="A198" s="94"/>
      <c r="B198" s="72"/>
      <c r="C198" s="74"/>
      <c r="D198" s="72"/>
      <c r="E198" s="95"/>
      <c r="F198" s="74"/>
      <c r="G198" s="72"/>
      <c r="H198" s="95"/>
      <c r="I198" s="74"/>
      <c r="J198" s="74"/>
      <c r="K198" s="74"/>
      <c r="L198" s="74"/>
      <c r="M198" s="96"/>
      <c r="N198" s="74"/>
      <c r="O198" s="74"/>
      <c r="P198" s="74"/>
    </row>
    <row r="199" spans="1:16" ht="15.75" customHeight="1">
      <c r="A199" s="94"/>
      <c r="B199" s="72"/>
      <c r="C199" s="74"/>
      <c r="D199" s="72"/>
      <c r="E199" s="95"/>
      <c r="F199" s="74"/>
      <c r="G199" s="72"/>
      <c r="H199" s="95"/>
      <c r="I199" s="74"/>
      <c r="J199" s="74"/>
      <c r="K199" s="74"/>
      <c r="L199" s="74"/>
      <c r="M199" s="96"/>
      <c r="N199" s="74"/>
      <c r="O199" s="74"/>
      <c r="P199" s="74"/>
    </row>
    <row r="200" spans="1:16" ht="15.75" customHeight="1">
      <c r="A200" s="94"/>
      <c r="B200" s="72"/>
      <c r="C200" s="74"/>
      <c r="D200" s="72"/>
      <c r="E200" s="95"/>
      <c r="F200" s="74"/>
      <c r="G200" s="72"/>
      <c r="H200" s="95"/>
      <c r="I200" s="74"/>
      <c r="J200" s="74"/>
      <c r="K200" s="74"/>
      <c r="L200" s="74"/>
      <c r="M200" s="96"/>
      <c r="N200" s="74"/>
      <c r="O200" s="74"/>
      <c r="P200" s="74"/>
    </row>
    <row r="201" spans="1:16" ht="15.75" customHeight="1">
      <c r="A201" s="94"/>
      <c r="B201" s="72"/>
      <c r="C201" s="74"/>
      <c r="D201" s="72"/>
      <c r="E201" s="95"/>
      <c r="F201" s="74"/>
      <c r="G201" s="72"/>
      <c r="H201" s="95"/>
      <c r="I201" s="74"/>
      <c r="J201" s="74"/>
      <c r="K201" s="74"/>
      <c r="L201" s="74"/>
      <c r="M201" s="96"/>
      <c r="N201" s="74"/>
      <c r="O201" s="74"/>
      <c r="P201" s="74"/>
    </row>
    <row r="202" spans="1:16" ht="15.75" customHeight="1">
      <c r="A202" s="94"/>
      <c r="B202" s="72"/>
      <c r="C202" s="74"/>
      <c r="D202" s="72"/>
      <c r="E202" s="95"/>
      <c r="F202" s="74"/>
      <c r="G202" s="72"/>
      <c r="H202" s="95"/>
      <c r="I202" s="74"/>
      <c r="J202" s="74"/>
      <c r="K202" s="74"/>
      <c r="L202" s="74"/>
      <c r="M202" s="96"/>
      <c r="N202" s="74"/>
      <c r="O202" s="74"/>
      <c r="P202" s="74"/>
    </row>
    <row r="203" spans="1:16" ht="15.75" customHeight="1">
      <c r="A203" s="94"/>
      <c r="B203" s="72"/>
      <c r="C203" s="74"/>
      <c r="D203" s="72"/>
      <c r="E203" s="95"/>
      <c r="F203" s="74"/>
      <c r="G203" s="72"/>
      <c r="H203" s="95"/>
      <c r="I203" s="74"/>
      <c r="J203" s="74"/>
      <c r="K203" s="74"/>
      <c r="L203" s="74"/>
      <c r="M203" s="96"/>
      <c r="N203" s="74"/>
      <c r="O203" s="74"/>
      <c r="P203" s="74"/>
    </row>
    <row r="204" spans="1:16" ht="15.75" customHeight="1">
      <c r="A204" s="94"/>
      <c r="B204" s="72"/>
      <c r="C204" s="74"/>
      <c r="D204" s="72"/>
      <c r="E204" s="95"/>
      <c r="F204" s="74"/>
      <c r="G204" s="72"/>
      <c r="H204" s="95"/>
      <c r="I204" s="74"/>
      <c r="J204" s="74"/>
      <c r="K204" s="74"/>
      <c r="L204" s="74"/>
      <c r="M204" s="96"/>
      <c r="N204" s="74"/>
      <c r="O204" s="74"/>
      <c r="P204" s="74"/>
    </row>
    <row r="205" spans="1:16" ht="15.75" customHeight="1">
      <c r="A205" s="94"/>
      <c r="B205" s="72"/>
      <c r="C205" s="74"/>
      <c r="D205" s="72"/>
      <c r="E205" s="95"/>
      <c r="F205" s="74"/>
      <c r="G205" s="72"/>
      <c r="H205" s="95"/>
      <c r="I205" s="74"/>
      <c r="J205" s="74"/>
      <c r="K205" s="74"/>
      <c r="L205" s="74"/>
      <c r="M205" s="96"/>
      <c r="N205" s="74"/>
      <c r="O205" s="74"/>
      <c r="P205" s="74"/>
    </row>
    <row r="206" spans="1:16" ht="15.75" customHeight="1">
      <c r="A206" s="94"/>
      <c r="B206" s="72"/>
      <c r="C206" s="74"/>
      <c r="D206" s="72"/>
      <c r="E206" s="95"/>
      <c r="F206" s="74"/>
      <c r="G206" s="72"/>
      <c r="H206" s="95"/>
      <c r="I206" s="74"/>
      <c r="J206" s="74"/>
      <c r="K206" s="74"/>
      <c r="L206" s="74"/>
      <c r="M206" s="96"/>
      <c r="N206" s="74"/>
      <c r="O206" s="74"/>
      <c r="P206" s="74"/>
    </row>
    <row r="207" spans="1:16" ht="15.75" customHeight="1">
      <c r="A207" s="94"/>
      <c r="B207" s="72"/>
      <c r="C207" s="74"/>
      <c r="D207" s="72"/>
      <c r="E207" s="95"/>
      <c r="F207" s="74"/>
      <c r="G207" s="72"/>
      <c r="H207" s="95"/>
      <c r="I207" s="74"/>
      <c r="J207" s="74"/>
      <c r="K207" s="74"/>
      <c r="L207" s="74"/>
      <c r="M207" s="96"/>
      <c r="N207" s="74"/>
      <c r="O207" s="74"/>
      <c r="P207" s="74"/>
    </row>
    <row r="208" spans="1:16" ht="15.75" customHeight="1">
      <c r="A208" s="94"/>
      <c r="B208" s="72"/>
      <c r="C208" s="74"/>
      <c r="D208" s="72"/>
      <c r="E208" s="95"/>
      <c r="F208" s="74"/>
      <c r="G208" s="72"/>
      <c r="H208" s="95"/>
      <c r="I208" s="74"/>
      <c r="J208" s="74"/>
      <c r="K208" s="74"/>
      <c r="L208" s="74"/>
      <c r="M208" s="96"/>
      <c r="N208" s="74"/>
      <c r="O208" s="74"/>
      <c r="P208" s="74"/>
    </row>
    <row r="209" spans="1:16" ht="15.75" customHeight="1">
      <c r="A209" s="94"/>
      <c r="B209" s="72"/>
      <c r="C209" s="74"/>
      <c r="D209" s="72"/>
      <c r="E209" s="95"/>
      <c r="F209" s="74"/>
      <c r="G209" s="72"/>
      <c r="H209" s="95"/>
      <c r="I209" s="74"/>
      <c r="J209" s="74"/>
      <c r="K209" s="74"/>
      <c r="L209" s="74"/>
      <c r="M209" s="96"/>
      <c r="N209" s="74"/>
      <c r="O209" s="74"/>
      <c r="P209" s="74"/>
    </row>
    <row r="210" spans="1:16" ht="15.75" customHeight="1">
      <c r="A210" s="94"/>
      <c r="B210" s="72"/>
      <c r="C210" s="74"/>
      <c r="D210" s="72"/>
      <c r="E210" s="95"/>
      <c r="F210" s="74"/>
      <c r="G210" s="72"/>
      <c r="H210" s="95"/>
      <c r="I210" s="74"/>
      <c r="J210" s="74"/>
      <c r="K210" s="74"/>
      <c r="L210" s="74"/>
      <c r="M210" s="96"/>
      <c r="N210" s="74"/>
      <c r="O210" s="74"/>
      <c r="P210" s="74"/>
    </row>
    <row r="211" spans="1:16" ht="15.75" customHeight="1">
      <c r="A211" s="94"/>
      <c r="B211" s="72"/>
      <c r="C211" s="74"/>
      <c r="D211" s="72"/>
      <c r="E211" s="95"/>
      <c r="F211" s="74"/>
      <c r="G211" s="72"/>
      <c r="H211" s="95"/>
      <c r="I211" s="74"/>
      <c r="J211" s="74"/>
      <c r="K211" s="74"/>
      <c r="L211" s="74"/>
      <c r="M211" s="96"/>
      <c r="N211" s="74"/>
      <c r="O211" s="74"/>
      <c r="P211" s="74"/>
    </row>
    <row r="212" spans="1:16" ht="15.75" customHeight="1">
      <c r="A212" s="94"/>
      <c r="B212" s="72"/>
      <c r="C212" s="74"/>
      <c r="D212" s="72"/>
      <c r="E212" s="95"/>
      <c r="F212" s="74"/>
      <c r="G212" s="72"/>
      <c r="H212" s="95"/>
      <c r="I212" s="74"/>
      <c r="J212" s="74"/>
      <c r="K212" s="74"/>
      <c r="L212" s="74"/>
      <c r="M212" s="96"/>
      <c r="N212" s="74"/>
      <c r="O212" s="74"/>
      <c r="P212" s="74"/>
    </row>
    <row r="213" spans="1:16" ht="15.75" customHeight="1">
      <c r="A213" s="94"/>
      <c r="B213" s="72"/>
      <c r="C213" s="74"/>
      <c r="D213" s="72"/>
      <c r="E213" s="95"/>
      <c r="F213" s="74"/>
      <c r="G213" s="72"/>
      <c r="H213" s="95"/>
      <c r="I213" s="74"/>
      <c r="J213" s="74"/>
      <c r="K213" s="74"/>
      <c r="L213" s="74"/>
      <c r="M213" s="96"/>
      <c r="N213" s="74"/>
      <c r="O213" s="74"/>
      <c r="P213" s="74"/>
    </row>
    <row r="214" spans="1:16" ht="15.75" customHeight="1">
      <c r="A214" s="94"/>
      <c r="B214" s="72"/>
      <c r="C214" s="74"/>
      <c r="D214" s="72"/>
      <c r="E214" s="95"/>
      <c r="F214" s="74"/>
      <c r="G214" s="72"/>
      <c r="H214" s="95"/>
      <c r="I214" s="74"/>
      <c r="J214" s="74"/>
      <c r="K214" s="74"/>
      <c r="L214" s="74"/>
      <c r="M214" s="96"/>
      <c r="N214" s="74"/>
      <c r="O214" s="74"/>
      <c r="P214" s="74"/>
    </row>
    <row r="215" spans="1:16" ht="15.75" customHeight="1">
      <c r="A215" s="94"/>
      <c r="B215" s="72"/>
      <c r="C215" s="74"/>
      <c r="D215" s="72"/>
      <c r="E215" s="95"/>
      <c r="F215" s="74"/>
      <c r="G215" s="72"/>
      <c r="H215" s="95"/>
      <c r="I215" s="74"/>
      <c r="J215" s="74"/>
      <c r="K215" s="74"/>
      <c r="L215" s="74"/>
      <c r="M215" s="96"/>
      <c r="N215" s="74"/>
      <c r="O215" s="74"/>
      <c r="P215" s="74"/>
    </row>
    <row r="216" spans="1:16" ht="15.75" customHeight="1">
      <c r="A216" s="94"/>
      <c r="B216" s="72"/>
      <c r="C216" s="74"/>
      <c r="D216" s="72"/>
      <c r="E216" s="95"/>
      <c r="F216" s="74"/>
      <c r="G216" s="72"/>
      <c r="H216" s="95"/>
      <c r="I216" s="74"/>
      <c r="J216" s="74"/>
      <c r="K216" s="74"/>
      <c r="L216" s="74"/>
      <c r="M216" s="96"/>
      <c r="N216" s="74"/>
      <c r="O216" s="74"/>
      <c r="P216" s="74"/>
    </row>
    <row r="217" spans="1:16" ht="15.75" customHeight="1">
      <c r="A217" s="94"/>
      <c r="B217" s="72"/>
      <c r="C217" s="74"/>
      <c r="D217" s="72"/>
      <c r="E217" s="95"/>
      <c r="F217" s="74"/>
      <c r="G217" s="72"/>
      <c r="H217" s="95"/>
      <c r="I217" s="74"/>
      <c r="J217" s="74"/>
      <c r="K217" s="74"/>
      <c r="L217" s="74"/>
      <c r="M217" s="96"/>
      <c r="N217" s="74"/>
      <c r="O217" s="74"/>
      <c r="P217" s="74"/>
    </row>
    <row r="218" spans="1:16" ht="15.75" customHeight="1">
      <c r="A218" s="94"/>
      <c r="B218" s="72"/>
      <c r="C218" s="74"/>
      <c r="D218" s="72"/>
      <c r="E218" s="95"/>
      <c r="F218" s="74"/>
      <c r="G218" s="72"/>
      <c r="H218" s="95"/>
      <c r="I218" s="74"/>
      <c r="J218" s="74"/>
      <c r="K218" s="74"/>
      <c r="L218" s="74"/>
      <c r="M218" s="96"/>
      <c r="N218" s="74"/>
      <c r="O218" s="74"/>
      <c r="P218" s="74"/>
    </row>
    <row r="219" spans="1:16" ht="15.75" customHeight="1">
      <c r="A219" s="94"/>
      <c r="B219" s="72"/>
      <c r="C219" s="74"/>
      <c r="D219" s="72"/>
      <c r="E219" s="95"/>
      <c r="F219" s="74"/>
      <c r="G219" s="72"/>
      <c r="H219" s="95"/>
      <c r="I219" s="74"/>
      <c r="J219" s="74"/>
      <c r="K219" s="74"/>
      <c r="L219" s="74"/>
      <c r="M219" s="96"/>
      <c r="N219" s="74"/>
      <c r="O219" s="74"/>
      <c r="P219" s="74"/>
    </row>
    <row r="220" spans="1:16" ht="15.75" customHeight="1">
      <c r="A220" s="94"/>
      <c r="B220" s="72"/>
      <c r="C220" s="74"/>
      <c r="D220" s="72"/>
      <c r="E220" s="95"/>
      <c r="F220" s="74"/>
      <c r="G220" s="72"/>
      <c r="H220" s="95"/>
      <c r="I220" s="74"/>
      <c r="J220" s="74"/>
      <c r="K220" s="74"/>
      <c r="L220" s="74"/>
      <c r="M220" s="96"/>
      <c r="N220" s="74"/>
      <c r="O220" s="74"/>
      <c r="P220" s="74"/>
    </row>
    <row r="221" spans="1:16" ht="15.75" customHeight="1">
      <c r="A221" s="94"/>
      <c r="B221" s="72"/>
      <c r="C221" s="74"/>
      <c r="D221" s="72"/>
      <c r="E221" s="95"/>
      <c r="F221" s="74"/>
      <c r="G221" s="72"/>
      <c r="H221" s="95"/>
      <c r="I221" s="74"/>
      <c r="J221" s="74"/>
      <c r="K221" s="74"/>
      <c r="L221" s="74"/>
      <c r="M221" s="96"/>
      <c r="N221" s="74"/>
      <c r="O221" s="74"/>
      <c r="P221" s="74"/>
    </row>
    <row r="222" spans="1:16" ht="15.75" customHeight="1">
      <c r="A222" s="94"/>
      <c r="B222" s="72"/>
      <c r="C222" s="74"/>
      <c r="D222" s="72"/>
      <c r="E222" s="95"/>
      <c r="F222" s="74"/>
      <c r="G222" s="72"/>
      <c r="H222" s="95"/>
      <c r="I222" s="74"/>
      <c r="J222" s="74"/>
      <c r="K222" s="74"/>
      <c r="L222" s="74"/>
      <c r="M222" s="96"/>
      <c r="N222" s="74"/>
      <c r="O222" s="74"/>
      <c r="P222" s="74"/>
    </row>
    <row r="223" spans="1:16" ht="15.75" customHeight="1">
      <c r="A223" s="94"/>
      <c r="B223" s="72"/>
      <c r="C223" s="74"/>
      <c r="D223" s="72"/>
      <c r="E223" s="95"/>
      <c r="F223" s="74"/>
      <c r="G223" s="72"/>
      <c r="H223" s="95"/>
      <c r="I223" s="74"/>
      <c r="J223" s="74"/>
      <c r="K223" s="74"/>
      <c r="L223" s="74"/>
      <c r="M223" s="96"/>
      <c r="N223" s="74"/>
      <c r="O223" s="74"/>
      <c r="P223" s="74"/>
    </row>
    <row r="224" spans="1:16" ht="15.75" customHeight="1">
      <c r="A224" s="94"/>
      <c r="B224" s="72"/>
      <c r="C224" s="74"/>
      <c r="D224" s="72"/>
      <c r="E224" s="95"/>
      <c r="F224" s="74"/>
      <c r="G224" s="72"/>
      <c r="H224" s="95"/>
      <c r="I224" s="74"/>
      <c r="J224" s="74"/>
      <c r="K224" s="74"/>
      <c r="L224" s="74"/>
      <c r="M224" s="96"/>
      <c r="N224" s="74"/>
      <c r="O224" s="74"/>
      <c r="P224" s="74"/>
    </row>
    <row r="225" spans="1:16" ht="15.75" customHeight="1">
      <c r="A225" s="94"/>
      <c r="B225" s="72"/>
      <c r="C225" s="74"/>
      <c r="D225" s="72"/>
      <c r="E225" s="95"/>
      <c r="F225" s="74"/>
      <c r="G225" s="72"/>
      <c r="H225" s="95"/>
      <c r="I225" s="74"/>
      <c r="J225" s="74"/>
      <c r="K225" s="74"/>
      <c r="L225" s="74"/>
      <c r="M225" s="96"/>
      <c r="N225" s="74"/>
      <c r="O225" s="74"/>
      <c r="P225" s="74"/>
    </row>
    <row r="226" spans="1:16" ht="15.75" customHeight="1">
      <c r="A226" s="94"/>
      <c r="B226" s="72"/>
      <c r="C226" s="74"/>
      <c r="D226" s="72"/>
      <c r="E226" s="95"/>
      <c r="F226" s="74"/>
      <c r="G226" s="72"/>
      <c r="H226" s="95"/>
      <c r="I226" s="74"/>
      <c r="J226" s="74"/>
      <c r="K226" s="74"/>
      <c r="L226" s="74"/>
      <c r="M226" s="96"/>
      <c r="N226" s="74"/>
      <c r="O226" s="74"/>
      <c r="P226" s="74"/>
    </row>
    <row r="227" spans="1:16" ht="15.75" customHeight="1">
      <c r="A227" s="94"/>
      <c r="B227" s="72"/>
      <c r="C227" s="74"/>
      <c r="D227" s="72"/>
      <c r="E227" s="95"/>
      <c r="F227" s="74"/>
      <c r="G227" s="72"/>
      <c r="H227" s="95"/>
      <c r="I227" s="74"/>
      <c r="J227" s="74"/>
      <c r="K227" s="74"/>
      <c r="L227" s="74"/>
      <c r="M227" s="96"/>
      <c r="N227" s="74"/>
      <c r="O227" s="74"/>
      <c r="P227" s="74"/>
    </row>
    <row r="228" spans="1:16" ht="15.75" customHeight="1">
      <c r="A228" s="94"/>
      <c r="B228" s="72"/>
      <c r="C228" s="74"/>
      <c r="D228" s="72"/>
      <c r="E228" s="95"/>
      <c r="F228" s="74"/>
      <c r="G228" s="72"/>
      <c r="H228" s="95"/>
      <c r="I228" s="74"/>
      <c r="J228" s="74"/>
      <c r="K228" s="74"/>
      <c r="L228" s="74"/>
      <c r="M228" s="96"/>
      <c r="N228" s="74"/>
      <c r="O228" s="74"/>
      <c r="P228" s="74"/>
    </row>
    <row r="229" spans="1:16" ht="15.75" customHeight="1">
      <c r="A229" s="94"/>
      <c r="B229" s="72"/>
      <c r="C229" s="74"/>
      <c r="D229" s="72"/>
      <c r="E229" s="95"/>
      <c r="F229" s="74"/>
      <c r="G229" s="72"/>
      <c r="H229" s="95"/>
      <c r="I229" s="74"/>
      <c r="J229" s="74"/>
      <c r="K229" s="74"/>
      <c r="L229" s="74"/>
      <c r="M229" s="96"/>
      <c r="N229" s="74"/>
      <c r="O229" s="74"/>
      <c r="P229" s="74"/>
    </row>
    <row r="230" spans="1:16" ht="15.75" customHeight="1">
      <c r="A230" s="94"/>
      <c r="B230" s="72"/>
      <c r="C230" s="74"/>
      <c r="D230" s="72"/>
      <c r="E230" s="95"/>
      <c r="F230" s="74"/>
      <c r="G230" s="72"/>
      <c r="H230" s="95"/>
      <c r="I230" s="74"/>
      <c r="J230" s="74"/>
      <c r="K230" s="74"/>
      <c r="L230" s="74"/>
      <c r="M230" s="96"/>
      <c r="N230" s="74"/>
      <c r="O230" s="74"/>
      <c r="P230" s="74"/>
    </row>
    <row r="231" spans="1:16" ht="15.75" customHeight="1">
      <c r="A231" s="94"/>
      <c r="B231" s="72"/>
      <c r="C231" s="74"/>
      <c r="D231" s="72"/>
      <c r="E231" s="95"/>
      <c r="F231" s="74"/>
      <c r="G231" s="72"/>
      <c r="H231" s="95"/>
      <c r="I231" s="74"/>
      <c r="J231" s="74"/>
      <c r="K231" s="74"/>
      <c r="L231" s="74"/>
      <c r="M231" s="96"/>
      <c r="N231" s="74"/>
      <c r="O231" s="74"/>
      <c r="P231" s="74"/>
    </row>
    <row r="232" spans="1:16" ht="15.75" customHeight="1">
      <c r="A232" s="94"/>
      <c r="B232" s="72"/>
      <c r="C232" s="74"/>
      <c r="D232" s="72"/>
      <c r="E232" s="95"/>
      <c r="F232" s="74"/>
      <c r="G232" s="72"/>
      <c r="H232" s="95"/>
      <c r="I232" s="74"/>
      <c r="J232" s="74"/>
      <c r="K232" s="74"/>
      <c r="L232" s="74"/>
      <c r="M232" s="96"/>
      <c r="N232" s="74"/>
      <c r="O232" s="74"/>
      <c r="P232" s="74"/>
    </row>
    <row r="233" spans="1:16" ht="15.75" customHeight="1">
      <c r="A233" s="94"/>
      <c r="B233" s="72"/>
      <c r="C233" s="74"/>
      <c r="D233" s="72"/>
      <c r="E233" s="95"/>
      <c r="F233" s="74"/>
      <c r="G233" s="72"/>
      <c r="H233" s="95"/>
      <c r="I233" s="74"/>
      <c r="J233" s="74"/>
      <c r="K233" s="74"/>
      <c r="L233" s="74"/>
      <c r="M233" s="96"/>
      <c r="N233" s="74"/>
      <c r="O233" s="74"/>
      <c r="P233" s="74"/>
    </row>
    <row r="234" spans="1:16" ht="15.75" customHeight="1">
      <c r="A234" s="94"/>
      <c r="B234" s="72"/>
      <c r="C234" s="74"/>
      <c r="D234" s="72"/>
      <c r="E234" s="95"/>
      <c r="F234" s="74"/>
      <c r="G234" s="72"/>
      <c r="H234" s="95"/>
      <c r="I234" s="74"/>
      <c r="J234" s="74"/>
      <c r="K234" s="74"/>
      <c r="L234" s="74"/>
      <c r="M234" s="96"/>
      <c r="N234" s="74"/>
      <c r="O234" s="74"/>
      <c r="P234" s="74"/>
    </row>
    <row r="235" spans="1:16" ht="15.75" customHeight="1">
      <c r="A235" s="94"/>
      <c r="B235" s="72"/>
      <c r="C235" s="74"/>
      <c r="D235" s="72"/>
      <c r="E235" s="95"/>
      <c r="F235" s="74"/>
      <c r="G235" s="72"/>
      <c r="H235" s="95"/>
      <c r="I235" s="74"/>
      <c r="J235" s="74"/>
      <c r="K235" s="74"/>
      <c r="L235" s="74"/>
      <c r="M235" s="96"/>
      <c r="N235" s="74"/>
      <c r="O235" s="74"/>
      <c r="P235" s="74"/>
    </row>
    <row r="236" spans="1:16" ht="15.75" customHeight="1">
      <c r="A236" s="94"/>
      <c r="B236" s="72"/>
      <c r="C236" s="74"/>
      <c r="D236" s="72"/>
      <c r="E236" s="95"/>
      <c r="F236" s="74"/>
      <c r="G236" s="72"/>
      <c r="H236" s="95"/>
      <c r="I236" s="74"/>
      <c r="J236" s="74"/>
      <c r="K236" s="74"/>
      <c r="L236" s="74"/>
      <c r="M236" s="96"/>
      <c r="N236" s="74"/>
      <c r="O236" s="74"/>
      <c r="P236" s="74"/>
    </row>
    <row r="237" spans="1:16" ht="15.75" customHeight="1">
      <c r="A237" s="94"/>
      <c r="B237" s="72"/>
      <c r="C237" s="74"/>
      <c r="D237" s="72"/>
      <c r="E237" s="95"/>
      <c r="F237" s="74"/>
      <c r="G237" s="72"/>
      <c r="H237" s="95"/>
      <c r="I237" s="74"/>
      <c r="J237" s="74"/>
      <c r="K237" s="74"/>
      <c r="L237" s="74"/>
      <c r="M237" s="96"/>
      <c r="N237" s="74"/>
      <c r="O237" s="74"/>
      <c r="P237" s="74"/>
    </row>
    <row r="238" spans="1:16" ht="15.75" customHeight="1">
      <c r="A238" s="94"/>
      <c r="B238" s="72"/>
      <c r="C238" s="74"/>
      <c r="D238" s="72"/>
      <c r="E238" s="95"/>
      <c r="F238" s="74"/>
      <c r="G238" s="72"/>
      <c r="H238" s="95"/>
      <c r="I238" s="74"/>
      <c r="J238" s="74"/>
      <c r="K238" s="74"/>
      <c r="L238" s="74"/>
      <c r="M238" s="96"/>
      <c r="N238" s="74"/>
      <c r="O238" s="74"/>
      <c r="P238" s="74"/>
    </row>
    <row r="239" spans="1:16" ht="15.75" customHeight="1">
      <c r="A239" s="94"/>
      <c r="B239" s="72"/>
      <c r="C239" s="74"/>
      <c r="D239" s="72"/>
      <c r="E239" s="95"/>
      <c r="F239" s="74"/>
      <c r="G239" s="72"/>
      <c r="H239" s="95"/>
      <c r="I239" s="74"/>
      <c r="J239" s="74"/>
      <c r="K239" s="74"/>
      <c r="L239" s="74"/>
      <c r="M239" s="96"/>
      <c r="N239" s="74"/>
      <c r="O239" s="74"/>
      <c r="P239" s="74"/>
    </row>
    <row r="240" spans="1:16" ht="15.75" customHeight="1">
      <c r="A240" s="94"/>
      <c r="B240" s="72"/>
      <c r="C240" s="74"/>
      <c r="D240" s="72"/>
      <c r="E240" s="95"/>
      <c r="F240" s="74"/>
      <c r="G240" s="72"/>
      <c r="H240" s="95"/>
      <c r="I240" s="74"/>
      <c r="J240" s="74"/>
      <c r="K240" s="74"/>
      <c r="L240" s="74"/>
      <c r="M240" s="96"/>
      <c r="N240" s="74"/>
      <c r="O240" s="74"/>
      <c r="P240" s="74"/>
    </row>
    <row r="241" spans="1:16" ht="15.75" customHeight="1">
      <c r="A241" s="94"/>
      <c r="B241" s="72"/>
      <c r="C241" s="74"/>
      <c r="D241" s="72"/>
      <c r="E241" s="95"/>
      <c r="F241" s="74"/>
      <c r="G241" s="72"/>
      <c r="H241" s="95"/>
      <c r="I241" s="74"/>
      <c r="J241" s="74"/>
      <c r="K241" s="74"/>
      <c r="L241" s="74"/>
      <c r="M241" s="96"/>
      <c r="N241" s="74"/>
      <c r="O241" s="74"/>
      <c r="P241" s="74"/>
    </row>
    <row r="242" spans="1:16" ht="15.75" customHeight="1">
      <c r="A242" s="94"/>
      <c r="B242" s="72"/>
      <c r="C242" s="74"/>
      <c r="D242" s="72"/>
      <c r="E242" s="95"/>
      <c r="F242" s="74"/>
      <c r="G242" s="72"/>
      <c r="H242" s="95"/>
      <c r="I242" s="74"/>
      <c r="J242" s="74"/>
      <c r="K242" s="74"/>
      <c r="L242" s="74"/>
      <c r="M242" s="96"/>
      <c r="N242" s="74"/>
      <c r="O242" s="74"/>
      <c r="P242" s="74"/>
    </row>
    <row r="243" spans="1:16" ht="15.75" customHeight="1">
      <c r="A243" s="94"/>
      <c r="B243" s="72"/>
      <c r="C243" s="74"/>
      <c r="D243" s="72"/>
      <c r="E243" s="95"/>
      <c r="F243" s="74"/>
      <c r="G243" s="72"/>
      <c r="H243" s="95"/>
      <c r="I243" s="74"/>
      <c r="J243" s="74"/>
      <c r="K243" s="74"/>
      <c r="L243" s="74"/>
      <c r="M243" s="96"/>
      <c r="N243" s="74"/>
      <c r="O243" s="74"/>
      <c r="P243" s="74"/>
    </row>
    <row r="244" spans="1:16" ht="15.75" customHeight="1">
      <c r="A244" s="94"/>
      <c r="B244" s="72"/>
      <c r="C244" s="74"/>
      <c r="D244" s="72"/>
      <c r="E244" s="95"/>
      <c r="F244" s="74"/>
      <c r="G244" s="72"/>
      <c r="H244" s="95"/>
      <c r="I244" s="74"/>
      <c r="J244" s="74"/>
      <c r="K244" s="74"/>
      <c r="L244" s="74"/>
      <c r="M244" s="96"/>
      <c r="N244" s="74"/>
      <c r="O244" s="74"/>
      <c r="P244" s="74"/>
    </row>
    <row r="245" spans="1:16" ht="15.75" customHeight="1">
      <c r="A245" s="94"/>
      <c r="B245" s="72"/>
      <c r="C245" s="74"/>
      <c r="D245" s="72"/>
      <c r="E245" s="95"/>
      <c r="F245" s="74"/>
      <c r="G245" s="72"/>
      <c r="H245" s="95"/>
      <c r="I245" s="74"/>
      <c r="J245" s="74"/>
      <c r="K245" s="74"/>
      <c r="L245" s="74"/>
      <c r="M245" s="96"/>
      <c r="N245" s="74"/>
      <c r="O245" s="74"/>
      <c r="P245" s="74"/>
    </row>
    <row r="246" spans="1:16" ht="15.75" customHeight="1">
      <c r="A246" s="94"/>
      <c r="B246" s="72"/>
      <c r="C246" s="74"/>
      <c r="D246" s="72"/>
      <c r="E246" s="95"/>
      <c r="F246" s="74"/>
      <c r="G246" s="72"/>
      <c r="H246" s="95"/>
      <c r="I246" s="74"/>
      <c r="J246" s="74"/>
      <c r="K246" s="74"/>
      <c r="L246" s="74"/>
      <c r="M246" s="96"/>
      <c r="N246" s="74"/>
      <c r="O246" s="74"/>
      <c r="P246" s="74"/>
    </row>
    <row r="247" spans="1:16" ht="15.75" customHeight="1">
      <c r="A247" s="94"/>
      <c r="B247" s="72"/>
      <c r="C247" s="74"/>
      <c r="D247" s="72"/>
      <c r="E247" s="95"/>
      <c r="F247" s="74"/>
      <c r="G247" s="72"/>
      <c r="H247" s="95"/>
      <c r="I247" s="74"/>
      <c r="J247" s="74"/>
      <c r="K247" s="74"/>
      <c r="L247" s="74"/>
      <c r="M247" s="96"/>
      <c r="N247" s="74"/>
      <c r="O247" s="74"/>
      <c r="P247" s="74"/>
    </row>
    <row r="248" spans="1:16" ht="15.75" customHeight="1">
      <c r="A248" s="94"/>
      <c r="B248" s="72"/>
      <c r="C248" s="74"/>
      <c r="D248" s="72"/>
      <c r="E248" s="95"/>
      <c r="F248" s="74"/>
      <c r="G248" s="72"/>
      <c r="H248" s="95"/>
      <c r="I248" s="74"/>
      <c r="J248" s="74"/>
      <c r="K248" s="74"/>
      <c r="L248" s="74"/>
      <c r="M248" s="96"/>
      <c r="N248" s="74"/>
      <c r="O248" s="74"/>
      <c r="P248" s="74"/>
    </row>
    <row r="249" spans="1:16" ht="15.75" customHeight="1">
      <c r="A249" s="94"/>
      <c r="B249" s="72"/>
      <c r="C249" s="74"/>
      <c r="D249" s="72"/>
      <c r="E249" s="95"/>
      <c r="F249" s="74"/>
      <c r="G249" s="72"/>
      <c r="H249" s="95"/>
      <c r="I249" s="74"/>
      <c r="J249" s="74"/>
      <c r="K249" s="74"/>
      <c r="L249" s="74"/>
      <c r="M249" s="96"/>
      <c r="N249" s="74"/>
      <c r="O249" s="74"/>
      <c r="P249" s="74"/>
    </row>
    <row r="250" spans="1:16" ht="15.75" customHeight="1">
      <c r="A250" s="94"/>
      <c r="B250" s="72"/>
      <c r="C250" s="74"/>
      <c r="D250" s="72"/>
      <c r="E250" s="95"/>
      <c r="F250" s="74"/>
      <c r="G250" s="72"/>
      <c r="H250" s="95"/>
      <c r="I250" s="74"/>
      <c r="J250" s="74"/>
      <c r="K250" s="74"/>
      <c r="L250" s="74"/>
      <c r="M250" s="96"/>
      <c r="N250" s="74"/>
      <c r="O250" s="74"/>
      <c r="P250" s="74"/>
    </row>
    <row r="251" spans="1:16" ht="15.75" customHeight="1">
      <c r="A251" s="94"/>
      <c r="B251" s="72"/>
      <c r="C251" s="74"/>
      <c r="D251" s="72"/>
      <c r="E251" s="95"/>
      <c r="F251" s="74"/>
      <c r="G251" s="72"/>
      <c r="H251" s="95"/>
      <c r="I251" s="74"/>
      <c r="J251" s="74"/>
      <c r="K251" s="74"/>
      <c r="L251" s="74"/>
      <c r="M251" s="96"/>
      <c r="N251" s="74"/>
      <c r="O251" s="74"/>
      <c r="P251" s="74"/>
    </row>
    <row r="252" spans="1:16" ht="15.75" customHeight="1">
      <c r="A252" s="94"/>
      <c r="B252" s="72"/>
      <c r="C252" s="74"/>
      <c r="D252" s="72"/>
      <c r="E252" s="95"/>
      <c r="F252" s="74"/>
      <c r="G252" s="72"/>
      <c r="H252" s="95"/>
      <c r="I252" s="74"/>
      <c r="J252" s="74"/>
      <c r="K252" s="74"/>
      <c r="L252" s="74"/>
      <c r="M252" s="96"/>
      <c r="N252" s="74"/>
      <c r="O252" s="74"/>
      <c r="P252" s="74"/>
    </row>
    <row r="253" spans="1:16" ht="15.75" customHeight="1">
      <c r="A253" s="94"/>
      <c r="B253" s="72"/>
      <c r="C253" s="74"/>
      <c r="D253" s="72"/>
      <c r="E253" s="95"/>
      <c r="F253" s="74"/>
      <c r="G253" s="72"/>
      <c r="H253" s="95"/>
      <c r="I253" s="74"/>
      <c r="J253" s="74"/>
      <c r="K253" s="74"/>
      <c r="L253" s="74"/>
      <c r="M253" s="96"/>
      <c r="N253" s="74"/>
      <c r="O253" s="74"/>
      <c r="P253" s="74"/>
    </row>
    <row r="254" spans="1:16" ht="15.75" customHeight="1">
      <c r="A254" s="94"/>
      <c r="B254" s="72"/>
      <c r="C254" s="74"/>
      <c r="D254" s="72"/>
      <c r="E254" s="95"/>
      <c r="F254" s="74"/>
      <c r="G254" s="72"/>
      <c r="H254" s="95"/>
      <c r="I254" s="74"/>
      <c r="J254" s="74"/>
      <c r="K254" s="74"/>
      <c r="L254" s="74"/>
      <c r="M254" s="96"/>
      <c r="N254" s="74"/>
      <c r="O254" s="74"/>
      <c r="P254" s="74"/>
    </row>
    <row r="255" spans="1:16" ht="15.75" customHeight="1">
      <c r="A255" s="94"/>
      <c r="B255" s="72"/>
      <c r="C255" s="74"/>
      <c r="D255" s="72"/>
      <c r="E255" s="95"/>
      <c r="F255" s="74"/>
      <c r="G255" s="72"/>
      <c r="H255" s="95"/>
      <c r="I255" s="74"/>
      <c r="J255" s="74"/>
      <c r="K255" s="74"/>
      <c r="L255" s="74"/>
      <c r="M255" s="96"/>
      <c r="N255" s="74"/>
      <c r="O255" s="74"/>
      <c r="P255" s="74"/>
    </row>
    <row r="256" spans="1:16" ht="15.75" customHeight="1">
      <c r="A256" s="94"/>
      <c r="B256" s="72"/>
      <c r="C256" s="74"/>
      <c r="D256" s="72"/>
      <c r="E256" s="95"/>
      <c r="F256" s="74"/>
      <c r="G256" s="72"/>
      <c r="H256" s="95"/>
      <c r="I256" s="74"/>
      <c r="J256" s="74"/>
      <c r="K256" s="74"/>
      <c r="L256" s="74"/>
      <c r="M256" s="96"/>
      <c r="N256" s="74"/>
      <c r="O256" s="74"/>
      <c r="P256" s="74"/>
    </row>
    <row r="257" spans="1:16" ht="15.75" customHeight="1">
      <c r="A257" s="94"/>
      <c r="B257" s="72"/>
      <c r="C257" s="74"/>
      <c r="D257" s="72"/>
      <c r="E257" s="95"/>
      <c r="F257" s="74"/>
      <c r="G257" s="72"/>
      <c r="H257" s="95"/>
      <c r="I257" s="74"/>
      <c r="J257" s="74"/>
      <c r="K257" s="74"/>
      <c r="L257" s="74"/>
      <c r="M257" s="96"/>
      <c r="N257" s="74"/>
      <c r="O257" s="74"/>
      <c r="P257" s="74"/>
    </row>
    <row r="258" spans="1:16" ht="15.75" customHeight="1">
      <c r="A258" s="94"/>
      <c r="B258" s="72"/>
      <c r="C258" s="74"/>
      <c r="D258" s="72"/>
      <c r="E258" s="95"/>
      <c r="F258" s="74"/>
      <c r="G258" s="72"/>
      <c r="H258" s="95"/>
      <c r="I258" s="74"/>
      <c r="J258" s="74"/>
      <c r="K258" s="74"/>
      <c r="L258" s="74"/>
      <c r="M258" s="96"/>
      <c r="N258" s="74"/>
      <c r="O258" s="74"/>
      <c r="P258" s="74"/>
    </row>
    <row r="259" spans="1:16" ht="15.75" customHeight="1">
      <c r="A259" s="94"/>
      <c r="B259" s="72"/>
      <c r="C259" s="74"/>
      <c r="D259" s="72"/>
      <c r="E259" s="95"/>
      <c r="F259" s="74"/>
      <c r="G259" s="72"/>
      <c r="H259" s="95"/>
      <c r="I259" s="74"/>
      <c r="J259" s="74"/>
      <c r="K259" s="74"/>
      <c r="L259" s="74"/>
      <c r="M259" s="96"/>
      <c r="N259" s="74"/>
      <c r="O259" s="74"/>
      <c r="P259" s="74"/>
    </row>
    <row r="260" spans="1:16" ht="15.75" customHeight="1">
      <c r="A260" s="94"/>
      <c r="B260" s="72"/>
      <c r="C260" s="74"/>
      <c r="D260" s="72"/>
      <c r="E260" s="95"/>
      <c r="F260" s="74"/>
      <c r="G260" s="72"/>
      <c r="H260" s="95"/>
      <c r="I260" s="74"/>
      <c r="J260" s="74"/>
      <c r="K260" s="74"/>
      <c r="L260" s="74"/>
      <c r="M260" s="96"/>
      <c r="N260" s="74"/>
      <c r="O260" s="74"/>
      <c r="P260" s="74"/>
    </row>
    <row r="261" spans="1:16" ht="15.75" customHeight="1">
      <c r="A261" s="94"/>
      <c r="B261" s="72"/>
      <c r="C261" s="74"/>
      <c r="D261" s="72"/>
      <c r="E261" s="95"/>
      <c r="F261" s="74"/>
      <c r="G261" s="72"/>
      <c r="H261" s="95"/>
      <c r="I261" s="74"/>
      <c r="J261" s="74"/>
      <c r="K261" s="74"/>
      <c r="L261" s="74"/>
      <c r="M261" s="96"/>
      <c r="N261" s="74"/>
      <c r="O261" s="74"/>
      <c r="P261" s="74"/>
    </row>
    <row r="262" spans="1:16" ht="15.75" customHeight="1">
      <c r="A262" s="94"/>
      <c r="B262" s="72"/>
      <c r="C262" s="74"/>
      <c r="D262" s="72"/>
      <c r="E262" s="95"/>
      <c r="F262" s="74"/>
      <c r="G262" s="72"/>
      <c r="H262" s="95"/>
      <c r="I262" s="74"/>
      <c r="J262" s="74"/>
      <c r="K262" s="74"/>
      <c r="L262" s="74"/>
      <c r="M262" s="96"/>
      <c r="N262" s="74"/>
      <c r="O262" s="74"/>
      <c r="P262" s="74"/>
    </row>
    <row r="263" spans="1:16" ht="15.75" customHeight="1">
      <c r="A263" s="94"/>
      <c r="B263" s="72"/>
      <c r="C263" s="74"/>
      <c r="D263" s="72"/>
      <c r="E263" s="95"/>
      <c r="F263" s="74"/>
      <c r="G263" s="72"/>
      <c r="H263" s="95"/>
      <c r="I263" s="74"/>
      <c r="J263" s="74"/>
      <c r="K263" s="74"/>
      <c r="L263" s="74"/>
      <c r="M263" s="96"/>
      <c r="N263" s="74"/>
      <c r="O263" s="74"/>
      <c r="P263" s="74"/>
    </row>
    <row r="264" spans="1:16" ht="15.75" customHeight="1">
      <c r="A264" s="94"/>
      <c r="B264" s="72"/>
      <c r="C264" s="74"/>
      <c r="D264" s="72"/>
      <c r="E264" s="95"/>
      <c r="F264" s="74"/>
      <c r="G264" s="72"/>
      <c r="H264" s="95"/>
      <c r="I264" s="74"/>
      <c r="J264" s="74"/>
      <c r="K264" s="74"/>
      <c r="L264" s="74"/>
      <c r="M264" s="96"/>
      <c r="N264" s="74"/>
      <c r="O264" s="74"/>
      <c r="P264" s="74"/>
    </row>
    <row r="265" spans="1:16" ht="15.75" customHeight="1">
      <c r="A265" s="94"/>
      <c r="B265" s="72"/>
      <c r="C265" s="74"/>
      <c r="D265" s="72"/>
      <c r="E265" s="95"/>
      <c r="F265" s="74"/>
      <c r="G265" s="72"/>
      <c r="H265" s="95"/>
      <c r="I265" s="74"/>
      <c r="J265" s="74"/>
      <c r="K265" s="74"/>
      <c r="L265" s="74"/>
      <c r="M265" s="96"/>
      <c r="N265" s="74"/>
      <c r="O265" s="74"/>
      <c r="P265" s="74"/>
    </row>
    <row r="266" spans="1:16" ht="15.75" customHeight="1">
      <c r="A266" s="94"/>
      <c r="B266" s="72"/>
      <c r="C266" s="74"/>
      <c r="D266" s="72"/>
      <c r="E266" s="95"/>
      <c r="F266" s="74"/>
      <c r="G266" s="72"/>
      <c r="H266" s="95"/>
      <c r="I266" s="74"/>
      <c r="J266" s="74"/>
      <c r="K266" s="74"/>
      <c r="L266" s="74"/>
      <c r="M266" s="96"/>
      <c r="N266" s="74"/>
      <c r="O266" s="74"/>
      <c r="P266" s="74"/>
    </row>
    <row r="267" spans="1:16" ht="15.75" customHeight="1">
      <c r="A267" s="94"/>
      <c r="B267" s="72"/>
      <c r="C267" s="74"/>
      <c r="D267" s="72"/>
      <c r="E267" s="95"/>
      <c r="F267" s="74"/>
      <c r="G267" s="72"/>
      <c r="H267" s="95"/>
      <c r="I267" s="74"/>
      <c r="J267" s="74"/>
      <c r="K267" s="74"/>
      <c r="L267" s="74"/>
      <c r="M267" s="96"/>
      <c r="N267" s="74"/>
      <c r="O267" s="74"/>
      <c r="P267" s="74"/>
    </row>
    <row r="268" spans="1:16" ht="15.75" customHeight="1">
      <c r="A268" s="94"/>
      <c r="B268" s="72"/>
      <c r="C268" s="74"/>
      <c r="D268" s="72"/>
      <c r="E268" s="95"/>
      <c r="F268" s="74"/>
      <c r="G268" s="72"/>
      <c r="H268" s="95"/>
      <c r="I268" s="74"/>
      <c r="J268" s="74"/>
      <c r="K268" s="74"/>
      <c r="L268" s="74"/>
      <c r="M268" s="96"/>
      <c r="N268" s="74"/>
      <c r="O268" s="74"/>
      <c r="P268" s="74"/>
    </row>
    <row r="269" spans="1:16" ht="15.75" customHeight="1">
      <c r="A269" s="94"/>
      <c r="B269" s="72"/>
      <c r="C269" s="74"/>
      <c r="D269" s="72"/>
      <c r="E269" s="95"/>
      <c r="F269" s="74"/>
      <c r="G269" s="72"/>
      <c r="H269" s="95"/>
      <c r="I269" s="74"/>
      <c r="J269" s="74"/>
      <c r="K269" s="74"/>
      <c r="L269" s="74"/>
      <c r="M269" s="96"/>
      <c r="N269" s="74"/>
      <c r="O269" s="74"/>
      <c r="P269" s="74"/>
    </row>
    <row r="270" spans="1:16" ht="15.75" customHeight="1">
      <c r="A270" s="94"/>
      <c r="B270" s="72"/>
      <c r="C270" s="74"/>
      <c r="D270" s="72"/>
      <c r="E270" s="95"/>
      <c r="F270" s="74"/>
      <c r="G270" s="72"/>
      <c r="H270" s="95"/>
      <c r="I270" s="74"/>
      <c r="J270" s="74"/>
      <c r="K270" s="74"/>
      <c r="L270" s="74"/>
      <c r="M270" s="96"/>
      <c r="N270" s="74"/>
      <c r="O270" s="74"/>
      <c r="P270" s="74"/>
    </row>
    <row r="271" spans="1:16" ht="15.75" customHeight="1">
      <c r="A271" s="94"/>
      <c r="B271" s="72"/>
      <c r="C271" s="74"/>
      <c r="D271" s="72"/>
      <c r="E271" s="95"/>
      <c r="F271" s="74"/>
      <c r="G271" s="72"/>
      <c r="H271" s="95"/>
      <c r="I271" s="74"/>
      <c r="J271" s="74"/>
      <c r="K271" s="74"/>
      <c r="L271" s="74"/>
      <c r="M271" s="96"/>
      <c r="N271" s="74"/>
      <c r="O271" s="74"/>
      <c r="P271" s="74"/>
    </row>
    <row r="272" spans="1:16" ht="15.75" customHeight="1">
      <c r="A272" s="94"/>
      <c r="B272" s="72"/>
      <c r="C272" s="74"/>
      <c r="D272" s="72"/>
      <c r="E272" s="95"/>
      <c r="F272" s="74"/>
      <c r="G272" s="72"/>
      <c r="H272" s="95"/>
      <c r="I272" s="74"/>
      <c r="J272" s="74"/>
      <c r="K272" s="74"/>
      <c r="L272" s="74"/>
      <c r="M272" s="96"/>
      <c r="N272" s="74"/>
      <c r="O272" s="74"/>
      <c r="P272" s="74"/>
    </row>
    <row r="273" spans="1:16" ht="15.75" customHeight="1">
      <c r="A273" s="94"/>
      <c r="B273" s="72"/>
      <c r="C273" s="74"/>
      <c r="D273" s="72"/>
      <c r="E273" s="95"/>
      <c r="F273" s="74"/>
      <c r="G273" s="72"/>
      <c r="H273" s="95"/>
      <c r="I273" s="74"/>
      <c r="J273" s="74"/>
      <c r="K273" s="74"/>
      <c r="L273" s="74"/>
      <c r="M273" s="96"/>
      <c r="N273" s="74"/>
      <c r="O273" s="74"/>
      <c r="P273" s="74"/>
    </row>
    <row r="274" spans="1:16" ht="15.75" customHeight="1">
      <c r="A274" s="94"/>
      <c r="B274" s="72"/>
      <c r="C274" s="74"/>
      <c r="D274" s="72"/>
      <c r="E274" s="95"/>
      <c r="F274" s="74"/>
      <c r="G274" s="72"/>
      <c r="H274" s="95"/>
      <c r="I274" s="74"/>
      <c r="J274" s="74"/>
      <c r="K274" s="74"/>
      <c r="L274" s="74"/>
      <c r="M274" s="96"/>
      <c r="N274" s="74"/>
      <c r="O274" s="74"/>
      <c r="P274" s="74"/>
    </row>
    <row r="275" spans="1:16" ht="15.75" customHeight="1">
      <c r="A275" s="94"/>
      <c r="B275" s="72"/>
      <c r="C275" s="74"/>
      <c r="D275" s="72"/>
      <c r="E275" s="95"/>
      <c r="F275" s="74"/>
      <c r="G275" s="72"/>
      <c r="H275" s="95"/>
      <c r="I275" s="74"/>
      <c r="J275" s="74"/>
      <c r="K275" s="74"/>
      <c r="L275" s="74"/>
      <c r="M275" s="96"/>
      <c r="N275" s="74"/>
      <c r="O275" s="74"/>
      <c r="P275" s="74"/>
    </row>
    <row r="276" spans="1:16" ht="15.75" customHeight="1">
      <c r="A276" s="94"/>
      <c r="B276" s="72"/>
      <c r="C276" s="74"/>
      <c r="D276" s="72"/>
      <c r="E276" s="95"/>
      <c r="F276" s="74"/>
      <c r="G276" s="72"/>
      <c r="H276" s="95"/>
      <c r="I276" s="74"/>
      <c r="J276" s="74"/>
      <c r="K276" s="74"/>
      <c r="L276" s="74"/>
      <c r="M276" s="96"/>
      <c r="N276" s="74"/>
      <c r="O276" s="74"/>
      <c r="P276" s="74"/>
    </row>
    <row r="277" spans="1:16" ht="15.75" customHeight="1">
      <c r="A277" s="94"/>
      <c r="B277" s="72"/>
      <c r="C277" s="74"/>
      <c r="D277" s="72"/>
      <c r="E277" s="95"/>
      <c r="F277" s="74"/>
      <c r="G277" s="72"/>
      <c r="H277" s="95"/>
      <c r="I277" s="74"/>
      <c r="J277" s="74"/>
      <c r="K277" s="74"/>
      <c r="L277" s="74"/>
      <c r="M277" s="96"/>
      <c r="N277" s="74"/>
      <c r="O277" s="74"/>
      <c r="P277" s="74"/>
    </row>
    <row r="278" spans="1:16" ht="15.75" customHeight="1">
      <c r="A278" s="94"/>
      <c r="B278" s="72"/>
      <c r="C278" s="74"/>
      <c r="D278" s="72"/>
      <c r="E278" s="95"/>
      <c r="F278" s="74"/>
      <c r="G278" s="72"/>
      <c r="H278" s="95"/>
      <c r="I278" s="74"/>
      <c r="J278" s="74"/>
      <c r="K278" s="74"/>
      <c r="L278" s="74"/>
      <c r="M278" s="96"/>
      <c r="N278" s="74"/>
      <c r="O278" s="74"/>
      <c r="P278" s="74"/>
    </row>
    <row r="279" spans="1:16" ht="15.75" customHeight="1">
      <c r="A279" s="94"/>
      <c r="B279" s="72"/>
      <c r="C279" s="74"/>
      <c r="D279" s="72"/>
      <c r="E279" s="95"/>
      <c r="F279" s="74"/>
      <c r="G279" s="72"/>
      <c r="H279" s="95"/>
      <c r="I279" s="74"/>
      <c r="J279" s="74"/>
      <c r="K279" s="74"/>
      <c r="L279" s="74"/>
      <c r="M279" s="96"/>
      <c r="N279" s="74"/>
      <c r="O279" s="74"/>
      <c r="P279" s="74"/>
    </row>
    <row r="280" spans="1:16" ht="15.75" customHeight="1">
      <c r="A280" s="94"/>
      <c r="B280" s="72"/>
      <c r="C280" s="74"/>
      <c r="D280" s="72"/>
      <c r="E280" s="95"/>
      <c r="F280" s="74"/>
      <c r="G280" s="72"/>
      <c r="H280" s="95"/>
      <c r="I280" s="74"/>
      <c r="J280" s="74"/>
      <c r="K280" s="74"/>
      <c r="L280" s="74"/>
      <c r="M280" s="96"/>
      <c r="N280" s="74"/>
      <c r="O280" s="74"/>
      <c r="P280" s="74"/>
    </row>
    <row r="281" spans="1:16" ht="15.75" customHeight="1">
      <c r="A281" s="94"/>
      <c r="B281" s="72"/>
      <c r="C281" s="74"/>
      <c r="D281" s="72"/>
      <c r="E281" s="95"/>
      <c r="F281" s="74"/>
      <c r="G281" s="72"/>
      <c r="H281" s="95"/>
      <c r="I281" s="74"/>
      <c r="J281" s="74"/>
      <c r="K281" s="74"/>
      <c r="L281" s="74"/>
      <c r="M281" s="96"/>
      <c r="N281" s="74"/>
      <c r="O281" s="74"/>
      <c r="P281" s="74"/>
    </row>
    <row r="282" spans="1:16" ht="15.75" customHeight="1">
      <c r="A282" s="94"/>
      <c r="B282" s="72"/>
      <c r="C282" s="74"/>
      <c r="D282" s="72"/>
      <c r="E282" s="95"/>
      <c r="F282" s="74"/>
      <c r="G282" s="72"/>
      <c r="H282" s="95"/>
      <c r="I282" s="74"/>
      <c r="J282" s="74"/>
      <c r="K282" s="74"/>
      <c r="L282" s="74"/>
      <c r="M282" s="96"/>
      <c r="N282" s="74"/>
      <c r="O282" s="74"/>
      <c r="P282" s="74"/>
    </row>
    <row r="283" spans="1:16" ht="15.75" customHeight="1">
      <c r="A283" s="94"/>
      <c r="B283" s="72"/>
      <c r="C283" s="74"/>
      <c r="D283" s="72"/>
      <c r="E283" s="95"/>
      <c r="F283" s="74"/>
      <c r="G283" s="72"/>
      <c r="H283" s="95"/>
      <c r="I283" s="74"/>
      <c r="J283" s="74"/>
      <c r="K283" s="74"/>
      <c r="L283" s="74"/>
      <c r="M283" s="96"/>
      <c r="N283" s="74"/>
      <c r="O283" s="74"/>
      <c r="P283" s="74"/>
    </row>
    <row r="284" spans="1:16" ht="15.75" customHeight="1">
      <c r="A284" s="94"/>
      <c r="B284" s="72"/>
      <c r="C284" s="74"/>
      <c r="D284" s="72"/>
      <c r="E284" s="95"/>
      <c r="F284" s="74"/>
      <c r="G284" s="72"/>
      <c r="H284" s="95"/>
      <c r="I284" s="74"/>
      <c r="J284" s="74"/>
      <c r="K284" s="74"/>
      <c r="L284" s="74"/>
      <c r="M284" s="96"/>
      <c r="N284" s="74"/>
      <c r="O284" s="74"/>
      <c r="P284" s="74"/>
    </row>
    <row r="285" spans="1:16" ht="15.75" customHeight="1">
      <c r="A285" s="94"/>
      <c r="B285" s="72"/>
      <c r="C285" s="74"/>
      <c r="D285" s="72"/>
      <c r="E285" s="95"/>
      <c r="F285" s="74"/>
      <c r="G285" s="72"/>
      <c r="H285" s="95"/>
      <c r="I285" s="74"/>
      <c r="J285" s="74"/>
      <c r="K285" s="74"/>
      <c r="L285" s="74"/>
      <c r="M285" s="96"/>
      <c r="N285" s="74"/>
      <c r="O285" s="74"/>
      <c r="P285" s="74"/>
    </row>
    <row r="286" spans="1:16" ht="15.75" customHeight="1">
      <c r="A286" s="94"/>
      <c r="B286" s="72"/>
      <c r="C286" s="74"/>
      <c r="D286" s="72"/>
      <c r="E286" s="95"/>
      <c r="F286" s="74"/>
      <c r="G286" s="72"/>
      <c r="H286" s="95"/>
      <c r="I286" s="74"/>
      <c r="J286" s="74"/>
      <c r="K286" s="74"/>
      <c r="L286" s="74"/>
      <c r="M286" s="96"/>
      <c r="N286" s="74"/>
      <c r="O286" s="74"/>
      <c r="P286" s="74"/>
    </row>
    <row r="287" spans="1:16" ht="15.75" customHeight="1">
      <c r="A287" s="94"/>
      <c r="B287" s="72"/>
      <c r="C287" s="74"/>
      <c r="D287" s="72"/>
      <c r="E287" s="95"/>
      <c r="F287" s="74"/>
      <c r="G287" s="72"/>
      <c r="H287" s="95"/>
      <c r="I287" s="74"/>
      <c r="J287" s="74"/>
      <c r="K287" s="74"/>
      <c r="L287" s="74"/>
      <c r="M287" s="96"/>
      <c r="N287" s="74"/>
      <c r="O287" s="74"/>
      <c r="P287" s="74"/>
    </row>
    <row r="288" spans="1:16" ht="15.75" customHeight="1">
      <c r="A288" s="94"/>
      <c r="B288" s="72"/>
      <c r="C288" s="74"/>
      <c r="D288" s="72"/>
      <c r="E288" s="95"/>
      <c r="F288" s="74"/>
      <c r="G288" s="72"/>
      <c r="H288" s="95"/>
      <c r="I288" s="74"/>
      <c r="J288" s="74"/>
      <c r="K288" s="74"/>
      <c r="L288" s="74"/>
      <c r="M288" s="96"/>
      <c r="N288" s="74"/>
      <c r="O288" s="74"/>
      <c r="P288" s="74"/>
    </row>
    <row r="289" spans="1:16" ht="15.75" customHeight="1">
      <c r="A289" s="94"/>
      <c r="B289" s="72"/>
      <c r="C289" s="74"/>
      <c r="D289" s="72"/>
      <c r="E289" s="95"/>
      <c r="F289" s="74"/>
      <c r="G289" s="72"/>
      <c r="H289" s="95"/>
      <c r="I289" s="74"/>
      <c r="J289" s="74"/>
      <c r="K289" s="74"/>
      <c r="L289" s="74"/>
      <c r="M289" s="96"/>
      <c r="N289" s="74"/>
      <c r="O289" s="74"/>
      <c r="P289" s="74"/>
    </row>
    <row r="290" spans="1:16" ht="15.75" customHeight="1">
      <c r="A290" s="94"/>
      <c r="B290" s="72"/>
      <c r="C290" s="74"/>
      <c r="D290" s="72"/>
      <c r="E290" s="95"/>
      <c r="F290" s="74"/>
      <c r="G290" s="72"/>
      <c r="H290" s="95"/>
      <c r="I290" s="74"/>
      <c r="J290" s="74"/>
      <c r="K290" s="74"/>
      <c r="L290" s="74"/>
      <c r="M290" s="96"/>
      <c r="N290" s="74"/>
      <c r="O290" s="74"/>
      <c r="P290" s="74"/>
    </row>
    <row r="291" spans="1:16" ht="15.75" customHeight="1">
      <c r="A291" s="94"/>
      <c r="B291" s="72"/>
      <c r="C291" s="74"/>
      <c r="D291" s="72"/>
      <c r="E291" s="95"/>
      <c r="F291" s="74"/>
      <c r="G291" s="72"/>
      <c r="H291" s="95"/>
      <c r="I291" s="74"/>
      <c r="J291" s="74"/>
      <c r="K291" s="74"/>
      <c r="L291" s="74"/>
      <c r="M291" s="96"/>
      <c r="N291" s="74"/>
      <c r="O291" s="74"/>
      <c r="P291" s="74"/>
    </row>
    <row r="292" spans="1:16" ht="15.75" customHeight="1">
      <c r="A292" s="94"/>
      <c r="B292" s="72"/>
      <c r="C292" s="74"/>
      <c r="D292" s="72"/>
      <c r="E292" s="95"/>
      <c r="F292" s="74"/>
      <c r="G292" s="72"/>
      <c r="H292" s="95"/>
      <c r="I292" s="74"/>
      <c r="J292" s="74"/>
      <c r="K292" s="74"/>
      <c r="L292" s="74"/>
      <c r="M292" s="96"/>
      <c r="N292" s="74"/>
      <c r="O292" s="74"/>
      <c r="P292" s="74"/>
    </row>
    <row r="293" spans="1:16" ht="15.75" customHeight="1">
      <c r="A293" s="94"/>
      <c r="B293" s="72"/>
      <c r="C293" s="74"/>
      <c r="D293" s="72"/>
      <c r="E293" s="95"/>
      <c r="F293" s="74"/>
      <c r="G293" s="72"/>
      <c r="H293" s="95"/>
      <c r="I293" s="74"/>
      <c r="J293" s="74"/>
      <c r="K293" s="74"/>
      <c r="L293" s="74"/>
      <c r="M293" s="96"/>
      <c r="N293" s="74"/>
      <c r="O293" s="74"/>
      <c r="P293" s="74"/>
    </row>
    <row r="294" spans="1:16" ht="15.75" customHeight="1">
      <c r="A294" s="94"/>
      <c r="B294" s="72"/>
      <c r="C294" s="74"/>
      <c r="D294" s="72"/>
      <c r="E294" s="95"/>
      <c r="F294" s="74"/>
      <c r="G294" s="72"/>
      <c r="H294" s="95"/>
      <c r="I294" s="74"/>
      <c r="J294" s="74"/>
      <c r="K294" s="74"/>
      <c r="L294" s="74"/>
      <c r="M294" s="96"/>
      <c r="N294" s="74"/>
      <c r="O294" s="74"/>
      <c r="P294" s="74"/>
    </row>
    <row r="295" spans="1:16" ht="15.75" customHeight="1">
      <c r="A295" s="94"/>
      <c r="B295" s="72"/>
      <c r="C295" s="74"/>
      <c r="D295" s="72"/>
      <c r="E295" s="95"/>
      <c r="F295" s="74"/>
      <c r="G295" s="72"/>
      <c r="H295" s="95"/>
      <c r="I295" s="74"/>
      <c r="J295" s="74"/>
      <c r="K295" s="74"/>
      <c r="L295" s="74"/>
      <c r="M295" s="96"/>
      <c r="N295" s="74"/>
      <c r="O295" s="74"/>
      <c r="P295" s="74"/>
    </row>
    <row r="296" spans="1:16" ht="15.75" customHeight="1">
      <c r="A296" s="94"/>
      <c r="B296" s="72"/>
      <c r="C296" s="74"/>
      <c r="D296" s="72"/>
      <c r="E296" s="95"/>
      <c r="F296" s="74"/>
      <c r="G296" s="72"/>
      <c r="H296" s="95"/>
      <c r="I296" s="74"/>
      <c r="J296" s="74"/>
      <c r="K296" s="74"/>
      <c r="L296" s="74"/>
      <c r="M296" s="96"/>
      <c r="N296" s="74"/>
      <c r="O296" s="74"/>
      <c r="P296" s="74"/>
    </row>
    <row r="297" spans="1:16" ht="15.75" customHeight="1">
      <c r="A297" s="94"/>
      <c r="B297" s="72"/>
      <c r="C297" s="74"/>
      <c r="D297" s="72"/>
      <c r="E297" s="95"/>
      <c r="F297" s="74"/>
      <c r="G297" s="72"/>
      <c r="H297" s="95"/>
      <c r="I297" s="74"/>
      <c r="J297" s="74"/>
      <c r="K297" s="74"/>
      <c r="L297" s="74"/>
      <c r="M297" s="96"/>
      <c r="N297" s="74"/>
      <c r="O297" s="74"/>
      <c r="P297" s="74"/>
    </row>
    <row r="298" spans="1:16" ht="15.75" customHeight="1">
      <c r="A298" s="94"/>
      <c r="B298" s="72"/>
      <c r="C298" s="74"/>
      <c r="D298" s="72"/>
      <c r="E298" s="95"/>
      <c r="F298" s="74"/>
      <c r="G298" s="72"/>
      <c r="H298" s="95"/>
      <c r="I298" s="74"/>
      <c r="J298" s="74"/>
      <c r="K298" s="74"/>
      <c r="L298" s="74"/>
      <c r="M298" s="96"/>
      <c r="N298" s="74"/>
      <c r="O298" s="74"/>
      <c r="P298" s="74"/>
    </row>
    <row r="299" spans="1:16" ht="15.75" customHeight="1">
      <c r="A299" s="94"/>
      <c r="B299" s="72"/>
      <c r="C299" s="74"/>
      <c r="D299" s="72"/>
      <c r="E299" s="95"/>
      <c r="F299" s="74"/>
      <c r="G299" s="72"/>
      <c r="H299" s="95"/>
      <c r="I299" s="74"/>
      <c r="J299" s="74"/>
      <c r="K299" s="74"/>
      <c r="L299" s="74"/>
      <c r="M299" s="96"/>
      <c r="N299" s="74"/>
      <c r="O299" s="74"/>
      <c r="P299" s="74"/>
    </row>
    <row r="300" spans="1:16" ht="15.75" customHeight="1">
      <c r="A300" s="94"/>
      <c r="B300" s="72"/>
      <c r="C300" s="74"/>
      <c r="D300" s="72"/>
      <c r="E300" s="95"/>
      <c r="F300" s="74"/>
      <c r="G300" s="72"/>
      <c r="H300" s="95"/>
      <c r="I300" s="74"/>
      <c r="J300" s="74"/>
      <c r="K300" s="74"/>
      <c r="L300" s="74"/>
      <c r="M300" s="96"/>
      <c r="N300" s="74"/>
      <c r="O300" s="74"/>
      <c r="P300" s="74"/>
    </row>
    <row r="301" spans="1:16" ht="15.75" customHeight="1">
      <c r="A301" s="94"/>
      <c r="B301" s="72"/>
      <c r="C301" s="74"/>
      <c r="D301" s="72"/>
      <c r="E301" s="95"/>
      <c r="F301" s="74"/>
      <c r="G301" s="72"/>
      <c r="H301" s="95"/>
      <c r="I301" s="74"/>
      <c r="J301" s="74"/>
      <c r="K301" s="74"/>
      <c r="L301" s="74"/>
      <c r="M301" s="96"/>
      <c r="N301" s="74"/>
      <c r="O301" s="74"/>
      <c r="P301" s="74"/>
    </row>
    <row r="302" spans="1:16" ht="15.75" customHeight="1">
      <c r="A302" s="94"/>
      <c r="B302" s="72"/>
      <c r="C302" s="74"/>
      <c r="D302" s="72"/>
      <c r="E302" s="95"/>
      <c r="F302" s="74"/>
      <c r="G302" s="72"/>
      <c r="H302" s="95"/>
      <c r="I302" s="74"/>
      <c r="J302" s="74"/>
      <c r="K302" s="74"/>
      <c r="L302" s="74"/>
      <c r="M302" s="96"/>
      <c r="N302" s="74"/>
      <c r="O302" s="74"/>
      <c r="P302" s="74"/>
    </row>
    <row r="303" spans="1:16" ht="15.75" customHeight="1">
      <c r="A303" s="94"/>
      <c r="B303" s="72"/>
      <c r="C303" s="74"/>
      <c r="D303" s="72"/>
      <c r="E303" s="95"/>
      <c r="F303" s="74"/>
      <c r="G303" s="72"/>
      <c r="H303" s="95"/>
      <c r="I303" s="74"/>
      <c r="J303" s="74"/>
      <c r="K303" s="74"/>
      <c r="L303" s="74"/>
      <c r="M303" s="96"/>
      <c r="N303" s="74"/>
      <c r="O303" s="74"/>
      <c r="P303" s="74"/>
    </row>
    <row r="304" spans="1:16" ht="15.75" customHeight="1">
      <c r="A304" s="94"/>
      <c r="B304" s="72"/>
      <c r="C304" s="74"/>
      <c r="D304" s="72"/>
      <c r="E304" s="95"/>
      <c r="F304" s="74"/>
      <c r="G304" s="72"/>
      <c r="H304" s="95"/>
      <c r="I304" s="74"/>
      <c r="J304" s="74"/>
      <c r="K304" s="74"/>
      <c r="L304" s="74"/>
      <c r="M304" s="96"/>
      <c r="N304" s="74"/>
      <c r="O304" s="74"/>
      <c r="P304" s="74"/>
    </row>
    <row r="305" spans="1:16" ht="15.75" customHeight="1">
      <c r="A305" s="94"/>
      <c r="B305" s="72"/>
      <c r="C305" s="74"/>
      <c r="D305" s="72"/>
      <c r="E305" s="95"/>
      <c r="F305" s="74"/>
      <c r="G305" s="72"/>
      <c r="H305" s="95"/>
      <c r="I305" s="74"/>
      <c r="J305" s="74"/>
      <c r="K305" s="74"/>
      <c r="L305" s="74"/>
      <c r="M305" s="96"/>
      <c r="N305" s="74"/>
      <c r="O305" s="74"/>
      <c r="P305" s="74"/>
    </row>
    <row r="306" spans="1:16" ht="15.75" customHeight="1">
      <c r="A306" s="94"/>
      <c r="B306" s="72"/>
      <c r="C306" s="74"/>
      <c r="D306" s="72"/>
      <c r="E306" s="95"/>
      <c r="F306" s="74"/>
      <c r="G306" s="72"/>
      <c r="H306" s="95"/>
      <c r="I306" s="74"/>
      <c r="J306" s="74"/>
      <c r="K306" s="74"/>
      <c r="L306" s="74"/>
      <c r="M306" s="96"/>
      <c r="N306" s="74"/>
      <c r="O306" s="74"/>
      <c r="P306" s="74"/>
    </row>
    <row r="307" spans="1:16" ht="15.75" customHeight="1">
      <c r="A307" s="94"/>
      <c r="B307" s="72"/>
      <c r="C307" s="74"/>
      <c r="D307" s="72"/>
      <c r="E307" s="95"/>
      <c r="F307" s="74"/>
      <c r="G307" s="72"/>
      <c r="H307" s="95"/>
      <c r="I307" s="74"/>
      <c r="J307" s="74"/>
      <c r="K307" s="74"/>
      <c r="L307" s="74"/>
      <c r="M307" s="96"/>
      <c r="N307" s="74"/>
      <c r="O307" s="74"/>
      <c r="P307" s="74"/>
    </row>
    <row r="308" spans="1:16" ht="15.75" customHeight="1">
      <c r="A308" s="94"/>
      <c r="B308" s="72"/>
      <c r="C308" s="74"/>
      <c r="D308" s="72"/>
      <c r="E308" s="95"/>
      <c r="F308" s="74"/>
      <c r="G308" s="72"/>
      <c r="H308" s="95"/>
      <c r="I308" s="74"/>
      <c r="J308" s="74"/>
      <c r="K308" s="74"/>
      <c r="L308" s="74"/>
      <c r="M308" s="96"/>
      <c r="N308" s="74"/>
      <c r="O308" s="74"/>
      <c r="P308" s="74"/>
    </row>
    <row r="309" spans="1:16" ht="15.75" customHeight="1">
      <c r="A309" s="94"/>
      <c r="B309" s="72"/>
      <c r="C309" s="74"/>
      <c r="D309" s="72"/>
      <c r="E309" s="95"/>
      <c r="F309" s="74"/>
      <c r="G309" s="72"/>
      <c r="H309" s="95"/>
      <c r="I309" s="74"/>
      <c r="J309" s="74"/>
      <c r="K309" s="74"/>
      <c r="L309" s="74"/>
      <c r="M309" s="96"/>
      <c r="N309" s="74"/>
      <c r="O309" s="74"/>
      <c r="P309" s="74"/>
    </row>
    <row r="310" spans="1:16" ht="15.75" customHeight="1">
      <c r="A310" s="94"/>
      <c r="B310" s="72"/>
      <c r="C310" s="74"/>
      <c r="D310" s="72"/>
      <c r="E310" s="95"/>
      <c r="F310" s="74"/>
      <c r="G310" s="72"/>
      <c r="H310" s="95"/>
      <c r="I310" s="74"/>
      <c r="J310" s="74"/>
      <c r="K310" s="74"/>
      <c r="L310" s="74"/>
      <c r="M310" s="96"/>
      <c r="N310" s="74"/>
      <c r="O310" s="74"/>
      <c r="P310" s="74"/>
    </row>
    <row r="311" spans="1:16" ht="15.75" customHeight="1">
      <c r="A311" s="94"/>
      <c r="B311" s="72"/>
      <c r="C311" s="74"/>
      <c r="D311" s="72"/>
      <c r="E311" s="95"/>
      <c r="F311" s="74"/>
      <c r="G311" s="72"/>
      <c r="H311" s="95"/>
      <c r="I311" s="74"/>
      <c r="J311" s="74"/>
      <c r="K311" s="74"/>
      <c r="L311" s="74"/>
      <c r="M311" s="96"/>
      <c r="N311" s="74"/>
      <c r="O311" s="74"/>
      <c r="P311" s="74"/>
    </row>
    <row r="312" spans="1:16" ht="15.75" customHeight="1">
      <c r="A312" s="94"/>
      <c r="B312" s="72"/>
      <c r="C312" s="74"/>
      <c r="D312" s="72"/>
      <c r="E312" s="95"/>
      <c r="F312" s="74"/>
      <c r="G312" s="72"/>
      <c r="H312" s="95"/>
      <c r="I312" s="74"/>
      <c r="J312" s="74"/>
      <c r="K312" s="74"/>
      <c r="L312" s="74"/>
      <c r="M312" s="96"/>
      <c r="N312" s="74"/>
      <c r="O312" s="74"/>
      <c r="P312" s="74"/>
    </row>
    <row r="313" spans="1:16" ht="15.75" customHeight="1">
      <c r="A313" s="94"/>
      <c r="B313" s="72"/>
      <c r="C313" s="74"/>
      <c r="D313" s="72"/>
      <c r="E313" s="95"/>
      <c r="F313" s="74"/>
      <c r="G313" s="72"/>
      <c r="H313" s="95"/>
      <c r="I313" s="74"/>
      <c r="J313" s="74"/>
      <c r="K313" s="74"/>
      <c r="L313" s="74"/>
      <c r="M313" s="96"/>
      <c r="N313" s="74"/>
      <c r="O313" s="74"/>
      <c r="P313" s="74"/>
    </row>
    <row r="314" spans="1:16" ht="15.75" customHeight="1">
      <c r="A314" s="94"/>
      <c r="B314" s="72"/>
      <c r="C314" s="74"/>
      <c r="D314" s="72"/>
      <c r="E314" s="95"/>
      <c r="F314" s="74"/>
      <c r="G314" s="72"/>
      <c r="H314" s="95"/>
      <c r="I314" s="74"/>
      <c r="J314" s="74"/>
      <c r="K314" s="74"/>
      <c r="L314" s="74"/>
      <c r="M314" s="96"/>
      <c r="N314" s="74"/>
      <c r="O314" s="74"/>
      <c r="P314" s="74"/>
    </row>
    <row r="315" spans="1:16" ht="15.75" customHeight="1">
      <c r="A315" s="94"/>
      <c r="B315" s="72"/>
      <c r="C315" s="74"/>
      <c r="D315" s="72"/>
      <c r="E315" s="95"/>
      <c r="F315" s="74"/>
      <c r="G315" s="72"/>
      <c r="H315" s="95"/>
      <c r="I315" s="74"/>
      <c r="J315" s="74"/>
      <c r="K315" s="74"/>
      <c r="L315" s="74"/>
      <c r="M315" s="96"/>
      <c r="N315" s="74"/>
      <c r="O315" s="74"/>
      <c r="P315" s="74"/>
    </row>
    <row r="316" spans="1:16" ht="15.75" customHeight="1">
      <c r="A316" s="94"/>
      <c r="B316" s="72"/>
      <c r="C316" s="74"/>
      <c r="D316" s="72"/>
      <c r="E316" s="95"/>
      <c r="F316" s="74"/>
      <c r="G316" s="72"/>
      <c r="H316" s="95"/>
      <c r="I316" s="74"/>
      <c r="J316" s="74"/>
      <c r="K316" s="74"/>
      <c r="L316" s="74"/>
      <c r="M316" s="96"/>
      <c r="N316" s="74"/>
      <c r="O316" s="74"/>
      <c r="P316" s="74"/>
    </row>
    <row r="317" spans="1:16" ht="15.75" customHeight="1">
      <c r="A317" s="94"/>
      <c r="B317" s="72"/>
      <c r="C317" s="74"/>
      <c r="D317" s="72"/>
      <c r="E317" s="95"/>
      <c r="F317" s="74"/>
      <c r="G317" s="72"/>
      <c r="H317" s="95"/>
      <c r="I317" s="74"/>
      <c r="J317" s="74"/>
      <c r="K317" s="74"/>
      <c r="L317" s="74"/>
      <c r="M317" s="96"/>
      <c r="N317" s="74"/>
      <c r="O317" s="74"/>
      <c r="P317" s="74"/>
    </row>
    <row r="318" spans="1:16" ht="15.75" customHeight="1">
      <c r="A318" s="94"/>
      <c r="B318" s="72"/>
      <c r="C318" s="74"/>
      <c r="D318" s="72"/>
      <c r="E318" s="95"/>
      <c r="F318" s="74"/>
      <c r="G318" s="72"/>
      <c r="H318" s="95"/>
      <c r="I318" s="74"/>
      <c r="J318" s="74"/>
      <c r="K318" s="74"/>
      <c r="L318" s="74"/>
      <c r="M318" s="96"/>
      <c r="N318" s="74"/>
      <c r="O318" s="74"/>
      <c r="P318" s="74"/>
    </row>
    <row r="319" spans="1:16" ht="15.75" customHeight="1">
      <c r="A319" s="94"/>
      <c r="B319" s="72"/>
      <c r="C319" s="74"/>
      <c r="D319" s="72"/>
      <c r="E319" s="95"/>
      <c r="F319" s="74"/>
      <c r="G319" s="72"/>
      <c r="H319" s="95"/>
      <c r="I319" s="74"/>
      <c r="J319" s="74"/>
      <c r="K319" s="74"/>
      <c r="L319" s="74"/>
      <c r="M319" s="96"/>
      <c r="N319" s="74"/>
      <c r="O319" s="74"/>
      <c r="P319" s="74"/>
    </row>
    <row r="320" spans="1:16" ht="15.75" customHeight="1">
      <c r="A320" s="94"/>
      <c r="B320" s="72"/>
      <c r="C320" s="74"/>
      <c r="D320" s="72"/>
      <c r="E320" s="95"/>
      <c r="F320" s="74"/>
      <c r="G320" s="72"/>
      <c r="H320" s="95"/>
      <c r="I320" s="74"/>
      <c r="J320" s="74"/>
      <c r="K320" s="74"/>
      <c r="L320" s="74"/>
      <c r="M320" s="96"/>
      <c r="N320" s="74"/>
      <c r="O320" s="74"/>
      <c r="P320" s="74"/>
    </row>
    <row r="321" spans="1:16" ht="15.75" customHeight="1">
      <c r="A321" s="94"/>
      <c r="B321" s="72"/>
      <c r="C321" s="74"/>
      <c r="D321" s="72"/>
      <c r="E321" s="95"/>
      <c r="F321" s="74"/>
      <c r="G321" s="72"/>
      <c r="H321" s="95"/>
      <c r="I321" s="74"/>
      <c r="J321" s="74"/>
      <c r="K321" s="74"/>
      <c r="L321" s="74"/>
      <c r="M321" s="96"/>
      <c r="N321" s="74"/>
      <c r="O321" s="74"/>
      <c r="P321" s="74"/>
    </row>
    <row r="322" spans="1:16" ht="15.75" customHeight="1">
      <c r="A322" s="94"/>
      <c r="B322" s="72"/>
      <c r="C322" s="74"/>
      <c r="D322" s="72"/>
      <c r="E322" s="95"/>
      <c r="F322" s="74"/>
      <c r="G322" s="72"/>
      <c r="H322" s="95"/>
      <c r="I322" s="74"/>
      <c r="J322" s="74"/>
      <c r="K322" s="74"/>
      <c r="L322" s="74"/>
      <c r="M322" s="96"/>
      <c r="N322" s="74"/>
      <c r="O322" s="74"/>
      <c r="P322" s="74"/>
    </row>
    <row r="323" spans="1:16" ht="15.75" customHeight="1">
      <c r="A323" s="94"/>
      <c r="B323" s="72"/>
      <c r="C323" s="74"/>
      <c r="D323" s="72"/>
      <c r="E323" s="95"/>
      <c r="F323" s="74"/>
      <c r="G323" s="72"/>
      <c r="H323" s="95"/>
      <c r="I323" s="74"/>
      <c r="J323" s="74"/>
      <c r="K323" s="74"/>
      <c r="L323" s="74"/>
      <c r="M323" s="96"/>
      <c r="N323" s="74"/>
      <c r="O323" s="74"/>
      <c r="P323" s="74"/>
    </row>
    <row r="324" spans="1:16" ht="15.75" customHeight="1">
      <c r="A324" s="94"/>
      <c r="B324" s="72"/>
      <c r="C324" s="74"/>
      <c r="D324" s="72"/>
      <c r="E324" s="95"/>
      <c r="F324" s="74"/>
      <c r="G324" s="72"/>
      <c r="H324" s="95"/>
      <c r="I324" s="74"/>
      <c r="J324" s="74"/>
      <c r="K324" s="74"/>
      <c r="L324" s="74"/>
      <c r="M324" s="96"/>
      <c r="N324" s="74"/>
      <c r="O324" s="74"/>
      <c r="P324" s="74"/>
    </row>
    <row r="325" spans="1:16" ht="15.75" customHeight="1">
      <c r="A325" s="94"/>
      <c r="B325" s="72"/>
      <c r="C325" s="74"/>
      <c r="D325" s="72"/>
      <c r="E325" s="95"/>
      <c r="F325" s="74"/>
      <c r="G325" s="72"/>
      <c r="H325" s="95"/>
      <c r="I325" s="74"/>
      <c r="J325" s="74"/>
      <c r="K325" s="74"/>
      <c r="L325" s="74"/>
      <c r="M325" s="96"/>
      <c r="N325" s="74"/>
      <c r="O325" s="74"/>
      <c r="P325" s="74"/>
    </row>
    <row r="326" spans="1:16" ht="15.75" customHeight="1">
      <c r="A326" s="94"/>
      <c r="B326" s="72"/>
      <c r="C326" s="74"/>
      <c r="D326" s="72"/>
      <c r="E326" s="95"/>
      <c r="F326" s="74"/>
      <c r="G326" s="72"/>
      <c r="H326" s="95"/>
      <c r="I326" s="74"/>
      <c r="J326" s="74"/>
      <c r="K326" s="74"/>
      <c r="L326" s="74"/>
      <c r="M326" s="96"/>
      <c r="N326" s="74"/>
      <c r="O326" s="74"/>
      <c r="P326" s="74"/>
    </row>
    <row r="327" spans="1:16" ht="15.75" customHeight="1">
      <c r="A327" s="94"/>
      <c r="B327" s="72"/>
      <c r="C327" s="74"/>
      <c r="D327" s="72"/>
      <c r="E327" s="95"/>
      <c r="F327" s="74"/>
      <c r="G327" s="72"/>
      <c r="H327" s="95"/>
      <c r="I327" s="74"/>
      <c r="J327" s="74"/>
      <c r="K327" s="74"/>
      <c r="L327" s="74"/>
      <c r="M327" s="96"/>
      <c r="N327" s="74"/>
      <c r="O327" s="74"/>
      <c r="P327" s="74"/>
    </row>
    <row r="328" spans="1:16" ht="15.75" customHeight="1">
      <c r="A328" s="94"/>
      <c r="B328" s="72"/>
      <c r="C328" s="74"/>
      <c r="D328" s="72"/>
      <c r="E328" s="95"/>
      <c r="F328" s="74"/>
      <c r="G328" s="72"/>
      <c r="H328" s="95"/>
      <c r="I328" s="74"/>
      <c r="J328" s="74"/>
      <c r="K328" s="74"/>
      <c r="L328" s="74"/>
      <c r="M328" s="96"/>
      <c r="N328" s="74"/>
      <c r="O328" s="74"/>
      <c r="P328" s="74"/>
    </row>
    <row r="329" spans="1:16" ht="15.75" customHeight="1">
      <c r="A329" s="94"/>
      <c r="B329" s="72"/>
      <c r="C329" s="74"/>
      <c r="D329" s="72"/>
      <c r="E329" s="95"/>
      <c r="F329" s="74"/>
      <c r="G329" s="72"/>
      <c r="H329" s="95"/>
      <c r="I329" s="74"/>
      <c r="J329" s="74"/>
      <c r="K329" s="74"/>
      <c r="L329" s="74"/>
      <c r="M329" s="96"/>
      <c r="N329" s="74"/>
      <c r="O329" s="74"/>
      <c r="P329" s="74"/>
    </row>
    <row r="330" spans="1:16" ht="15.75" customHeight="1">
      <c r="A330" s="94"/>
      <c r="B330" s="72"/>
      <c r="C330" s="74"/>
      <c r="D330" s="72"/>
      <c r="E330" s="95"/>
      <c r="F330" s="74"/>
      <c r="G330" s="72"/>
      <c r="H330" s="95"/>
      <c r="I330" s="74"/>
      <c r="J330" s="74"/>
      <c r="K330" s="74"/>
      <c r="L330" s="74"/>
      <c r="M330" s="96"/>
      <c r="N330" s="74"/>
      <c r="O330" s="74"/>
      <c r="P330" s="74"/>
    </row>
    <row r="331" spans="1:16" ht="15.75" customHeight="1">
      <c r="A331" s="94"/>
      <c r="B331" s="72"/>
      <c r="C331" s="74"/>
      <c r="D331" s="72"/>
      <c r="E331" s="95"/>
      <c r="F331" s="74"/>
      <c r="G331" s="72"/>
      <c r="H331" s="95"/>
      <c r="I331" s="74"/>
      <c r="J331" s="74"/>
      <c r="K331" s="74"/>
      <c r="L331" s="74"/>
      <c r="M331" s="96"/>
      <c r="N331" s="74"/>
      <c r="O331" s="74"/>
      <c r="P331" s="74"/>
    </row>
    <row r="332" spans="1:16" ht="15.75" customHeight="1">
      <c r="A332" s="94"/>
      <c r="B332" s="72"/>
      <c r="C332" s="74"/>
      <c r="D332" s="72"/>
      <c r="E332" s="95"/>
      <c r="F332" s="74"/>
      <c r="G332" s="72"/>
      <c r="H332" s="95"/>
      <c r="I332" s="74"/>
      <c r="J332" s="74"/>
      <c r="K332" s="74"/>
      <c r="L332" s="74"/>
      <c r="M332" s="96"/>
      <c r="N332" s="74"/>
      <c r="O332" s="74"/>
      <c r="P332" s="74"/>
    </row>
    <row r="333" spans="1:16" ht="15.75" customHeight="1">
      <c r="A333" s="94"/>
      <c r="B333" s="72"/>
      <c r="C333" s="74"/>
      <c r="D333" s="72"/>
      <c r="E333" s="95"/>
      <c r="F333" s="74"/>
      <c r="G333" s="72"/>
      <c r="H333" s="95"/>
      <c r="I333" s="74"/>
      <c r="J333" s="74"/>
      <c r="K333" s="74"/>
      <c r="L333" s="74"/>
      <c r="M333" s="96"/>
      <c r="N333" s="74"/>
      <c r="O333" s="74"/>
      <c r="P333" s="74"/>
    </row>
    <row r="334" spans="1:16" ht="15.75" customHeight="1">
      <c r="A334" s="94"/>
      <c r="B334" s="72"/>
      <c r="C334" s="74"/>
      <c r="D334" s="72"/>
      <c r="E334" s="95"/>
      <c r="F334" s="74"/>
      <c r="G334" s="72"/>
      <c r="H334" s="95"/>
      <c r="I334" s="74"/>
      <c r="J334" s="74"/>
      <c r="K334" s="74"/>
      <c r="L334" s="74"/>
      <c r="M334" s="96"/>
      <c r="N334" s="74"/>
      <c r="O334" s="74"/>
      <c r="P334" s="74"/>
    </row>
    <row r="335" spans="1:16" ht="15.75" customHeight="1">
      <c r="A335" s="94"/>
      <c r="B335" s="72"/>
      <c r="C335" s="74"/>
      <c r="D335" s="72"/>
      <c r="E335" s="95"/>
      <c r="F335" s="74"/>
      <c r="G335" s="72"/>
      <c r="H335" s="95"/>
      <c r="I335" s="74"/>
      <c r="J335" s="74"/>
      <c r="K335" s="74"/>
      <c r="L335" s="74"/>
      <c r="M335" s="96"/>
      <c r="N335" s="74"/>
      <c r="O335" s="74"/>
      <c r="P335" s="74"/>
    </row>
    <row r="336" spans="1:16" ht="15.75" customHeight="1">
      <c r="A336" s="94"/>
      <c r="B336" s="72"/>
      <c r="C336" s="74"/>
      <c r="D336" s="72"/>
      <c r="E336" s="95"/>
      <c r="F336" s="74"/>
      <c r="G336" s="72"/>
      <c r="H336" s="95"/>
      <c r="I336" s="74"/>
      <c r="J336" s="74"/>
      <c r="K336" s="74"/>
      <c r="L336" s="74"/>
      <c r="M336" s="96"/>
      <c r="N336" s="74"/>
      <c r="O336" s="74"/>
      <c r="P336" s="74"/>
    </row>
    <row r="337" spans="1:16" ht="15.75" customHeight="1">
      <c r="A337" s="94"/>
      <c r="B337" s="72"/>
      <c r="C337" s="74"/>
      <c r="D337" s="72"/>
      <c r="E337" s="95"/>
      <c r="F337" s="74"/>
      <c r="G337" s="72"/>
      <c r="H337" s="95"/>
      <c r="I337" s="74"/>
      <c r="J337" s="74"/>
      <c r="K337" s="74"/>
      <c r="L337" s="74"/>
      <c r="M337" s="96"/>
      <c r="N337" s="74"/>
      <c r="O337" s="74"/>
      <c r="P337" s="74"/>
    </row>
    <row r="338" spans="1:16" ht="15.75" customHeight="1">
      <c r="A338" s="94"/>
      <c r="B338" s="72"/>
      <c r="C338" s="74"/>
      <c r="D338" s="72"/>
      <c r="E338" s="95"/>
      <c r="F338" s="74"/>
      <c r="G338" s="72"/>
      <c r="H338" s="95"/>
      <c r="I338" s="74"/>
      <c r="J338" s="74"/>
      <c r="K338" s="74"/>
      <c r="L338" s="74"/>
      <c r="M338" s="96"/>
      <c r="N338" s="74"/>
      <c r="O338" s="74"/>
      <c r="P338" s="74"/>
    </row>
    <row r="339" spans="1:16" ht="15.75" customHeight="1">
      <c r="A339" s="94"/>
      <c r="B339" s="72"/>
      <c r="C339" s="74"/>
      <c r="D339" s="72"/>
      <c r="E339" s="95"/>
      <c r="F339" s="74"/>
      <c r="G339" s="72"/>
      <c r="H339" s="95"/>
      <c r="I339" s="74"/>
      <c r="J339" s="74"/>
      <c r="K339" s="74"/>
      <c r="L339" s="74"/>
      <c r="M339" s="96"/>
      <c r="N339" s="74"/>
      <c r="O339" s="74"/>
      <c r="P339" s="74"/>
    </row>
    <row r="340" spans="1:16" ht="15.75" customHeight="1">
      <c r="A340" s="94"/>
      <c r="B340" s="72"/>
      <c r="C340" s="74"/>
      <c r="D340" s="72"/>
      <c r="E340" s="95"/>
      <c r="F340" s="74"/>
      <c r="G340" s="72"/>
      <c r="H340" s="95"/>
      <c r="I340" s="74"/>
      <c r="J340" s="74"/>
      <c r="K340" s="74"/>
      <c r="L340" s="74"/>
      <c r="M340" s="96"/>
      <c r="N340" s="74"/>
      <c r="O340" s="74"/>
      <c r="P340" s="74"/>
    </row>
    <row r="341" spans="1:16" ht="15.75" customHeight="1">
      <c r="A341" s="94"/>
      <c r="B341" s="72"/>
      <c r="C341" s="74"/>
      <c r="D341" s="72"/>
      <c r="E341" s="95"/>
      <c r="F341" s="74"/>
      <c r="G341" s="72"/>
      <c r="H341" s="95"/>
      <c r="I341" s="74"/>
      <c r="J341" s="74"/>
      <c r="K341" s="74"/>
      <c r="L341" s="74"/>
      <c r="M341" s="96"/>
      <c r="N341" s="74"/>
      <c r="O341" s="74"/>
      <c r="P341" s="74"/>
    </row>
    <row r="342" spans="1:16" ht="15.75" customHeight="1">
      <c r="A342" s="94"/>
      <c r="B342" s="72"/>
      <c r="C342" s="74"/>
      <c r="D342" s="72"/>
      <c r="E342" s="95"/>
      <c r="F342" s="74"/>
      <c r="G342" s="72"/>
      <c r="H342" s="95"/>
      <c r="I342" s="74"/>
      <c r="J342" s="74"/>
      <c r="K342" s="74"/>
      <c r="L342" s="74"/>
      <c r="M342" s="96"/>
      <c r="N342" s="74"/>
      <c r="O342" s="74"/>
      <c r="P342" s="74"/>
    </row>
    <row r="343" spans="1:16" ht="15.75" customHeight="1">
      <c r="A343" s="94"/>
      <c r="B343" s="72"/>
      <c r="C343" s="74"/>
      <c r="D343" s="72"/>
      <c r="E343" s="95"/>
      <c r="F343" s="74"/>
      <c r="G343" s="72"/>
      <c r="H343" s="95"/>
      <c r="I343" s="74"/>
      <c r="J343" s="74"/>
      <c r="K343" s="74"/>
      <c r="L343" s="74"/>
      <c r="M343" s="96"/>
      <c r="N343" s="74"/>
      <c r="O343" s="74"/>
      <c r="P343" s="74"/>
    </row>
    <row r="344" spans="1:16" ht="15.75" customHeight="1">
      <c r="A344" s="94"/>
      <c r="B344" s="72"/>
      <c r="C344" s="74"/>
      <c r="D344" s="72"/>
      <c r="E344" s="95"/>
      <c r="F344" s="74"/>
      <c r="G344" s="72"/>
      <c r="H344" s="95"/>
      <c r="I344" s="74"/>
      <c r="J344" s="74"/>
      <c r="K344" s="74"/>
      <c r="L344" s="74"/>
      <c r="M344" s="96"/>
      <c r="N344" s="74"/>
      <c r="O344" s="74"/>
      <c r="P344" s="74"/>
    </row>
    <row r="345" spans="1:16" ht="15.75" customHeight="1">
      <c r="A345" s="94"/>
      <c r="B345" s="72"/>
      <c r="C345" s="74"/>
      <c r="D345" s="72"/>
      <c r="E345" s="95"/>
      <c r="F345" s="74"/>
      <c r="G345" s="72"/>
      <c r="H345" s="95"/>
      <c r="I345" s="74"/>
      <c r="J345" s="74"/>
      <c r="K345" s="74"/>
      <c r="L345" s="74"/>
      <c r="M345" s="96"/>
      <c r="N345" s="74"/>
      <c r="O345" s="74"/>
      <c r="P345" s="74"/>
    </row>
    <row r="346" spans="1:16" ht="15.75" customHeight="1">
      <c r="A346" s="94"/>
      <c r="B346" s="72"/>
      <c r="C346" s="74"/>
      <c r="D346" s="72"/>
      <c r="E346" s="95"/>
      <c r="F346" s="74"/>
      <c r="G346" s="72"/>
      <c r="H346" s="95"/>
      <c r="I346" s="74"/>
      <c r="J346" s="74"/>
      <c r="K346" s="74"/>
      <c r="L346" s="74"/>
      <c r="M346" s="96"/>
      <c r="N346" s="74"/>
      <c r="O346" s="74"/>
      <c r="P346" s="74"/>
    </row>
    <row r="347" spans="1:16" ht="15.75" customHeight="1">
      <c r="A347" s="94"/>
      <c r="B347" s="72"/>
      <c r="C347" s="74"/>
      <c r="D347" s="72"/>
      <c r="E347" s="95"/>
      <c r="F347" s="74"/>
      <c r="G347" s="72"/>
      <c r="H347" s="95"/>
      <c r="I347" s="74"/>
      <c r="J347" s="74"/>
      <c r="K347" s="74"/>
      <c r="L347" s="74"/>
      <c r="M347" s="96"/>
      <c r="N347" s="74"/>
      <c r="O347" s="74"/>
      <c r="P347" s="74"/>
    </row>
    <row r="348" spans="1:16" ht="15.75" customHeight="1">
      <c r="A348" s="94"/>
      <c r="B348" s="72"/>
      <c r="C348" s="74"/>
      <c r="D348" s="72"/>
      <c r="E348" s="95"/>
      <c r="F348" s="74"/>
      <c r="G348" s="72"/>
      <c r="H348" s="95"/>
      <c r="I348" s="74"/>
      <c r="J348" s="74"/>
      <c r="K348" s="74"/>
      <c r="L348" s="74"/>
      <c r="M348" s="96"/>
      <c r="N348" s="74"/>
      <c r="O348" s="74"/>
      <c r="P348" s="74"/>
    </row>
    <row r="349" spans="1:16" ht="15.75" customHeight="1">
      <c r="A349" s="94"/>
      <c r="B349" s="72"/>
      <c r="C349" s="74"/>
      <c r="D349" s="72"/>
      <c r="E349" s="95"/>
      <c r="F349" s="74"/>
      <c r="G349" s="72"/>
      <c r="H349" s="95"/>
      <c r="I349" s="74"/>
      <c r="J349" s="74"/>
      <c r="K349" s="74"/>
      <c r="L349" s="74"/>
      <c r="M349" s="96"/>
      <c r="N349" s="74"/>
      <c r="O349" s="74"/>
      <c r="P349" s="74"/>
    </row>
    <row r="350" spans="1:16" ht="15.75" customHeight="1">
      <c r="A350" s="94"/>
      <c r="B350" s="72"/>
      <c r="C350" s="74"/>
      <c r="D350" s="72"/>
      <c r="E350" s="95"/>
      <c r="F350" s="74"/>
      <c r="G350" s="72"/>
      <c r="H350" s="95"/>
      <c r="I350" s="74"/>
      <c r="J350" s="74"/>
      <c r="K350" s="74"/>
      <c r="L350" s="74"/>
      <c r="M350" s="96"/>
      <c r="N350" s="74"/>
      <c r="O350" s="74"/>
      <c r="P350" s="74"/>
    </row>
    <row r="351" spans="1:16" ht="15.75" customHeight="1">
      <c r="A351" s="94"/>
      <c r="B351" s="72"/>
      <c r="C351" s="74"/>
      <c r="D351" s="72"/>
      <c r="E351" s="95"/>
      <c r="F351" s="74"/>
      <c r="G351" s="72"/>
      <c r="H351" s="95"/>
      <c r="I351" s="74"/>
      <c r="J351" s="74"/>
      <c r="K351" s="74"/>
      <c r="L351" s="74"/>
      <c r="M351" s="96"/>
      <c r="N351" s="74"/>
      <c r="O351" s="74"/>
      <c r="P351" s="74"/>
    </row>
    <row r="352" spans="1:16" ht="15.75" customHeight="1">
      <c r="A352" s="94"/>
      <c r="B352" s="72"/>
      <c r="C352" s="74"/>
      <c r="D352" s="72"/>
      <c r="E352" s="95"/>
      <c r="F352" s="74"/>
      <c r="G352" s="72"/>
      <c r="H352" s="95"/>
      <c r="I352" s="74"/>
      <c r="J352" s="74"/>
      <c r="K352" s="74"/>
      <c r="L352" s="74"/>
      <c r="M352" s="96"/>
      <c r="N352" s="74"/>
      <c r="O352" s="74"/>
      <c r="P352" s="74"/>
    </row>
    <row r="353" spans="1:16" ht="15.75" customHeight="1">
      <c r="A353" s="94"/>
      <c r="B353" s="72"/>
      <c r="C353" s="74"/>
      <c r="D353" s="72"/>
      <c r="E353" s="95"/>
      <c r="F353" s="74"/>
      <c r="G353" s="72"/>
      <c r="H353" s="95"/>
      <c r="I353" s="74"/>
      <c r="J353" s="74"/>
      <c r="K353" s="74"/>
      <c r="L353" s="74"/>
      <c r="M353" s="96"/>
      <c r="N353" s="74"/>
      <c r="O353" s="74"/>
      <c r="P353" s="74"/>
    </row>
    <row r="354" spans="1:16" ht="15.75" customHeight="1">
      <c r="A354" s="94"/>
      <c r="B354" s="72"/>
      <c r="C354" s="74"/>
      <c r="D354" s="72"/>
      <c r="E354" s="95"/>
      <c r="F354" s="74"/>
      <c r="G354" s="72"/>
      <c r="H354" s="95"/>
      <c r="I354" s="74"/>
      <c r="J354" s="74"/>
      <c r="K354" s="74"/>
      <c r="L354" s="74"/>
      <c r="M354" s="96"/>
      <c r="N354" s="74"/>
      <c r="O354" s="74"/>
      <c r="P354" s="74"/>
    </row>
    <row r="355" spans="1:16" ht="15.75" customHeight="1">
      <c r="A355" s="94"/>
      <c r="B355" s="72"/>
      <c r="C355" s="74"/>
      <c r="D355" s="72"/>
      <c r="E355" s="95"/>
      <c r="F355" s="74"/>
      <c r="G355" s="72"/>
      <c r="H355" s="95"/>
      <c r="I355" s="74"/>
      <c r="J355" s="74"/>
      <c r="K355" s="74"/>
      <c r="L355" s="74"/>
      <c r="M355" s="96"/>
      <c r="N355" s="74"/>
      <c r="O355" s="74"/>
      <c r="P355" s="74"/>
    </row>
    <row r="356" spans="1:16" ht="15.75" customHeight="1">
      <c r="A356" s="94"/>
      <c r="B356" s="72"/>
      <c r="C356" s="74"/>
      <c r="D356" s="72"/>
      <c r="E356" s="95"/>
      <c r="F356" s="74"/>
      <c r="G356" s="72"/>
      <c r="H356" s="95"/>
      <c r="I356" s="74"/>
      <c r="J356" s="74"/>
      <c r="K356" s="74"/>
      <c r="L356" s="74"/>
      <c r="M356" s="96"/>
      <c r="N356" s="74"/>
      <c r="O356" s="74"/>
      <c r="P356" s="74"/>
    </row>
    <row r="357" spans="1:16" ht="15.75" customHeight="1">
      <c r="A357" s="94"/>
      <c r="B357" s="72"/>
      <c r="C357" s="74"/>
      <c r="D357" s="72"/>
      <c r="E357" s="95"/>
      <c r="F357" s="74"/>
      <c r="G357" s="72"/>
      <c r="H357" s="95"/>
      <c r="I357" s="74"/>
      <c r="J357" s="74"/>
      <c r="K357" s="74"/>
      <c r="L357" s="74"/>
      <c r="M357" s="96"/>
      <c r="N357" s="74"/>
      <c r="O357" s="74"/>
      <c r="P357" s="74"/>
    </row>
    <row r="358" spans="1:16" ht="15.75" customHeight="1">
      <c r="A358" s="94"/>
      <c r="B358" s="72"/>
      <c r="C358" s="74"/>
      <c r="D358" s="72"/>
      <c r="E358" s="95"/>
      <c r="F358" s="74"/>
      <c r="G358" s="72"/>
      <c r="H358" s="95"/>
      <c r="I358" s="74"/>
      <c r="J358" s="74"/>
      <c r="K358" s="74"/>
      <c r="L358" s="74"/>
      <c r="M358" s="96"/>
      <c r="N358" s="74"/>
      <c r="O358" s="74"/>
      <c r="P358" s="74"/>
    </row>
    <row r="359" spans="1:16" ht="15.75" customHeight="1">
      <c r="A359" s="94"/>
      <c r="B359" s="72"/>
      <c r="C359" s="74"/>
      <c r="D359" s="72"/>
      <c r="E359" s="95"/>
      <c r="F359" s="74"/>
      <c r="G359" s="72"/>
      <c r="H359" s="95"/>
      <c r="I359" s="74"/>
      <c r="J359" s="74"/>
      <c r="K359" s="74"/>
      <c r="L359" s="74"/>
      <c r="M359" s="96"/>
      <c r="N359" s="74"/>
      <c r="O359" s="74"/>
      <c r="P359" s="74"/>
    </row>
    <row r="360" spans="1:16" ht="15.75" customHeight="1">
      <c r="A360" s="94"/>
      <c r="B360" s="72"/>
      <c r="C360" s="74"/>
      <c r="D360" s="72"/>
      <c r="E360" s="95"/>
      <c r="F360" s="74"/>
      <c r="G360" s="72"/>
      <c r="H360" s="95"/>
      <c r="I360" s="74"/>
      <c r="J360" s="74"/>
      <c r="K360" s="74"/>
      <c r="L360" s="74"/>
      <c r="M360" s="96"/>
      <c r="N360" s="74"/>
      <c r="O360" s="74"/>
      <c r="P360" s="74"/>
    </row>
    <row r="361" spans="1:16" ht="15.75" customHeight="1">
      <c r="A361" s="94"/>
      <c r="B361" s="72"/>
      <c r="C361" s="74"/>
      <c r="D361" s="72"/>
      <c r="E361" s="95"/>
      <c r="F361" s="74"/>
      <c r="G361" s="72"/>
      <c r="H361" s="95"/>
      <c r="I361" s="74"/>
      <c r="J361" s="74"/>
      <c r="K361" s="74"/>
      <c r="L361" s="74"/>
      <c r="M361" s="96"/>
      <c r="N361" s="74"/>
      <c r="O361" s="74"/>
      <c r="P361" s="74"/>
    </row>
    <row r="362" spans="1:16" ht="15.75" customHeight="1">
      <c r="A362" s="94"/>
      <c r="B362" s="72"/>
      <c r="C362" s="74"/>
      <c r="D362" s="72"/>
      <c r="E362" s="95"/>
      <c r="F362" s="74"/>
      <c r="G362" s="72"/>
      <c r="H362" s="95"/>
      <c r="I362" s="74"/>
      <c r="J362" s="74"/>
      <c r="K362" s="74"/>
      <c r="L362" s="74"/>
      <c r="M362" s="96"/>
      <c r="N362" s="74"/>
      <c r="O362" s="74"/>
      <c r="P362" s="74"/>
    </row>
    <row r="363" spans="1:16" ht="15.75" customHeight="1">
      <c r="A363" s="94"/>
      <c r="B363" s="72"/>
      <c r="C363" s="74"/>
      <c r="D363" s="72"/>
      <c r="E363" s="95"/>
      <c r="F363" s="74"/>
      <c r="G363" s="72"/>
      <c r="H363" s="95"/>
      <c r="I363" s="74"/>
      <c r="J363" s="74"/>
      <c r="K363" s="74"/>
      <c r="L363" s="74"/>
      <c r="M363" s="96"/>
      <c r="N363" s="74"/>
      <c r="O363" s="74"/>
      <c r="P363" s="74"/>
    </row>
    <row r="364" spans="1:16" ht="15.75" customHeight="1">
      <c r="A364" s="94"/>
      <c r="B364" s="72"/>
      <c r="C364" s="74"/>
      <c r="D364" s="72"/>
      <c r="E364" s="95"/>
      <c r="F364" s="74"/>
      <c r="G364" s="72"/>
      <c r="H364" s="95"/>
      <c r="I364" s="74"/>
      <c r="J364" s="74"/>
      <c r="K364" s="74"/>
      <c r="L364" s="74"/>
      <c r="M364" s="96"/>
      <c r="N364" s="74"/>
      <c r="O364" s="74"/>
      <c r="P364" s="74"/>
    </row>
    <row r="365" spans="1:16" ht="15.75" customHeight="1">
      <c r="A365" s="94"/>
      <c r="B365" s="72"/>
      <c r="C365" s="74"/>
      <c r="D365" s="72"/>
      <c r="E365" s="95"/>
      <c r="F365" s="74"/>
      <c r="G365" s="72"/>
      <c r="H365" s="95"/>
      <c r="I365" s="74"/>
      <c r="J365" s="74"/>
      <c r="K365" s="74"/>
      <c r="L365" s="74"/>
      <c r="M365" s="96"/>
      <c r="N365" s="74"/>
      <c r="O365" s="74"/>
      <c r="P365" s="74"/>
    </row>
    <row r="366" spans="1:16" ht="15.75" customHeight="1">
      <c r="A366" s="94"/>
      <c r="B366" s="72"/>
      <c r="C366" s="74"/>
      <c r="D366" s="72"/>
      <c r="E366" s="95"/>
      <c r="F366" s="74"/>
      <c r="G366" s="72"/>
      <c r="H366" s="95"/>
      <c r="I366" s="74"/>
      <c r="J366" s="74"/>
      <c r="K366" s="74"/>
      <c r="L366" s="74"/>
      <c r="M366" s="96"/>
      <c r="N366" s="74"/>
      <c r="O366" s="74"/>
      <c r="P366" s="74"/>
    </row>
    <row r="367" spans="1:16" ht="15.75" customHeight="1">
      <c r="A367" s="94"/>
      <c r="B367" s="72"/>
      <c r="C367" s="74"/>
      <c r="D367" s="72"/>
      <c r="E367" s="95"/>
      <c r="F367" s="74"/>
      <c r="G367" s="72"/>
      <c r="H367" s="95"/>
      <c r="I367" s="74"/>
      <c r="J367" s="74"/>
      <c r="K367" s="74"/>
      <c r="L367" s="74"/>
      <c r="M367" s="96"/>
      <c r="N367" s="74"/>
      <c r="O367" s="74"/>
      <c r="P367" s="74"/>
    </row>
    <row r="368" spans="1:16" ht="15.75" customHeight="1">
      <c r="A368" s="94"/>
      <c r="B368" s="72"/>
      <c r="C368" s="74"/>
      <c r="D368" s="72"/>
      <c r="E368" s="95"/>
      <c r="F368" s="74"/>
      <c r="G368" s="72"/>
      <c r="H368" s="95"/>
      <c r="I368" s="74"/>
      <c r="J368" s="74"/>
      <c r="K368" s="74"/>
      <c r="L368" s="74"/>
      <c r="M368" s="96"/>
      <c r="N368" s="74"/>
      <c r="O368" s="74"/>
      <c r="P368" s="74"/>
    </row>
    <row r="369" spans="1:16" ht="15.75" customHeight="1">
      <c r="A369" s="94"/>
      <c r="B369" s="72"/>
      <c r="C369" s="74"/>
      <c r="D369" s="72"/>
      <c r="E369" s="95"/>
      <c r="F369" s="74"/>
      <c r="G369" s="72"/>
      <c r="H369" s="95"/>
      <c r="I369" s="74"/>
      <c r="J369" s="74"/>
      <c r="K369" s="74"/>
      <c r="L369" s="74"/>
      <c r="M369" s="96"/>
      <c r="N369" s="74"/>
      <c r="O369" s="74"/>
      <c r="P369" s="74"/>
    </row>
    <row r="370" spans="1:16" ht="15.75" customHeight="1">
      <c r="A370" s="94"/>
      <c r="B370" s="72"/>
      <c r="C370" s="74"/>
      <c r="D370" s="72"/>
      <c r="E370" s="95"/>
      <c r="F370" s="74"/>
      <c r="G370" s="72"/>
      <c r="H370" s="95"/>
      <c r="I370" s="74"/>
      <c r="J370" s="74"/>
      <c r="K370" s="74"/>
      <c r="L370" s="74"/>
      <c r="M370" s="96"/>
      <c r="N370" s="74"/>
      <c r="O370" s="74"/>
      <c r="P370" s="74"/>
    </row>
    <row r="371" spans="1:16" ht="15.75" customHeight="1">
      <c r="A371" s="94"/>
      <c r="B371" s="72"/>
      <c r="C371" s="74"/>
      <c r="D371" s="72"/>
      <c r="E371" s="95"/>
      <c r="F371" s="74"/>
      <c r="G371" s="72"/>
      <c r="H371" s="95"/>
      <c r="I371" s="74"/>
      <c r="J371" s="74"/>
      <c r="K371" s="74"/>
      <c r="L371" s="74"/>
      <c r="M371" s="96"/>
      <c r="N371" s="74"/>
      <c r="O371" s="74"/>
      <c r="P371" s="74"/>
    </row>
    <row r="372" spans="1:16" ht="15.75" customHeight="1">
      <c r="A372" s="94"/>
      <c r="B372" s="72"/>
      <c r="C372" s="74"/>
      <c r="D372" s="72"/>
      <c r="E372" s="95"/>
      <c r="F372" s="74"/>
      <c r="G372" s="72"/>
      <c r="H372" s="95"/>
      <c r="I372" s="74"/>
      <c r="J372" s="74"/>
      <c r="K372" s="74"/>
      <c r="L372" s="74"/>
      <c r="M372" s="96"/>
      <c r="N372" s="74"/>
      <c r="O372" s="74"/>
      <c r="P372" s="74"/>
    </row>
    <row r="373" spans="1:16" ht="15.75" customHeight="1">
      <c r="A373" s="94"/>
      <c r="B373" s="72"/>
      <c r="C373" s="74"/>
      <c r="D373" s="72"/>
      <c r="E373" s="95"/>
      <c r="F373" s="74"/>
      <c r="G373" s="72"/>
      <c r="H373" s="95"/>
      <c r="I373" s="74"/>
      <c r="J373" s="74"/>
      <c r="K373" s="74"/>
      <c r="L373" s="74"/>
      <c r="M373" s="96"/>
      <c r="N373" s="74"/>
      <c r="O373" s="74"/>
      <c r="P373" s="74"/>
    </row>
    <row r="374" spans="1:16" ht="15.75" customHeight="1">
      <c r="A374" s="94"/>
      <c r="B374" s="72"/>
      <c r="C374" s="74"/>
      <c r="D374" s="72"/>
      <c r="E374" s="95"/>
      <c r="F374" s="74"/>
      <c r="G374" s="72"/>
      <c r="H374" s="95"/>
      <c r="I374" s="74"/>
      <c r="J374" s="74"/>
      <c r="K374" s="74"/>
      <c r="L374" s="74"/>
      <c r="M374" s="96"/>
      <c r="N374" s="74"/>
      <c r="O374" s="74"/>
      <c r="P374" s="74"/>
    </row>
    <row r="375" spans="1:16" ht="15.75" customHeight="1">
      <c r="A375" s="94"/>
      <c r="B375" s="72"/>
      <c r="C375" s="74"/>
      <c r="D375" s="72"/>
      <c r="E375" s="95"/>
      <c r="F375" s="74"/>
      <c r="G375" s="72"/>
      <c r="H375" s="95"/>
      <c r="I375" s="74"/>
      <c r="J375" s="74"/>
      <c r="K375" s="74"/>
      <c r="L375" s="74"/>
      <c r="M375" s="96"/>
      <c r="N375" s="74"/>
      <c r="O375" s="74"/>
      <c r="P375" s="74"/>
    </row>
    <row r="376" spans="1:16" ht="15.75" customHeight="1">
      <c r="A376" s="94"/>
      <c r="B376" s="72"/>
      <c r="C376" s="74"/>
      <c r="D376" s="72"/>
      <c r="E376" s="95"/>
      <c r="F376" s="74"/>
      <c r="G376" s="72"/>
      <c r="H376" s="95"/>
      <c r="I376" s="74"/>
      <c r="J376" s="74"/>
      <c r="K376" s="74"/>
      <c r="L376" s="74"/>
      <c r="M376" s="96"/>
      <c r="N376" s="74"/>
      <c r="O376" s="74"/>
      <c r="P376" s="74"/>
    </row>
    <row r="377" spans="1:16" ht="15.75" customHeight="1">
      <c r="A377" s="94"/>
      <c r="B377" s="72"/>
      <c r="C377" s="74"/>
      <c r="D377" s="72"/>
      <c r="E377" s="95"/>
      <c r="F377" s="74"/>
      <c r="G377" s="72"/>
      <c r="H377" s="95"/>
      <c r="I377" s="74"/>
      <c r="J377" s="74"/>
      <c r="K377" s="74"/>
      <c r="L377" s="74"/>
      <c r="M377" s="96"/>
      <c r="N377" s="74"/>
      <c r="O377" s="74"/>
      <c r="P377" s="74"/>
    </row>
    <row r="378" spans="1:16" ht="15.75" customHeight="1">
      <c r="A378" s="94"/>
      <c r="B378" s="72"/>
      <c r="C378" s="74"/>
      <c r="D378" s="72"/>
      <c r="E378" s="95"/>
      <c r="F378" s="74"/>
      <c r="G378" s="72"/>
      <c r="H378" s="95"/>
      <c r="I378" s="74"/>
      <c r="J378" s="74"/>
      <c r="K378" s="74"/>
      <c r="L378" s="74"/>
      <c r="M378" s="96"/>
      <c r="N378" s="74"/>
      <c r="O378" s="74"/>
      <c r="P378" s="74"/>
    </row>
    <row r="379" spans="1:16" ht="15.75" customHeight="1">
      <c r="A379" s="94"/>
      <c r="B379" s="72"/>
      <c r="C379" s="74"/>
      <c r="D379" s="72"/>
      <c r="E379" s="95"/>
      <c r="F379" s="74"/>
      <c r="G379" s="72"/>
      <c r="H379" s="95"/>
      <c r="I379" s="74"/>
      <c r="J379" s="74"/>
      <c r="K379" s="74"/>
      <c r="L379" s="74"/>
      <c r="M379" s="96"/>
      <c r="N379" s="74"/>
      <c r="O379" s="74"/>
      <c r="P379" s="74"/>
    </row>
    <row r="380" spans="1:16" ht="15.75" customHeight="1">
      <c r="A380" s="94"/>
      <c r="B380" s="72"/>
      <c r="C380" s="74"/>
      <c r="D380" s="72"/>
      <c r="E380" s="95"/>
      <c r="F380" s="74"/>
      <c r="G380" s="72"/>
      <c r="H380" s="95"/>
      <c r="I380" s="74"/>
      <c r="J380" s="74"/>
      <c r="K380" s="74"/>
      <c r="L380" s="74"/>
      <c r="M380" s="96"/>
      <c r="N380" s="74"/>
      <c r="O380" s="74"/>
      <c r="P380" s="74"/>
    </row>
    <row r="381" spans="1:16" ht="15.75" customHeight="1">
      <c r="A381" s="94"/>
      <c r="B381" s="72"/>
      <c r="C381" s="74"/>
      <c r="D381" s="72"/>
      <c r="E381" s="95"/>
      <c r="F381" s="74"/>
      <c r="G381" s="72"/>
      <c r="H381" s="95"/>
      <c r="I381" s="74"/>
      <c r="J381" s="74"/>
      <c r="K381" s="74"/>
      <c r="L381" s="74"/>
      <c r="M381" s="96"/>
      <c r="N381" s="74"/>
      <c r="O381" s="74"/>
      <c r="P381" s="74"/>
    </row>
    <row r="382" spans="1:16" ht="15.75" customHeight="1">
      <c r="A382" s="94"/>
      <c r="B382" s="72"/>
      <c r="C382" s="74"/>
      <c r="D382" s="72"/>
      <c r="E382" s="95"/>
      <c r="F382" s="74"/>
      <c r="G382" s="72"/>
      <c r="H382" s="95"/>
      <c r="I382" s="74"/>
      <c r="J382" s="74"/>
      <c r="K382" s="74"/>
      <c r="L382" s="74"/>
      <c r="M382" s="96"/>
      <c r="N382" s="74"/>
      <c r="O382" s="74"/>
      <c r="P382" s="74"/>
    </row>
    <row r="383" spans="1:16" ht="15.75" customHeight="1">
      <c r="A383" s="94"/>
      <c r="B383" s="72"/>
      <c r="C383" s="74"/>
      <c r="D383" s="72"/>
      <c r="E383" s="95"/>
      <c r="F383" s="74"/>
      <c r="G383" s="72"/>
      <c r="H383" s="95"/>
      <c r="I383" s="74"/>
      <c r="J383" s="74"/>
      <c r="K383" s="74"/>
      <c r="L383" s="74"/>
      <c r="M383" s="96"/>
      <c r="N383" s="74"/>
      <c r="O383" s="74"/>
      <c r="P383" s="74"/>
    </row>
    <row r="384" spans="1:16" ht="15.75" customHeight="1">
      <c r="A384" s="94"/>
      <c r="B384" s="72"/>
      <c r="C384" s="74"/>
      <c r="D384" s="72"/>
      <c r="E384" s="95"/>
      <c r="F384" s="74"/>
      <c r="G384" s="72"/>
      <c r="H384" s="95"/>
      <c r="I384" s="74"/>
      <c r="J384" s="74"/>
      <c r="K384" s="74"/>
      <c r="L384" s="74"/>
      <c r="M384" s="96"/>
      <c r="N384" s="74"/>
      <c r="O384" s="74"/>
      <c r="P384" s="74"/>
    </row>
    <row r="385" spans="1:16" ht="15.75" customHeight="1">
      <c r="A385" s="94"/>
      <c r="B385" s="72"/>
      <c r="C385" s="74"/>
      <c r="D385" s="72"/>
      <c r="E385" s="95"/>
      <c r="F385" s="74"/>
      <c r="G385" s="72"/>
      <c r="H385" s="95"/>
      <c r="I385" s="74"/>
      <c r="J385" s="74"/>
      <c r="K385" s="74"/>
      <c r="L385" s="74"/>
      <c r="M385" s="96"/>
      <c r="N385" s="74"/>
      <c r="O385" s="74"/>
      <c r="P385" s="74"/>
    </row>
    <row r="386" spans="1:16" ht="15.75" customHeight="1">
      <c r="A386" s="94"/>
      <c r="B386" s="72"/>
      <c r="C386" s="74"/>
      <c r="D386" s="72"/>
      <c r="E386" s="95"/>
      <c r="F386" s="74"/>
      <c r="G386" s="72"/>
      <c r="H386" s="95"/>
      <c r="I386" s="74"/>
      <c r="J386" s="74"/>
      <c r="K386" s="74"/>
      <c r="L386" s="74"/>
      <c r="M386" s="96"/>
      <c r="N386" s="74"/>
      <c r="O386" s="74"/>
      <c r="P386" s="74"/>
    </row>
    <row r="387" spans="1:16" ht="15.75" customHeight="1">
      <c r="A387" s="94"/>
      <c r="B387" s="72"/>
      <c r="C387" s="74"/>
      <c r="D387" s="72"/>
      <c r="E387" s="95"/>
      <c r="F387" s="74"/>
      <c r="G387" s="72"/>
      <c r="H387" s="95"/>
      <c r="I387" s="74"/>
      <c r="J387" s="74"/>
      <c r="K387" s="74"/>
      <c r="L387" s="74"/>
      <c r="M387" s="96"/>
      <c r="N387" s="74"/>
      <c r="O387" s="74"/>
      <c r="P387" s="74"/>
    </row>
    <row r="388" spans="1:16" ht="15.75" customHeight="1">
      <c r="A388" s="94"/>
      <c r="B388" s="72"/>
      <c r="C388" s="74"/>
      <c r="D388" s="72"/>
      <c r="E388" s="95"/>
      <c r="F388" s="74"/>
      <c r="G388" s="72"/>
      <c r="H388" s="95"/>
      <c r="I388" s="74"/>
      <c r="J388" s="74"/>
      <c r="K388" s="74"/>
      <c r="L388" s="74"/>
      <c r="M388" s="96"/>
      <c r="N388" s="74"/>
      <c r="O388" s="74"/>
      <c r="P388" s="74"/>
    </row>
    <row r="389" spans="1:16" ht="15.75" customHeight="1">
      <c r="A389" s="94"/>
      <c r="B389" s="72"/>
      <c r="C389" s="74"/>
      <c r="D389" s="72"/>
      <c r="E389" s="95"/>
      <c r="F389" s="74"/>
      <c r="G389" s="72"/>
      <c r="H389" s="95"/>
      <c r="I389" s="74"/>
      <c r="J389" s="74"/>
      <c r="K389" s="74"/>
      <c r="L389" s="74"/>
      <c r="M389" s="96"/>
      <c r="N389" s="74"/>
      <c r="O389" s="74"/>
      <c r="P389" s="74"/>
    </row>
    <row r="390" spans="1:16" ht="15.75" customHeight="1">
      <c r="A390" s="94"/>
      <c r="B390" s="72"/>
      <c r="C390" s="74"/>
      <c r="D390" s="72"/>
      <c r="E390" s="95"/>
      <c r="F390" s="74"/>
      <c r="G390" s="72"/>
      <c r="H390" s="95"/>
      <c r="I390" s="74"/>
      <c r="J390" s="74"/>
      <c r="K390" s="74"/>
      <c r="L390" s="74"/>
      <c r="M390" s="96"/>
      <c r="N390" s="74"/>
      <c r="O390" s="74"/>
      <c r="P390" s="74"/>
    </row>
    <row r="391" spans="1:16" ht="15.75" customHeight="1">
      <c r="A391" s="94"/>
      <c r="B391" s="72"/>
      <c r="C391" s="74"/>
      <c r="D391" s="72"/>
      <c r="E391" s="95"/>
      <c r="F391" s="74"/>
      <c r="G391" s="72"/>
      <c r="H391" s="95"/>
      <c r="I391" s="74"/>
      <c r="J391" s="74"/>
      <c r="K391" s="74"/>
      <c r="L391" s="74"/>
      <c r="M391" s="96"/>
      <c r="N391" s="74"/>
      <c r="O391" s="74"/>
      <c r="P391" s="74"/>
    </row>
    <row r="392" spans="1:16" ht="15.75" customHeight="1">
      <c r="A392" s="94"/>
      <c r="B392" s="72"/>
      <c r="C392" s="74"/>
      <c r="D392" s="72"/>
      <c r="E392" s="95"/>
      <c r="F392" s="74"/>
      <c r="G392" s="72"/>
      <c r="H392" s="95"/>
      <c r="I392" s="74"/>
      <c r="J392" s="74"/>
      <c r="K392" s="74"/>
      <c r="L392" s="74"/>
      <c r="M392" s="96"/>
      <c r="N392" s="74"/>
      <c r="O392" s="74"/>
      <c r="P392" s="74"/>
    </row>
    <row r="393" spans="1:16" ht="15.75" customHeight="1">
      <c r="A393" s="94"/>
      <c r="B393" s="72"/>
      <c r="C393" s="74"/>
      <c r="D393" s="72"/>
      <c r="E393" s="95"/>
      <c r="F393" s="74"/>
      <c r="G393" s="72"/>
      <c r="H393" s="95"/>
      <c r="I393" s="74"/>
      <c r="J393" s="74"/>
      <c r="K393" s="74"/>
      <c r="L393" s="74"/>
      <c r="M393" s="96"/>
      <c r="N393" s="74"/>
      <c r="O393" s="74"/>
      <c r="P393" s="74"/>
    </row>
    <row r="394" spans="1:16" ht="15.75" customHeight="1">
      <c r="A394" s="94"/>
      <c r="B394" s="72"/>
      <c r="C394" s="74"/>
      <c r="D394" s="72"/>
      <c r="E394" s="95"/>
      <c r="F394" s="74"/>
      <c r="G394" s="72"/>
      <c r="H394" s="95"/>
      <c r="I394" s="74"/>
      <c r="J394" s="74"/>
      <c r="K394" s="74"/>
      <c r="L394" s="74"/>
      <c r="M394" s="96"/>
      <c r="N394" s="74"/>
      <c r="O394" s="74"/>
      <c r="P394" s="74"/>
    </row>
    <row r="395" spans="1:16" ht="15.75" customHeight="1">
      <c r="A395" s="94"/>
      <c r="B395" s="72"/>
      <c r="C395" s="74"/>
      <c r="D395" s="72"/>
      <c r="E395" s="95"/>
      <c r="F395" s="74"/>
      <c r="G395" s="72"/>
      <c r="H395" s="95"/>
      <c r="I395" s="74"/>
      <c r="J395" s="74"/>
      <c r="K395" s="74"/>
      <c r="L395" s="74"/>
      <c r="M395" s="96"/>
      <c r="N395" s="74"/>
      <c r="O395" s="74"/>
      <c r="P395" s="74"/>
    </row>
    <row r="396" spans="1:16" ht="15.75" customHeight="1">
      <c r="A396" s="94"/>
      <c r="B396" s="72"/>
      <c r="C396" s="74"/>
      <c r="D396" s="72"/>
      <c r="E396" s="95"/>
      <c r="F396" s="74"/>
      <c r="G396" s="72"/>
      <c r="H396" s="95"/>
      <c r="I396" s="74"/>
      <c r="J396" s="74"/>
      <c r="K396" s="74"/>
      <c r="L396" s="74"/>
      <c r="M396" s="96"/>
      <c r="N396" s="74"/>
      <c r="O396" s="74"/>
      <c r="P396" s="74"/>
    </row>
    <row r="397" spans="1:16" ht="15.75" customHeight="1">
      <c r="A397" s="94"/>
      <c r="B397" s="72"/>
      <c r="C397" s="74"/>
      <c r="D397" s="72"/>
      <c r="E397" s="95"/>
      <c r="F397" s="74"/>
      <c r="G397" s="72"/>
      <c r="H397" s="95"/>
      <c r="I397" s="74"/>
      <c r="J397" s="74"/>
      <c r="K397" s="74"/>
      <c r="L397" s="74"/>
      <c r="M397" s="96"/>
      <c r="N397" s="74"/>
      <c r="O397" s="74"/>
      <c r="P397" s="74"/>
    </row>
    <row r="398" spans="1:16" ht="15.75" customHeight="1">
      <c r="A398" s="94"/>
      <c r="B398" s="72"/>
      <c r="C398" s="74"/>
      <c r="D398" s="72"/>
      <c r="E398" s="95"/>
      <c r="F398" s="74"/>
      <c r="G398" s="72"/>
      <c r="H398" s="95"/>
      <c r="I398" s="74"/>
      <c r="J398" s="74"/>
      <c r="K398" s="74"/>
      <c r="L398" s="74"/>
      <c r="M398" s="96"/>
      <c r="N398" s="74"/>
      <c r="O398" s="74"/>
      <c r="P398" s="74"/>
    </row>
    <row r="399" spans="1:16" ht="15.75" customHeight="1">
      <c r="A399" s="94"/>
      <c r="B399" s="72"/>
      <c r="C399" s="74"/>
      <c r="D399" s="72"/>
      <c r="E399" s="95"/>
      <c r="F399" s="74"/>
      <c r="G399" s="72"/>
      <c r="H399" s="95"/>
      <c r="I399" s="74"/>
      <c r="J399" s="74"/>
      <c r="K399" s="74"/>
      <c r="L399" s="74"/>
      <c r="M399" s="96"/>
      <c r="N399" s="74"/>
      <c r="O399" s="74"/>
      <c r="P399" s="74"/>
    </row>
    <row r="400" spans="1:16" ht="15.75" customHeight="1">
      <c r="A400" s="94"/>
      <c r="B400" s="72"/>
      <c r="C400" s="74"/>
      <c r="D400" s="72"/>
      <c r="E400" s="95"/>
      <c r="F400" s="74"/>
      <c r="G400" s="72"/>
      <c r="H400" s="95"/>
      <c r="I400" s="74"/>
      <c r="J400" s="74"/>
      <c r="K400" s="74"/>
      <c r="L400" s="74"/>
      <c r="M400" s="96"/>
      <c r="N400" s="74"/>
      <c r="O400" s="74"/>
      <c r="P400" s="74"/>
    </row>
    <row r="401" spans="1:16" ht="15.75" customHeight="1">
      <c r="A401" s="94"/>
      <c r="B401" s="72"/>
      <c r="C401" s="74"/>
      <c r="D401" s="72"/>
      <c r="E401" s="95"/>
      <c r="F401" s="74"/>
      <c r="G401" s="72"/>
      <c r="H401" s="95"/>
      <c r="I401" s="74"/>
      <c r="J401" s="74"/>
      <c r="K401" s="74"/>
      <c r="L401" s="74"/>
      <c r="M401" s="96"/>
      <c r="N401" s="74"/>
      <c r="O401" s="74"/>
      <c r="P401" s="74"/>
    </row>
    <row r="402" spans="1:16" ht="15.75" customHeight="1">
      <c r="A402" s="94"/>
      <c r="B402" s="72"/>
      <c r="C402" s="74"/>
      <c r="D402" s="72"/>
      <c r="E402" s="95"/>
      <c r="F402" s="74"/>
      <c r="G402" s="72"/>
      <c r="H402" s="95"/>
      <c r="I402" s="74"/>
      <c r="J402" s="74"/>
      <c r="K402" s="74"/>
      <c r="L402" s="74"/>
      <c r="M402" s="96"/>
      <c r="N402" s="74"/>
      <c r="O402" s="74"/>
      <c r="P402" s="74"/>
    </row>
    <row r="403" spans="1:16" ht="15.75" customHeight="1">
      <c r="A403" s="94"/>
      <c r="B403" s="72"/>
      <c r="C403" s="74"/>
      <c r="D403" s="72"/>
      <c r="E403" s="95"/>
      <c r="F403" s="74"/>
      <c r="G403" s="72"/>
      <c r="H403" s="95"/>
      <c r="I403" s="74"/>
      <c r="J403" s="74"/>
      <c r="K403" s="74"/>
      <c r="L403" s="74"/>
      <c r="M403" s="96"/>
      <c r="N403" s="74"/>
      <c r="O403" s="74"/>
      <c r="P403" s="74"/>
    </row>
    <row r="404" spans="1:16" ht="15.75" customHeight="1">
      <c r="A404" s="94"/>
      <c r="B404" s="72"/>
      <c r="C404" s="74"/>
      <c r="D404" s="72"/>
      <c r="E404" s="95"/>
      <c r="F404" s="74"/>
      <c r="G404" s="72"/>
      <c r="H404" s="95"/>
      <c r="I404" s="74"/>
      <c r="J404" s="74"/>
      <c r="K404" s="74"/>
      <c r="L404" s="74"/>
      <c r="M404" s="96"/>
      <c r="N404" s="74"/>
      <c r="O404" s="74"/>
      <c r="P404" s="74"/>
    </row>
    <row r="405" spans="1:16" ht="15.75" customHeight="1">
      <c r="A405" s="94"/>
      <c r="B405" s="72"/>
      <c r="C405" s="74"/>
      <c r="D405" s="72"/>
      <c r="E405" s="95"/>
      <c r="F405" s="74"/>
      <c r="G405" s="72"/>
      <c r="H405" s="95"/>
      <c r="I405" s="74"/>
      <c r="J405" s="74"/>
      <c r="K405" s="74"/>
      <c r="L405" s="74"/>
      <c r="M405" s="96"/>
      <c r="N405" s="74"/>
      <c r="O405" s="74"/>
      <c r="P405" s="74"/>
    </row>
    <row r="406" spans="1:16" ht="15.75" customHeight="1">
      <c r="A406" s="94"/>
      <c r="B406" s="72"/>
      <c r="C406" s="74"/>
      <c r="D406" s="72"/>
      <c r="E406" s="95"/>
      <c r="F406" s="74"/>
      <c r="G406" s="72"/>
      <c r="H406" s="95"/>
      <c r="I406" s="74"/>
      <c r="J406" s="74"/>
      <c r="K406" s="74"/>
      <c r="L406" s="74"/>
      <c r="M406" s="96"/>
      <c r="N406" s="74"/>
      <c r="O406" s="74"/>
      <c r="P406" s="74"/>
    </row>
    <row r="407" spans="1:16" ht="15.75" customHeight="1">
      <c r="A407" s="94"/>
      <c r="B407" s="72"/>
      <c r="C407" s="74"/>
      <c r="D407" s="72"/>
      <c r="E407" s="95"/>
      <c r="F407" s="74"/>
      <c r="G407" s="72"/>
      <c r="H407" s="95"/>
      <c r="I407" s="74"/>
      <c r="J407" s="74"/>
      <c r="K407" s="74"/>
      <c r="L407" s="74"/>
      <c r="M407" s="96"/>
      <c r="N407" s="74"/>
      <c r="O407" s="74"/>
      <c r="P407" s="74"/>
    </row>
    <row r="408" spans="1:16" ht="15.75" customHeight="1">
      <c r="A408" s="94"/>
      <c r="B408" s="72"/>
      <c r="C408" s="74"/>
      <c r="D408" s="72"/>
      <c r="E408" s="95"/>
      <c r="F408" s="74"/>
      <c r="G408" s="72"/>
      <c r="H408" s="95"/>
      <c r="I408" s="74"/>
      <c r="J408" s="74"/>
      <c r="K408" s="74"/>
      <c r="L408" s="74"/>
      <c r="M408" s="96"/>
      <c r="N408" s="74"/>
      <c r="O408" s="74"/>
      <c r="P408" s="74"/>
    </row>
    <row r="409" spans="1:16" ht="15.75" customHeight="1">
      <c r="A409" s="94"/>
      <c r="B409" s="72"/>
      <c r="C409" s="74"/>
      <c r="D409" s="72"/>
      <c r="E409" s="95"/>
      <c r="F409" s="74"/>
      <c r="G409" s="72"/>
      <c r="H409" s="95"/>
      <c r="I409" s="74"/>
      <c r="J409" s="74"/>
      <c r="K409" s="74"/>
      <c r="L409" s="74"/>
      <c r="M409" s="96"/>
      <c r="N409" s="74"/>
      <c r="O409" s="74"/>
      <c r="P409" s="74"/>
    </row>
    <row r="410" spans="1:16" ht="15.75" customHeight="1">
      <c r="A410" s="94"/>
      <c r="B410" s="72"/>
      <c r="C410" s="74"/>
      <c r="D410" s="72"/>
      <c r="E410" s="95"/>
      <c r="F410" s="74"/>
      <c r="G410" s="72"/>
      <c r="H410" s="95"/>
      <c r="I410" s="74"/>
      <c r="J410" s="74"/>
      <c r="K410" s="74"/>
      <c r="L410" s="74"/>
      <c r="M410" s="96"/>
      <c r="N410" s="74"/>
      <c r="O410" s="74"/>
      <c r="P410" s="74"/>
    </row>
    <row r="411" spans="1:16" ht="15.75" customHeight="1">
      <c r="A411" s="94"/>
      <c r="B411" s="72"/>
      <c r="C411" s="74"/>
      <c r="D411" s="72"/>
      <c r="E411" s="95"/>
      <c r="F411" s="74"/>
      <c r="G411" s="72"/>
      <c r="H411" s="95"/>
      <c r="I411" s="74"/>
      <c r="J411" s="74"/>
      <c r="K411" s="74"/>
      <c r="L411" s="74"/>
      <c r="M411" s="96"/>
      <c r="N411" s="74"/>
      <c r="O411" s="74"/>
      <c r="P411" s="74"/>
    </row>
    <row r="412" spans="1:16" ht="15.75" customHeight="1">
      <c r="A412" s="94"/>
      <c r="B412" s="72"/>
      <c r="C412" s="74"/>
      <c r="D412" s="72"/>
      <c r="E412" s="95"/>
      <c r="F412" s="74"/>
      <c r="G412" s="72"/>
      <c r="H412" s="95"/>
      <c r="I412" s="74"/>
      <c r="J412" s="74"/>
      <c r="K412" s="74"/>
      <c r="L412" s="74"/>
      <c r="M412" s="96"/>
      <c r="N412" s="74"/>
      <c r="O412" s="74"/>
      <c r="P412" s="74"/>
    </row>
    <row r="413" spans="1:16" ht="15.75" customHeight="1">
      <c r="A413" s="94"/>
      <c r="B413" s="72"/>
      <c r="C413" s="74"/>
      <c r="D413" s="72"/>
      <c r="E413" s="95"/>
      <c r="F413" s="74"/>
      <c r="G413" s="72"/>
      <c r="H413" s="95"/>
      <c r="I413" s="74"/>
      <c r="J413" s="74"/>
      <c r="K413" s="74"/>
      <c r="L413" s="74"/>
      <c r="M413" s="96"/>
      <c r="N413" s="74"/>
      <c r="O413" s="74"/>
      <c r="P413" s="74"/>
    </row>
    <row r="414" spans="1:16" ht="15.75" customHeight="1">
      <c r="A414" s="94"/>
      <c r="B414" s="72"/>
      <c r="C414" s="74"/>
      <c r="D414" s="72"/>
      <c r="E414" s="95"/>
      <c r="F414" s="74"/>
      <c r="G414" s="72"/>
      <c r="H414" s="95"/>
      <c r="I414" s="74"/>
      <c r="J414" s="74"/>
      <c r="K414" s="74"/>
      <c r="L414" s="74"/>
      <c r="M414" s="96"/>
      <c r="N414" s="74"/>
      <c r="O414" s="74"/>
      <c r="P414" s="74"/>
    </row>
    <row r="415" spans="1:16" ht="15.75" customHeight="1">
      <c r="A415" s="94"/>
      <c r="B415" s="72"/>
      <c r="C415" s="74"/>
      <c r="D415" s="72"/>
      <c r="E415" s="95"/>
      <c r="F415" s="74"/>
      <c r="G415" s="72"/>
      <c r="H415" s="95"/>
      <c r="I415" s="74"/>
      <c r="J415" s="74"/>
      <c r="K415" s="74"/>
      <c r="L415" s="74"/>
      <c r="M415" s="96"/>
      <c r="N415" s="74"/>
      <c r="O415" s="74"/>
      <c r="P415" s="74"/>
    </row>
    <row r="416" spans="1:16" ht="15.75" customHeight="1">
      <c r="A416" s="94"/>
      <c r="B416" s="72"/>
      <c r="C416" s="74"/>
      <c r="D416" s="72"/>
      <c r="E416" s="95"/>
      <c r="F416" s="74"/>
      <c r="G416" s="72"/>
      <c r="H416" s="95"/>
      <c r="I416" s="74"/>
      <c r="J416" s="74"/>
      <c r="K416" s="74"/>
      <c r="L416" s="74"/>
      <c r="M416" s="96"/>
      <c r="N416" s="74"/>
      <c r="O416" s="74"/>
      <c r="P416" s="74"/>
    </row>
    <row r="417" spans="1:16" ht="15.75" customHeight="1">
      <c r="A417" s="94"/>
      <c r="B417" s="72"/>
      <c r="C417" s="74"/>
      <c r="D417" s="72"/>
      <c r="E417" s="95"/>
      <c r="F417" s="74"/>
      <c r="G417" s="72"/>
      <c r="H417" s="95"/>
      <c r="I417" s="74"/>
      <c r="J417" s="74"/>
      <c r="K417" s="74"/>
      <c r="L417" s="74"/>
      <c r="M417" s="96"/>
      <c r="N417" s="74"/>
      <c r="O417" s="74"/>
      <c r="P417" s="74"/>
    </row>
    <row r="418" spans="1:16" ht="15.75" customHeight="1">
      <c r="A418" s="94"/>
      <c r="B418" s="72"/>
      <c r="C418" s="74"/>
      <c r="D418" s="72"/>
      <c r="E418" s="95"/>
      <c r="F418" s="74"/>
      <c r="G418" s="72"/>
      <c r="H418" s="95"/>
      <c r="I418" s="74"/>
      <c r="J418" s="74"/>
      <c r="K418" s="74"/>
      <c r="L418" s="74"/>
      <c r="M418" s="96"/>
      <c r="N418" s="74"/>
      <c r="O418" s="74"/>
      <c r="P418" s="74"/>
    </row>
    <row r="419" spans="1:16" ht="15.75" customHeight="1">
      <c r="A419" s="94"/>
      <c r="B419" s="72"/>
      <c r="C419" s="74"/>
      <c r="D419" s="72"/>
      <c r="E419" s="95"/>
      <c r="F419" s="74"/>
      <c r="G419" s="72"/>
      <c r="H419" s="95"/>
      <c r="I419" s="74"/>
      <c r="J419" s="74"/>
      <c r="K419" s="74"/>
      <c r="L419" s="74"/>
      <c r="M419" s="96"/>
      <c r="N419" s="74"/>
      <c r="O419" s="74"/>
      <c r="P419" s="74"/>
    </row>
    <row r="420" spans="1:16" ht="15.75" customHeight="1">
      <c r="A420" s="94"/>
      <c r="B420" s="72"/>
      <c r="C420" s="74"/>
      <c r="D420" s="72"/>
      <c r="E420" s="95"/>
      <c r="F420" s="74"/>
      <c r="G420" s="72"/>
      <c r="H420" s="95"/>
      <c r="I420" s="74"/>
      <c r="J420" s="74"/>
      <c r="K420" s="74"/>
      <c r="L420" s="74"/>
      <c r="M420" s="96"/>
      <c r="N420" s="74"/>
      <c r="O420" s="74"/>
      <c r="P420" s="74"/>
    </row>
    <row r="421" spans="1:16" ht="15.75" customHeight="1">
      <c r="A421" s="94"/>
      <c r="B421" s="72"/>
      <c r="C421" s="74"/>
      <c r="D421" s="72"/>
      <c r="E421" s="95"/>
      <c r="F421" s="74"/>
      <c r="G421" s="72"/>
      <c r="H421" s="95"/>
      <c r="I421" s="74"/>
      <c r="J421" s="74"/>
      <c r="K421" s="74"/>
      <c r="L421" s="74"/>
      <c r="M421" s="96"/>
      <c r="N421" s="74"/>
      <c r="O421" s="74"/>
      <c r="P421" s="74"/>
    </row>
    <row r="422" spans="1:16" ht="15.75" customHeight="1">
      <c r="A422" s="94"/>
      <c r="B422" s="72"/>
      <c r="C422" s="74"/>
      <c r="D422" s="72"/>
      <c r="E422" s="95"/>
      <c r="F422" s="74"/>
      <c r="G422" s="72"/>
      <c r="H422" s="95"/>
      <c r="I422" s="74"/>
      <c r="J422" s="74"/>
      <c r="K422" s="74"/>
      <c r="L422" s="74"/>
      <c r="M422" s="96"/>
      <c r="N422" s="74"/>
      <c r="O422" s="74"/>
      <c r="P422" s="74"/>
    </row>
    <row r="423" spans="1:16" ht="15.75" customHeight="1">
      <c r="A423" s="94"/>
      <c r="B423" s="72"/>
      <c r="C423" s="74"/>
      <c r="D423" s="72"/>
      <c r="E423" s="95"/>
      <c r="F423" s="74"/>
      <c r="G423" s="72"/>
      <c r="H423" s="95"/>
      <c r="I423" s="74"/>
      <c r="J423" s="74"/>
      <c r="K423" s="74"/>
      <c r="L423" s="74"/>
      <c r="M423" s="96"/>
      <c r="N423" s="74"/>
      <c r="O423" s="74"/>
      <c r="P423" s="74"/>
    </row>
    <row r="424" spans="1:16" ht="15.75" customHeight="1">
      <c r="A424" s="94"/>
      <c r="B424" s="72"/>
      <c r="C424" s="74"/>
      <c r="D424" s="72"/>
      <c r="E424" s="95"/>
      <c r="F424" s="74"/>
      <c r="G424" s="72"/>
      <c r="H424" s="95"/>
      <c r="I424" s="74"/>
      <c r="J424" s="74"/>
      <c r="K424" s="74"/>
      <c r="L424" s="74"/>
      <c r="M424" s="96"/>
      <c r="N424" s="74"/>
      <c r="O424" s="74"/>
      <c r="P424" s="74"/>
    </row>
    <row r="425" spans="1:16" ht="15.75" customHeight="1">
      <c r="A425" s="94"/>
      <c r="B425" s="72"/>
      <c r="C425" s="74"/>
      <c r="D425" s="72"/>
      <c r="E425" s="95"/>
      <c r="F425" s="74"/>
      <c r="G425" s="72"/>
      <c r="H425" s="95"/>
      <c r="I425" s="74"/>
      <c r="J425" s="74"/>
      <c r="K425" s="74"/>
      <c r="L425" s="74"/>
      <c r="M425" s="96"/>
      <c r="N425" s="74"/>
      <c r="O425" s="74"/>
      <c r="P425" s="74"/>
    </row>
    <row r="426" spans="1:16" ht="15.75" customHeight="1">
      <c r="A426" s="94"/>
      <c r="B426" s="72"/>
      <c r="C426" s="74"/>
      <c r="D426" s="72"/>
      <c r="E426" s="95"/>
      <c r="F426" s="74"/>
      <c r="G426" s="72"/>
      <c r="H426" s="95"/>
      <c r="I426" s="74"/>
      <c r="J426" s="74"/>
      <c r="K426" s="74"/>
      <c r="L426" s="74"/>
      <c r="M426" s="96"/>
      <c r="N426" s="74"/>
      <c r="O426" s="74"/>
      <c r="P426" s="74"/>
    </row>
    <row r="427" spans="1:16" ht="15.75" customHeight="1">
      <c r="A427" s="94"/>
      <c r="B427" s="72"/>
      <c r="C427" s="74"/>
      <c r="D427" s="72"/>
      <c r="E427" s="95"/>
      <c r="F427" s="74"/>
      <c r="G427" s="72"/>
      <c r="H427" s="95"/>
      <c r="I427" s="74"/>
      <c r="J427" s="74"/>
      <c r="K427" s="74"/>
      <c r="L427" s="74"/>
      <c r="M427" s="96"/>
      <c r="N427" s="74"/>
      <c r="O427" s="74"/>
      <c r="P427" s="74"/>
    </row>
    <row r="428" spans="1:16" ht="15.75" customHeight="1">
      <c r="A428" s="94"/>
      <c r="B428" s="72"/>
      <c r="C428" s="74"/>
      <c r="D428" s="72"/>
      <c r="E428" s="95"/>
      <c r="F428" s="74"/>
      <c r="G428" s="72"/>
      <c r="H428" s="95"/>
      <c r="I428" s="74"/>
      <c r="J428" s="74"/>
      <c r="K428" s="74"/>
      <c r="L428" s="74"/>
      <c r="M428" s="96"/>
      <c r="N428" s="74"/>
      <c r="O428" s="74"/>
      <c r="P428" s="74"/>
    </row>
    <row r="429" spans="1:16" ht="15.75" customHeight="1">
      <c r="A429" s="94"/>
      <c r="B429" s="72"/>
      <c r="C429" s="74"/>
      <c r="D429" s="72"/>
      <c r="E429" s="95"/>
      <c r="F429" s="74"/>
      <c r="G429" s="72"/>
      <c r="H429" s="95"/>
      <c r="I429" s="74"/>
      <c r="J429" s="74"/>
      <c r="K429" s="74"/>
      <c r="L429" s="74"/>
      <c r="M429" s="96"/>
      <c r="N429" s="74"/>
      <c r="O429" s="74"/>
      <c r="P429" s="74"/>
    </row>
    <row r="430" spans="1:16" ht="15.75" customHeight="1">
      <c r="A430" s="94"/>
      <c r="B430" s="72"/>
      <c r="C430" s="74"/>
      <c r="D430" s="72"/>
      <c r="E430" s="95"/>
      <c r="F430" s="74"/>
      <c r="G430" s="72"/>
      <c r="H430" s="95"/>
      <c r="I430" s="74"/>
      <c r="J430" s="74"/>
      <c r="K430" s="74"/>
      <c r="L430" s="74"/>
      <c r="M430" s="96"/>
      <c r="N430" s="74"/>
      <c r="O430" s="74"/>
      <c r="P430" s="74"/>
    </row>
    <row r="431" spans="1:16" ht="15.75" customHeight="1">
      <c r="A431" s="94"/>
      <c r="B431" s="72"/>
      <c r="C431" s="74"/>
      <c r="D431" s="72"/>
      <c r="E431" s="95"/>
      <c r="F431" s="74"/>
      <c r="G431" s="72"/>
      <c r="H431" s="95"/>
      <c r="I431" s="74"/>
      <c r="J431" s="74"/>
      <c r="K431" s="74"/>
      <c r="L431" s="74"/>
      <c r="M431" s="96"/>
      <c r="N431" s="74"/>
      <c r="O431" s="74"/>
      <c r="P431" s="74"/>
    </row>
    <row r="432" spans="1:16" ht="15.75" customHeight="1">
      <c r="A432" s="94"/>
      <c r="B432" s="72"/>
      <c r="C432" s="74"/>
      <c r="D432" s="72"/>
      <c r="E432" s="95"/>
      <c r="F432" s="74"/>
      <c r="G432" s="72"/>
      <c r="H432" s="95"/>
      <c r="I432" s="74"/>
      <c r="J432" s="74"/>
      <c r="K432" s="74"/>
      <c r="L432" s="74"/>
      <c r="M432" s="96"/>
      <c r="N432" s="74"/>
      <c r="O432" s="74"/>
      <c r="P432" s="74"/>
    </row>
    <row r="433" spans="1:16" ht="15.75" customHeight="1">
      <c r="A433" s="94"/>
      <c r="B433" s="72"/>
      <c r="C433" s="74"/>
      <c r="D433" s="72"/>
      <c r="E433" s="95"/>
      <c r="F433" s="74"/>
      <c r="G433" s="72"/>
      <c r="H433" s="95"/>
      <c r="I433" s="74"/>
      <c r="J433" s="74"/>
      <c r="K433" s="74"/>
      <c r="L433" s="74"/>
      <c r="M433" s="96"/>
      <c r="N433" s="74"/>
      <c r="O433" s="74"/>
      <c r="P433" s="74"/>
    </row>
    <row r="434" spans="1:16" ht="15.75" customHeight="1">
      <c r="A434" s="94"/>
      <c r="B434" s="72"/>
      <c r="C434" s="74"/>
      <c r="D434" s="72"/>
      <c r="E434" s="95"/>
      <c r="F434" s="74"/>
      <c r="G434" s="72"/>
      <c r="H434" s="95"/>
      <c r="I434" s="74"/>
      <c r="J434" s="74"/>
      <c r="K434" s="74"/>
      <c r="L434" s="74"/>
      <c r="M434" s="96"/>
      <c r="N434" s="74"/>
      <c r="O434" s="74"/>
      <c r="P434" s="74"/>
    </row>
    <row r="435" spans="1:16" ht="15.75" customHeight="1">
      <c r="A435" s="94"/>
      <c r="B435" s="72"/>
      <c r="C435" s="74"/>
      <c r="D435" s="72"/>
      <c r="E435" s="95"/>
      <c r="F435" s="74"/>
      <c r="G435" s="72"/>
      <c r="H435" s="95"/>
      <c r="I435" s="74"/>
      <c r="J435" s="74"/>
      <c r="K435" s="74"/>
      <c r="L435" s="74"/>
      <c r="M435" s="96"/>
      <c r="N435" s="74"/>
      <c r="O435" s="74"/>
      <c r="P435" s="74"/>
    </row>
    <row r="436" spans="1:16" ht="15.75" customHeight="1">
      <c r="A436" s="94"/>
      <c r="B436" s="72"/>
      <c r="C436" s="74"/>
      <c r="D436" s="72"/>
      <c r="E436" s="95"/>
      <c r="F436" s="74"/>
      <c r="G436" s="72"/>
      <c r="H436" s="95"/>
      <c r="I436" s="74"/>
      <c r="J436" s="74"/>
      <c r="K436" s="74"/>
      <c r="L436" s="74"/>
      <c r="M436" s="96"/>
      <c r="N436" s="74"/>
      <c r="O436" s="74"/>
      <c r="P436" s="74"/>
    </row>
    <row r="437" spans="1:16" ht="15.75" customHeight="1">
      <c r="A437" s="94"/>
      <c r="B437" s="72"/>
      <c r="C437" s="74"/>
      <c r="D437" s="72"/>
      <c r="E437" s="95"/>
      <c r="F437" s="74"/>
      <c r="G437" s="72"/>
      <c r="H437" s="95"/>
      <c r="I437" s="74"/>
      <c r="J437" s="74"/>
      <c r="K437" s="74"/>
      <c r="L437" s="74"/>
      <c r="M437" s="96"/>
      <c r="N437" s="74"/>
      <c r="O437" s="74"/>
      <c r="P437" s="74"/>
    </row>
    <row r="438" spans="1:16" ht="15.75" customHeight="1">
      <c r="A438" s="94"/>
      <c r="B438" s="72"/>
      <c r="C438" s="74"/>
      <c r="D438" s="72"/>
      <c r="E438" s="95"/>
      <c r="F438" s="74"/>
      <c r="G438" s="72"/>
      <c r="H438" s="95"/>
      <c r="I438" s="74"/>
      <c r="J438" s="74"/>
      <c r="K438" s="74"/>
      <c r="L438" s="74"/>
      <c r="M438" s="96"/>
      <c r="N438" s="74"/>
      <c r="O438" s="74"/>
      <c r="P438" s="74"/>
    </row>
    <row r="439" spans="1:16" ht="15.75" customHeight="1">
      <c r="A439" s="94"/>
      <c r="B439" s="72"/>
      <c r="C439" s="74"/>
      <c r="D439" s="72"/>
      <c r="E439" s="95"/>
      <c r="F439" s="74"/>
      <c r="G439" s="72"/>
      <c r="H439" s="95"/>
      <c r="I439" s="74"/>
      <c r="J439" s="74"/>
      <c r="K439" s="74"/>
      <c r="L439" s="74"/>
      <c r="M439" s="96"/>
      <c r="N439" s="74"/>
      <c r="O439" s="74"/>
      <c r="P439" s="74"/>
    </row>
    <row r="440" spans="1:16" ht="15.75" customHeight="1">
      <c r="A440" s="94"/>
      <c r="B440" s="72"/>
      <c r="C440" s="74"/>
      <c r="D440" s="72"/>
      <c r="E440" s="95"/>
      <c r="F440" s="74"/>
      <c r="G440" s="72"/>
      <c r="H440" s="95"/>
      <c r="I440" s="74"/>
      <c r="J440" s="74"/>
      <c r="K440" s="74"/>
      <c r="L440" s="74"/>
      <c r="M440" s="96"/>
      <c r="N440" s="74"/>
      <c r="O440" s="74"/>
      <c r="P440" s="74"/>
    </row>
    <row r="441" spans="1:16" ht="15.75" customHeight="1">
      <c r="A441" s="94"/>
      <c r="B441" s="72"/>
      <c r="C441" s="74"/>
      <c r="D441" s="72"/>
      <c r="E441" s="95"/>
      <c r="F441" s="74"/>
      <c r="G441" s="72"/>
      <c r="H441" s="95"/>
      <c r="I441" s="74"/>
      <c r="J441" s="74"/>
      <c r="K441" s="74"/>
      <c r="L441" s="74"/>
      <c r="M441" s="96"/>
      <c r="N441" s="74"/>
      <c r="O441" s="74"/>
      <c r="P441" s="74"/>
    </row>
    <row r="442" spans="1:16" ht="15.75" customHeight="1">
      <c r="A442" s="94"/>
      <c r="B442" s="72"/>
      <c r="C442" s="74"/>
      <c r="D442" s="72"/>
      <c r="E442" s="95"/>
      <c r="F442" s="74"/>
      <c r="G442" s="72"/>
      <c r="H442" s="95"/>
      <c r="I442" s="74"/>
      <c r="J442" s="74"/>
      <c r="K442" s="74"/>
      <c r="L442" s="74"/>
      <c r="M442" s="96"/>
      <c r="N442" s="74"/>
      <c r="O442" s="74"/>
      <c r="P442" s="74"/>
    </row>
    <row r="443" spans="1:16" ht="15.75" customHeight="1">
      <c r="A443" s="94"/>
      <c r="B443" s="72"/>
      <c r="C443" s="74"/>
      <c r="D443" s="72"/>
      <c r="E443" s="95"/>
      <c r="F443" s="74"/>
      <c r="G443" s="72"/>
      <c r="H443" s="95"/>
      <c r="I443" s="74"/>
      <c r="J443" s="74"/>
      <c r="K443" s="74"/>
      <c r="L443" s="74"/>
      <c r="M443" s="96"/>
      <c r="N443" s="74"/>
      <c r="O443" s="74"/>
      <c r="P443" s="74"/>
    </row>
    <row r="444" spans="1:16" ht="15.75" customHeight="1">
      <c r="A444" s="94"/>
      <c r="B444" s="72"/>
      <c r="C444" s="74"/>
      <c r="D444" s="72"/>
      <c r="E444" s="95"/>
      <c r="F444" s="74"/>
      <c r="G444" s="72"/>
      <c r="H444" s="95"/>
      <c r="I444" s="74"/>
      <c r="J444" s="74"/>
      <c r="K444" s="74"/>
      <c r="L444" s="74"/>
      <c r="M444" s="96"/>
      <c r="N444" s="74"/>
      <c r="O444" s="74"/>
      <c r="P444" s="74"/>
    </row>
    <row r="445" spans="1:16" ht="15.75" customHeight="1">
      <c r="A445" s="94"/>
      <c r="B445" s="72"/>
      <c r="C445" s="74"/>
      <c r="D445" s="72"/>
      <c r="E445" s="95"/>
      <c r="F445" s="74"/>
      <c r="G445" s="72"/>
      <c r="H445" s="95"/>
      <c r="I445" s="74"/>
      <c r="J445" s="74"/>
      <c r="K445" s="74"/>
      <c r="L445" s="74"/>
      <c r="M445" s="96"/>
      <c r="N445" s="74"/>
      <c r="O445" s="74"/>
      <c r="P445" s="74"/>
    </row>
    <row r="446" spans="1:16" ht="15.75" customHeight="1">
      <c r="A446" s="94"/>
      <c r="B446" s="72"/>
      <c r="C446" s="74"/>
      <c r="D446" s="72"/>
      <c r="E446" s="95"/>
      <c r="F446" s="74"/>
      <c r="G446" s="72"/>
      <c r="H446" s="95"/>
      <c r="I446" s="74"/>
      <c r="J446" s="74"/>
      <c r="K446" s="74"/>
      <c r="L446" s="74"/>
      <c r="M446" s="96"/>
      <c r="N446" s="74"/>
      <c r="O446" s="74"/>
      <c r="P446" s="74"/>
    </row>
    <row r="447" spans="1:16" ht="15.75" customHeight="1">
      <c r="A447" s="94"/>
      <c r="B447" s="72"/>
      <c r="C447" s="74"/>
      <c r="D447" s="72"/>
      <c r="E447" s="95"/>
      <c r="F447" s="74"/>
      <c r="G447" s="72"/>
      <c r="H447" s="95"/>
      <c r="I447" s="74"/>
      <c r="J447" s="74"/>
      <c r="K447" s="74"/>
      <c r="L447" s="74"/>
      <c r="M447" s="96"/>
      <c r="N447" s="74"/>
      <c r="O447" s="74"/>
      <c r="P447" s="74"/>
    </row>
    <row r="448" spans="1:16" ht="15.75" customHeight="1">
      <c r="A448" s="94"/>
      <c r="B448" s="72"/>
      <c r="C448" s="74"/>
      <c r="D448" s="72"/>
      <c r="E448" s="95"/>
      <c r="F448" s="74"/>
      <c r="G448" s="72"/>
      <c r="H448" s="95"/>
      <c r="I448" s="74"/>
      <c r="J448" s="74"/>
      <c r="K448" s="74"/>
      <c r="L448" s="74"/>
      <c r="M448" s="96"/>
      <c r="N448" s="74"/>
      <c r="O448" s="74"/>
      <c r="P448" s="74"/>
    </row>
    <row r="449" spans="1:16" ht="15.75" customHeight="1">
      <c r="A449" s="94"/>
      <c r="B449" s="72"/>
      <c r="C449" s="74"/>
      <c r="D449" s="72"/>
      <c r="E449" s="95"/>
      <c r="F449" s="74"/>
      <c r="G449" s="72"/>
      <c r="H449" s="95"/>
      <c r="I449" s="74"/>
      <c r="J449" s="74"/>
      <c r="K449" s="74"/>
      <c r="L449" s="74"/>
      <c r="M449" s="96"/>
      <c r="N449" s="74"/>
      <c r="O449" s="74"/>
      <c r="P449" s="74"/>
    </row>
    <row r="450" spans="1:16" ht="15.75" customHeight="1">
      <c r="A450" s="94"/>
      <c r="B450" s="72"/>
      <c r="C450" s="74"/>
      <c r="D450" s="72"/>
      <c r="E450" s="95"/>
      <c r="F450" s="74"/>
      <c r="G450" s="72"/>
      <c r="H450" s="95"/>
      <c r="I450" s="74"/>
      <c r="J450" s="74"/>
      <c r="K450" s="74"/>
      <c r="L450" s="74"/>
      <c r="M450" s="96"/>
      <c r="N450" s="74"/>
      <c r="O450" s="74"/>
      <c r="P450" s="74"/>
    </row>
    <row r="451" spans="1:16" ht="15.75" customHeight="1">
      <c r="A451" s="94"/>
      <c r="B451" s="72"/>
      <c r="C451" s="74"/>
      <c r="D451" s="72"/>
      <c r="E451" s="95"/>
      <c r="F451" s="74"/>
      <c r="G451" s="72"/>
      <c r="H451" s="95"/>
      <c r="I451" s="74"/>
      <c r="J451" s="74"/>
      <c r="K451" s="74"/>
      <c r="L451" s="74"/>
      <c r="M451" s="96"/>
      <c r="N451" s="74"/>
      <c r="O451" s="74"/>
      <c r="P451" s="74"/>
    </row>
    <row r="452" spans="1:16" ht="15.75" customHeight="1">
      <c r="A452" s="94"/>
      <c r="B452" s="72"/>
      <c r="C452" s="74"/>
      <c r="D452" s="72"/>
      <c r="E452" s="95"/>
      <c r="F452" s="74"/>
      <c r="G452" s="72"/>
      <c r="H452" s="95"/>
      <c r="I452" s="74"/>
      <c r="J452" s="74"/>
      <c r="K452" s="74"/>
      <c r="L452" s="74"/>
      <c r="M452" s="96"/>
      <c r="N452" s="74"/>
      <c r="O452" s="74"/>
      <c r="P452" s="74"/>
    </row>
    <row r="453" spans="1:16" ht="15.75" customHeight="1">
      <c r="A453" s="94"/>
      <c r="B453" s="72"/>
      <c r="C453" s="74"/>
      <c r="D453" s="72"/>
      <c r="E453" s="95"/>
      <c r="F453" s="74"/>
      <c r="G453" s="72"/>
      <c r="H453" s="95"/>
      <c r="I453" s="74"/>
      <c r="J453" s="74"/>
      <c r="K453" s="74"/>
      <c r="L453" s="74"/>
      <c r="M453" s="96"/>
      <c r="N453" s="74"/>
      <c r="O453" s="74"/>
      <c r="P453" s="74"/>
    </row>
    <row r="454" spans="1:16" ht="15.75" customHeight="1">
      <c r="A454" s="94"/>
      <c r="B454" s="72"/>
      <c r="C454" s="74"/>
      <c r="D454" s="72"/>
      <c r="E454" s="95"/>
      <c r="F454" s="74"/>
      <c r="G454" s="72"/>
      <c r="H454" s="95"/>
      <c r="I454" s="74"/>
      <c r="J454" s="74"/>
      <c r="K454" s="74"/>
      <c r="L454" s="74"/>
      <c r="M454" s="96"/>
      <c r="N454" s="74"/>
      <c r="O454" s="74"/>
      <c r="P454" s="74"/>
    </row>
    <row r="455" spans="1:16" ht="15.75" customHeight="1">
      <c r="A455" s="94"/>
      <c r="B455" s="72"/>
      <c r="C455" s="74"/>
      <c r="D455" s="72"/>
      <c r="E455" s="95"/>
      <c r="F455" s="74"/>
      <c r="G455" s="72"/>
      <c r="H455" s="95"/>
      <c r="I455" s="74"/>
      <c r="J455" s="74"/>
      <c r="K455" s="74"/>
      <c r="L455" s="74"/>
      <c r="M455" s="96"/>
      <c r="N455" s="74"/>
      <c r="O455" s="74"/>
      <c r="P455" s="74"/>
    </row>
    <row r="456" spans="1:16" ht="15.75" customHeight="1">
      <c r="A456" s="94"/>
      <c r="B456" s="72"/>
      <c r="C456" s="74"/>
      <c r="D456" s="72"/>
      <c r="E456" s="95"/>
      <c r="F456" s="74"/>
      <c r="G456" s="72"/>
      <c r="H456" s="95"/>
      <c r="I456" s="74"/>
      <c r="J456" s="74"/>
      <c r="K456" s="74"/>
      <c r="L456" s="74"/>
      <c r="M456" s="96"/>
      <c r="N456" s="74"/>
      <c r="O456" s="74"/>
      <c r="P456" s="74"/>
    </row>
    <row r="457" spans="1:16" ht="15.75" customHeight="1">
      <c r="A457" s="94"/>
      <c r="B457" s="72"/>
      <c r="C457" s="74"/>
      <c r="D457" s="72"/>
      <c r="E457" s="95"/>
      <c r="F457" s="74"/>
      <c r="G457" s="72"/>
      <c r="H457" s="95"/>
      <c r="I457" s="74"/>
      <c r="J457" s="74"/>
      <c r="K457" s="74"/>
      <c r="L457" s="74"/>
      <c r="M457" s="96"/>
      <c r="N457" s="74"/>
      <c r="O457" s="74"/>
      <c r="P457" s="74"/>
    </row>
    <row r="458" spans="1:16" ht="15.75" customHeight="1">
      <c r="A458" s="94"/>
      <c r="B458" s="72"/>
      <c r="C458" s="74"/>
      <c r="D458" s="72"/>
      <c r="E458" s="95"/>
      <c r="F458" s="74"/>
      <c r="G458" s="72"/>
      <c r="H458" s="95"/>
      <c r="I458" s="74"/>
      <c r="J458" s="74"/>
      <c r="K458" s="74"/>
      <c r="L458" s="74"/>
      <c r="M458" s="96"/>
      <c r="N458" s="74"/>
      <c r="O458" s="74"/>
      <c r="P458" s="74"/>
    </row>
    <row r="459" spans="1:16" ht="15.75" customHeight="1">
      <c r="A459" s="94"/>
      <c r="B459" s="72"/>
      <c r="C459" s="74"/>
      <c r="D459" s="72"/>
      <c r="E459" s="95"/>
      <c r="F459" s="74"/>
      <c r="G459" s="72"/>
      <c r="H459" s="95"/>
      <c r="I459" s="74"/>
      <c r="J459" s="74"/>
      <c r="K459" s="74"/>
      <c r="L459" s="74"/>
      <c r="M459" s="96"/>
      <c r="N459" s="74"/>
      <c r="O459" s="74"/>
      <c r="P459" s="74"/>
    </row>
    <row r="460" spans="1:16" ht="15.75" customHeight="1">
      <c r="A460" s="94"/>
      <c r="B460" s="72"/>
      <c r="C460" s="74"/>
      <c r="D460" s="72"/>
      <c r="E460" s="95"/>
      <c r="F460" s="74"/>
      <c r="G460" s="72"/>
      <c r="H460" s="95"/>
      <c r="I460" s="74"/>
      <c r="J460" s="74"/>
      <c r="K460" s="74"/>
      <c r="L460" s="74"/>
      <c r="M460" s="96"/>
      <c r="N460" s="74"/>
      <c r="O460" s="74"/>
      <c r="P460" s="74"/>
    </row>
    <row r="461" spans="1:16" ht="15.75" customHeight="1">
      <c r="A461" s="94"/>
      <c r="B461" s="72"/>
      <c r="C461" s="74"/>
      <c r="D461" s="72"/>
      <c r="E461" s="95"/>
      <c r="F461" s="74"/>
      <c r="G461" s="72"/>
      <c r="H461" s="95"/>
      <c r="I461" s="74"/>
      <c r="J461" s="74"/>
      <c r="K461" s="74"/>
      <c r="L461" s="74"/>
      <c r="M461" s="96"/>
      <c r="N461" s="74"/>
      <c r="O461" s="74"/>
      <c r="P461" s="74"/>
    </row>
    <row r="462" spans="1:16" ht="15.75" customHeight="1">
      <c r="A462" s="94"/>
      <c r="B462" s="72"/>
      <c r="C462" s="74"/>
      <c r="D462" s="72"/>
      <c r="E462" s="95"/>
      <c r="F462" s="74"/>
      <c r="G462" s="72"/>
      <c r="H462" s="95"/>
      <c r="I462" s="74"/>
      <c r="J462" s="74"/>
      <c r="K462" s="74"/>
      <c r="L462" s="74"/>
      <c r="M462" s="96"/>
      <c r="N462" s="74"/>
      <c r="O462" s="74"/>
      <c r="P462" s="74"/>
    </row>
    <row r="463" spans="1:16" ht="15.75" customHeight="1">
      <c r="A463" s="94"/>
      <c r="B463" s="72"/>
      <c r="C463" s="74"/>
      <c r="D463" s="72"/>
      <c r="E463" s="95"/>
      <c r="F463" s="74"/>
      <c r="G463" s="72"/>
      <c r="H463" s="95"/>
      <c r="I463" s="74"/>
      <c r="J463" s="74"/>
      <c r="K463" s="74"/>
      <c r="L463" s="74"/>
      <c r="M463" s="96"/>
      <c r="N463" s="74"/>
      <c r="O463" s="74"/>
      <c r="P463" s="74"/>
    </row>
    <row r="464" spans="1:16" ht="15.75" customHeight="1">
      <c r="A464" s="94"/>
      <c r="B464" s="72"/>
      <c r="C464" s="74"/>
      <c r="D464" s="72"/>
      <c r="E464" s="95"/>
      <c r="F464" s="74"/>
      <c r="G464" s="72"/>
      <c r="H464" s="95"/>
      <c r="I464" s="74"/>
      <c r="J464" s="74"/>
      <c r="K464" s="74"/>
      <c r="L464" s="74"/>
      <c r="M464" s="96"/>
      <c r="N464" s="74"/>
      <c r="O464" s="74"/>
      <c r="P464" s="74"/>
    </row>
    <row r="465" spans="1:16" ht="15.75" customHeight="1">
      <c r="A465" s="94"/>
      <c r="B465" s="72"/>
      <c r="C465" s="74"/>
      <c r="D465" s="72"/>
      <c r="E465" s="95"/>
      <c r="F465" s="74"/>
      <c r="G465" s="72"/>
      <c r="H465" s="95"/>
      <c r="I465" s="74"/>
      <c r="J465" s="74"/>
      <c r="K465" s="74"/>
      <c r="L465" s="74"/>
      <c r="M465" s="96"/>
      <c r="N465" s="74"/>
      <c r="O465" s="74"/>
      <c r="P465" s="74"/>
    </row>
    <row r="466" spans="1:16" ht="15.75" customHeight="1">
      <c r="A466" s="94"/>
      <c r="B466" s="72"/>
      <c r="C466" s="74"/>
      <c r="D466" s="72"/>
      <c r="E466" s="95"/>
      <c r="F466" s="74"/>
      <c r="G466" s="72"/>
      <c r="H466" s="95"/>
      <c r="I466" s="74"/>
      <c r="J466" s="74"/>
      <c r="K466" s="74"/>
      <c r="L466" s="74"/>
      <c r="M466" s="96"/>
      <c r="N466" s="74"/>
      <c r="O466" s="74"/>
      <c r="P466" s="74"/>
    </row>
    <row r="467" spans="1:16" ht="15.75" customHeight="1">
      <c r="A467" s="94"/>
      <c r="B467" s="72"/>
      <c r="C467" s="74"/>
      <c r="D467" s="72"/>
      <c r="E467" s="95"/>
      <c r="F467" s="74"/>
      <c r="G467" s="72"/>
      <c r="H467" s="95"/>
      <c r="I467" s="74"/>
      <c r="J467" s="74"/>
      <c r="K467" s="74"/>
      <c r="L467" s="74"/>
      <c r="M467" s="96"/>
      <c r="N467" s="74"/>
      <c r="O467" s="74"/>
      <c r="P467" s="74"/>
    </row>
    <row r="468" spans="1:16" ht="15.75" customHeight="1">
      <c r="A468" s="94"/>
      <c r="B468" s="72"/>
      <c r="C468" s="74"/>
      <c r="D468" s="72"/>
      <c r="E468" s="95"/>
      <c r="F468" s="74"/>
      <c r="G468" s="72"/>
      <c r="H468" s="95"/>
      <c r="I468" s="74"/>
      <c r="J468" s="74"/>
      <c r="K468" s="74"/>
      <c r="L468" s="74"/>
      <c r="M468" s="96"/>
      <c r="N468" s="74"/>
      <c r="O468" s="74"/>
      <c r="P468" s="74"/>
    </row>
    <row r="469" spans="1:16" ht="15.75" customHeight="1">
      <c r="A469" s="94"/>
      <c r="B469" s="72"/>
      <c r="C469" s="74"/>
      <c r="D469" s="72"/>
      <c r="E469" s="95"/>
      <c r="F469" s="74"/>
      <c r="G469" s="72"/>
      <c r="H469" s="95"/>
      <c r="I469" s="74"/>
      <c r="J469" s="74"/>
      <c r="K469" s="74"/>
      <c r="L469" s="74"/>
      <c r="M469" s="96"/>
      <c r="N469" s="74"/>
      <c r="O469" s="74"/>
      <c r="P469" s="74"/>
    </row>
    <row r="470" spans="1:16" ht="15.75" customHeight="1">
      <c r="A470" s="94"/>
      <c r="B470" s="72"/>
      <c r="C470" s="74"/>
      <c r="D470" s="72"/>
      <c r="E470" s="95"/>
      <c r="F470" s="74"/>
      <c r="G470" s="72"/>
      <c r="H470" s="95"/>
      <c r="I470" s="74"/>
      <c r="J470" s="74"/>
      <c r="K470" s="74"/>
      <c r="L470" s="74"/>
      <c r="M470" s="96"/>
      <c r="N470" s="74"/>
      <c r="O470" s="74"/>
      <c r="P470" s="74"/>
    </row>
    <row r="471" spans="1:16" ht="15.75" customHeight="1">
      <c r="A471" s="94"/>
      <c r="B471" s="72"/>
      <c r="C471" s="74"/>
      <c r="D471" s="72"/>
      <c r="E471" s="95"/>
      <c r="F471" s="74"/>
      <c r="G471" s="72"/>
      <c r="H471" s="95"/>
      <c r="I471" s="74"/>
      <c r="J471" s="74"/>
      <c r="K471" s="74"/>
      <c r="L471" s="74"/>
      <c r="M471" s="96"/>
      <c r="N471" s="74"/>
      <c r="O471" s="74"/>
      <c r="P471" s="74"/>
    </row>
    <row r="472" spans="1:16" ht="15.75" customHeight="1">
      <c r="A472" s="94"/>
      <c r="B472" s="72"/>
      <c r="C472" s="74"/>
      <c r="D472" s="72"/>
      <c r="E472" s="95"/>
      <c r="F472" s="74"/>
      <c r="G472" s="72"/>
      <c r="H472" s="95"/>
      <c r="I472" s="74"/>
      <c r="J472" s="74"/>
      <c r="K472" s="74"/>
      <c r="L472" s="74"/>
      <c r="M472" s="96"/>
      <c r="N472" s="74"/>
      <c r="O472" s="74"/>
      <c r="P472" s="74"/>
    </row>
    <row r="473" spans="1:16" ht="15.75" customHeight="1">
      <c r="A473" s="94"/>
      <c r="B473" s="72"/>
      <c r="C473" s="74"/>
      <c r="D473" s="72"/>
      <c r="E473" s="95"/>
      <c r="F473" s="74"/>
      <c r="G473" s="72"/>
      <c r="H473" s="95"/>
      <c r="I473" s="74"/>
      <c r="J473" s="74"/>
      <c r="K473" s="74"/>
      <c r="L473" s="74"/>
      <c r="M473" s="96"/>
      <c r="N473" s="74"/>
      <c r="O473" s="74"/>
      <c r="P473" s="74"/>
    </row>
    <row r="474" spans="1:16" ht="15.75" customHeight="1">
      <c r="A474" s="94"/>
      <c r="B474" s="72"/>
      <c r="C474" s="74"/>
      <c r="D474" s="72"/>
      <c r="E474" s="95"/>
      <c r="F474" s="74"/>
      <c r="G474" s="72"/>
      <c r="H474" s="95"/>
      <c r="I474" s="74"/>
      <c r="J474" s="74"/>
      <c r="K474" s="74"/>
      <c r="L474" s="74"/>
      <c r="M474" s="96"/>
      <c r="N474" s="74"/>
      <c r="O474" s="74"/>
      <c r="P474" s="74"/>
    </row>
    <row r="475" spans="1:16" ht="15.75" customHeight="1">
      <c r="A475" s="94"/>
      <c r="B475" s="72"/>
      <c r="C475" s="74"/>
      <c r="D475" s="72"/>
      <c r="E475" s="95"/>
      <c r="F475" s="74"/>
      <c r="G475" s="72"/>
      <c r="H475" s="95"/>
      <c r="I475" s="74"/>
      <c r="J475" s="74"/>
      <c r="K475" s="74"/>
      <c r="L475" s="74"/>
      <c r="M475" s="96"/>
      <c r="N475" s="74"/>
      <c r="O475" s="74"/>
      <c r="P475" s="74"/>
    </row>
    <row r="476" spans="1:16" ht="15.75" customHeight="1">
      <c r="A476" s="94"/>
      <c r="B476" s="72"/>
      <c r="C476" s="74"/>
      <c r="D476" s="72"/>
      <c r="E476" s="95"/>
      <c r="F476" s="74"/>
      <c r="G476" s="72"/>
      <c r="H476" s="95"/>
      <c r="I476" s="74"/>
      <c r="J476" s="74"/>
      <c r="K476" s="74"/>
      <c r="L476" s="74"/>
      <c r="M476" s="96"/>
      <c r="N476" s="74"/>
      <c r="O476" s="74"/>
      <c r="P476" s="74"/>
    </row>
    <row r="477" spans="1:16" ht="15.75" customHeight="1">
      <c r="A477" s="94"/>
      <c r="B477" s="72"/>
      <c r="C477" s="74"/>
      <c r="D477" s="72"/>
      <c r="E477" s="95"/>
      <c r="F477" s="74"/>
      <c r="G477" s="72"/>
      <c r="H477" s="95"/>
      <c r="I477" s="74"/>
      <c r="J477" s="74"/>
      <c r="K477" s="74"/>
      <c r="L477" s="74"/>
      <c r="M477" s="96"/>
      <c r="N477" s="74"/>
      <c r="O477" s="74"/>
      <c r="P477" s="74"/>
    </row>
    <row r="478" spans="1:16" ht="15.75" customHeight="1">
      <c r="A478" s="94"/>
      <c r="B478" s="72"/>
      <c r="C478" s="74"/>
      <c r="D478" s="72"/>
      <c r="E478" s="95"/>
      <c r="F478" s="74"/>
      <c r="G478" s="72"/>
      <c r="H478" s="95"/>
      <c r="I478" s="74"/>
      <c r="J478" s="74"/>
      <c r="K478" s="74"/>
      <c r="L478" s="74"/>
      <c r="M478" s="96"/>
      <c r="N478" s="74"/>
      <c r="O478" s="74"/>
      <c r="P478" s="74"/>
    </row>
    <row r="479" spans="1:16" ht="15.75" customHeight="1">
      <c r="A479" s="94"/>
      <c r="B479" s="72"/>
      <c r="C479" s="74"/>
      <c r="D479" s="72"/>
      <c r="E479" s="95"/>
      <c r="F479" s="74"/>
      <c r="G479" s="72"/>
      <c r="H479" s="95"/>
      <c r="I479" s="74"/>
      <c r="J479" s="74"/>
      <c r="K479" s="74"/>
      <c r="L479" s="74"/>
      <c r="M479" s="96"/>
      <c r="N479" s="74"/>
      <c r="O479" s="74"/>
      <c r="P479" s="74"/>
    </row>
    <row r="480" spans="1:16" ht="15.75" customHeight="1">
      <c r="A480" s="94"/>
      <c r="B480" s="72"/>
      <c r="C480" s="74"/>
      <c r="D480" s="72"/>
      <c r="E480" s="95"/>
      <c r="F480" s="74"/>
      <c r="G480" s="72"/>
      <c r="H480" s="95"/>
      <c r="I480" s="74"/>
      <c r="J480" s="74"/>
      <c r="K480" s="74"/>
      <c r="L480" s="74"/>
      <c r="M480" s="96"/>
      <c r="N480" s="74"/>
      <c r="O480" s="74"/>
      <c r="P480" s="74"/>
    </row>
    <row r="481" spans="1:16" ht="15.75" customHeight="1">
      <c r="A481" s="94"/>
      <c r="B481" s="72"/>
      <c r="C481" s="74"/>
      <c r="D481" s="72"/>
      <c r="E481" s="95"/>
      <c r="F481" s="74"/>
      <c r="G481" s="72"/>
      <c r="H481" s="95"/>
      <c r="I481" s="74"/>
      <c r="J481" s="74"/>
      <c r="K481" s="74"/>
      <c r="L481" s="74"/>
      <c r="M481" s="96"/>
      <c r="N481" s="74"/>
      <c r="O481" s="74"/>
      <c r="P481" s="74"/>
    </row>
    <row r="482" spans="1:16" ht="15.75" customHeight="1">
      <c r="A482" s="94"/>
      <c r="B482" s="72"/>
      <c r="C482" s="74"/>
      <c r="D482" s="72"/>
      <c r="E482" s="95"/>
      <c r="F482" s="74"/>
      <c r="G482" s="72"/>
      <c r="H482" s="95"/>
      <c r="I482" s="74"/>
      <c r="J482" s="74"/>
      <c r="K482" s="74"/>
      <c r="L482" s="74"/>
      <c r="M482" s="96"/>
      <c r="N482" s="74"/>
      <c r="O482" s="74"/>
      <c r="P482" s="74"/>
    </row>
    <row r="483" spans="1:16" ht="15.75" customHeight="1">
      <c r="A483" s="94"/>
      <c r="B483" s="72"/>
      <c r="C483" s="74"/>
      <c r="D483" s="72"/>
      <c r="E483" s="95"/>
      <c r="F483" s="74"/>
      <c r="G483" s="72"/>
      <c r="H483" s="95"/>
      <c r="I483" s="74"/>
      <c r="J483" s="74"/>
      <c r="K483" s="74"/>
      <c r="L483" s="74"/>
      <c r="M483" s="96"/>
      <c r="N483" s="74"/>
      <c r="O483" s="74"/>
      <c r="P483" s="74"/>
    </row>
    <row r="484" spans="1:16" ht="15.75" customHeight="1">
      <c r="A484" s="94"/>
      <c r="B484" s="72"/>
      <c r="C484" s="74"/>
      <c r="D484" s="72"/>
      <c r="E484" s="95"/>
      <c r="F484" s="74"/>
      <c r="G484" s="72"/>
      <c r="H484" s="95"/>
      <c r="I484" s="74"/>
      <c r="J484" s="74"/>
      <c r="K484" s="74"/>
      <c r="L484" s="74"/>
      <c r="M484" s="96"/>
      <c r="N484" s="74"/>
      <c r="O484" s="74"/>
      <c r="P484" s="74"/>
    </row>
    <row r="485" spans="1:16" ht="15.75" customHeight="1">
      <c r="A485" s="94"/>
      <c r="B485" s="72"/>
      <c r="C485" s="74"/>
      <c r="D485" s="72"/>
      <c r="E485" s="95"/>
      <c r="F485" s="74"/>
      <c r="G485" s="72"/>
      <c r="H485" s="95"/>
      <c r="I485" s="74"/>
      <c r="J485" s="74"/>
      <c r="K485" s="74"/>
      <c r="L485" s="74"/>
      <c r="M485" s="96"/>
      <c r="N485" s="74"/>
      <c r="O485" s="74"/>
      <c r="P485" s="74"/>
    </row>
    <row r="486" spans="1:16" ht="15.75" customHeight="1">
      <c r="A486" s="94"/>
      <c r="B486" s="72"/>
      <c r="C486" s="74"/>
      <c r="D486" s="72"/>
      <c r="E486" s="95"/>
      <c r="F486" s="74"/>
      <c r="G486" s="72"/>
      <c r="H486" s="95"/>
      <c r="I486" s="74"/>
      <c r="J486" s="74"/>
      <c r="K486" s="74"/>
      <c r="L486" s="74"/>
      <c r="M486" s="96"/>
      <c r="N486" s="74"/>
      <c r="O486" s="74"/>
      <c r="P486" s="74"/>
    </row>
    <row r="487" spans="1:16" ht="15.75" customHeight="1">
      <c r="A487" s="94"/>
      <c r="B487" s="72"/>
      <c r="C487" s="74"/>
      <c r="D487" s="72"/>
      <c r="E487" s="95"/>
      <c r="F487" s="74"/>
      <c r="G487" s="72"/>
      <c r="H487" s="95"/>
      <c r="I487" s="74"/>
      <c r="J487" s="74"/>
      <c r="K487" s="74"/>
      <c r="L487" s="74"/>
      <c r="M487" s="96"/>
      <c r="N487" s="74"/>
      <c r="O487" s="74"/>
      <c r="P487" s="74"/>
    </row>
    <row r="488" spans="1:16" ht="15.75" customHeight="1">
      <c r="A488" s="94"/>
      <c r="B488" s="72"/>
      <c r="C488" s="74"/>
      <c r="D488" s="72"/>
      <c r="E488" s="95"/>
      <c r="F488" s="74"/>
      <c r="G488" s="72"/>
      <c r="H488" s="95"/>
      <c r="I488" s="74"/>
      <c r="J488" s="74"/>
      <c r="K488" s="74"/>
      <c r="L488" s="74"/>
      <c r="M488" s="96"/>
      <c r="N488" s="74"/>
      <c r="O488" s="74"/>
      <c r="P488" s="74"/>
    </row>
    <row r="489" spans="1:16" ht="15.75" customHeight="1">
      <c r="A489" s="94"/>
      <c r="B489" s="72"/>
      <c r="C489" s="74"/>
      <c r="D489" s="72"/>
      <c r="E489" s="95"/>
      <c r="F489" s="74"/>
      <c r="G489" s="72"/>
      <c r="H489" s="95"/>
      <c r="I489" s="74"/>
      <c r="J489" s="74"/>
      <c r="K489" s="74"/>
      <c r="L489" s="74"/>
      <c r="M489" s="96"/>
      <c r="N489" s="74"/>
      <c r="O489" s="74"/>
      <c r="P489" s="74"/>
    </row>
    <row r="490" spans="1:16" ht="15.75" customHeight="1">
      <c r="A490" s="94"/>
      <c r="B490" s="72"/>
      <c r="C490" s="74"/>
      <c r="D490" s="72"/>
      <c r="E490" s="95"/>
      <c r="F490" s="74"/>
      <c r="G490" s="72"/>
      <c r="H490" s="95"/>
      <c r="I490" s="74"/>
      <c r="J490" s="74"/>
      <c r="K490" s="74"/>
      <c r="L490" s="74"/>
      <c r="M490" s="96"/>
      <c r="N490" s="74"/>
      <c r="O490" s="74"/>
      <c r="P490" s="74"/>
    </row>
    <row r="491" spans="1:16" ht="15.75" customHeight="1">
      <c r="A491" s="94"/>
      <c r="B491" s="72"/>
      <c r="C491" s="74"/>
      <c r="D491" s="72"/>
      <c r="E491" s="95"/>
      <c r="F491" s="74"/>
      <c r="G491" s="72"/>
      <c r="H491" s="95"/>
      <c r="I491" s="74"/>
      <c r="J491" s="74"/>
      <c r="K491" s="74"/>
      <c r="L491" s="74"/>
      <c r="M491" s="96"/>
      <c r="N491" s="74"/>
      <c r="O491" s="74"/>
      <c r="P491" s="74"/>
    </row>
    <row r="492" spans="1:16" ht="15.75" customHeight="1">
      <c r="A492" s="94"/>
      <c r="B492" s="72"/>
      <c r="C492" s="74"/>
      <c r="D492" s="72"/>
      <c r="E492" s="95"/>
      <c r="F492" s="74"/>
      <c r="G492" s="72"/>
      <c r="H492" s="95"/>
      <c r="I492" s="74"/>
      <c r="J492" s="74"/>
      <c r="K492" s="74"/>
      <c r="L492" s="74"/>
      <c r="M492" s="96"/>
      <c r="N492" s="74"/>
      <c r="O492" s="74"/>
      <c r="P492" s="74"/>
    </row>
    <row r="493" spans="1:16" ht="15.75" customHeight="1">
      <c r="A493" s="94"/>
      <c r="B493" s="72"/>
      <c r="C493" s="74"/>
      <c r="D493" s="72"/>
      <c r="E493" s="95"/>
      <c r="F493" s="74"/>
      <c r="G493" s="72"/>
      <c r="H493" s="95"/>
      <c r="I493" s="74"/>
      <c r="J493" s="74"/>
      <c r="K493" s="74"/>
      <c r="L493" s="74"/>
      <c r="M493" s="96"/>
      <c r="N493" s="74"/>
      <c r="O493" s="74"/>
      <c r="P493" s="74"/>
    </row>
    <row r="494" spans="1:16" ht="15.75" customHeight="1">
      <c r="A494" s="94"/>
      <c r="B494" s="72"/>
      <c r="C494" s="74"/>
      <c r="D494" s="72"/>
      <c r="E494" s="95"/>
      <c r="F494" s="74"/>
      <c r="G494" s="72"/>
      <c r="H494" s="95"/>
      <c r="I494" s="74"/>
      <c r="J494" s="74"/>
      <c r="K494" s="74"/>
      <c r="L494" s="74"/>
      <c r="M494" s="96"/>
      <c r="N494" s="74"/>
      <c r="O494" s="74"/>
      <c r="P494" s="74"/>
    </row>
    <row r="495" spans="1:16" ht="15.75" customHeight="1">
      <c r="A495" s="94"/>
      <c r="B495" s="72"/>
      <c r="C495" s="74"/>
      <c r="D495" s="72"/>
      <c r="E495" s="95"/>
      <c r="F495" s="74"/>
      <c r="G495" s="72"/>
      <c r="H495" s="95"/>
      <c r="I495" s="74"/>
      <c r="J495" s="74"/>
      <c r="K495" s="74"/>
      <c r="L495" s="74"/>
      <c r="M495" s="96"/>
      <c r="N495" s="74"/>
      <c r="O495" s="74"/>
      <c r="P495" s="74"/>
    </row>
    <row r="496" spans="1:16" ht="15.75" customHeight="1">
      <c r="A496" s="94"/>
      <c r="B496" s="72"/>
      <c r="C496" s="74"/>
      <c r="D496" s="72"/>
      <c r="E496" s="95"/>
      <c r="F496" s="74"/>
      <c r="G496" s="72"/>
      <c r="H496" s="95"/>
      <c r="I496" s="74"/>
      <c r="J496" s="74"/>
      <c r="K496" s="74"/>
      <c r="L496" s="74"/>
      <c r="M496" s="96"/>
      <c r="N496" s="74"/>
      <c r="O496" s="74"/>
      <c r="P496" s="74"/>
    </row>
    <row r="497" spans="1:16" ht="15.75" customHeight="1">
      <c r="A497" s="94"/>
      <c r="B497" s="72"/>
      <c r="C497" s="74"/>
      <c r="D497" s="72"/>
      <c r="E497" s="95"/>
      <c r="F497" s="74"/>
      <c r="G497" s="72"/>
      <c r="H497" s="95"/>
      <c r="I497" s="74"/>
      <c r="J497" s="74"/>
      <c r="K497" s="74"/>
      <c r="L497" s="74"/>
      <c r="M497" s="96"/>
      <c r="N497" s="74"/>
      <c r="O497" s="74"/>
      <c r="P497" s="74"/>
    </row>
    <row r="498" spans="1:16" ht="15.75" customHeight="1">
      <c r="A498" s="94"/>
      <c r="B498" s="72"/>
      <c r="C498" s="74"/>
      <c r="D498" s="72"/>
      <c r="E498" s="95"/>
      <c r="F498" s="74"/>
      <c r="G498" s="72"/>
      <c r="H498" s="95"/>
      <c r="I498" s="74"/>
      <c r="J498" s="74"/>
      <c r="K498" s="74"/>
      <c r="L498" s="74"/>
      <c r="M498" s="96"/>
      <c r="N498" s="74"/>
      <c r="O498" s="74"/>
      <c r="P498" s="74"/>
    </row>
    <row r="499" spans="1:16" ht="15.75" customHeight="1">
      <c r="A499" s="94"/>
      <c r="B499" s="72"/>
      <c r="C499" s="74"/>
      <c r="D499" s="72"/>
      <c r="E499" s="95"/>
      <c r="F499" s="74"/>
      <c r="G499" s="72"/>
      <c r="H499" s="95"/>
      <c r="I499" s="74"/>
      <c r="J499" s="74"/>
      <c r="K499" s="74"/>
      <c r="L499" s="74"/>
      <c r="M499" s="96"/>
      <c r="N499" s="74"/>
      <c r="O499" s="74"/>
      <c r="P499" s="74"/>
    </row>
    <row r="500" spans="1:16" ht="15.75" customHeight="1">
      <c r="A500" s="94"/>
      <c r="B500" s="72"/>
      <c r="C500" s="74"/>
      <c r="D500" s="72"/>
      <c r="E500" s="95"/>
      <c r="F500" s="74"/>
      <c r="G500" s="72"/>
      <c r="H500" s="95"/>
      <c r="I500" s="74"/>
      <c r="J500" s="74"/>
      <c r="K500" s="74"/>
      <c r="L500" s="74"/>
      <c r="M500" s="96"/>
      <c r="N500" s="74"/>
      <c r="O500" s="74"/>
      <c r="P500" s="74"/>
    </row>
    <row r="501" spans="1:16" ht="15.75" customHeight="1">
      <c r="A501" s="94"/>
      <c r="B501" s="72"/>
      <c r="C501" s="74"/>
      <c r="D501" s="72"/>
      <c r="E501" s="95"/>
      <c r="F501" s="74"/>
      <c r="G501" s="72"/>
      <c r="H501" s="95"/>
      <c r="I501" s="74"/>
      <c r="J501" s="74"/>
      <c r="K501" s="74"/>
      <c r="L501" s="74"/>
      <c r="M501" s="96"/>
      <c r="N501" s="74"/>
      <c r="O501" s="74"/>
      <c r="P501" s="74"/>
    </row>
    <row r="502" spans="1:16" ht="15.75" customHeight="1">
      <c r="A502" s="94"/>
      <c r="B502" s="72"/>
      <c r="C502" s="74"/>
      <c r="D502" s="72"/>
      <c r="E502" s="95"/>
      <c r="F502" s="74"/>
      <c r="G502" s="72"/>
      <c r="H502" s="95"/>
      <c r="I502" s="74"/>
      <c r="J502" s="74"/>
      <c r="K502" s="74"/>
      <c r="L502" s="74"/>
      <c r="M502" s="96"/>
      <c r="N502" s="74"/>
      <c r="O502" s="74"/>
      <c r="P502" s="74"/>
    </row>
    <row r="503" spans="1:16" ht="15.75" customHeight="1">
      <c r="A503" s="94"/>
      <c r="B503" s="72"/>
      <c r="C503" s="74"/>
      <c r="D503" s="72"/>
      <c r="E503" s="95"/>
      <c r="F503" s="74"/>
      <c r="G503" s="72"/>
      <c r="H503" s="95"/>
      <c r="I503" s="74"/>
      <c r="J503" s="74"/>
      <c r="K503" s="74"/>
      <c r="L503" s="74"/>
      <c r="M503" s="96"/>
      <c r="N503" s="74"/>
      <c r="O503" s="74"/>
      <c r="P503" s="74"/>
    </row>
    <row r="504" spans="1:16" ht="15.75" customHeight="1">
      <c r="A504" s="94"/>
      <c r="B504" s="72"/>
      <c r="C504" s="74"/>
      <c r="D504" s="72"/>
      <c r="E504" s="95"/>
      <c r="F504" s="74"/>
      <c r="G504" s="72"/>
      <c r="H504" s="95"/>
      <c r="I504" s="74"/>
      <c r="J504" s="74"/>
      <c r="K504" s="74"/>
      <c r="L504" s="74"/>
      <c r="M504" s="96"/>
      <c r="N504" s="74"/>
      <c r="O504" s="74"/>
      <c r="P504" s="74"/>
    </row>
    <row r="505" spans="1:16" ht="15.75" customHeight="1">
      <c r="A505" s="94"/>
      <c r="B505" s="72"/>
      <c r="C505" s="74"/>
      <c r="D505" s="72"/>
      <c r="E505" s="95"/>
      <c r="F505" s="74"/>
      <c r="G505" s="72"/>
      <c r="H505" s="95"/>
      <c r="I505" s="74"/>
      <c r="J505" s="74"/>
      <c r="K505" s="74"/>
      <c r="L505" s="74"/>
      <c r="M505" s="96"/>
      <c r="N505" s="74"/>
      <c r="O505" s="74"/>
      <c r="P505" s="74"/>
    </row>
    <row r="506" spans="1:16" ht="15.75" customHeight="1">
      <c r="A506" s="94"/>
      <c r="B506" s="72"/>
      <c r="C506" s="74"/>
      <c r="D506" s="72"/>
      <c r="E506" s="95"/>
      <c r="F506" s="74"/>
      <c r="G506" s="72"/>
      <c r="H506" s="95"/>
      <c r="I506" s="74"/>
      <c r="J506" s="74"/>
      <c r="K506" s="74"/>
      <c r="L506" s="74"/>
      <c r="M506" s="96"/>
      <c r="N506" s="74"/>
      <c r="O506" s="74"/>
      <c r="P506" s="74"/>
    </row>
    <row r="507" spans="1:16" ht="15.75" customHeight="1">
      <c r="A507" s="94"/>
      <c r="B507" s="72"/>
      <c r="C507" s="74"/>
      <c r="D507" s="72"/>
      <c r="E507" s="95"/>
      <c r="F507" s="74"/>
      <c r="G507" s="72"/>
      <c r="H507" s="95"/>
      <c r="I507" s="74"/>
      <c r="J507" s="74"/>
      <c r="K507" s="74"/>
      <c r="L507" s="74"/>
      <c r="M507" s="96"/>
      <c r="N507" s="74"/>
      <c r="O507" s="74"/>
      <c r="P507" s="74"/>
    </row>
    <row r="508" spans="1:16" ht="15.75" customHeight="1">
      <c r="A508" s="94"/>
      <c r="B508" s="72"/>
      <c r="C508" s="74"/>
      <c r="D508" s="72"/>
      <c r="E508" s="95"/>
      <c r="F508" s="74"/>
      <c r="G508" s="72"/>
      <c r="H508" s="95"/>
      <c r="I508" s="74"/>
      <c r="J508" s="74"/>
      <c r="K508" s="74"/>
      <c r="L508" s="74"/>
      <c r="M508" s="96"/>
      <c r="N508" s="74"/>
      <c r="O508" s="74"/>
      <c r="P508" s="74"/>
    </row>
    <row r="509" spans="1:16" ht="15.75" customHeight="1">
      <c r="A509" s="94"/>
      <c r="B509" s="72"/>
      <c r="C509" s="74"/>
      <c r="D509" s="72"/>
      <c r="E509" s="95"/>
      <c r="F509" s="74"/>
      <c r="G509" s="72"/>
      <c r="H509" s="95"/>
      <c r="I509" s="74"/>
      <c r="J509" s="74"/>
      <c r="K509" s="74"/>
      <c r="L509" s="74"/>
      <c r="M509" s="96"/>
      <c r="N509" s="74"/>
      <c r="O509" s="74"/>
      <c r="P509" s="74"/>
    </row>
    <row r="510" spans="1:16" ht="15.75" customHeight="1">
      <c r="A510" s="94"/>
      <c r="B510" s="72"/>
      <c r="C510" s="74"/>
      <c r="D510" s="72"/>
      <c r="E510" s="95"/>
      <c r="F510" s="74"/>
      <c r="G510" s="72"/>
      <c r="H510" s="95"/>
      <c r="I510" s="74"/>
      <c r="J510" s="74"/>
      <c r="K510" s="74"/>
      <c r="L510" s="74"/>
      <c r="M510" s="96"/>
      <c r="N510" s="74"/>
      <c r="O510" s="74"/>
      <c r="P510" s="74"/>
    </row>
    <row r="511" spans="1:16" ht="15.75" customHeight="1">
      <c r="A511" s="94"/>
      <c r="B511" s="72"/>
      <c r="C511" s="74"/>
      <c r="D511" s="72"/>
      <c r="E511" s="95"/>
      <c r="F511" s="74"/>
      <c r="G511" s="72"/>
      <c r="H511" s="95"/>
      <c r="I511" s="74"/>
      <c r="J511" s="74"/>
      <c r="K511" s="74"/>
      <c r="L511" s="74"/>
      <c r="M511" s="96"/>
      <c r="N511" s="74"/>
      <c r="O511" s="74"/>
      <c r="P511" s="74"/>
    </row>
    <row r="512" spans="1:16" ht="15.75" customHeight="1">
      <c r="A512" s="94"/>
      <c r="B512" s="72"/>
      <c r="C512" s="74"/>
      <c r="D512" s="72"/>
      <c r="E512" s="95"/>
      <c r="F512" s="74"/>
      <c r="G512" s="72"/>
      <c r="H512" s="95"/>
      <c r="I512" s="74"/>
      <c r="J512" s="74"/>
      <c r="K512" s="74"/>
      <c r="L512" s="74"/>
      <c r="M512" s="96"/>
      <c r="N512" s="74"/>
      <c r="O512" s="74"/>
      <c r="P512" s="74"/>
    </row>
    <row r="513" spans="1:16" ht="15.75" customHeight="1">
      <c r="A513" s="94"/>
      <c r="B513" s="72"/>
      <c r="C513" s="74"/>
      <c r="D513" s="72"/>
      <c r="E513" s="95"/>
      <c r="F513" s="74"/>
      <c r="G513" s="72"/>
      <c r="H513" s="95"/>
      <c r="I513" s="74"/>
      <c r="J513" s="74"/>
      <c r="K513" s="74"/>
      <c r="L513" s="74"/>
      <c r="M513" s="96"/>
      <c r="N513" s="74"/>
      <c r="O513" s="74"/>
      <c r="P513" s="74"/>
    </row>
    <row r="514" spans="1:16" ht="15.75" customHeight="1">
      <c r="A514" s="94"/>
      <c r="B514" s="72"/>
      <c r="C514" s="74"/>
      <c r="D514" s="72"/>
      <c r="E514" s="95"/>
      <c r="F514" s="74"/>
      <c r="G514" s="72"/>
      <c r="H514" s="95"/>
      <c r="I514" s="74"/>
      <c r="J514" s="74"/>
      <c r="K514" s="74"/>
      <c r="L514" s="74"/>
      <c r="M514" s="96"/>
      <c r="N514" s="74"/>
      <c r="O514" s="74"/>
      <c r="P514" s="74"/>
    </row>
    <row r="515" spans="1:16" ht="15.75" customHeight="1">
      <c r="A515" s="94"/>
      <c r="B515" s="72"/>
      <c r="C515" s="74"/>
      <c r="D515" s="72"/>
      <c r="E515" s="95"/>
      <c r="F515" s="74"/>
      <c r="G515" s="72"/>
      <c r="H515" s="95"/>
      <c r="I515" s="74"/>
      <c r="J515" s="74"/>
      <c r="K515" s="74"/>
      <c r="L515" s="74"/>
      <c r="M515" s="96"/>
      <c r="N515" s="74"/>
      <c r="O515" s="74"/>
      <c r="P515" s="74"/>
    </row>
    <row r="516" spans="1:16" ht="15.75" customHeight="1">
      <c r="A516" s="94"/>
      <c r="B516" s="72"/>
      <c r="C516" s="74"/>
      <c r="D516" s="72"/>
      <c r="E516" s="95"/>
      <c r="F516" s="74"/>
      <c r="G516" s="72"/>
      <c r="H516" s="95"/>
      <c r="I516" s="74"/>
      <c r="J516" s="74"/>
      <c r="K516" s="74"/>
      <c r="L516" s="74"/>
      <c r="M516" s="96"/>
      <c r="N516" s="74"/>
      <c r="O516" s="74"/>
      <c r="P516" s="74"/>
    </row>
    <row r="517" spans="1:16" ht="15.75" customHeight="1">
      <c r="A517" s="94"/>
      <c r="B517" s="72"/>
      <c r="C517" s="74"/>
      <c r="D517" s="72"/>
      <c r="E517" s="95"/>
      <c r="F517" s="74"/>
      <c r="G517" s="72"/>
      <c r="H517" s="95"/>
      <c r="I517" s="74"/>
      <c r="J517" s="74"/>
      <c r="K517" s="74"/>
      <c r="L517" s="74"/>
      <c r="M517" s="96"/>
      <c r="N517" s="74"/>
      <c r="O517" s="74"/>
      <c r="P517" s="74"/>
    </row>
    <row r="518" spans="1:16" ht="15.75" customHeight="1">
      <c r="A518" s="94"/>
      <c r="B518" s="72"/>
      <c r="C518" s="74"/>
      <c r="D518" s="72"/>
      <c r="E518" s="95"/>
      <c r="F518" s="74"/>
      <c r="G518" s="72"/>
      <c r="H518" s="95"/>
      <c r="I518" s="74"/>
      <c r="J518" s="74"/>
      <c r="K518" s="74"/>
      <c r="L518" s="74"/>
      <c r="M518" s="96"/>
      <c r="N518" s="74"/>
      <c r="O518" s="74"/>
      <c r="P518" s="74"/>
    </row>
    <row r="519" spans="1:16" ht="15.75" customHeight="1">
      <c r="A519" s="94"/>
      <c r="B519" s="72"/>
      <c r="C519" s="74"/>
      <c r="D519" s="72"/>
      <c r="E519" s="95"/>
      <c r="F519" s="74"/>
      <c r="G519" s="72"/>
      <c r="H519" s="95"/>
      <c r="I519" s="74"/>
      <c r="J519" s="74"/>
      <c r="K519" s="74"/>
      <c r="L519" s="74"/>
      <c r="M519" s="96"/>
      <c r="N519" s="74"/>
      <c r="O519" s="74"/>
      <c r="P519" s="74"/>
    </row>
    <row r="520" spans="1:16" ht="15.75" customHeight="1">
      <c r="A520" s="94"/>
      <c r="B520" s="72"/>
      <c r="C520" s="74"/>
      <c r="D520" s="72"/>
      <c r="E520" s="95"/>
      <c r="F520" s="74"/>
      <c r="G520" s="72"/>
      <c r="H520" s="95"/>
      <c r="I520" s="74"/>
      <c r="J520" s="74"/>
      <c r="K520" s="74"/>
      <c r="L520" s="74"/>
      <c r="M520" s="96"/>
      <c r="N520" s="74"/>
      <c r="O520" s="74"/>
      <c r="P520" s="74"/>
    </row>
    <row r="521" spans="1:16" ht="15.75" customHeight="1">
      <c r="A521" s="94"/>
      <c r="B521" s="72"/>
      <c r="C521" s="74"/>
      <c r="D521" s="72"/>
      <c r="E521" s="95"/>
      <c r="F521" s="74"/>
      <c r="G521" s="72"/>
      <c r="H521" s="95"/>
      <c r="I521" s="74"/>
      <c r="J521" s="74"/>
      <c r="K521" s="74"/>
      <c r="L521" s="74"/>
      <c r="M521" s="96"/>
      <c r="N521" s="74"/>
      <c r="O521" s="74"/>
      <c r="P521" s="74"/>
    </row>
    <row r="522" spans="1:16" ht="15.75" customHeight="1">
      <c r="A522" s="94"/>
      <c r="B522" s="72"/>
      <c r="C522" s="74"/>
      <c r="D522" s="72"/>
      <c r="E522" s="95"/>
      <c r="F522" s="74"/>
      <c r="G522" s="72"/>
      <c r="H522" s="95"/>
      <c r="I522" s="74"/>
      <c r="J522" s="74"/>
      <c r="K522" s="74"/>
      <c r="L522" s="74"/>
      <c r="M522" s="96"/>
      <c r="N522" s="74"/>
      <c r="O522" s="74"/>
      <c r="P522" s="74"/>
    </row>
    <row r="523" spans="1:16" ht="15.75" customHeight="1">
      <c r="A523" s="94"/>
      <c r="B523" s="72"/>
      <c r="C523" s="74"/>
      <c r="D523" s="72"/>
      <c r="E523" s="95"/>
      <c r="F523" s="74"/>
      <c r="G523" s="72"/>
      <c r="H523" s="95"/>
      <c r="I523" s="74"/>
      <c r="J523" s="74"/>
      <c r="K523" s="74"/>
      <c r="L523" s="74"/>
      <c r="M523" s="96"/>
      <c r="N523" s="74"/>
      <c r="O523" s="74"/>
      <c r="P523" s="74"/>
    </row>
    <row r="524" spans="1:16" ht="15.75" customHeight="1">
      <c r="A524" s="94"/>
      <c r="B524" s="72"/>
      <c r="C524" s="74"/>
      <c r="D524" s="72"/>
      <c r="E524" s="95"/>
      <c r="F524" s="74"/>
      <c r="G524" s="72"/>
      <c r="H524" s="95"/>
      <c r="I524" s="74"/>
      <c r="J524" s="74"/>
      <c r="K524" s="74"/>
      <c r="L524" s="74"/>
      <c r="M524" s="96"/>
      <c r="N524" s="74"/>
      <c r="O524" s="74"/>
      <c r="P524" s="74"/>
    </row>
    <row r="525" spans="1:16" ht="15.75" customHeight="1">
      <c r="A525" s="94"/>
      <c r="B525" s="72"/>
      <c r="C525" s="74"/>
      <c r="D525" s="72"/>
      <c r="E525" s="95"/>
      <c r="F525" s="74"/>
      <c r="G525" s="72"/>
      <c r="H525" s="95"/>
      <c r="I525" s="74"/>
      <c r="J525" s="74"/>
      <c r="K525" s="74"/>
      <c r="L525" s="74"/>
      <c r="M525" s="96"/>
      <c r="N525" s="74"/>
      <c r="O525" s="74"/>
      <c r="P525" s="74"/>
    </row>
    <row r="526" spans="1:16" ht="15.75" customHeight="1">
      <c r="A526" s="94"/>
      <c r="B526" s="72"/>
      <c r="C526" s="74"/>
      <c r="D526" s="72"/>
      <c r="E526" s="95"/>
      <c r="F526" s="74"/>
      <c r="G526" s="72"/>
      <c r="H526" s="95"/>
      <c r="I526" s="74"/>
      <c r="J526" s="74"/>
      <c r="K526" s="74"/>
      <c r="L526" s="74"/>
      <c r="M526" s="96"/>
      <c r="N526" s="74"/>
      <c r="O526" s="74"/>
      <c r="P526" s="74"/>
    </row>
    <row r="527" spans="1:16" ht="15.75" customHeight="1">
      <c r="A527" s="94"/>
      <c r="B527" s="72"/>
      <c r="C527" s="74"/>
      <c r="D527" s="72"/>
      <c r="E527" s="95"/>
      <c r="F527" s="74"/>
      <c r="G527" s="72"/>
      <c r="H527" s="95"/>
      <c r="I527" s="74"/>
      <c r="J527" s="74"/>
      <c r="K527" s="74"/>
      <c r="L527" s="74"/>
      <c r="M527" s="96"/>
      <c r="N527" s="74"/>
      <c r="O527" s="74"/>
      <c r="P527" s="74"/>
    </row>
    <row r="528" spans="1:16" ht="15.75" customHeight="1">
      <c r="A528" s="94"/>
      <c r="B528" s="72"/>
      <c r="C528" s="74"/>
      <c r="D528" s="72"/>
      <c r="E528" s="95"/>
      <c r="F528" s="74"/>
      <c r="G528" s="72"/>
      <c r="H528" s="95"/>
      <c r="I528" s="74"/>
      <c r="J528" s="74"/>
      <c r="K528" s="74"/>
      <c r="L528" s="74"/>
      <c r="M528" s="96"/>
      <c r="N528" s="74"/>
      <c r="O528" s="74"/>
      <c r="P528" s="74"/>
    </row>
    <row r="529" spans="1:16" ht="15.75" customHeight="1">
      <c r="A529" s="94"/>
      <c r="B529" s="72"/>
      <c r="C529" s="74"/>
      <c r="D529" s="72"/>
      <c r="E529" s="95"/>
      <c r="F529" s="74"/>
      <c r="G529" s="72"/>
      <c r="H529" s="95"/>
      <c r="I529" s="74"/>
      <c r="J529" s="74"/>
      <c r="K529" s="74"/>
      <c r="L529" s="74"/>
      <c r="M529" s="96"/>
      <c r="N529" s="74"/>
      <c r="O529" s="74"/>
      <c r="P529" s="74"/>
    </row>
    <row r="530" spans="1:16" ht="15.75" customHeight="1">
      <c r="A530" s="94"/>
      <c r="B530" s="72"/>
      <c r="C530" s="74"/>
      <c r="D530" s="72"/>
      <c r="E530" s="95"/>
      <c r="F530" s="74"/>
      <c r="G530" s="72"/>
      <c r="H530" s="95"/>
      <c r="I530" s="74"/>
      <c r="J530" s="74"/>
      <c r="K530" s="74"/>
      <c r="L530" s="74"/>
      <c r="M530" s="96"/>
      <c r="N530" s="74"/>
      <c r="O530" s="74"/>
      <c r="P530" s="74"/>
    </row>
    <row r="531" spans="1:16" ht="15.75" customHeight="1">
      <c r="A531" s="94"/>
      <c r="B531" s="72"/>
      <c r="C531" s="74"/>
      <c r="D531" s="72"/>
      <c r="E531" s="95"/>
      <c r="F531" s="74"/>
      <c r="G531" s="72"/>
      <c r="H531" s="95"/>
      <c r="I531" s="74"/>
      <c r="J531" s="74"/>
      <c r="K531" s="74"/>
      <c r="L531" s="74"/>
      <c r="M531" s="96"/>
      <c r="N531" s="74"/>
      <c r="O531" s="74"/>
      <c r="P531" s="74"/>
    </row>
    <row r="532" spans="1:16" ht="15.75" customHeight="1">
      <c r="A532" s="94"/>
      <c r="B532" s="72"/>
      <c r="C532" s="74"/>
      <c r="D532" s="72"/>
      <c r="E532" s="95"/>
      <c r="F532" s="74"/>
      <c r="G532" s="72"/>
      <c r="H532" s="95"/>
      <c r="I532" s="74"/>
      <c r="J532" s="74"/>
      <c r="K532" s="74"/>
      <c r="L532" s="74"/>
      <c r="M532" s="96"/>
      <c r="N532" s="74"/>
      <c r="O532" s="74"/>
      <c r="P532" s="74"/>
    </row>
    <row r="533" spans="1:16" ht="15.75" customHeight="1">
      <c r="A533" s="94"/>
      <c r="B533" s="72"/>
      <c r="C533" s="74"/>
      <c r="D533" s="72"/>
      <c r="E533" s="95"/>
      <c r="F533" s="74"/>
      <c r="G533" s="72"/>
      <c r="H533" s="95"/>
      <c r="I533" s="74"/>
      <c r="J533" s="74"/>
      <c r="K533" s="74"/>
      <c r="L533" s="74"/>
      <c r="M533" s="96"/>
      <c r="N533" s="74"/>
      <c r="O533" s="74"/>
      <c r="P533" s="74"/>
    </row>
    <row r="534" spans="1:16" ht="15.75" customHeight="1">
      <c r="A534" s="94"/>
      <c r="B534" s="72"/>
      <c r="C534" s="74"/>
      <c r="D534" s="72"/>
      <c r="E534" s="95"/>
      <c r="F534" s="74"/>
      <c r="G534" s="72"/>
      <c r="H534" s="95"/>
      <c r="I534" s="74"/>
      <c r="J534" s="74"/>
      <c r="K534" s="74"/>
      <c r="L534" s="74"/>
      <c r="M534" s="96"/>
      <c r="N534" s="74"/>
      <c r="O534" s="74"/>
      <c r="P534" s="74"/>
    </row>
    <row r="535" spans="1:16" ht="15.75" customHeight="1">
      <c r="A535" s="94"/>
      <c r="B535" s="72"/>
      <c r="C535" s="74"/>
      <c r="D535" s="72"/>
      <c r="E535" s="95"/>
      <c r="F535" s="74"/>
      <c r="G535" s="72"/>
      <c r="H535" s="95"/>
      <c r="I535" s="74"/>
      <c r="J535" s="74"/>
      <c r="K535" s="74"/>
      <c r="L535" s="74"/>
      <c r="M535" s="96"/>
      <c r="N535" s="74"/>
      <c r="O535" s="74"/>
      <c r="P535" s="74"/>
    </row>
    <row r="536" spans="1:16" ht="15.75" customHeight="1">
      <c r="A536" s="94"/>
      <c r="B536" s="72"/>
      <c r="C536" s="74"/>
      <c r="D536" s="72"/>
      <c r="E536" s="95"/>
      <c r="F536" s="74"/>
      <c r="G536" s="72"/>
      <c r="H536" s="95"/>
      <c r="I536" s="74"/>
      <c r="J536" s="74"/>
      <c r="K536" s="74"/>
      <c r="L536" s="74"/>
      <c r="M536" s="96"/>
      <c r="N536" s="74"/>
      <c r="O536" s="74"/>
      <c r="P536" s="74"/>
    </row>
    <row r="537" spans="1:16" ht="15.75" customHeight="1">
      <c r="A537" s="94"/>
      <c r="B537" s="72"/>
      <c r="C537" s="74"/>
      <c r="D537" s="72"/>
      <c r="E537" s="95"/>
      <c r="F537" s="74"/>
      <c r="G537" s="72"/>
      <c r="H537" s="95"/>
      <c r="I537" s="74"/>
      <c r="J537" s="74"/>
      <c r="K537" s="74"/>
      <c r="L537" s="74"/>
      <c r="M537" s="96"/>
      <c r="N537" s="74"/>
      <c r="O537" s="74"/>
      <c r="P537" s="74"/>
    </row>
    <row r="538" spans="1:16" ht="15.75" customHeight="1">
      <c r="A538" s="94"/>
      <c r="B538" s="72"/>
      <c r="C538" s="74"/>
      <c r="D538" s="72"/>
      <c r="E538" s="95"/>
      <c r="F538" s="74"/>
      <c r="G538" s="72"/>
      <c r="H538" s="95"/>
      <c r="I538" s="74"/>
      <c r="J538" s="74"/>
      <c r="K538" s="74"/>
      <c r="L538" s="74"/>
      <c r="M538" s="96"/>
      <c r="N538" s="74"/>
      <c r="O538" s="74"/>
      <c r="P538" s="74"/>
    </row>
    <row r="539" spans="1:16" ht="15.75" customHeight="1">
      <c r="A539" s="94"/>
      <c r="B539" s="72"/>
      <c r="C539" s="74"/>
      <c r="D539" s="72"/>
      <c r="E539" s="95"/>
      <c r="F539" s="74"/>
      <c r="G539" s="72"/>
      <c r="H539" s="95"/>
      <c r="I539" s="74"/>
      <c r="J539" s="74"/>
      <c r="K539" s="74"/>
      <c r="L539" s="74"/>
      <c r="M539" s="96"/>
      <c r="N539" s="74"/>
      <c r="O539" s="74"/>
      <c r="P539" s="74"/>
    </row>
    <row r="540" spans="1:16" ht="15.75" customHeight="1">
      <c r="A540" s="94"/>
      <c r="B540" s="72"/>
      <c r="C540" s="74"/>
      <c r="D540" s="72"/>
      <c r="E540" s="95"/>
      <c r="F540" s="74"/>
      <c r="G540" s="72"/>
      <c r="H540" s="95"/>
      <c r="I540" s="74"/>
      <c r="J540" s="74"/>
      <c r="K540" s="74"/>
      <c r="L540" s="74"/>
      <c r="M540" s="96"/>
      <c r="N540" s="74"/>
      <c r="O540" s="74"/>
      <c r="P540" s="74"/>
    </row>
    <row r="541" spans="1:16" ht="15.75" customHeight="1">
      <c r="A541" s="94"/>
      <c r="B541" s="72"/>
      <c r="C541" s="74"/>
      <c r="D541" s="72"/>
      <c r="E541" s="95"/>
      <c r="F541" s="74"/>
      <c r="G541" s="72"/>
      <c r="H541" s="95"/>
      <c r="I541" s="74"/>
      <c r="J541" s="74"/>
      <c r="K541" s="74"/>
      <c r="L541" s="74"/>
      <c r="M541" s="96"/>
      <c r="N541" s="74"/>
      <c r="O541" s="74"/>
      <c r="P541" s="74"/>
    </row>
    <row r="542" spans="1:16" ht="15.75" customHeight="1">
      <c r="A542" s="94"/>
      <c r="B542" s="72"/>
      <c r="C542" s="74"/>
      <c r="D542" s="72"/>
      <c r="E542" s="95"/>
      <c r="F542" s="74"/>
      <c r="G542" s="72"/>
      <c r="H542" s="95"/>
      <c r="I542" s="74"/>
      <c r="J542" s="74"/>
      <c r="K542" s="74"/>
      <c r="L542" s="74"/>
      <c r="M542" s="96"/>
      <c r="N542" s="74"/>
      <c r="O542" s="74"/>
      <c r="P542" s="74"/>
    </row>
    <row r="543" spans="1:16" ht="15.75" customHeight="1">
      <c r="A543" s="94"/>
      <c r="B543" s="72"/>
      <c r="C543" s="74"/>
      <c r="D543" s="72"/>
      <c r="E543" s="95"/>
      <c r="F543" s="74"/>
      <c r="G543" s="72"/>
      <c r="H543" s="95"/>
      <c r="I543" s="74"/>
      <c r="J543" s="74"/>
      <c r="K543" s="74"/>
      <c r="L543" s="74"/>
      <c r="M543" s="96"/>
      <c r="N543" s="74"/>
      <c r="O543" s="74"/>
      <c r="P543" s="74"/>
    </row>
    <row r="544" spans="1:16" ht="15.75" customHeight="1">
      <c r="A544" s="94"/>
      <c r="B544" s="72"/>
      <c r="C544" s="74"/>
      <c r="D544" s="72"/>
      <c r="E544" s="95"/>
      <c r="F544" s="74"/>
      <c r="G544" s="72"/>
      <c r="H544" s="95"/>
      <c r="I544" s="74"/>
      <c r="J544" s="74"/>
      <c r="K544" s="74"/>
      <c r="L544" s="74"/>
      <c r="M544" s="96"/>
      <c r="N544" s="74"/>
      <c r="O544" s="74"/>
      <c r="P544" s="74"/>
    </row>
    <row r="545" spans="1:16" ht="15.75" customHeight="1">
      <c r="A545" s="94"/>
      <c r="B545" s="72"/>
      <c r="C545" s="74"/>
      <c r="D545" s="72"/>
      <c r="E545" s="95"/>
      <c r="F545" s="74"/>
      <c r="G545" s="72"/>
      <c r="H545" s="95"/>
      <c r="I545" s="74"/>
      <c r="J545" s="74"/>
      <c r="K545" s="74"/>
      <c r="L545" s="74"/>
      <c r="M545" s="96"/>
      <c r="N545" s="74"/>
      <c r="O545" s="74"/>
      <c r="P545" s="74"/>
    </row>
    <row r="546" spans="1:16" ht="15.75" customHeight="1">
      <c r="A546" s="94"/>
      <c r="B546" s="72"/>
      <c r="C546" s="74"/>
      <c r="D546" s="72"/>
      <c r="E546" s="95"/>
      <c r="F546" s="74"/>
      <c r="G546" s="72"/>
      <c r="H546" s="95"/>
      <c r="I546" s="74"/>
      <c r="J546" s="74"/>
      <c r="K546" s="74"/>
      <c r="L546" s="74"/>
      <c r="M546" s="96"/>
      <c r="N546" s="74"/>
      <c r="O546" s="74"/>
      <c r="P546" s="74"/>
    </row>
    <row r="547" spans="1:16" ht="15.75" customHeight="1">
      <c r="A547" s="94"/>
      <c r="B547" s="72"/>
      <c r="C547" s="74"/>
      <c r="D547" s="72"/>
      <c r="E547" s="95"/>
      <c r="F547" s="74"/>
      <c r="G547" s="72"/>
      <c r="H547" s="95"/>
      <c r="I547" s="74"/>
      <c r="J547" s="74"/>
      <c r="K547" s="74"/>
      <c r="L547" s="74"/>
      <c r="M547" s="96"/>
      <c r="N547" s="74"/>
      <c r="O547" s="74"/>
      <c r="P547" s="74"/>
    </row>
    <row r="548" spans="1:16" ht="15.75" customHeight="1">
      <c r="A548" s="94"/>
      <c r="B548" s="72"/>
      <c r="C548" s="74"/>
      <c r="D548" s="72"/>
      <c r="E548" s="95"/>
      <c r="F548" s="74"/>
      <c r="G548" s="72"/>
      <c r="H548" s="95"/>
      <c r="I548" s="74"/>
      <c r="J548" s="74"/>
      <c r="K548" s="74"/>
      <c r="L548" s="74"/>
      <c r="M548" s="96"/>
      <c r="N548" s="74"/>
      <c r="O548" s="74"/>
      <c r="P548" s="74"/>
    </row>
    <row r="549" spans="1:16" ht="15.75" customHeight="1">
      <c r="A549" s="94"/>
      <c r="B549" s="72"/>
      <c r="C549" s="74"/>
      <c r="D549" s="72"/>
      <c r="E549" s="95"/>
      <c r="F549" s="74"/>
      <c r="G549" s="72"/>
      <c r="H549" s="95"/>
      <c r="I549" s="74"/>
      <c r="J549" s="74"/>
      <c r="K549" s="74"/>
      <c r="L549" s="74"/>
      <c r="M549" s="96"/>
      <c r="N549" s="74"/>
      <c r="O549" s="74"/>
      <c r="P549" s="74"/>
    </row>
    <row r="550" spans="1:16" ht="15.75" customHeight="1">
      <c r="A550" s="94"/>
      <c r="B550" s="72"/>
      <c r="C550" s="74"/>
      <c r="D550" s="72"/>
      <c r="E550" s="95"/>
      <c r="F550" s="74"/>
      <c r="G550" s="72"/>
      <c r="H550" s="95"/>
      <c r="I550" s="74"/>
      <c r="J550" s="74"/>
      <c r="K550" s="74"/>
      <c r="L550" s="74"/>
      <c r="M550" s="96"/>
      <c r="N550" s="74"/>
      <c r="O550" s="74"/>
      <c r="P550" s="74"/>
    </row>
    <row r="551" spans="1:16" ht="15.75" customHeight="1">
      <c r="A551" s="94"/>
      <c r="B551" s="72"/>
      <c r="C551" s="74"/>
      <c r="D551" s="72"/>
      <c r="E551" s="95"/>
      <c r="F551" s="74"/>
      <c r="G551" s="72"/>
      <c r="H551" s="95"/>
      <c r="I551" s="74"/>
      <c r="J551" s="74"/>
      <c r="K551" s="74"/>
      <c r="L551" s="74"/>
      <c r="M551" s="96"/>
      <c r="N551" s="74"/>
      <c r="O551" s="74"/>
      <c r="P551" s="74"/>
    </row>
    <row r="552" spans="1:16" ht="15.75" customHeight="1">
      <c r="A552" s="94"/>
      <c r="B552" s="72"/>
      <c r="C552" s="74"/>
      <c r="D552" s="72"/>
      <c r="E552" s="95"/>
      <c r="F552" s="74"/>
      <c r="G552" s="72"/>
      <c r="H552" s="95"/>
      <c r="I552" s="74"/>
      <c r="J552" s="74"/>
      <c r="K552" s="74"/>
      <c r="L552" s="74"/>
      <c r="M552" s="96"/>
      <c r="N552" s="74"/>
      <c r="O552" s="74"/>
      <c r="P552" s="74"/>
    </row>
    <row r="553" spans="1:16" ht="15.75" customHeight="1">
      <c r="A553" s="94"/>
      <c r="B553" s="72"/>
      <c r="C553" s="74"/>
      <c r="D553" s="72"/>
      <c r="E553" s="95"/>
      <c r="F553" s="74"/>
      <c r="G553" s="72"/>
      <c r="H553" s="95"/>
      <c r="I553" s="74"/>
      <c r="J553" s="74"/>
      <c r="K553" s="74"/>
      <c r="L553" s="74"/>
      <c r="M553" s="96"/>
      <c r="N553" s="74"/>
      <c r="O553" s="74"/>
      <c r="P553" s="74"/>
    </row>
    <row r="554" spans="1:16" ht="15.75" customHeight="1">
      <c r="A554" s="94"/>
      <c r="B554" s="72"/>
      <c r="C554" s="74"/>
      <c r="D554" s="72"/>
      <c r="E554" s="95"/>
      <c r="F554" s="74"/>
      <c r="G554" s="72"/>
      <c r="H554" s="95"/>
      <c r="I554" s="74"/>
      <c r="J554" s="74"/>
      <c r="K554" s="74"/>
      <c r="L554" s="74"/>
      <c r="M554" s="96"/>
      <c r="N554" s="74"/>
      <c r="O554" s="74"/>
      <c r="P554" s="74"/>
    </row>
    <row r="555" spans="1:16" ht="15.75" customHeight="1">
      <c r="A555" s="94"/>
      <c r="B555" s="72"/>
      <c r="C555" s="74"/>
      <c r="D555" s="72"/>
      <c r="E555" s="95"/>
      <c r="F555" s="74"/>
      <c r="G555" s="72"/>
      <c r="H555" s="95"/>
      <c r="I555" s="74"/>
      <c r="J555" s="74"/>
      <c r="K555" s="74"/>
      <c r="L555" s="74"/>
      <c r="M555" s="96"/>
      <c r="N555" s="74"/>
      <c r="O555" s="74"/>
      <c r="P555" s="74"/>
    </row>
    <row r="556" spans="1:16" ht="15.75" customHeight="1">
      <c r="A556" s="94"/>
      <c r="B556" s="72"/>
      <c r="C556" s="74"/>
      <c r="D556" s="72"/>
      <c r="E556" s="95"/>
      <c r="F556" s="74"/>
      <c r="G556" s="72"/>
      <c r="H556" s="95"/>
      <c r="I556" s="74"/>
      <c r="J556" s="74"/>
      <c r="K556" s="74"/>
      <c r="L556" s="74"/>
      <c r="M556" s="96"/>
      <c r="N556" s="74"/>
      <c r="O556" s="74"/>
      <c r="P556" s="74"/>
    </row>
    <row r="557" spans="1:16" ht="15.75" customHeight="1">
      <c r="A557" s="94"/>
      <c r="B557" s="72"/>
      <c r="C557" s="74"/>
      <c r="D557" s="72"/>
      <c r="E557" s="95"/>
      <c r="F557" s="74"/>
      <c r="G557" s="72"/>
      <c r="H557" s="95"/>
      <c r="I557" s="74"/>
      <c r="J557" s="74"/>
      <c r="K557" s="74"/>
      <c r="L557" s="74"/>
      <c r="M557" s="96"/>
      <c r="N557" s="74"/>
      <c r="O557" s="74"/>
      <c r="P557" s="74"/>
    </row>
    <row r="558" spans="1:16" ht="15.75" customHeight="1">
      <c r="A558" s="94"/>
      <c r="B558" s="72"/>
      <c r="C558" s="74"/>
      <c r="D558" s="72"/>
      <c r="E558" s="95"/>
      <c r="F558" s="74"/>
      <c r="G558" s="72"/>
      <c r="H558" s="95"/>
      <c r="I558" s="74"/>
      <c r="J558" s="74"/>
      <c r="K558" s="74"/>
      <c r="L558" s="74"/>
      <c r="M558" s="96"/>
      <c r="N558" s="74"/>
      <c r="O558" s="74"/>
      <c r="P558" s="74"/>
    </row>
    <row r="559" spans="1:16" ht="15.75" customHeight="1">
      <c r="A559" s="94"/>
      <c r="B559" s="72"/>
      <c r="C559" s="74"/>
      <c r="D559" s="72"/>
      <c r="E559" s="95"/>
      <c r="F559" s="74"/>
      <c r="G559" s="72"/>
      <c r="H559" s="95"/>
      <c r="I559" s="74"/>
      <c r="J559" s="74"/>
      <c r="K559" s="74"/>
      <c r="L559" s="74"/>
      <c r="M559" s="96"/>
      <c r="N559" s="74"/>
      <c r="O559" s="74"/>
      <c r="P559" s="74"/>
    </row>
    <row r="560" spans="1:16" ht="15.75" customHeight="1">
      <c r="A560" s="94"/>
      <c r="B560" s="72"/>
      <c r="C560" s="74"/>
      <c r="D560" s="72"/>
      <c r="E560" s="95"/>
      <c r="F560" s="74"/>
      <c r="G560" s="72"/>
      <c r="H560" s="95"/>
      <c r="I560" s="74"/>
      <c r="J560" s="74"/>
      <c r="K560" s="74"/>
      <c r="L560" s="74"/>
      <c r="M560" s="96"/>
      <c r="N560" s="74"/>
      <c r="O560" s="74"/>
      <c r="P560" s="74"/>
    </row>
    <row r="561" spans="1:16" ht="15.75" customHeight="1">
      <c r="A561" s="94"/>
      <c r="B561" s="72"/>
      <c r="C561" s="74"/>
      <c r="D561" s="72"/>
      <c r="E561" s="95"/>
      <c r="F561" s="74"/>
      <c r="G561" s="72"/>
      <c r="H561" s="95"/>
      <c r="I561" s="74"/>
      <c r="J561" s="74"/>
      <c r="K561" s="74"/>
      <c r="L561" s="74"/>
      <c r="M561" s="96"/>
      <c r="N561" s="74"/>
      <c r="O561" s="74"/>
      <c r="P561" s="74"/>
    </row>
    <row r="562" spans="1:16" ht="15.75" customHeight="1">
      <c r="A562" s="94"/>
      <c r="B562" s="72"/>
      <c r="C562" s="74"/>
      <c r="D562" s="72"/>
      <c r="E562" s="95"/>
      <c r="F562" s="74"/>
      <c r="G562" s="72"/>
      <c r="H562" s="95"/>
      <c r="I562" s="74"/>
      <c r="J562" s="74"/>
      <c r="K562" s="74"/>
      <c r="L562" s="74"/>
      <c r="M562" s="96"/>
      <c r="N562" s="74"/>
      <c r="O562" s="74"/>
      <c r="P562" s="74"/>
    </row>
    <row r="563" spans="1:16" ht="15.75" customHeight="1">
      <c r="A563" s="94"/>
      <c r="B563" s="72"/>
      <c r="C563" s="74"/>
      <c r="D563" s="72"/>
      <c r="E563" s="95"/>
      <c r="F563" s="74"/>
      <c r="G563" s="72"/>
      <c r="H563" s="95"/>
      <c r="I563" s="74"/>
      <c r="J563" s="74"/>
      <c r="K563" s="74"/>
      <c r="L563" s="74"/>
      <c r="M563" s="96"/>
      <c r="N563" s="74"/>
      <c r="O563" s="74"/>
      <c r="P563" s="74"/>
    </row>
    <row r="564" spans="1:16" ht="15.75" customHeight="1">
      <c r="A564" s="94"/>
      <c r="B564" s="72"/>
      <c r="C564" s="74"/>
      <c r="D564" s="72"/>
      <c r="E564" s="95"/>
      <c r="F564" s="74"/>
      <c r="G564" s="72"/>
      <c r="H564" s="95"/>
      <c r="I564" s="74"/>
      <c r="J564" s="74"/>
      <c r="K564" s="74"/>
      <c r="L564" s="74"/>
      <c r="M564" s="96"/>
      <c r="N564" s="74"/>
      <c r="O564" s="74"/>
      <c r="P564" s="74"/>
    </row>
    <row r="565" spans="1:16" ht="15.75" customHeight="1">
      <c r="A565" s="94"/>
      <c r="B565" s="72"/>
      <c r="C565" s="74"/>
      <c r="D565" s="72"/>
      <c r="E565" s="95"/>
      <c r="F565" s="74"/>
      <c r="G565" s="72"/>
      <c r="H565" s="95"/>
      <c r="I565" s="74"/>
      <c r="J565" s="74"/>
      <c r="K565" s="74"/>
      <c r="L565" s="74"/>
      <c r="M565" s="96"/>
      <c r="N565" s="74"/>
      <c r="O565" s="74"/>
      <c r="P565" s="74"/>
    </row>
    <row r="566" spans="1:16" ht="15.75" customHeight="1">
      <c r="A566" s="94"/>
      <c r="B566" s="72"/>
      <c r="C566" s="74"/>
      <c r="D566" s="72"/>
      <c r="E566" s="95"/>
      <c r="F566" s="74"/>
      <c r="G566" s="72"/>
      <c r="H566" s="95"/>
      <c r="I566" s="74"/>
      <c r="J566" s="74"/>
      <c r="K566" s="74"/>
      <c r="L566" s="74"/>
      <c r="M566" s="96"/>
      <c r="N566" s="74"/>
      <c r="O566" s="74"/>
      <c r="P566" s="74"/>
    </row>
    <row r="567" spans="1:16" ht="15.75" customHeight="1">
      <c r="A567" s="94"/>
      <c r="B567" s="72"/>
      <c r="C567" s="74"/>
      <c r="D567" s="72"/>
      <c r="E567" s="95"/>
      <c r="F567" s="74"/>
      <c r="G567" s="72"/>
      <c r="H567" s="95"/>
      <c r="I567" s="74"/>
      <c r="J567" s="74"/>
      <c r="K567" s="74"/>
      <c r="L567" s="74"/>
      <c r="M567" s="96"/>
      <c r="N567" s="74"/>
      <c r="O567" s="74"/>
      <c r="P567" s="74"/>
    </row>
    <row r="568" spans="1:16" ht="15.75" customHeight="1">
      <c r="A568" s="94"/>
      <c r="B568" s="72"/>
      <c r="C568" s="74"/>
      <c r="D568" s="72"/>
      <c r="E568" s="95"/>
      <c r="F568" s="74"/>
      <c r="G568" s="72"/>
      <c r="H568" s="95"/>
      <c r="I568" s="74"/>
      <c r="J568" s="74"/>
      <c r="K568" s="74"/>
      <c r="L568" s="74"/>
      <c r="M568" s="96"/>
      <c r="N568" s="74"/>
      <c r="O568" s="74"/>
      <c r="P568" s="74"/>
    </row>
    <row r="569" spans="1:16" ht="15.75" customHeight="1">
      <c r="A569" s="94"/>
      <c r="B569" s="72"/>
      <c r="C569" s="74"/>
      <c r="D569" s="72"/>
      <c r="E569" s="95"/>
      <c r="F569" s="74"/>
      <c r="G569" s="72"/>
      <c r="H569" s="95"/>
      <c r="I569" s="74"/>
      <c r="J569" s="74"/>
      <c r="K569" s="74"/>
      <c r="L569" s="74"/>
      <c r="M569" s="96"/>
      <c r="N569" s="74"/>
      <c r="O569" s="74"/>
      <c r="P569" s="74"/>
    </row>
    <row r="570" spans="1:16" ht="15.75" customHeight="1">
      <c r="A570" s="94"/>
      <c r="B570" s="72"/>
      <c r="C570" s="74"/>
      <c r="D570" s="72"/>
      <c r="E570" s="95"/>
      <c r="F570" s="74"/>
      <c r="G570" s="72"/>
      <c r="H570" s="95"/>
      <c r="I570" s="74"/>
      <c r="J570" s="74"/>
      <c r="K570" s="74"/>
      <c r="L570" s="74"/>
      <c r="M570" s="96"/>
      <c r="N570" s="74"/>
      <c r="O570" s="74"/>
      <c r="P570" s="74"/>
    </row>
    <row r="571" spans="1:16" ht="15.75" customHeight="1">
      <c r="A571" s="94"/>
      <c r="B571" s="72"/>
      <c r="C571" s="74"/>
      <c r="D571" s="72"/>
      <c r="E571" s="95"/>
      <c r="F571" s="74"/>
      <c r="G571" s="72"/>
      <c r="H571" s="95"/>
      <c r="I571" s="74"/>
      <c r="J571" s="74"/>
      <c r="K571" s="74"/>
      <c r="L571" s="74"/>
      <c r="M571" s="96"/>
      <c r="N571" s="74"/>
      <c r="O571" s="74"/>
      <c r="P571" s="74"/>
    </row>
    <row r="572" spans="1:16" ht="15.75" customHeight="1">
      <c r="A572" s="94"/>
      <c r="B572" s="72"/>
      <c r="C572" s="74"/>
      <c r="D572" s="72"/>
      <c r="E572" s="95"/>
      <c r="F572" s="74"/>
      <c r="G572" s="72"/>
      <c r="H572" s="95"/>
      <c r="I572" s="74"/>
      <c r="J572" s="74"/>
      <c r="K572" s="74"/>
      <c r="L572" s="74"/>
      <c r="M572" s="96"/>
      <c r="N572" s="74"/>
      <c r="O572" s="74"/>
      <c r="P572" s="74"/>
    </row>
    <row r="573" spans="1:16" ht="15.75" customHeight="1">
      <c r="A573" s="94"/>
      <c r="B573" s="72"/>
      <c r="C573" s="74"/>
      <c r="D573" s="72"/>
      <c r="E573" s="95"/>
      <c r="F573" s="74"/>
      <c r="G573" s="72"/>
      <c r="H573" s="95"/>
      <c r="I573" s="74"/>
      <c r="J573" s="74"/>
      <c r="K573" s="74"/>
      <c r="L573" s="74"/>
      <c r="M573" s="96"/>
      <c r="N573" s="74"/>
      <c r="O573" s="74"/>
      <c r="P573" s="74"/>
    </row>
    <row r="574" spans="1:16" ht="15.75" customHeight="1">
      <c r="A574" s="94"/>
      <c r="B574" s="72"/>
      <c r="C574" s="74"/>
      <c r="D574" s="72"/>
      <c r="E574" s="95"/>
      <c r="F574" s="74"/>
      <c r="G574" s="72"/>
      <c r="H574" s="95"/>
      <c r="I574" s="74"/>
      <c r="J574" s="74"/>
      <c r="K574" s="74"/>
      <c r="L574" s="74"/>
      <c r="M574" s="96"/>
      <c r="N574" s="74"/>
      <c r="O574" s="74"/>
      <c r="P574" s="74"/>
    </row>
    <row r="575" spans="1:16" ht="15.75" customHeight="1">
      <c r="A575" s="94"/>
      <c r="B575" s="72"/>
      <c r="C575" s="74"/>
      <c r="D575" s="72"/>
      <c r="E575" s="95"/>
      <c r="F575" s="74"/>
      <c r="G575" s="72"/>
      <c r="H575" s="95"/>
      <c r="I575" s="74"/>
      <c r="J575" s="74"/>
      <c r="K575" s="74"/>
      <c r="L575" s="74"/>
      <c r="M575" s="96"/>
      <c r="N575" s="74"/>
      <c r="O575" s="74"/>
      <c r="P575" s="74"/>
    </row>
    <row r="576" spans="1:16" ht="15.75" customHeight="1">
      <c r="A576" s="94"/>
      <c r="B576" s="72"/>
      <c r="C576" s="74"/>
      <c r="D576" s="72"/>
      <c r="E576" s="95"/>
      <c r="F576" s="74"/>
      <c r="G576" s="72"/>
      <c r="H576" s="95"/>
      <c r="I576" s="74"/>
      <c r="J576" s="74"/>
      <c r="K576" s="74"/>
      <c r="L576" s="74"/>
      <c r="M576" s="96"/>
      <c r="N576" s="74"/>
      <c r="O576" s="74"/>
      <c r="P576" s="74"/>
    </row>
    <row r="577" spans="1:16" ht="15.75" customHeight="1">
      <c r="A577" s="94"/>
      <c r="B577" s="72"/>
      <c r="C577" s="74"/>
      <c r="D577" s="72"/>
      <c r="E577" s="95"/>
      <c r="F577" s="74"/>
      <c r="G577" s="72"/>
      <c r="H577" s="95"/>
      <c r="I577" s="74"/>
      <c r="J577" s="74"/>
      <c r="K577" s="74"/>
      <c r="L577" s="74"/>
      <c r="M577" s="96"/>
      <c r="N577" s="74"/>
      <c r="O577" s="74"/>
      <c r="P577" s="74"/>
    </row>
    <row r="578" spans="1:16" ht="15.75" customHeight="1">
      <c r="A578" s="94"/>
      <c r="B578" s="72"/>
      <c r="C578" s="74"/>
      <c r="D578" s="72"/>
      <c r="E578" s="95"/>
      <c r="F578" s="74"/>
      <c r="G578" s="72"/>
      <c r="H578" s="95"/>
      <c r="I578" s="74"/>
      <c r="J578" s="74"/>
      <c r="K578" s="74"/>
      <c r="L578" s="74"/>
      <c r="M578" s="96"/>
      <c r="N578" s="74"/>
      <c r="O578" s="74"/>
      <c r="P578" s="74"/>
    </row>
    <row r="579" spans="1:16" ht="15.75" customHeight="1">
      <c r="A579" s="94"/>
      <c r="B579" s="72"/>
      <c r="C579" s="74"/>
      <c r="D579" s="72"/>
      <c r="E579" s="95"/>
      <c r="F579" s="74"/>
      <c r="G579" s="72"/>
      <c r="H579" s="95"/>
      <c r="I579" s="74"/>
      <c r="J579" s="74"/>
      <c r="K579" s="74"/>
      <c r="L579" s="74"/>
      <c r="M579" s="96"/>
      <c r="N579" s="74"/>
      <c r="O579" s="74"/>
      <c r="P579" s="74"/>
    </row>
    <row r="580" spans="1:16" ht="15.75" customHeight="1">
      <c r="A580" s="94"/>
      <c r="B580" s="72"/>
      <c r="C580" s="74"/>
      <c r="D580" s="72"/>
      <c r="E580" s="95"/>
      <c r="F580" s="74"/>
      <c r="G580" s="72"/>
      <c r="H580" s="95"/>
      <c r="I580" s="74"/>
      <c r="J580" s="74"/>
      <c r="K580" s="74"/>
      <c r="L580" s="74"/>
      <c r="M580" s="96"/>
      <c r="N580" s="74"/>
      <c r="O580" s="74"/>
      <c r="P580" s="74"/>
    </row>
    <row r="581" spans="1:16" ht="15.75" customHeight="1">
      <c r="A581" s="94"/>
      <c r="B581" s="72"/>
      <c r="C581" s="74"/>
      <c r="D581" s="72"/>
      <c r="E581" s="95"/>
      <c r="F581" s="74"/>
      <c r="G581" s="72"/>
      <c r="H581" s="95"/>
      <c r="I581" s="74"/>
      <c r="J581" s="74"/>
      <c r="K581" s="74"/>
      <c r="L581" s="74"/>
      <c r="M581" s="96"/>
      <c r="N581" s="74"/>
      <c r="O581" s="74"/>
      <c r="P581" s="74"/>
    </row>
    <row r="582" spans="1:16" ht="15.75" customHeight="1">
      <c r="A582" s="94"/>
      <c r="B582" s="72"/>
      <c r="C582" s="74"/>
      <c r="D582" s="72"/>
      <c r="E582" s="95"/>
      <c r="F582" s="74"/>
      <c r="G582" s="72"/>
      <c r="H582" s="95"/>
      <c r="I582" s="74"/>
      <c r="J582" s="74"/>
      <c r="K582" s="74"/>
      <c r="L582" s="74"/>
      <c r="M582" s="96"/>
      <c r="N582" s="74"/>
      <c r="O582" s="74"/>
      <c r="P582" s="74"/>
    </row>
    <row r="583" spans="1:16" ht="15.75" customHeight="1">
      <c r="A583" s="94"/>
      <c r="B583" s="72"/>
      <c r="C583" s="74"/>
      <c r="D583" s="72"/>
      <c r="E583" s="95"/>
      <c r="F583" s="74"/>
      <c r="G583" s="72"/>
      <c r="H583" s="95"/>
      <c r="I583" s="74"/>
      <c r="J583" s="74"/>
      <c r="K583" s="74"/>
      <c r="L583" s="74"/>
      <c r="M583" s="96"/>
      <c r="N583" s="74"/>
      <c r="O583" s="74"/>
      <c r="P583" s="74"/>
    </row>
    <row r="584" spans="1:16" ht="15.75" customHeight="1">
      <c r="A584" s="94"/>
      <c r="B584" s="72"/>
      <c r="C584" s="74"/>
      <c r="D584" s="72"/>
      <c r="E584" s="95"/>
      <c r="F584" s="74"/>
      <c r="G584" s="72"/>
      <c r="H584" s="95"/>
      <c r="I584" s="74"/>
      <c r="J584" s="74"/>
      <c r="K584" s="74"/>
      <c r="L584" s="74"/>
      <c r="M584" s="96"/>
      <c r="N584" s="74"/>
      <c r="O584" s="74"/>
      <c r="P584" s="74"/>
    </row>
    <row r="585" spans="1:16" ht="15.75" customHeight="1">
      <c r="A585" s="94"/>
      <c r="B585" s="72"/>
      <c r="C585" s="74"/>
      <c r="D585" s="72"/>
      <c r="E585" s="95"/>
      <c r="F585" s="74"/>
      <c r="G585" s="72"/>
      <c r="H585" s="95"/>
      <c r="I585" s="74"/>
      <c r="J585" s="74"/>
      <c r="K585" s="74"/>
      <c r="L585" s="74"/>
      <c r="M585" s="96"/>
      <c r="N585" s="74"/>
      <c r="O585" s="74"/>
      <c r="P585" s="74"/>
    </row>
    <row r="586" spans="1:16" ht="15.75" customHeight="1">
      <c r="A586" s="94"/>
      <c r="B586" s="72"/>
      <c r="C586" s="74"/>
      <c r="D586" s="72"/>
      <c r="E586" s="95"/>
      <c r="F586" s="74"/>
      <c r="G586" s="72"/>
      <c r="H586" s="95"/>
      <c r="I586" s="74"/>
      <c r="J586" s="74"/>
      <c r="K586" s="74"/>
      <c r="L586" s="74"/>
      <c r="M586" s="96"/>
      <c r="N586" s="74"/>
      <c r="O586" s="74"/>
      <c r="P586" s="74"/>
    </row>
    <row r="587" spans="1:16" ht="15.75" customHeight="1">
      <c r="A587" s="94"/>
      <c r="B587" s="72"/>
      <c r="C587" s="74"/>
      <c r="D587" s="72"/>
      <c r="E587" s="95"/>
      <c r="F587" s="74"/>
      <c r="G587" s="72"/>
      <c r="H587" s="95"/>
      <c r="I587" s="74"/>
      <c r="J587" s="74"/>
      <c r="K587" s="74"/>
      <c r="L587" s="74"/>
      <c r="M587" s="96"/>
      <c r="N587" s="74"/>
      <c r="O587" s="74"/>
      <c r="P587" s="74"/>
    </row>
    <row r="588" spans="1:16" ht="15.75" customHeight="1">
      <c r="A588" s="94"/>
      <c r="B588" s="72"/>
      <c r="C588" s="74"/>
      <c r="D588" s="72"/>
      <c r="E588" s="95"/>
      <c r="F588" s="74"/>
      <c r="G588" s="72"/>
      <c r="H588" s="95"/>
      <c r="I588" s="74"/>
      <c r="J588" s="74"/>
      <c r="K588" s="74"/>
      <c r="L588" s="74"/>
      <c r="M588" s="96"/>
      <c r="N588" s="74"/>
      <c r="O588" s="74"/>
      <c r="P588" s="74"/>
    </row>
    <row r="589" spans="1:16" ht="15.75" customHeight="1">
      <c r="A589" s="94"/>
      <c r="B589" s="72"/>
      <c r="C589" s="74"/>
      <c r="D589" s="72"/>
      <c r="E589" s="95"/>
      <c r="F589" s="74"/>
      <c r="G589" s="72"/>
      <c r="H589" s="95"/>
      <c r="I589" s="74"/>
      <c r="J589" s="74"/>
      <c r="K589" s="74"/>
      <c r="L589" s="74"/>
      <c r="M589" s="96"/>
      <c r="N589" s="74"/>
      <c r="O589" s="74"/>
      <c r="P589" s="74"/>
    </row>
    <row r="590" spans="1:16" ht="15.75" customHeight="1">
      <c r="A590" s="94"/>
      <c r="B590" s="72"/>
      <c r="C590" s="74"/>
      <c r="D590" s="72"/>
      <c r="E590" s="95"/>
      <c r="F590" s="74"/>
      <c r="G590" s="72"/>
      <c r="H590" s="95"/>
      <c r="I590" s="74"/>
      <c r="J590" s="74"/>
      <c r="K590" s="74"/>
      <c r="L590" s="74"/>
      <c r="M590" s="96"/>
      <c r="N590" s="74"/>
      <c r="O590" s="74"/>
      <c r="P590" s="74"/>
    </row>
    <row r="591" spans="1:16" ht="15.75" customHeight="1">
      <c r="A591" s="94"/>
      <c r="B591" s="72"/>
      <c r="C591" s="74"/>
      <c r="D591" s="72"/>
      <c r="E591" s="95"/>
      <c r="F591" s="74"/>
      <c r="G591" s="72"/>
      <c r="H591" s="95"/>
      <c r="I591" s="74"/>
      <c r="J591" s="74"/>
      <c r="K591" s="74"/>
      <c r="L591" s="74"/>
      <c r="M591" s="96"/>
      <c r="N591" s="74"/>
      <c r="O591" s="74"/>
      <c r="P591" s="74"/>
    </row>
    <row r="592" spans="1:16" ht="15.75" customHeight="1">
      <c r="A592" s="94"/>
      <c r="B592" s="72"/>
      <c r="C592" s="74"/>
      <c r="D592" s="72"/>
      <c r="E592" s="95"/>
      <c r="F592" s="74"/>
      <c r="G592" s="72"/>
      <c r="H592" s="95"/>
      <c r="I592" s="74"/>
      <c r="J592" s="74"/>
      <c r="K592" s="74"/>
      <c r="L592" s="74"/>
      <c r="M592" s="96"/>
      <c r="N592" s="74"/>
      <c r="O592" s="74"/>
      <c r="P592" s="74"/>
    </row>
    <row r="593" spans="1:16" ht="15.75" customHeight="1">
      <c r="A593" s="94"/>
      <c r="B593" s="72"/>
      <c r="C593" s="74"/>
      <c r="D593" s="72"/>
      <c r="E593" s="95"/>
      <c r="F593" s="74"/>
      <c r="G593" s="72"/>
      <c r="H593" s="95"/>
      <c r="I593" s="74"/>
      <c r="J593" s="74"/>
      <c r="K593" s="74"/>
      <c r="L593" s="74"/>
      <c r="M593" s="96"/>
      <c r="N593" s="74"/>
      <c r="O593" s="74"/>
      <c r="P593" s="74"/>
    </row>
    <row r="594" spans="1:16" ht="15.75" customHeight="1">
      <c r="A594" s="94"/>
      <c r="B594" s="72"/>
      <c r="C594" s="74"/>
      <c r="D594" s="72"/>
      <c r="E594" s="95"/>
      <c r="F594" s="74"/>
      <c r="G594" s="72"/>
      <c r="H594" s="95"/>
      <c r="I594" s="74"/>
      <c r="J594" s="74"/>
      <c r="K594" s="74"/>
      <c r="L594" s="74"/>
      <c r="M594" s="96"/>
      <c r="N594" s="74"/>
      <c r="O594" s="74"/>
      <c r="P594" s="74"/>
    </row>
    <row r="595" spans="1:16" ht="15.75" customHeight="1">
      <c r="A595" s="94"/>
      <c r="B595" s="72"/>
      <c r="C595" s="74"/>
      <c r="D595" s="72"/>
      <c r="E595" s="95"/>
      <c r="F595" s="74"/>
      <c r="G595" s="72"/>
      <c r="H595" s="95"/>
      <c r="I595" s="74"/>
      <c r="J595" s="74"/>
      <c r="K595" s="74"/>
      <c r="L595" s="74"/>
      <c r="M595" s="96"/>
      <c r="N595" s="74"/>
      <c r="O595" s="74"/>
      <c r="P595" s="74"/>
    </row>
    <row r="596" spans="1:16" ht="15.75" customHeight="1">
      <c r="A596" s="94"/>
      <c r="B596" s="72"/>
      <c r="C596" s="74"/>
      <c r="D596" s="72"/>
      <c r="E596" s="95"/>
      <c r="F596" s="74"/>
      <c r="G596" s="72"/>
      <c r="H596" s="95"/>
      <c r="I596" s="74"/>
      <c r="J596" s="74"/>
      <c r="K596" s="74"/>
      <c r="L596" s="74"/>
      <c r="M596" s="96"/>
      <c r="N596" s="74"/>
      <c r="O596" s="74"/>
      <c r="P596" s="74"/>
    </row>
    <row r="597" spans="1:16" ht="15.75" customHeight="1">
      <c r="A597" s="94"/>
      <c r="B597" s="72"/>
      <c r="C597" s="74"/>
      <c r="D597" s="72"/>
      <c r="E597" s="95"/>
      <c r="F597" s="74"/>
      <c r="G597" s="72"/>
      <c r="H597" s="95"/>
      <c r="I597" s="74"/>
      <c r="J597" s="74"/>
      <c r="K597" s="74"/>
      <c r="L597" s="74"/>
      <c r="M597" s="96"/>
      <c r="N597" s="74"/>
      <c r="O597" s="74"/>
      <c r="P597" s="74"/>
    </row>
    <row r="598" spans="1:16" ht="15.75" customHeight="1">
      <c r="A598" s="94"/>
      <c r="B598" s="72"/>
      <c r="C598" s="74"/>
      <c r="D598" s="72"/>
      <c r="E598" s="95"/>
      <c r="F598" s="74"/>
      <c r="G598" s="72"/>
      <c r="H598" s="95"/>
      <c r="I598" s="74"/>
      <c r="J598" s="74"/>
      <c r="K598" s="74"/>
      <c r="L598" s="74"/>
      <c r="M598" s="96"/>
      <c r="N598" s="74"/>
      <c r="O598" s="74"/>
      <c r="P598" s="74"/>
    </row>
    <row r="599" spans="1:16" ht="15.75" customHeight="1">
      <c r="A599" s="94"/>
      <c r="B599" s="72"/>
      <c r="C599" s="74"/>
      <c r="D599" s="72"/>
      <c r="E599" s="95"/>
      <c r="F599" s="74"/>
      <c r="G599" s="72"/>
      <c r="H599" s="95"/>
      <c r="I599" s="74"/>
      <c r="J599" s="74"/>
      <c r="K599" s="74"/>
      <c r="L599" s="74"/>
      <c r="M599" s="96"/>
      <c r="N599" s="74"/>
      <c r="O599" s="74"/>
      <c r="P599" s="74"/>
    </row>
    <row r="600" spans="1:16" ht="15.75" customHeight="1">
      <c r="A600" s="94"/>
      <c r="B600" s="72"/>
      <c r="C600" s="74"/>
      <c r="D600" s="72"/>
      <c r="E600" s="95"/>
      <c r="F600" s="74"/>
      <c r="G600" s="72"/>
      <c r="H600" s="95"/>
      <c r="I600" s="74"/>
      <c r="J600" s="74"/>
      <c r="K600" s="74"/>
      <c r="L600" s="74"/>
      <c r="M600" s="96"/>
      <c r="N600" s="74"/>
      <c r="O600" s="74"/>
      <c r="P600" s="74"/>
    </row>
    <row r="601" spans="1:16" ht="15.75" customHeight="1">
      <c r="A601" s="94"/>
      <c r="B601" s="72"/>
      <c r="C601" s="74"/>
      <c r="D601" s="72"/>
      <c r="E601" s="95"/>
      <c r="F601" s="74"/>
      <c r="G601" s="72"/>
      <c r="H601" s="95"/>
      <c r="I601" s="74"/>
      <c r="J601" s="74"/>
      <c r="K601" s="74"/>
      <c r="L601" s="74"/>
      <c r="M601" s="96"/>
      <c r="N601" s="74"/>
      <c r="O601" s="74"/>
      <c r="P601" s="74"/>
    </row>
    <row r="602" spans="1:16" ht="15.75" customHeight="1">
      <c r="A602" s="94"/>
      <c r="B602" s="72"/>
      <c r="C602" s="74"/>
      <c r="D602" s="72"/>
      <c r="E602" s="95"/>
      <c r="F602" s="74"/>
      <c r="G602" s="72"/>
      <c r="H602" s="95"/>
      <c r="I602" s="74"/>
      <c r="J602" s="74"/>
      <c r="K602" s="74"/>
      <c r="L602" s="74"/>
      <c r="M602" s="96"/>
      <c r="N602" s="74"/>
      <c r="O602" s="74"/>
      <c r="P602" s="74"/>
    </row>
    <row r="603" spans="1:16" ht="15.75" customHeight="1">
      <c r="A603" s="94"/>
      <c r="B603" s="72"/>
      <c r="C603" s="74"/>
      <c r="D603" s="72"/>
      <c r="E603" s="95"/>
      <c r="F603" s="74"/>
      <c r="G603" s="72"/>
      <c r="H603" s="95"/>
      <c r="I603" s="74"/>
      <c r="J603" s="74"/>
      <c r="K603" s="74"/>
      <c r="L603" s="74"/>
      <c r="M603" s="96"/>
      <c r="N603" s="74"/>
      <c r="O603" s="74"/>
      <c r="P603" s="74"/>
    </row>
    <row r="604" spans="1:16" ht="15.75" customHeight="1">
      <c r="A604" s="94"/>
      <c r="B604" s="72"/>
      <c r="C604" s="74"/>
      <c r="D604" s="72"/>
      <c r="E604" s="95"/>
      <c r="F604" s="74"/>
      <c r="G604" s="72"/>
      <c r="H604" s="95"/>
      <c r="I604" s="74"/>
      <c r="J604" s="74"/>
      <c r="K604" s="74"/>
      <c r="L604" s="74"/>
      <c r="M604" s="96"/>
      <c r="N604" s="74"/>
      <c r="O604" s="74"/>
      <c r="P604" s="74"/>
    </row>
    <row r="605" spans="1:16" ht="15.75" customHeight="1">
      <c r="A605" s="94"/>
      <c r="B605" s="72"/>
      <c r="C605" s="74"/>
      <c r="D605" s="72"/>
      <c r="E605" s="95"/>
      <c r="F605" s="74"/>
      <c r="G605" s="72"/>
      <c r="H605" s="95"/>
      <c r="I605" s="74"/>
      <c r="J605" s="74"/>
      <c r="K605" s="74"/>
      <c r="L605" s="74"/>
      <c r="M605" s="96"/>
      <c r="N605" s="74"/>
      <c r="O605" s="74"/>
      <c r="P605" s="74"/>
    </row>
    <row r="606" spans="1:16" ht="15.75" customHeight="1">
      <c r="A606" s="94"/>
      <c r="B606" s="72"/>
      <c r="C606" s="74"/>
      <c r="D606" s="72"/>
      <c r="E606" s="95"/>
      <c r="F606" s="74"/>
      <c r="G606" s="72"/>
      <c r="H606" s="95"/>
      <c r="I606" s="74"/>
      <c r="J606" s="74"/>
      <c r="K606" s="74"/>
      <c r="L606" s="74"/>
      <c r="M606" s="96"/>
      <c r="N606" s="74"/>
      <c r="O606" s="74"/>
      <c r="P606" s="74"/>
    </row>
    <row r="607" spans="1:16" ht="15.75" customHeight="1">
      <c r="A607" s="94"/>
      <c r="B607" s="72"/>
      <c r="C607" s="74"/>
      <c r="D607" s="72"/>
      <c r="E607" s="95"/>
      <c r="F607" s="74"/>
      <c r="G607" s="72"/>
      <c r="H607" s="95"/>
      <c r="I607" s="74"/>
      <c r="J607" s="74"/>
      <c r="K607" s="74"/>
      <c r="L607" s="74"/>
      <c r="M607" s="96"/>
      <c r="N607" s="74"/>
      <c r="O607" s="74"/>
      <c r="P607" s="74"/>
    </row>
    <row r="608" spans="1:16" ht="15.75" customHeight="1">
      <c r="A608" s="94"/>
      <c r="B608" s="72"/>
      <c r="C608" s="74"/>
      <c r="D608" s="72"/>
      <c r="E608" s="95"/>
      <c r="F608" s="74"/>
      <c r="G608" s="72"/>
      <c r="H608" s="95"/>
      <c r="I608" s="74"/>
      <c r="J608" s="74"/>
      <c r="K608" s="74"/>
      <c r="L608" s="74"/>
      <c r="M608" s="96"/>
      <c r="N608" s="74"/>
      <c r="O608" s="74"/>
      <c r="P608" s="74"/>
    </row>
    <row r="609" spans="1:16" ht="15.75" customHeight="1">
      <c r="A609" s="94"/>
      <c r="B609" s="72"/>
      <c r="C609" s="74"/>
      <c r="D609" s="72"/>
      <c r="E609" s="95"/>
      <c r="F609" s="74"/>
      <c r="G609" s="72"/>
      <c r="H609" s="95"/>
      <c r="I609" s="74"/>
      <c r="J609" s="74"/>
      <c r="K609" s="74"/>
      <c r="L609" s="74"/>
      <c r="M609" s="96"/>
      <c r="N609" s="74"/>
      <c r="O609" s="74"/>
      <c r="P609" s="74"/>
    </row>
    <row r="610" spans="1:16" ht="15.75" customHeight="1">
      <c r="A610" s="94"/>
      <c r="B610" s="72"/>
      <c r="C610" s="74"/>
      <c r="D610" s="72"/>
      <c r="E610" s="95"/>
      <c r="F610" s="74"/>
      <c r="G610" s="72"/>
      <c r="H610" s="95"/>
      <c r="I610" s="74"/>
      <c r="J610" s="74"/>
      <c r="K610" s="74"/>
      <c r="L610" s="74"/>
      <c r="M610" s="96"/>
      <c r="N610" s="74"/>
      <c r="O610" s="74"/>
      <c r="P610" s="74"/>
    </row>
    <row r="611" spans="1:16" ht="15.75" customHeight="1">
      <c r="A611" s="94"/>
      <c r="B611" s="72"/>
      <c r="C611" s="74"/>
      <c r="D611" s="72"/>
      <c r="E611" s="95"/>
      <c r="F611" s="74"/>
      <c r="G611" s="72"/>
      <c r="H611" s="95"/>
      <c r="I611" s="74"/>
      <c r="J611" s="74"/>
      <c r="K611" s="74"/>
      <c r="L611" s="74"/>
      <c r="M611" s="96"/>
      <c r="N611" s="74"/>
      <c r="O611" s="74"/>
      <c r="P611" s="74"/>
    </row>
    <row r="612" spans="1:16" ht="15.75" customHeight="1">
      <c r="A612" s="94"/>
      <c r="B612" s="72"/>
      <c r="C612" s="74"/>
      <c r="D612" s="72"/>
      <c r="E612" s="95"/>
      <c r="F612" s="74"/>
      <c r="G612" s="72"/>
      <c r="H612" s="95"/>
      <c r="I612" s="74"/>
      <c r="J612" s="74"/>
      <c r="K612" s="74"/>
      <c r="L612" s="74"/>
      <c r="M612" s="96"/>
      <c r="N612" s="74"/>
      <c r="O612" s="74"/>
      <c r="P612" s="74"/>
    </row>
    <row r="613" spans="1:16" ht="15.75" customHeight="1">
      <c r="A613" s="94"/>
      <c r="B613" s="72"/>
      <c r="C613" s="74"/>
      <c r="D613" s="72"/>
      <c r="E613" s="95"/>
      <c r="F613" s="74"/>
      <c r="G613" s="72"/>
      <c r="H613" s="95"/>
      <c r="I613" s="74"/>
      <c r="J613" s="74"/>
      <c r="K613" s="74"/>
      <c r="L613" s="74"/>
      <c r="M613" s="96"/>
      <c r="N613" s="74"/>
      <c r="O613" s="74"/>
      <c r="P613" s="74"/>
    </row>
    <row r="614" spans="1:16" ht="15.75" customHeight="1">
      <c r="A614" s="94"/>
      <c r="B614" s="72"/>
      <c r="C614" s="74"/>
      <c r="D614" s="72"/>
      <c r="E614" s="95"/>
      <c r="F614" s="74"/>
      <c r="G614" s="72"/>
      <c r="H614" s="95"/>
      <c r="I614" s="74"/>
      <c r="J614" s="74"/>
      <c r="K614" s="74"/>
      <c r="L614" s="74"/>
      <c r="M614" s="96"/>
      <c r="N614" s="74"/>
      <c r="O614" s="74"/>
      <c r="P614" s="74"/>
    </row>
    <row r="615" spans="1:16" ht="15.75" customHeight="1">
      <c r="A615" s="94"/>
      <c r="B615" s="72"/>
      <c r="C615" s="74"/>
      <c r="D615" s="72"/>
      <c r="E615" s="95"/>
      <c r="F615" s="74"/>
      <c r="G615" s="72"/>
      <c r="H615" s="95"/>
      <c r="I615" s="74"/>
      <c r="J615" s="74"/>
      <c r="K615" s="74"/>
      <c r="L615" s="74"/>
      <c r="M615" s="96"/>
      <c r="N615" s="74"/>
      <c r="O615" s="74"/>
      <c r="P615" s="74"/>
    </row>
    <row r="616" spans="1:16" ht="15.75" customHeight="1">
      <c r="A616" s="94"/>
      <c r="B616" s="72"/>
      <c r="C616" s="74"/>
      <c r="D616" s="72"/>
      <c r="E616" s="95"/>
      <c r="F616" s="74"/>
      <c r="G616" s="72"/>
      <c r="H616" s="95"/>
      <c r="I616" s="74"/>
      <c r="J616" s="74"/>
      <c r="K616" s="74"/>
      <c r="L616" s="74"/>
      <c r="M616" s="96"/>
      <c r="N616" s="74"/>
      <c r="O616" s="74"/>
      <c r="P616" s="74"/>
    </row>
    <row r="617" spans="1:16" ht="15.75" customHeight="1">
      <c r="A617" s="94"/>
      <c r="B617" s="72"/>
      <c r="C617" s="74"/>
      <c r="D617" s="72"/>
      <c r="E617" s="95"/>
      <c r="F617" s="74"/>
      <c r="G617" s="72"/>
      <c r="H617" s="95"/>
      <c r="I617" s="74"/>
      <c r="J617" s="74"/>
      <c r="K617" s="74"/>
      <c r="L617" s="74"/>
      <c r="M617" s="96"/>
      <c r="N617" s="74"/>
      <c r="O617" s="74"/>
      <c r="P617" s="74"/>
    </row>
    <row r="618" spans="1:16" ht="15.75" customHeight="1">
      <c r="A618" s="94"/>
      <c r="B618" s="72"/>
      <c r="C618" s="74"/>
      <c r="D618" s="72"/>
      <c r="E618" s="95"/>
      <c r="F618" s="74"/>
      <c r="G618" s="72"/>
      <c r="H618" s="95"/>
      <c r="I618" s="74"/>
      <c r="J618" s="74"/>
      <c r="K618" s="74"/>
      <c r="L618" s="74"/>
      <c r="M618" s="96"/>
      <c r="N618" s="74"/>
      <c r="O618" s="74"/>
      <c r="P618" s="74"/>
    </row>
    <row r="619" spans="1:16" ht="15.75" customHeight="1">
      <c r="A619" s="94"/>
      <c r="B619" s="72"/>
      <c r="C619" s="74"/>
      <c r="D619" s="72"/>
      <c r="E619" s="95"/>
      <c r="F619" s="74"/>
      <c r="G619" s="72"/>
      <c r="H619" s="95"/>
      <c r="I619" s="74"/>
      <c r="J619" s="74"/>
      <c r="K619" s="74"/>
      <c r="L619" s="74"/>
      <c r="M619" s="96"/>
      <c r="N619" s="74"/>
      <c r="O619" s="74"/>
      <c r="P619" s="74"/>
    </row>
    <row r="620" spans="1:16" ht="15.75" customHeight="1">
      <c r="A620" s="94"/>
      <c r="B620" s="72"/>
      <c r="C620" s="74"/>
      <c r="D620" s="72"/>
      <c r="E620" s="95"/>
      <c r="F620" s="74"/>
      <c r="G620" s="72"/>
      <c r="H620" s="95"/>
      <c r="I620" s="74"/>
      <c r="J620" s="74"/>
      <c r="K620" s="74"/>
      <c r="L620" s="74"/>
      <c r="M620" s="96"/>
      <c r="N620" s="74"/>
      <c r="O620" s="74"/>
      <c r="P620" s="74"/>
    </row>
    <row r="621" spans="1:16" ht="15.75" customHeight="1">
      <c r="A621" s="94"/>
      <c r="B621" s="72"/>
      <c r="C621" s="74"/>
      <c r="D621" s="72"/>
      <c r="E621" s="95"/>
      <c r="F621" s="74"/>
      <c r="G621" s="72"/>
      <c r="H621" s="95"/>
      <c r="I621" s="74"/>
      <c r="J621" s="74"/>
      <c r="K621" s="74"/>
      <c r="L621" s="74"/>
      <c r="M621" s="96"/>
      <c r="N621" s="74"/>
      <c r="O621" s="74"/>
      <c r="P621" s="74"/>
    </row>
    <row r="622" spans="1:16" ht="15.75" customHeight="1">
      <c r="A622" s="94"/>
      <c r="B622" s="72"/>
      <c r="C622" s="74"/>
      <c r="D622" s="72"/>
      <c r="E622" s="95"/>
      <c r="F622" s="74"/>
      <c r="G622" s="72"/>
      <c r="H622" s="95"/>
      <c r="I622" s="74"/>
      <c r="J622" s="74"/>
      <c r="K622" s="74"/>
      <c r="L622" s="74"/>
      <c r="M622" s="96"/>
      <c r="N622" s="74"/>
      <c r="O622" s="74"/>
      <c r="P622" s="74"/>
    </row>
    <row r="623" spans="1:16" ht="15.75" customHeight="1">
      <c r="A623" s="94"/>
      <c r="B623" s="72"/>
      <c r="C623" s="74"/>
      <c r="D623" s="72"/>
      <c r="E623" s="95"/>
      <c r="F623" s="74"/>
      <c r="G623" s="72"/>
      <c r="H623" s="95"/>
      <c r="I623" s="74"/>
      <c r="J623" s="74"/>
      <c r="K623" s="74"/>
      <c r="L623" s="74"/>
      <c r="M623" s="96"/>
      <c r="N623" s="74"/>
      <c r="O623" s="74"/>
      <c r="P623" s="74"/>
    </row>
    <row r="624" spans="1:16" ht="15.75" customHeight="1">
      <c r="A624" s="94"/>
      <c r="B624" s="72"/>
      <c r="C624" s="74"/>
      <c r="D624" s="72"/>
      <c r="E624" s="95"/>
      <c r="F624" s="74"/>
      <c r="G624" s="72"/>
      <c r="H624" s="95"/>
      <c r="I624" s="74"/>
      <c r="J624" s="74"/>
      <c r="K624" s="74"/>
      <c r="L624" s="74"/>
      <c r="M624" s="96"/>
      <c r="N624" s="74"/>
      <c r="O624" s="74"/>
      <c r="P624" s="74"/>
    </row>
    <row r="625" spans="1:16" ht="15.75" customHeight="1">
      <c r="A625" s="94"/>
      <c r="B625" s="72"/>
      <c r="C625" s="74"/>
      <c r="D625" s="72"/>
      <c r="E625" s="95"/>
      <c r="F625" s="74"/>
      <c r="G625" s="72"/>
      <c r="H625" s="95"/>
      <c r="I625" s="74"/>
      <c r="J625" s="74"/>
      <c r="K625" s="74"/>
      <c r="L625" s="74"/>
      <c r="M625" s="96"/>
      <c r="N625" s="74"/>
      <c r="O625" s="74"/>
      <c r="P625" s="74"/>
    </row>
    <row r="626" spans="1:16" ht="15.75" customHeight="1">
      <c r="A626" s="94"/>
      <c r="B626" s="72"/>
      <c r="C626" s="74"/>
      <c r="D626" s="72"/>
      <c r="E626" s="95"/>
      <c r="F626" s="74"/>
      <c r="G626" s="72"/>
      <c r="H626" s="95"/>
      <c r="I626" s="74"/>
      <c r="J626" s="74"/>
      <c r="K626" s="74"/>
      <c r="L626" s="74"/>
      <c r="M626" s="96"/>
      <c r="N626" s="74"/>
      <c r="O626" s="74"/>
      <c r="P626" s="74"/>
    </row>
    <row r="627" spans="1:16" ht="15.75" customHeight="1">
      <c r="A627" s="94"/>
      <c r="B627" s="72"/>
      <c r="C627" s="74"/>
      <c r="D627" s="72"/>
      <c r="E627" s="95"/>
      <c r="F627" s="74"/>
      <c r="G627" s="72"/>
      <c r="H627" s="95"/>
      <c r="I627" s="74"/>
      <c r="J627" s="74"/>
      <c r="K627" s="74"/>
      <c r="L627" s="74"/>
      <c r="M627" s="96"/>
      <c r="N627" s="74"/>
      <c r="O627" s="74"/>
      <c r="P627" s="74"/>
    </row>
    <row r="628" spans="1:16" ht="15.75" customHeight="1">
      <c r="A628" s="94"/>
      <c r="B628" s="72"/>
      <c r="C628" s="74"/>
      <c r="D628" s="72"/>
      <c r="E628" s="95"/>
      <c r="F628" s="74"/>
      <c r="G628" s="72"/>
      <c r="H628" s="95"/>
      <c r="I628" s="74"/>
      <c r="J628" s="74"/>
      <c r="K628" s="74"/>
      <c r="L628" s="74"/>
      <c r="M628" s="96"/>
      <c r="N628" s="74"/>
      <c r="O628" s="74"/>
      <c r="P628" s="74"/>
    </row>
    <row r="629" spans="1:16" ht="15.75" customHeight="1">
      <c r="A629" s="94"/>
      <c r="B629" s="72"/>
      <c r="C629" s="74"/>
      <c r="D629" s="72"/>
      <c r="E629" s="95"/>
      <c r="F629" s="74"/>
      <c r="G629" s="72"/>
      <c r="H629" s="95"/>
      <c r="I629" s="74"/>
      <c r="J629" s="74"/>
      <c r="K629" s="74"/>
      <c r="L629" s="74"/>
      <c r="M629" s="96"/>
      <c r="N629" s="74"/>
      <c r="O629" s="74"/>
      <c r="P629" s="74"/>
    </row>
    <row r="630" spans="1:16" ht="15.75" customHeight="1">
      <c r="A630" s="94"/>
      <c r="B630" s="72"/>
      <c r="C630" s="74"/>
      <c r="D630" s="72"/>
      <c r="E630" s="95"/>
      <c r="F630" s="74"/>
      <c r="G630" s="72"/>
      <c r="H630" s="95"/>
      <c r="I630" s="74"/>
      <c r="J630" s="74"/>
      <c r="K630" s="74"/>
      <c r="L630" s="74"/>
      <c r="M630" s="96"/>
      <c r="N630" s="74"/>
      <c r="O630" s="74"/>
      <c r="P630" s="74"/>
    </row>
    <row r="631" spans="1:16" ht="15.75" customHeight="1">
      <c r="A631" s="94"/>
      <c r="B631" s="72"/>
      <c r="C631" s="74"/>
      <c r="D631" s="72"/>
      <c r="E631" s="95"/>
      <c r="F631" s="74"/>
      <c r="G631" s="72"/>
      <c r="H631" s="95"/>
      <c r="I631" s="74"/>
      <c r="J631" s="74"/>
      <c r="K631" s="74"/>
      <c r="L631" s="74"/>
      <c r="M631" s="96"/>
      <c r="N631" s="74"/>
      <c r="O631" s="74"/>
      <c r="P631" s="74"/>
    </row>
    <row r="632" spans="1:16" ht="15.75" customHeight="1">
      <c r="A632" s="94"/>
      <c r="B632" s="72"/>
      <c r="C632" s="74"/>
      <c r="D632" s="72"/>
      <c r="E632" s="95"/>
      <c r="F632" s="74"/>
      <c r="G632" s="72"/>
      <c r="H632" s="95"/>
      <c r="I632" s="74"/>
      <c r="J632" s="74"/>
      <c r="K632" s="74"/>
      <c r="L632" s="74"/>
      <c r="M632" s="96"/>
      <c r="N632" s="74"/>
      <c r="O632" s="74"/>
      <c r="P632" s="74"/>
    </row>
    <row r="633" spans="1:16" ht="15.75" customHeight="1">
      <c r="A633" s="94"/>
      <c r="B633" s="72"/>
      <c r="C633" s="74"/>
      <c r="D633" s="72"/>
      <c r="E633" s="95"/>
      <c r="F633" s="74"/>
      <c r="G633" s="72"/>
      <c r="H633" s="95"/>
      <c r="I633" s="74"/>
      <c r="J633" s="74"/>
      <c r="K633" s="74"/>
      <c r="L633" s="74"/>
      <c r="M633" s="96"/>
      <c r="N633" s="74"/>
      <c r="O633" s="74"/>
      <c r="P633" s="74"/>
    </row>
    <row r="634" spans="1:16" ht="15.75" customHeight="1">
      <c r="A634" s="94"/>
      <c r="B634" s="72"/>
      <c r="C634" s="74"/>
      <c r="D634" s="72"/>
      <c r="E634" s="95"/>
      <c r="F634" s="74"/>
      <c r="G634" s="72"/>
      <c r="H634" s="95"/>
      <c r="I634" s="74"/>
      <c r="J634" s="74"/>
      <c r="K634" s="74"/>
      <c r="L634" s="74"/>
      <c r="M634" s="96"/>
      <c r="N634" s="74"/>
      <c r="O634" s="74"/>
      <c r="P634" s="74"/>
    </row>
    <row r="635" spans="1:16" ht="15.75" customHeight="1">
      <c r="A635" s="94"/>
      <c r="B635" s="72"/>
      <c r="C635" s="74"/>
      <c r="D635" s="72"/>
      <c r="E635" s="95"/>
      <c r="F635" s="74"/>
      <c r="G635" s="72"/>
      <c r="H635" s="95"/>
      <c r="I635" s="74"/>
      <c r="J635" s="74"/>
      <c r="K635" s="74"/>
      <c r="L635" s="74"/>
      <c r="M635" s="96"/>
      <c r="N635" s="74"/>
      <c r="O635" s="74"/>
      <c r="P635" s="74"/>
    </row>
    <row r="636" spans="1:16" ht="15.75" customHeight="1">
      <c r="A636" s="94"/>
      <c r="B636" s="72"/>
      <c r="C636" s="74"/>
      <c r="D636" s="72"/>
      <c r="E636" s="95"/>
      <c r="F636" s="74"/>
      <c r="G636" s="72"/>
      <c r="H636" s="95"/>
      <c r="I636" s="74"/>
      <c r="J636" s="74"/>
      <c r="K636" s="74"/>
      <c r="L636" s="74"/>
      <c r="M636" s="96"/>
      <c r="N636" s="74"/>
      <c r="O636" s="74"/>
      <c r="P636" s="74"/>
    </row>
    <row r="637" spans="1:16" ht="15.75" customHeight="1">
      <c r="A637" s="94"/>
      <c r="B637" s="72"/>
      <c r="C637" s="74"/>
      <c r="D637" s="72"/>
      <c r="E637" s="95"/>
      <c r="F637" s="74"/>
      <c r="G637" s="72"/>
      <c r="H637" s="95"/>
      <c r="I637" s="74"/>
      <c r="J637" s="74"/>
      <c r="K637" s="74"/>
      <c r="L637" s="74"/>
      <c r="M637" s="96"/>
      <c r="N637" s="74"/>
      <c r="O637" s="74"/>
      <c r="P637" s="74"/>
    </row>
    <row r="638" spans="1:16" ht="15.75" customHeight="1">
      <c r="A638" s="94"/>
      <c r="B638" s="72"/>
      <c r="C638" s="74"/>
      <c r="D638" s="72"/>
      <c r="E638" s="95"/>
      <c r="F638" s="74"/>
      <c r="G638" s="72"/>
      <c r="H638" s="95"/>
      <c r="I638" s="74"/>
      <c r="J638" s="74"/>
      <c r="K638" s="74"/>
      <c r="L638" s="74"/>
      <c r="M638" s="96"/>
      <c r="N638" s="74"/>
      <c r="O638" s="74"/>
      <c r="P638" s="74"/>
    </row>
    <row r="639" spans="1:16" ht="15.75" customHeight="1">
      <c r="A639" s="94"/>
      <c r="B639" s="72"/>
      <c r="C639" s="74"/>
      <c r="D639" s="72"/>
      <c r="E639" s="95"/>
      <c r="F639" s="74"/>
      <c r="G639" s="72"/>
      <c r="H639" s="95"/>
      <c r="I639" s="74"/>
      <c r="J639" s="74"/>
      <c r="K639" s="74"/>
      <c r="L639" s="74"/>
      <c r="M639" s="96"/>
      <c r="N639" s="74"/>
      <c r="O639" s="74"/>
      <c r="P639" s="74"/>
    </row>
    <row r="640" spans="1:16" ht="15.75" customHeight="1">
      <c r="A640" s="94"/>
      <c r="B640" s="72"/>
      <c r="C640" s="74"/>
      <c r="D640" s="72"/>
      <c r="E640" s="95"/>
      <c r="F640" s="74"/>
      <c r="G640" s="72"/>
      <c r="H640" s="95"/>
      <c r="I640" s="74"/>
      <c r="J640" s="74"/>
      <c r="K640" s="74"/>
      <c r="L640" s="74"/>
      <c r="M640" s="96"/>
      <c r="N640" s="74"/>
      <c r="O640" s="74"/>
      <c r="P640" s="74"/>
    </row>
    <row r="641" spans="1:16" ht="15.75" customHeight="1">
      <c r="A641" s="94"/>
      <c r="B641" s="72"/>
      <c r="C641" s="74"/>
      <c r="D641" s="72"/>
      <c r="E641" s="95"/>
      <c r="F641" s="74"/>
      <c r="G641" s="72"/>
      <c r="H641" s="95"/>
      <c r="I641" s="74"/>
      <c r="J641" s="74"/>
      <c r="K641" s="74"/>
      <c r="L641" s="74"/>
      <c r="M641" s="96"/>
      <c r="N641" s="74"/>
      <c r="O641" s="74"/>
      <c r="P641" s="74"/>
    </row>
    <row r="642" spans="1:16" ht="15.75" customHeight="1">
      <c r="A642" s="94"/>
      <c r="B642" s="72"/>
      <c r="C642" s="74"/>
      <c r="D642" s="72"/>
      <c r="E642" s="95"/>
      <c r="F642" s="74"/>
      <c r="G642" s="72"/>
      <c r="H642" s="95"/>
      <c r="I642" s="74"/>
      <c r="J642" s="74"/>
      <c r="K642" s="74"/>
      <c r="L642" s="74"/>
      <c r="M642" s="96"/>
      <c r="N642" s="74"/>
      <c r="O642" s="74"/>
      <c r="P642" s="74"/>
    </row>
    <row r="643" spans="1:16" ht="15.75" customHeight="1">
      <c r="A643" s="94"/>
      <c r="B643" s="72"/>
      <c r="C643" s="74"/>
      <c r="D643" s="72"/>
      <c r="E643" s="95"/>
      <c r="F643" s="74"/>
      <c r="G643" s="72"/>
      <c r="H643" s="95"/>
      <c r="I643" s="74"/>
      <c r="J643" s="74"/>
      <c r="K643" s="74"/>
      <c r="L643" s="74"/>
      <c r="M643" s="96"/>
      <c r="N643" s="74"/>
      <c r="O643" s="74"/>
      <c r="P643" s="74"/>
    </row>
    <row r="644" spans="1:16" ht="15.75" customHeight="1">
      <c r="A644" s="94"/>
      <c r="B644" s="72"/>
      <c r="C644" s="74"/>
      <c r="D644" s="72"/>
      <c r="E644" s="95"/>
      <c r="F644" s="74"/>
      <c r="G644" s="72"/>
      <c r="H644" s="95"/>
      <c r="I644" s="74"/>
      <c r="J644" s="74"/>
      <c r="K644" s="74"/>
      <c r="L644" s="74"/>
      <c r="M644" s="96"/>
      <c r="N644" s="74"/>
      <c r="O644" s="74"/>
      <c r="P644" s="74"/>
    </row>
    <row r="645" spans="1:16" ht="15.75" customHeight="1">
      <c r="A645" s="94"/>
      <c r="B645" s="72"/>
      <c r="C645" s="74"/>
      <c r="D645" s="72"/>
      <c r="E645" s="95"/>
      <c r="F645" s="74"/>
      <c r="G645" s="72"/>
      <c r="H645" s="95"/>
      <c r="I645" s="74"/>
      <c r="J645" s="74"/>
      <c r="K645" s="74"/>
      <c r="L645" s="74"/>
      <c r="M645" s="96"/>
      <c r="N645" s="74"/>
      <c r="O645" s="74"/>
      <c r="P645" s="74"/>
    </row>
    <row r="646" spans="1:16" ht="15.75" customHeight="1">
      <c r="A646" s="94"/>
      <c r="B646" s="72"/>
      <c r="C646" s="74"/>
      <c r="D646" s="72"/>
      <c r="E646" s="95"/>
      <c r="F646" s="74"/>
      <c r="G646" s="72"/>
      <c r="H646" s="95"/>
      <c r="I646" s="74"/>
      <c r="J646" s="74"/>
      <c r="K646" s="74"/>
      <c r="L646" s="74"/>
      <c r="M646" s="96"/>
      <c r="N646" s="74"/>
      <c r="O646" s="74"/>
      <c r="P646" s="74"/>
    </row>
    <row r="647" spans="1:16" ht="15.75" customHeight="1">
      <c r="A647" s="94"/>
      <c r="B647" s="72"/>
      <c r="C647" s="74"/>
      <c r="D647" s="72"/>
      <c r="E647" s="95"/>
      <c r="F647" s="74"/>
      <c r="G647" s="72"/>
      <c r="H647" s="95"/>
      <c r="I647" s="74"/>
      <c r="J647" s="74"/>
      <c r="K647" s="74"/>
      <c r="L647" s="74"/>
      <c r="M647" s="96"/>
      <c r="N647" s="74"/>
      <c r="O647" s="74"/>
      <c r="P647" s="74"/>
    </row>
    <row r="648" spans="1:16" ht="15.75" customHeight="1">
      <c r="A648" s="94"/>
      <c r="B648" s="72"/>
      <c r="C648" s="74"/>
      <c r="D648" s="72"/>
      <c r="E648" s="95"/>
      <c r="F648" s="74"/>
      <c r="G648" s="72"/>
      <c r="H648" s="95"/>
      <c r="I648" s="74"/>
      <c r="J648" s="74"/>
      <c r="K648" s="74"/>
      <c r="L648" s="74"/>
      <c r="M648" s="96"/>
      <c r="N648" s="74"/>
      <c r="O648" s="74"/>
      <c r="P648" s="74"/>
    </row>
    <row r="649" spans="1:16" ht="15.75" customHeight="1">
      <c r="A649" s="94"/>
      <c r="B649" s="72"/>
      <c r="C649" s="74"/>
      <c r="D649" s="72"/>
      <c r="E649" s="95"/>
      <c r="F649" s="74"/>
      <c r="G649" s="72"/>
      <c r="H649" s="95"/>
      <c r="I649" s="74"/>
      <c r="J649" s="74"/>
      <c r="K649" s="74"/>
      <c r="L649" s="74"/>
      <c r="M649" s="96"/>
      <c r="N649" s="74"/>
      <c r="O649" s="74"/>
      <c r="P649" s="74"/>
    </row>
    <row r="650" spans="1:16" ht="15.75" customHeight="1">
      <c r="A650" s="94"/>
      <c r="B650" s="72"/>
      <c r="C650" s="74"/>
      <c r="D650" s="72"/>
      <c r="E650" s="95"/>
      <c r="F650" s="74"/>
      <c r="G650" s="72"/>
      <c r="H650" s="95"/>
      <c r="I650" s="74"/>
      <c r="J650" s="74"/>
      <c r="K650" s="74"/>
      <c r="L650" s="74"/>
      <c r="M650" s="96"/>
      <c r="N650" s="74"/>
      <c r="O650" s="74"/>
      <c r="P650" s="74"/>
    </row>
    <row r="651" spans="1:16" ht="15.75" customHeight="1">
      <c r="A651" s="94"/>
      <c r="B651" s="72"/>
      <c r="C651" s="74"/>
      <c r="D651" s="72"/>
      <c r="E651" s="95"/>
      <c r="F651" s="74"/>
      <c r="G651" s="72"/>
      <c r="H651" s="95"/>
      <c r="I651" s="74"/>
      <c r="J651" s="74"/>
      <c r="K651" s="74"/>
      <c r="L651" s="74"/>
      <c r="M651" s="96"/>
      <c r="N651" s="74"/>
      <c r="O651" s="74"/>
      <c r="P651" s="74"/>
    </row>
    <row r="652" spans="1:16" ht="15.75" customHeight="1">
      <c r="A652" s="94"/>
      <c r="B652" s="72"/>
      <c r="C652" s="74"/>
      <c r="D652" s="72"/>
      <c r="E652" s="95"/>
      <c r="F652" s="74"/>
      <c r="G652" s="72"/>
      <c r="H652" s="95"/>
      <c r="I652" s="74"/>
      <c r="J652" s="74"/>
      <c r="K652" s="74"/>
      <c r="L652" s="74"/>
      <c r="M652" s="96"/>
      <c r="N652" s="74"/>
      <c r="O652" s="74"/>
      <c r="P652" s="74"/>
    </row>
    <row r="653" spans="1:16" ht="15.75" customHeight="1">
      <c r="A653" s="94"/>
      <c r="B653" s="72"/>
      <c r="C653" s="74"/>
      <c r="D653" s="72"/>
      <c r="E653" s="95"/>
      <c r="F653" s="74"/>
      <c r="G653" s="72"/>
      <c r="H653" s="95"/>
      <c r="I653" s="74"/>
      <c r="J653" s="74"/>
      <c r="K653" s="74"/>
      <c r="L653" s="74"/>
      <c r="M653" s="96"/>
      <c r="N653" s="74"/>
      <c r="O653" s="74"/>
      <c r="P653" s="74"/>
    </row>
    <row r="654" spans="1:16" ht="15.75" customHeight="1">
      <c r="A654" s="94"/>
      <c r="B654" s="72"/>
      <c r="C654" s="74"/>
      <c r="D654" s="72"/>
      <c r="E654" s="95"/>
      <c r="F654" s="74"/>
      <c r="G654" s="72"/>
      <c r="H654" s="95"/>
      <c r="I654" s="74"/>
      <c r="J654" s="74"/>
      <c r="K654" s="74"/>
      <c r="L654" s="74"/>
      <c r="M654" s="96"/>
      <c r="N654" s="74"/>
      <c r="O654" s="74"/>
      <c r="P654" s="74"/>
    </row>
    <row r="655" spans="1:16" ht="15.75" customHeight="1">
      <c r="A655" s="94"/>
      <c r="B655" s="72"/>
      <c r="C655" s="74"/>
      <c r="D655" s="72"/>
      <c r="E655" s="95"/>
      <c r="F655" s="74"/>
      <c r="G655" s="72"/>
      <c r="H655" s="95"/>
      <c r="I655" s="74"/>
      <c r="J655" s="74"/>
      <c r="K655" s="74"/>
      <c r="L655" s="74"/>
      <c r="M655" s="96"/>
      <c r="N655" s="74"/>
      <c r="O655" s="74"/>
      <c r="P655" s="74"/>
    </row>
    <row r="656" spans="1:16" ht="15.75" customHeight="1">
      <c r="A656" s="94"/>
      <c r="B656" s="72"/>
      <c r="C656" s="74"/>
      <c r="D656" s="72"/>
      <c r="E656" s="95"/>
      <c r="F656" s="74"/>
      <c r="G656" s="72"/>
      <c r="H656" s="95"/>
      <c r="I656" s="74"/>
      <c r="J656" s="74"/>
      <c r="K656" s="74"/>
      <c r="L656" s="74"/>
      <c r="M656" s="96"/>
      <c r="N656" s="74"/>
      <c r="O656" s="74"/>
      <c r="P656" s="74"/>
    </row>
    <row r="657" spans="1:16" ht="15.75" customHeight="1">
      <c r="A657" s="94"/>
      <c r="B657" s="72"/>
      <c r="C657" s="74"/>
      <c r="D657" s="72"/>
      <c r="E657" s="95"/>
      <c r="F657" s="74"/>
      <c r="G657" s="72"/>
      <c r="H657" s="95"/>
      <c r="I657" s="74"/>
      <c r="J657" s="74"/>
      <c r="K657" s="74"/>
      <c r="L657" s="74"/>
      <c r="M657" s="96"/>
      <c r="N657" s="74"/>
      <c r="O657" s="74"/>
      <c r="P657" s="74"/>
    </row>
    <row r="658" spans="1:16" ht="15.75" customHeight="1">
      <c r="A658" s="94"/>
      <c r="B658" s="72"/>
      <c r="C658" s="74"/>
      <c r="D658" s="72"/>
      <c r="E658" s="95"/>
      <c r="F658" s="74"/>
      <c r="G658" s="72"/>
      <c r="H658" s="95"/>
      <c r="I658" s="74"/>
      <c r="J658" s="74"/>
      <c r="K658" s="74"/>
      <c r="L658" s="74"/>
      <c r="M658" s="96"/>
      <c r="N658" s="74"/>
      <c r="O658" s="74"/>
      <c r="P658" s="74"/>
    </row>
    <row r="659" spans="1:16" ht="15.75" customHeight="1">
      <c r="A659" s="94"/>
      <c r="B659" s="72"/>
      <c r="C659" s="74"/>
      <c r="D659" s="72"/>
      <c r="E659" s="95"/>
      <c r="F659" s="74"/>
      <c r="G659" s="72"/>
      <c r="H659" s="95"/>
      <c r="I659" s="74"/>
      <c r="J659" s="74"/>
      <c r="K659" s="74"/>
      <c r="L659" s="74"/>
      <c r="M659" s="96"/>
      <c r="N659" s="74"/>
      <c r="O659" s="74"/>
      <c r="P659" s="74"/>
    </row>
    <row r="660" spans="1:16" ht="15.75" customHeight="1">
      <c r="A660" s="94"/>
      <c r="B660" s="72"/>
      <c r="C660" s="74"/>
      <c r="D660" s="72"/>
      <c r="E660" s="95"/>
      <c r="F660" s="74"/>
      <c r="G660" s="72"/>
      <c r="H660" s="95"/>
      <c r="I660" s="74"/>
      <c r="J660" s="74"/>
      <c r="K660" s="74"/>
      <c r="L660" s="74"/>
      <c r="M660" s="96"/>
      <c r="N660" s="74"/>
      <c r="O660" s="74"/>
      <c r="P660" s="74"/>
    </row>
    <row r="661" spans="1:16" ht="15.75" customHeight="1">
      <c r="A661" s="94"/>
      <c r="B661" s="72"/>
      <c r="C661" s="74"/>
      <c r="D661" s="72"/>
      <c r="E661" s="95"/>
      <c r="F661" s="74"/>
      <c r="G661" s="72"/>
      <c r="H661" s="95"/>
      <c r="I661" s="74"/>
      <c r="J661" s="74"/>
      <c r="K661" s="74"/>
      <c r="L661" s="74"/>
      <c r="M661" s="96"/>
      <c r="N661" s="74"/>
      <c r="O661" s="74"/>
      <c r="P661" s="74"/>
    </row>
    <row r="662" spans="1:16" ht="15.75" customHeight="1">
      <c r="A662" s="94"/>
      <c r="B662" s="72"/>
      <c r="C662" s="74"/>
      <c r="D662" s="72"/>
      <c r="E662" s="95"/>
      <c r="F662" s="74"/>
      <c r="G662" s="72"/>
      <c r="H662" s="95"/>
      <c r="I662" s="74"/>
      <c r="J662" s="74"/>
      <c r="K662" s="74"/>
      <c r="L662" s="74"/>
      <c r="M662" s="96"/>
      <c r="N662" s="74"/>
      <c r="O662" s="74"/>
      <c r="P662" s="74"/>
    </row>
    <row r="663" spans="1:16" ht="15.75" customHeight="1">
      <c r="A663" s="94"/>
      <c r="B663" s="72"/>
      <c r="C663" s="74"/>
      <c r="D663" s="72"/>
      <c r="E663" s="95"/>
      <c r="F663" s="74"/>
      <c r="G663" s="72"/>
      <c r="H663" s="95"/>
      <c r="I663" s="74"/>
      <c r="J663" s="74"/>
      <c r="K663" s="74"/>
      <c r="L663" s="74"/>
      <c r="M663" s="96"/>
      <c r="N663" s="74"/>
      <c r="O663" s="74"/>
      <c r="P663" s="74"/>
    </row>
    <row r="664" spans="1:16" ht="15.75" customHeight="1">
      <c r="A664" s="94"/>
      <c r="B664" s="72"/>
      <c r="C664" s="74"/>
      <c r="D664" s="72"/>
      <c r="E664" s="95"/>
      <c r="F664" s="74"/>
      <c r="G664" s="72"/>
      <c r="H664" s="95"/>
      <c r="I664" s="74"/>
      <c r="J664" s="74"/>
      <c r="K664" s="74"/>
      <c r="L664" s="74"/>
      <c r="M664" s="96"/>
      <c r="N664" s="74"/>
      <c r="O664" s="74"/>
      <c r="P664" s="74"/>
    </row>
    <row r="665" spans="1:16" ht="15.75" customHeight="1">
      <c r="A665" s="94"/>
      <c r="B665" s="72"/>
      <c r="C665" s="74"/>
      <c r="D665" s="72"/>
      <c r="E665" s="95"/>
      <c r="F665" s="74"/>
      <c r="G665" s="72"/>
      <c r="H665" s="95"/>
      <c r="I665" s="74"/>
      <c r="J665" s="74"/>
      <c r="K665" s="74"/>
      <c r="L665" s="74"/>
      <c r="M665" s="96"/>
      <c r="N665" s="74"/>
      <c r="O665" s="74"/>
      <c r="P665" s="74"/>
    </row>
    <row r="666" spans="1:16" ht="15.75" customHeight="1">
      <c r="A666" s="94"/>
      <c r="B666" s="72"/>
      <c r="C666" s="74"/>
      <c r="D666" s="72"/>
      <c r="E666" s="95"/>
      <c r="F666" s="74"/>
      <c r="G666" s="72"/>
      <c r="H666" s="95"/>
      <c r="I666" s="74"/>
      <c r="J666" s="74"/>
      <c r="K666" s="74"/>
      <c r="L666" s="74"/>
      <c r="M666" s="96"/>
      <c r="N666" s="74"/>
      <c r="O666" s="74"/>
      <c r="P666" s="74"/>
    </row>
    <row r="667" spans="1:16" ht="15.75" customHeight="1">
      <c r="A667" s="94"/>
      <c r="B667" s="72"/>
      <c r="C667" s="74"/>
      <c r="D667" s="72"/>
      <c r="E667" s="95"/>
      <c r="F667" s="74"/>
      <c r="G667" s="72"/>
      <c r="H667" s="95"/>
      <c r="I667" s="74"/>
      <c r="J667" s="74"/>
      <c r="K667" s="74"/>
      <c r="L667" s="74"/>
      <c r="M667" s="96"/>
      <c r="N667" s="74"/>
      <c r="O667" s="74"/>
      <c r="P667" s="74"/>
    </row>
    <row r="668" spans="1:16" ht="15.75" customHeight="1">
      <c r="A668" s="94"/>
      <c r="B668" s="72"/>
      <c r="C668" s="74"/>
      <c r="D668" s="72"/>
      <c r="E668" s="95"/>
      <c r="F668" s="74"/>
      <c r="G668" s="72"/>
      <c r="H668" s="95"/>
      <c r="I668" s="74"/>
      <c r="J668" s="74"/>
      <c r="K668" s="74"/>
      <c r="L668" s="74"/>
      <c r="M668" s="96"/>
      <c r="N668" s="74"/>
      <c r="O668" s="74"/>
      <c r="P668" s="74"/>
    </row>
    <row r="669" spans="1:16" ht="15.75" customHeight="1">
      <c r="A669" s="94"/>
      <c r="B669" s="72"/>
      <c r="C669" s="74"/>
      <c r="D669" s="72"/>
      <c r="E669" s="95"/>
      <c r="F669" s="74"/>
      <c r="G669" s="72"/>
      <c r="H669" s="95"/>
      <c r="I669" s="74"/>
      <c r="J669" s="74"/>
      <c r="K669" s="74"/>
      <c r="L669" s="74"/>
      <c r="M669" s="96"/>
      <c r="N669" s="74"/>
      <c r="O669" s="74"/>
      <c r="P669" s="74"/>
    </row>
    <row r="670" spans="1:16" ht="15.75" customHeight="1">
      <c r="A670" s="94"/>
      <c r="B670" s="72"/>
      <c r="C670" s="74"/>
      <c r="D670" s="72"/>
      <c r="E670" s="95"/>
      <c r="F670" s="74"/>
      <c r="G670" s="72"/>
      <c r="H670" s="95"/>
      <c r="I670" s="74"/>
      <c r="J670" s="74"/>
      <c r="K670" s="74"/>
      <c r="L670" s="74"/>
      <c r="M670" s="96"/>
      <c r="N670" s="74"/>
      <c r="O670" s="74"/>
      <c r="P670" s="74"/>
    </row>
    <row r="671" spans="1:16" ht="15.75" customHeight="1">
      <c r="A671" s="94"/>
      <c r="B671" s="72"/>
      <c r="C671" s="74"/>
      <c r="D671" s="72"/>
      <c r="E671" s="95"/>
      <c r="F671" s="74"/>
      <c r="G671" s="72"/>
      <c r="H671" s="95"/>
      <c r="I671" s="74"/>
      <c r="J671" s="74"/>
      <c r="K671" s="74"/>
      <c r="L671" s="74"/>
      <c r="M671" s="96"/>
      <c r="N671" s="74"/>
      <c r="O671" s="74"/>
      <c r="P671" s="74"/>
    </row>
    <row r="672" spans="1:16" ht="15.75" customHeight="1">
      <c r="A672" s="94"/>
      <c r="B672" s="72"/>
      <c r="C672" s="74"/>
      <c r="D672" s="72"/>
      <c r="E672" s="95"/>
      <c r="F672" s="74"/>
      <c r="G672" s="72"/>
      <c r="H672" s="95"/>
      <c r="I672" s="74"/>
      <c r="J672" s="74"/>
      <c r="K672" s="74"/>
      <c r="L672" s="74"/>
      <c r="M672" s="96"/>
      <c r="N672" s="74"/>
      <c r="O672" s="74"/>
      <c r="P672" s="74"/>
    </row>
    <row r="673" spans="1:16" ht="15.75" customHeight="1">
      <c r="A673" s="94"/>
      <c r="B673" s="72"/>
      <c r="C673" s="74"/>
      <c r="D673" s="72"/>
      <c r="E673" s="95"/>
      <c r="F673" s="74"/>
      <c r="G673" s="72"/>
      <c r="H673" s="95"/>
      <c r="I673" s="74"/>
      <c r="J673" s="74"/>
      <c r="K673" s="74"/>
      <c r="L673" s="74"/>
      <c r="M673" s="96"/>
      <c r="N673" s="74"/>
      <c r="O673" s="74"/>
      <c r="P673" s="74"/>
    </row>
    <row r="674" spans="1:16" ht="15.75" customHeight="1">
      <c r="A674" s="94"/>
      <c r="B674" s="72"/>
      <c r="C674" s="74"/>
      <c r="D674" s="72"/>
      <c r="E674" s="95"/>
      <c r="F674" s="74"/>
      <c r="G674" s="72"/>
      <c r="H674" s="95"/>
      <c r="I674" s="74"/>
      <c r="J674" s="74"/>
      <c r="K674" s="74"/>
      <c r="L674" s="74"/>
      <c r="M674" s="96"/>
      <c r="N674" s="74"/>
      <c r="O674" s="74"/>
      <c r="P674" s="74"/>
    </row>
    <row r="675" spans="1:16" ht="15.75" customHeight="1">
      <c r="A675" s="94"/>
      <c r="B675" s="72"/>
      <c r="C675" s="74"/>
      <c r="D675" s="72"/>
      <c r="E675" s="95"/>
      <c r="F675" s="74"/>
      <c r="G675" s="72"/>
      <c r="H675" s="95"/>
      <c r="I675" s="74"/>
      <c r="J675" s="74"/>
      <c r="K675" s="74"/>
      <c r="L675" s="74"/>
      <c r="M675" s="96"/>
      <c r="N675" s="74"/>
      <c r="O675" s="74"/>
      <c r="P675" s="74"/>
    </row>
    <row r="676" spans="1:16" ht="15.75" customHeight="1">
      <c r="A676" s="94"/>
      <c r="B676" s="72"/>
      <c r="C676" s="74"/>
      <c r="D676" s="72"/>
      <c r="E676" s="95"/>
      <c r="F676" s="74"/>
      <c r="G676" s="72"/>
      <c r="H676" s="95"/>
      <c r="I676" s="74"/>
      <c r="J676" s="74"/>
      <c r="K676" s="74"/>
      <c r="L676" s="74"/>
      <c r="M676" s="96"/>
      <c r="N676" s="74"/>
      <c r="O676" s="74"/>
      <c r="P676" s="74"/>
    </row>
    <row r="677" spans="1:16" ht="15.75" customHeight="1">
      <c r="A677" s="94"/>
      <c r="B677" s="72"/>
      <c r="C677" s="74"/>
      <c r="D677" s="72"/>
      <c r="E677" s="95"/>
      <c r="F677" s="74"/>
      <c r="G677" s="72"/>
      <c r="H677" s="95"/>
      <c r="I677" s="74"/>
      <c r="J677" s="74"/>
      <c r="K677" s="74"/>
      <c r="L677" s="74"/>
      <c r="M677" s="96"/>
      <c r="N677" s="74"/>
      <c r="O677" s="74"/>
      <c r="P677" s="74"/>
    </row>
    <row r="678" spans="1:16" ht="15.75" customHeight="1">
      <c r="A678" s="94"/>
      <c r="B678" s="72"/>
      <c r="C678" s="74"/>
      <c r="D678" s="72"/>
      <c r="E678" s="95"/>
      <c r="F678" s="74"/>
      <c r="G678" s="72"/>
      <c r="H678" s="95"/>
      <c r="I678" s="74"/>
      <c r="J678" s="74"/>
      <c r="K678" s="74"/>
      <c r="L678" s="74"/>
      <c r="M678" s="96"/>
      <c r="N678" s="74"/>
      <c r="O678" s="74"/>
      <c r="P678" s="74"/>
    </row>
    <row r="679" spans="1:16" ht="15.75" customHeight="1">
      <c r="A679" s="94"/>
      <c r="B679" s="72"/>
      <c r="C679" s="74"/>
      <c r="D679" s="72"/>
      <c r="E679" s="95"/>
      <c r="F679" s="74"/>
      <c r="G679" s="72"/>
      <c r="H679" s="95"/>
      <c r="I679" s="74"/>
      <c r="J679" s="74"/>
      <c r="K679" s="74"/>
      <c r="L679" s="74"/>
      <c r="M679" s="96"/>
      <c r="N679" s="74"/>
      <c r="O679" s="74"/>
      <c r="P679" s="74"/>
    </row>
    <row r="680" spans="1:16" ht="15.75" customHeight="1">
      <c r="A680" s="94"/>
      <c r="B680" s="72"/>
      <c r="C680" s="74"/>
      <c r="D680" s="72"/>
      <c r="E680" s="95"/>
      <c r="F680" s="74"/>
      <c r="G680" s="72"/>
      <c r="H680" s="95"/>
      <c r="I680" s="74"/>
      <c r="J680" s="74"/>
      <c r="K680" s="74"/>
      <c r="L680" s="74"/>
      <c r="M680" s="96"/>
      <c r="N680" s="74"/>
      <c r="O680" s="74"/>
      <c r="P680" s="74"/>
    </row>
    <row r="681" spans="1:16" ht="15.75" customHeight="1">
      <c r="A681" s="94"/>
      <c r="B681" s="72"/>
      <c r="C681" s="74"/>
      <c r="D681" s="72"/>
      <c r="E681" s="95"/>
      <c r="F681" s="74"/>
      <c r="G681" s="72"/>
      <c r="H681" s="95"/>
      <c r="I681" s="74"/>
      <c r="J681" s="74"/>
      <c r="K681" s="74"/>
      <c r="L681" s="74"/>
      <c r="M681" s="96"/>
      <c r="N681" s="74"/>
      <c r="O681" s="74"/>
      <c r="P681" s="74"/>
    </row>
    <row r="682" spans="1:16" ht="15.75" customHeight="1">
      <c r="A682" s="94"/>
      <c r="B682" s="72"/>
      <c r="C682" s="74"/>
      <c r="D682" s="72"/>
      <c r="E682" s="95"/>
      <c r="F682" s="74"/>
      <c r="G682" s="72"/>
      <c r="H682" s="95"/>
      <c r="I682" s="74"/>
      <c r="J682" s="74"/>
      <c r="K682" s="74"/>
      <c r="L682" s="74"/>
      <c r="M682" s="96"/>
      <c r="N682" s="74"/>
      <c r="O682" s="74"/>
      <c r="P682" s="74"/>
    </row>
    <row r="683" spans="1:16" ht="15.75" customHeight="1">
      <c r="A683" s="94"/>
      <c r="B683" s="72"/>
      <c r="C683" s="74"/>
      <c r="D683" s="72"/>
      <c r="E683" s="95"/>
      <c r="F683" s="74"/>
      <c r="G683" s="72"/>
      <c r="H683" s="95"/>
      <c r="I683" s="74"/>
      <c r="J683" s="74"/>
      <c r="K683" s="74"/>
      <c r="L683" s="74"/>
      <c r="M683" s="96"/>
      <c r="N683" s="74"/>
      <c r="O683" s="74"/>
      <c r="P683" s="74"/>
    </row>
    <row r="684" spans="1:16" ht="15.75" customHeight="1">
      <c r="A684" s="94"/>
      <c r="B684" s="72"/>
      <c r="C684" s="74"/>
      <c r="D684" s="72"/>
      <c r="E684" s="95"/>
      <c r="F684" s="74"/>
      <c r="G684" s="72"/>
      <c r="H684" s="95"/>
      <c r="I684" s="74"/>
      <c r="J684" s="74"/>
      <c r="K684" s="74"/>
      <c r="L684" s="74"/>
      <c r="M684" s="96"/>
      <c r="N684" s="74"/>
      <c r="O684" s="74"/>
      <c r="P684" s="74"/>
    </row>
    <row r="685" spans="1:16" ht="15.75" customHeight="1">
      <c r="A685" s="94"/>
      <c r="B685" s="72"/>
      <c r="C685" s="74"/>
      <c r="D685" s="72"/>
      <c r="E685" s="95"/>
      <c r="F685" s="74"/>
      <c r="G685" s="72"/>
      <c r="H685" s="95"/>
      <c r="I685" s="74"/>
      <c r="J685" s="74"/>
      <c r="K685" s="74"/>
      <c r="L685" s="74"/>
      <c r="M685" s="96"/>
      <c r="N685" s="74"/>
      <c r="O685" s="74"/>
      <c r="P685" s="74"/>
    </row>
    <row r="686" spans="1:16" ht="15.75" customHeight="1">
      <c r="A686" s="94"/>
      <c r="B686" s="72"/>
      <c r="C686" s="74"/>
      <c r="D686" s="72"/>
      <c r="E686" s="95"/>
      <c r="F686" s="74"/>
      <c r="G686" s="72"/>
      <c r="H686" s="95"/>
      <c r="I686" s="74"/>
      <c r="J686" s="74"/>
      <c r="K686" s="74"/>
      <c r="L686" s="74"/>
      <c r="M686" s="96"/>
      <c r="N686" s="74"/>
      <c r="O686" s="74"/>
      <c r="P686" s="74"/>
    </row>
    <row r="687" spans="1:16" ht="15.75" customHeight="1">
      <c r="A687" s="94"/>
      <c r="B687" s="72"/>
      <c r="C687" s="74"/>
      <c r="D687" s="72"/>
      <c r="E687" s="95"/>
      <c r="F687" s="74"/>
      <c r="G687" s="72"/>
      <c r="H687" s="95"/>
      <c r="I687" s="74"/>
      <c r="J687" s="74"/>
      <c r="K687" s="74"/>
      <c r="L687" s="74"/>
      <c r="M687" s="96"/>
      <c r="N687" s="74"/>
      <c r="O687" s="74"/>
      <c r="P687" s="74"/>
    </row>
    <row r="688" spans="1:16" ht="15.75" customHeight="1">
      <c r="A688" s="94"/>
      <c r="B688" s="72"/>
      <c r="C688" s="74"/>
      <c r="D688" s="72"/>
      <c r="E688" s="95"/>
      <c r="F688" s="74"/>
      <c r="G688" s="72"/>
      <c r="H688" s="95"/>
      <c r="I688" s="74"/>
      <c r="J688" s="74"/>
      <c r="K688" s="74"/>
      <c r="L688" s="74"/>
      <c r="M688" s="96"/>
      <c r="N688" s="74"/>
      <c r="O688" s="74"/>
      <c r="P688" s="74"/>
    </row>
    <row r="689" spans="1:16" ht="15.75" customHeight="1">
      <c r="A689" s="94"/>
      <c r="B689" s="72"/>
      <c r="C689" s="74"/>
      <c r="D689" s="72"/>
      <c r="E689" s="95"/>
      <c r="F689" s="74"/>
      <c r="G689" s="72"/>
      <c r="H689" s="95"/>
      <c r="I689" s="74"/>
      <c r="J689" s="74"/>
      <c r="K689" s="74"/>
      <c r="L689" s="74"/>
      <c r="M689" s="96"/>
      <c r="N689" s="74"/>
      <c r="O689" s="74"/>
      <c r="P689" s="74"/>
    </row>
    <row r="690" spans="1:16" ht="15.75" customHeight="1">
      <c r="A690" s="94"/>
      <c r="B690" s="72"/>
      <c r="C690" s="74"/>
      <c r="D690" s="72"/>
      <c r="E690" s="95"/>
      <c r="F690" s="74"/>
      <c r="G690" s="72"/>
      <c r="H690" s="95"/>
      <c r="I690" s="74"/>
      <c r="J690" s="74"/>
      <c r="K690" s="74"/>
      <c r="L690" s="74"/>
      <c r="M690" s="96"/>
      <c r="N690" s="74"/>
      <c r="O690" s="74"/>
      <c r="P690" s="74"/>
    </row>
    <row r="691" spans="1:16" ht="15.75" customHeight="1">
      <c r="A691" s="94"/>
      <c r="B691" s="72"/>
      <c r="C691" s="74"/>
      <c r="D691" s="72"/>
      <c r="E691" s="95"/>
      <c r="F691" s="74"/>
      <c r="G691" s="72"/>
      <c r="H691" s="95"/>
      <c r="I691" s="74"/>
      <c r="J691" s="74"/>
      <c r="K691" s="74"/>
      <c r="L691" s="74"/>
      <c r="M691" s="96"/>
      <c r="N691" s="74"/>
      <c r="O691" s="74"/>
      <c r="P691" s="74"/>
    </row>
    <row r="692" spans="1:16" ht="15.75" customHeight="1">
      <c r="A692" s="94"/>
      <c r="B692" s="72"/>
      <c r="C692" s="74"/>
      <c r="D692" s="72"/>
      <c r="E692" s="95"/>
      <c r="F692" s="74"/>
      <c r="G692" s="72"/>
      <c r="H692" s="95"/>
      <c r="I692" s="74"/>
      <c r="J692" s="74"/>
      <c r="K692" s="74"/>
      <c r="L692" s="74"/>
      <c r="M692" s="96"/>
      <c r="N692" s="74"/>
      <c r="O692" s="74"/>
      <c r="P692" s="74"/>
    </row>
    <row r="693" spans="1:16" ht="15.75" customHeight="1">
      <c r="A693" s="94"/>
      <c r="B693" s="72"/>
      <c r="C693" s="74"/>
      <c r="D693" s="72"/>
      <c r="E693" s="95"/>
      <c r="F693" s="74"/>
      <c r="G693" s="72"/>
      <c r="H693" s="95"/>
      <c r="I693" s="74"/>
      <c r="J693" s="74"/>
      <c r="K693" s="74"/>
      <c r="L693" s="74"/>
      <c r="M693" s="96"/>
      <c r="N693" s="74"/>
      <c r="O693" s="74"/>
      <c r="P693" s="74"/>
    </row>
    <row r="694" spans="1:16" ht="15.75" customHeight="1">
      <c r="A694" s="94"/>
      <c r="B694" s="72"/>
      <c r="C694" s="74"/>
      <c r="D694" s="72"/>
      <c r="E694" s="95"/>
      <c r="F694" s="74"/>
      <c r="G694" s="72"/>
      <c r="H694" s="95"/>
      <c r="I694" s="74"/>
      <c r="J694" s="74"/>
      <c r="K694" s="74"/>
      <c r="L694" s="74"/>
      <c r="M694" s="96"/>
      <c r="N694" s="74"/>
      <c r="O694" s="74"/>
      <c r="P694" s="74"/>
    </row>
    <row r="695" spans="1:16" ht="15.75" customHeight="1">
      <c r="A695" s="94"/>
      <c r="B695" s="72"/>
      <c r="C695" s="74"/>
      <c r="D695" s="72"/>
      <c r="E695" s="95"/>
      <c r="F695" s="74"/>
      <c r="G695" s="72"/>
      <c r="H695" s="95"/>
      <c r="I695" s="74"/>
      <c r="J695" s="74"/>
      <c r="K695" s="74"/>
      <c r="L695" s="74"/>
      <c r="M695" s="96"/>
      <c r="N695" s="74"/>
      <c r="O695" s="74"/>
      <c r="P695" s="74"/>
    </row>
    <row r="696" spans="1:16" ht="15.75" customHeight="1">
      <c r="A696" s="94"/>
      <c r="B696" s="72"/>
      <c r="C696" s="74"/>
      <c r="D696" s="72"/>
      <c r="E696" s="95"/>
      <c r="F696" s="74"/>
      <c r="G696" s="72"/>
      <c r="H696" s="95"/>
      <c r="I696" s="74"/>
      <c r="J696" s="74"/>
      <c r="K696" s="74"/>
      <c r="L696" s="74"/>
      <c r="M696" s="96"/>
      <c r="N696" s="74"/>
      <c r="O696" s="74"/>
      <c r="P696" s="74"/>
    </row>
    <row r="697" spans="1:16" ht="15.75" customHeight="1">
      <c r="A697" s="94"/>
      <c r="B697" s="72"/>
      <c r="C697" s="74"/>
      <c r="D697" s="72"/>
      <c r="E697" s="95"/>
      <c r="F697" s="74"/>
      <c r="G697" s="72"/>
      <c r="H697" s="95"/>
      <c r="I697" s="74"/>
      <c r="J697" s="74"/>
      <c r="K697" s="74"/>
      <c r="L697" s="74"/>
      <c r="M697" s="96"/>
      <c r="N697" s="74"/>
      <c r="O697" s="74"/>
      <c r="P697" s="74"/>
    </row>
    <row r="698" spans="1:16" ht="15.75" customHeight="1">
      <c r="A698" s="94"/>
      <c r="B698" s="72"/>
      <c r="C698" s="74"/>
      <c r="D698" s="72"/>
      <c r="E698" s="95"/>
      <c r="F698" s="74"/>
      <c r="G698" s="72"/>
      <c r="H698" s="95"/>
      <c r="I698" s="74"/>
      <c r="J698" s="74"/>
      <c r="K698" s="74"/>
      <c r="L698" s="74"/>
      <c r="M698" s="96"/>
      <c r="N698" s="74"/>
      <c r="O698" s="74"/>
      <c r="P698" s="74"/>
    </row>
    <row r="699" spans="1:16" ht="15.75" customHeight="1">
      <c r="A699" s="94"/>
      <c r="B699" s="72"/>
      <c r="C699" s="74"/>
      <c r="D699" s="72"/>
      <c r="E699" s="95"/>
      <c r="F699" s="74"/>
      <c r="G699" s="72"/>
      <c r="H699" s="95"/>
      <c r="I699" s="74"/>
      <c r="J699" s="74"/>
      <c r="K699" s="74"/>
      <c r="L699" s="74"/>
      <c r="M699" s="96"/>
      <c r="N699" s="74"/>
      <c r="O699" s="74"/>
      <c r="P699" s="74"/>
    </row>
    <row r="700" spans="1:16" ht="15.75" customHeight="1">
      <c r="A700" s="94"/>
      <c r="B700" s="72"/>
      <c r="C700" s="74"/>
      <c r="D700" s="72"/>
      <c r="E700" s="95"/>
      <c r="F700" s="74"/>
      <c r="G700" s="72"/>
      <c r="H700" s="95"/>
      <c r="I700" s="74"/>
      <c r="J700" s="74"/>
      <c r="K700" s="74"/>
      <c r="L700" s="74"/>
      <c r="M700" s="96"/>
      <c r="N700" s="74"/>
      <c r="O700" s="74"/>
      <c r="P700" s="74"/>
    </row>
    <row r="701" spans="1:16" ht="15.75" customHeight="1">
      <c r="A701" s="94"/>
      <c r="B701" s="72"/>
      <c r="C701" s="74"/>
      <c r="D701" s="72"/>
      <c r="E701" s="95"/>
      <c r="F701" s="74"/>
      <c r="G701" s="72"/>
      <c r="H701" s="95"/>
      <c r="I701" s="74"/>
      <c r="J701" s="74"/>
      <c r="K701" s="74"/>
      <c r="L701" s="74"/>
      <c r="M701" s="96"/>
      <c r="N701" s="74"/>
      <c r="O701" s="74"/>
      <c r="P701" s="74"/>
    </row>
    <row r="702" spans="1:16" ht="15.75" customHeight="1">
      <c r="A702" s="94"/>
      <c r="B702" s="72"/>
      <c r="C702" s="74"/>
      <c r="D702" s="72"/>
      <c r="E702" s="95"/>
      <c r="F702" s="74"/>
      <c r="G702" s="72"/>
      <c r="H702" s="95"/>
      <c r="I702" s="74"/>
      <c r="J702" s="74"/>
      <c r="K702" s="74"/>
      <c r="L702" s="74"/>
      <c r="M702" s="96"/>
      <c r="N702" s="74"/>
      <c r="O702" s="74"/>
      <c r="P702" s="74"/>
    </row>
    <row r="703" spans="1:16" ht="15.75" customHeight="1">
      <c r="A703" s="94"/>
      <c r="B703" s="72"/>
      <c r="C703" s="74"/>
      <c r="D703" s="72"/>
      <c r="E703" s="95"/>
      <c r="F703" s="74"/>
      <c r="G703" s="72"/>
      <c r="H703" s="95"/>
      <c r="I703" s="74"/>
      <c r="J703" s="74"/>
      <c r="K703" s="74"/>
      <c r="L703" s="74"/>
      <c r="M703" s="96"/>
      <c r="N703" s="74"/>
      <c r="O703" s="74"/>
      <c r="P703" s="74"/>
    </row>
    <row r="704" spans="1:16" ht="15.75" customHeight="1">
      <c r="A704" s="94"/>
      <c r="B704" s="72"/>
      <c r="C704" s="74"/>
      <c r="D704" s="72"/>
      <c r="E704" s="95"/>
      <c r="F704" s="74"/>
      <c r="G704" s="72"/>
      <c r="H704" s="95"/>
      <c r="I704" s="74"/>
      <c r="J704" s="74"/>
      <c r="K704" s="74"/>
      <c r="L704" s="74"/>
      <c r="M704" s="96"/>
      <c r="N704" s="74"/>
      <c r="O704" s="74"/>
      <c r="P704" s="74"/>
    </row>
    <row r="705" spans="1:16" ht="15.75" customHeight="1">
      <c r="A705" s="94"/>
      <c r="B705" s="72"/>
      <c r="C705" s="74"/>
      <c r="D705" s="72"/>
      <c r="E705" s="95"/>
      <c r="F705" s="74"/>
      <c r="G705" s="72"/>
      <c r="H705" s="95"/>
      <c r="I705" s="74"/>
      <c r="J705" s="74"/>
      <c r="K705" s="74"/>
      <c r="L705" s="74"/>
      <c r="M705" s="96"/>
      <c r="N705" s="74"/>
      <c r="O705" s="74"/>
      <c r="P705" s="74"/>
    </row>
    <row r="706" spans="1:16" ht="15.75" customHeight="1">
      <c r="A706" s="94"/>
      <c r="B706" s="72"/>
      <c r="C706" s="74"/>
      <c r="D706" s="72"/>
      <c r="E706" s="95"/>
      <c r="F706" s="74"/>
      <c r="G706" s="72"/>
      <c r="H706" s="95"/>
      <c r="I706" s="74"/>
      <c r="J706" s="74"/>
      <c r="K706" s="74"/>
      <c r="L706" s="74"/>
      <c r="M706" s="96"/>
      <c r="N706" s="74"/>
      <c r="O706" s="74"/>
      <c r="P706" s="74"/>
    </row>
    <row r="707" spans="1:16" ht="15.75" customHeight="1">
      <c r="A707" s="94"/>
      <c r="B707" s="72"/>
      <c r="C707" s="74"/>
      <c r="D707" s="72"/>
      <c r="E707" s="95"/>
      <c r="F707" s="74"/>
      <c r="G707" s="72"/>
      <c r="H707" s="95"/>
      <c r="I707" s="74"/>
      <c r="J707" s="74"/>
      <c r="K707" s="74"/>
      <c r="L707" s="74"/>
      <c r="M707" s="96"/>
      <c r="N707" s="74"/>
      <c r="O707" s="74"/>
      <c r="P707" s="74"/>
    </row>
    <row r="708" spans="1:16" ht="15.75" customHeight="1">
      <c r="A708" s="94"/>
      <c r="B708" s="72"/>
      <c r="C708" s="74"/>
      <c r="D708" s="72"/>
      <c r="E708" s="95"/>
      <c r="F708" s="74"/>
      <c r="G708" s="72"/>
      <c r="H708" s="95"/>
      <c r="I708" s="74"/>
      <c r="J708" s="74"/>
      <c r="K708" s="74"/>
      <c r="L708" s="74"/>
      <c r="M708" s="96"/>
      <c r="N708" s="74"/>
      <c r="O708" s="74"/>
      <c r="P708" s="74"/>
    </row>
    <row r="709" spans="1:16" ht="15.75" customHeight="1">
      <c r="A709" s="94"/>
      <c r="B709" s="72"/>
      <c r="C709" s="74"/>
      <c r="D709" s="72"/>
      <c r="E709" s="95"/>
      <c r="F709" s="74"/>
      <c r="G709" s="72"/>
      <c r="H709" s="95"/>
      <c r="I709" s="74"/>
      <c r="J709" s="74"/>
      <c r="K709" s="74"/>
      <c r="L709" s="74"/>
      <c r="M709" s="96"/>
      <c r="N709" s="74"/>
      <c r="O709" s="74"/>
      <c r="P709" s="74"/>
    </row>
    <row r="710" spans="1:16" ht="15.75" customHeight="1">
      <c r="A710" s="94"/>
      <c r="B710" s="72"/>
      <c r="C710" s="74"/>
      <c r="D710" s="72"/>
      <c r="E710" s="95"/>
      <c r="F710" s="74"/>
      <c r="G710" s="72"/>
      <c r="H710" s="95"/>
      <c r="I710" s="74"/>
      <c r="J710" s="74"/>
      <c r="K710" s="74"/>
      <c r="L710" s="74"/>
      <c r="M710" s="96"/>
      <c r="N710" s="74"/>
      <c r="O710" s="74"/>
      <c r="P710" s="74"/>
    </row>
    <row r="711" spans="1:16" ht="15.75" customHeight="1">
      <c r="A711" s="94"/>
      <c r="B711" s="72"/>
      <c r="C711" s="74"/>
      <c r="D711" s="72"/>
      <c r="E711" s="95"/>
      <c r="F711" s="74"/>
      <c r="G711" s="72"/>
      <c r="H711" s="95"/>
      <c r="I711" s="74"/>
      <c r="J711" s="74"/>
      <c r="K711" s="74"/>
      <c r="L711" s="74"/>
      <c r="M711" s="96"/>
      <c r="N711" s="74"/>
      <c r="O711" s="74"/>
      <c r="P711" s="74"/>
    </row>
    <row r="712" spans="1:16" ht="15.75" customHeight="1">
      <c r="A712" s="94"/>
      <c r="B712" s="72"/>
      <c r="C712" s="74"/>
      <c r="D712" s="72"/>
      <c r="E712" s="95"/>
      <c r="F712" s="74"/>
      <c r="G712" s="72"/>
      <c r="H712" s="95"/>
      <c r="I712" s="74"/>
      <c r="J712" s="74"/>
      <c r="K712" s="74"/>
      <c r="L712" s="74"/>
      <c r="M712" s="96"/>
      <c r="N712" s="74"/>
      <c r="O712" s="74"/>
      <c r="P712" s="74"/>
    </row>
    <row r="713" spans="1:16" ht="15.75" customHeight="1">
      <c r="A713" s="94"/>
      <c r="B713" s="72"/>
      <c r="C713" s="74"/>
      <c r="D713" s="72"/>
      <c r="E713" s="95"/>
      <c r="F713" s="74"/>
      <c r="G713" s="72"/>
      <c r="H713" s="95"/>
      <c r="I713" s="74"/>
      <c r="J713" s="74"/>
      <c r="K713" s="74"/>
      <c r="L713" s="74"/>
      <c r="M713" s="96"/>
      <c r="N713" s="74"/>
      <c r="O713" s="74"/>
      <c r="P713" s="74"/>
    </row>
    <row r="714" spans="1:16" ht="15.75" customHeight="1">
      <c r="A714" s="94"/>
      <c r="B714" s="72"/>
      <c r="C714" s="74"/>
      <c r="D714" s="72"/>
      <c r="E714" s="95"/>
      <c r="F714" s="74"/>
      <c r="G714" s="72"/>
      <c r="H714" s="95"/>
      <c r="I714" s="74"/>
      <c r="J714" s="74"/>
      <c r="K714" s="74"/>
      <c r="L714" s="74"/>
      <c r="M714" s="96"/>
      <c r="N714" s="74"/>
      <c r="O714" s="74"/>
      <c r="P714" s="74"/>
    </row>
    <row r="715" spans="1:16" ht="15.75" customHeight="1">
      <c r="A715" s="94"/>
      <c r="B715" s="72"/>
      <c r="C715" s="74"/>
      <c r="D715" s="72"/>
      <c r="E715" s="95"/>
      <c r="F715" s="74"/>
      <c r="G715" s="72"/>
      <c r="H715" s="95"/>
      <c r="I715" s="74"/>
      <c r="J715" s="74"/>
      <c r="K715" s="74"/>
      <c r="L715" s="74"/>
      <c r="M715" s="96"/>
      <c r="N715" s="74"/>
      <c r="O715" s="74"/>
      <c r="P715" s="74"/>
    </row>
    <row r="716" spans="1:16" ht="15.75" customHeight="1">
      <c r="A716" s="94"/>
      <c r="B716" s="72"/>
      <c r="C716" s="74"/>
      <c r="D716" s="72"/>
      <c r="E716" s="95"/>
      <c r="F716" s="74"/>
      <c r="G716" s="72"/>
      <c r="H716" s="95"/>
      <c r="I716" s="74"/>
      <c r="J716" s="74"/>
      <c r="K716" s="74"/>
      <c r="L716" s="74"/>
      <c r="M716" s="96"/>
      <c r="N716" s="74"/>
      <c r="O716" s="74"/>
      <c r="P716" s="74"/>
    </row>
    <row r="717" spans="1:16" ht="15.75" customHeight="1">
      <c r="A717" s="94"/>
      <c r="B717" s="72"/>
      <c r="C717" s="74"/>
      <c r="D717" s="72"/>
      <c r="E717" s="95"/>
      <c r="F717" s="74"/>
      <c r="G717" s="72"/>
      <c r="H717" s="95"/>
      <c r="I717" s="74"/>
      <c r="J717" s="74"/>
      <c r="K717" s="74"/>
      <c r="L717" s="74"/>
      <c r="M717" s="96"/>
      <c r="N717" s="74"/>
      <c r="O717" s="74"/>
      <c r="P717" s="74"/>
    </row>
    <row r="718" spans="1:16" ht="15.75" customHeight="1">
      <c r="A718" s="94"/>
      <c r="B718" s="72"/>
      <c r="C718" s="74"/>
      <c r="D718" s="72"/>
      <c r="E718" s="95"/>
      <c r="F718" s="74"/>
      <c r="G718" s="72"/>
      <c r="H718" s="95"/>
      <c r="I718" s="74"/>
      <c r="J718" s="74"/>
      <c r="K718" s="74"/>
      <c r="L718" s="74"/>
      <c r="M718" s="96"/>
      <c r="N718" s="74"/>
      <c r="O718" s="74"/>
      <c r="P718" s="74"/>
    </row>
    <row r="719" spans="1:16" ht="15.75" customHeight="1">
      <c r="A719" s="94"/>
      <c r="B719" s="72"/>
      <c r="C719" s="74"/>
      <c r="D719" s="72"/>
      <c r="E719" s="95"/>
      <c r="F719" s="74"/>
      <c r="G719" s="72"/>
      <c r="H719" s="95"/>
      <c r="I719" s="74"/>
      <c r="J719" s="74"/>
      <c r="K719" s="74"/>
      <c r="L719" s="74"/>
      <c r="M719" s="96"/>
      <c r="N719" s="74"/>
      <c r="O719" s="74"/>
      <c r="P719" s="74"/>
    </row>
    <row r="720" spans="1:16" ht="15.75" customHeight="1">
      <c r="A720" s="94"/>
      <c r="B720" s="72"/>
      <c r="C720" s="74"/>
      <c r="D720" s="72"/>
      <c r="E720" s="95"/>
      <c r="F720" s="74"/>
      <c r="G720" s="72"/>
      <c r="H720" s="95"/>
      <c r="I720" s="74"/>
      <c r="J720" s="74"/>
      <c r="K720" s="74"/>
      <c r="L720" s="74"/>
      <c r="M720" s="96"/>
      <c r="N720" s="74"/>
      <c r="O720" s="74"/>
      <c r="P720" s="74"/>
    </row>
    <row r="721" spans="1:16" ht="15.75" customHeight="1">
      <c r="A721" s="94"/>
      <c r="B721" s="72"/>
      <c r="C721" s="74"/>
      <c r="D721" s="72"/>
      <c r="E721" s="95"/>
      <c r="F721" s="74"/>
      <c r="G721" s="72"/>
      <c r="H721" s="95"/>
      <c r="I721" s="74"/>
      <c r="J721" s="74"/>
      <c r="K721" s="74"/>
      <c r="L721" s="74"/>
      <c r="M721" s="96"/>
      <c r="N721" s="74"/>
      <c r="O721" s="74"/>
      <c r="P721" s="74"/>
    </row>
    <row r="722" spans="1:16" ht="15.75" customHeight="1">
      <c r="A722" s="94"/>
      <c r="B722" s="72"/>
      <c r="C722" s="74"/>
      <c r="D722" s="72"/>
      <c r="E722" s="95"/>
      <c r="F722" s="74"/>
      <c r="G722" s="72"/>
      <c r="H722" s="95"/>
      <c r="I722" s="74"/>
      <c r="J722" s="74"/>
      <c r="K722" s="74"/>
      <c r="L722" s="74"/>
      <c r="M722" s="96"/>
      <c r="N722" s="74"/>
      <c r="O722" s="74"/>
      <c r="P722" s="74"/>
    </row>
    <row r="723" spans="1:16" ht="15.75" customHeight="1">
      <c r="A723" s="94"/>
      <c r="B723" s="72"/>
      <c r="C723" s="74"/>
      <c r="D723" s="72"/>
      <c r="E723" s="95"/>
      <c r="F723" s="74"/>
      <c r="G723" s="72"/>
      <c r="H723" s="95"/>
      <c r="I723" s="74"/>
      <c r="J723" s="74"/>
      <c r="K723" s="74"/>
      <c r="L723" s="74"/>
      <c r="M723" s="96"/>
      <c r="N723" s="74"/>
      <c r="O723" s="74"/>
      <c r="P723" s="74"/>
    </row>
    <row r="724" spans="1:16" ht="15.75" customHeight="1">
      <c r="A724" s="94"/>
      <c r="B724" s="72"/>
      <c r="C724" s="74"/>
      <c r="D724" s="72"/>
      <c r="E724" s="95"/>
      <c r="F724" s="74"/>
      <c r="G724" s="72"/>
      <c r="H724" s="95"/>
      <c r="I724" s="74"/>
      <c r="J724" s="74"/>
      <c r="K724" s="74"/>
      <c r="L724" s="74"/>
      <c r="M724" s="96"/>
      <c r="N724" s="74"/>
      <c r="O724" s="74"/>
      <c r="P724" s="74"/>
    </row>
    <row r="725" spans="1:16" ht="15.75" customHeight="1">
      <c r="A725" s="94"/>
      <c r="B725" s="72"/>
      <c r="C725" s="74"/>
      <c r="D725" s="72"/>
      <c r="E725" s="95"/>
      <c r="F725" s="74"/>
      <c r="G725" s="72"/>
      <c r="H725" s="95"/>
      <c r="I725" s="74"/>
      <c r="J725" s="74"/>
      <c r="K725" s="74"/>
      <c r="L725" s="74"/>
      <c r="M725" s="96"/>
      <c r="N725" s="74"/>
      <c r="O725" s="74"/>
      <c r="P725" s="74"/>
    </row>
    <row r="726" spans="1:16" ht="15.75" customHeight="1">
      <c r="A726" s="94"/>
      <c r="B726" s="72"/>
      <c r="C726" s="74"/>
      <c r="D726" s="72"/>
      <c r="E726" s="95"/>
      <c r="F726" s="74"/>
      <c r="G726" s="72"/>
      <c r="H726" s="95"/>
      <c r="I726" s="74"/>
      <c r="J726" s="74"/>
      <c r="K726" s="74"/>
      <c r="L726" s="74"/>
      <c r="M726" s="96"/>
      <c r="N726" s="74"/>
      <c r="O726" s="74"/>
      <c r="P726" s="74"/>
    </row>
    <row r="727" spans="1:16" ht="15.75" customHeight="1">
      <c r="A727" s="94"/>
      <c r="B727" s="72"/>
      <c r="C727" s="74"/>
      <c r="D727" s="72"/>
      <c r="E727" s="95"/>
      <c r="F727" s="74"/>
      <c r="G727" s="72"/>
      <c r="H727" s="95"/>
      <c r="I727" s="74"/>
      <c r="J727" s="74"/>
      <c r="K727" s="74"/>
      <c r="L727" s="74"/>
      <c r="M727" s="96"/>
      <c r="N727" s="74"/>
      <c r="O727" s="74"/>
      <c r="P727" s="74"/>
    </row>
    <row r="728" spans="1:16" ht="15.75" customHeight="1">
      <c r="A728" s="94"/>
      <c r="B728" s="72"/>
      <c r="C728" s="74"/>
      <c r="D728" s="72"/>
      <c r="E728" s="95"/>
      <c r="F728" s="74"/>
      <c r="G728" s="72"/>
      <c r="H728" s="95"/>
      <c r="I728" s="74"/>
      <c r="J728" s="74"/>
      <c r="K728" s="74"/>
      <c r="L728" s="74"/>
      <c r="M728" s="96"/>
      <c r="N728" s="74"/>
      <c r="O728" s="74"/>
      <c r="P728" s="74"/>
    </row>
    <row r="729" spans="1:16" ht="15.75" customHeight="1">
      <c r="A729" s="94"/>
      <c r="B729" s="72"/>
      <c r="C729" s="74"/>
      <c r="D729" s="72"/>
      <c r="E729" s="95"/>
      <c r="F729" s="74"/>
      <c r="G729" s="72"/>
      <c r="H729" s="95"/>
      <c r="I729" s="74"/>
      <c r="J729" s="74"/>
      <c r="K729" s="74"/>
      <c r="L729" s="74"/>
      <c r="M729" s="96"/>
      <c r="N729" s="74"/>
      <c r="O729" s="74"/>
      <c r="P729" s="74"/>
    </row>
    <row r="730" spans="1:16" ht="15.75" customHeight="1">
      <c r="A730" s="94"/>
      <c r="B730" s="72"/>
      <c r="C730" s="74"/>
      <c r="D730" s="72"/>
      <c r="E730" s="95"/>
      <c r="F730" s="74"/>
      <c r="G730" s="72"/>
      <c r="H730" s="95"/>
      <c r="I730" s="74"/>
      <c r="J730" s="74"/>
      <c r="K730" s="74"/>
      <c r="L730" s="74"/>
      <c r="M730" s="96"/>
      <c r="N730" s="74"/>
      <c r="O730" s="74"/>
      <c r="P730" s="74"/>
    </row>
    <row r="731" spans="1:16" ht="15.75" customHeight="1">
      <c r="A731" s="94"/>
      <c r="B731" s="72"/>
      <c r="C731" s="74"/>
      <c r="D731" s="72"/>
      <c r="E731" s="95"/>
      <c r="F731" s="74"/>
      <c r="G731" s="72"/>
      <c r="H731" s="95"/>
      <c r="I731" s="74"/>
      <c r="J731" s="74"/>
      <c r="K731" s="74"/>
      <c r="L731" s="74"/>
      <c r="M731" s="96"/>
      <c r="N731" s="74"/>
      <c r="O731" s="74"/>
      <c r="P731" s="74"/>
    </row>
    <row r="732" spans="1:16" ht="15.75" customHeight="1">
      <c r="A732" s="94"/>
      <c r="B732" s="72"/>
      <c r="C732" s="74"/>
      <c r="D732" s="72"/>
      <c r="E732" s="95"/>
      <c r="F732" s="74"/>
      <c r="G732" s="72"/>
      <c r="H732" s="95"/>
      <c r="I732" s="74"/>
      <c r="J732" s="74"/>
      <c r="K732" s="74"/>
      <c r="L732" s="74"/>
      <c r="M732" s="96"/>
      <c r="N732" s="74"/>
      <c r="O732" s="74"/>
      <c r="P732" s="74"/>
    </row>
    <row r="733" spans="1:16" ht="15.75" customHeight="1">
      <c r="A733" s="94"/>
      <c r="B733" s="72"/>
      <c r="C733" s="74"/>
      <c r="D733" s="72"/>
      <c r="E733" s="95"/>
      <c r="F733" s="74"/>
      <c r="G733" s="72"/>
      <c r="H733" s="95"/>
      <c r="I733" s="74"/>
      <c r="J733" s="74"/>
      <c r="K733" s="74"/>
      <c r="L733" s="74"/>
      <c r="M733" s="96"/>
      <c r="N733" s="74"/>
      <c r="O733" s="74"/>
      <c r="P733" s="74"/>
    </row>
    <row r="734" spans="1:16" ht="15.75" customHeight="1">
      <c r="A734" s="94"/>
      <c r="B734" s="72"/>
      <c r="C734" s="74"/>
      <c r="D734" s="72"/>
      <c r="E734" s="95"/>
      <c r="F734" s="74"/>
      <c r="G734" s="72"/>
      <c r="H734" s="95"/>
      <c r="I734" s="74"/>
      <c r="J734" s="74"/>
      <c r="K734" s="74"/>
      <c r="L734" s="74"/>
      <c r="M734" s="96"/>
      <c r="N734" s="74"/>
      <c r="O734" s="74"/>
      <c r="P734" s="74"/>
    </row>
    <row r="735" spans="1:16" ht="15.75" customHeight="1">
      <c r="A735" s="94"/>
      <c r="B735" s="72"/>
      <c r="C735" s="74"/>
      <c r="D735" s="72"/>
      <c r="E735" s="95"/>
      <c r="F735" s="74"/>
      <c r="G735" s="72"/>
      <c r="H735" s="95"/>
      <c r="I735" s="74"/>
      <c r="J735" s="74"/>
      <c r="K735" s="74"/>
      <c r="L735" s="74"/>
      <c r="M735" s="96"/>
      <c r="N735" s="74"/>
      <c r="O735" s="74"/>
      <c r="P735" s="74"/>
    </row>
    <row r="736" spans="1:16" ht="15.75" customHeight="1">
      <c r="A736" s="94"/>
      <c r="B736" s="72"/>
      <c r="C736" s="74"/>
      <c r="D736" s="72"/>
      <c r="E736" s="95"/>
      <c r="F736" s="74"/>
      <c r="G736" s="72"/>
      <c r="H736" s="95"/>
      <c r="I736" s="74"/>
      <c r="J736" s="74"/>
      <c r="K736" s="74"/>
      <c r="L736" s="74"/>
      <c r="M736" s="96"/>
      <c r="N736" s="74"/>
      <c r="O736" s="74"/>
      <c r="P736" s="74"/>
    </row>
    <row r="737" spans="1:16" ht="15.75" customHeight="1">
      <c r="A737" s="94"/>
      <c r="B737" s="72"/>
      <c r="C737" s="74"/>
      <c r="D737" s="72"/>
      <c r="E737" s="95"/>
      <c r="F737" s="74"/>
      <c r="G737" s="72"/>
      <c r="H737" s="95"/>
      <c r="I737" s="74"/>
      <c r="J737" s="74"/>
      <c r="K737" s="74"/>
      <c r="L737" s="74"/>
      <c r="M737" s="96"/>
      <c r="N737" s="74"/>
      <c r="O737" s="74"/>
      <c r="P737" s="74"/>
    </row>
    <row r="738" spans="1:16" ht="15.75" customHeight="1">
      <c r="A738" s="94"/>
      <c r="B738" s="72"/>
      <c r="C738" s="74"/>
      <c r="D738" s="72"/>
      <c r="E738" s="95"/>
      <c r="F738" s="74"/>
      <c r="G738" s="72"/>
      <c r="H738" s="95"/>
      <c r="I738" s="74"/>
      <c r="J738" s="74"/>
      <c r="K738" s="74"/>
      <c r="L738" s="74"/>
      <c r="M738" s="96"/>
      <c r="N738" s="74"/>
      <c r="O738" s="74"/>
      <c r="P738" s="74"/>
    </row>
    <row r="739" spans="1:16" ht="15.75" customHeight="1">
      <c r="A739" s="94"/>
      <c r="B739" s="72"/>
      <c r="C739" s="74"/>
      <c r="D739" s="72"/>
      <c r="E739" s="95"/>
      <c r="F739" s="74"/>
      <c r="G739" s="72"/>
      <c r="H739" s="95"/>
      <c r="I739" s="74"/>
      <c r="J739" s="74"/>
      <c r="K739" s="74"/>
      <c r="L739" s="74"/>
      <c r="M739" s="96"/>
      <c r="N739" s="74"/>
      <c r="O739" s="74"/>
      <c r="P739" s="74"/>
    </row>
    <row r="740" spans="1:16" ht="15.75" customHeight="1">
      <c r="A740" s="94"/>
      <c r="B740" s="72"/>
      <c r="C740" s="74"/>
      <c r="D740" s="72"/>
      <c r="E740" s="95"/>
      <c r="F740" s="74"/>
      <c r="G740" s="72"/>
      <c r="H740" s="95"/>
      <c r="I740" s="74"/>
      <c r="J740" s="74"/>
      <c r="K740" s="74"/>
      <c r="L740" s="74"/>
      <c r="M740" s="96"/>
      <c r="N740" s="74"/>
      <c r="O740" s="74"/>
      <c r="P740" s="74"/>
    </row>
    <row r="741" spans="1:16" ht="15.75" customHeight="1">
      <c r="A741" s="94"/>
      <c r="B741" s="72"/>
      <c r="C741" s="74"/>
      <c r="D741" s="72"/>
      <c r="E741" s="95"/>
      <c r="F741" s="74"/>
      <c r="G741" s="72"/>
      <c r="H741" s="95"/>
      <c r="I741" s="74"/>
      <c r="J741" s="74"/>
      <c r="K741" s="74"/>
      <c r="L741" s="74"/>
      <c r="M741" s="96"/>
      <c r="N741" s="74"/>
      <c r="O741" s="74"/>
      <c r="P741" s="74"/>
    </row>
    <row r="742" spans="1:16" ht="15.75" customHeight="1">
      <c r="A742" s="94"/>
      <c r="B742" s="72"/>
      <c r="C742" s="74"/>
      <c r="D742" s="72"/>
      <c r="E742" s="95"/>
      <c r="F742" s="74"/>
      <c r="G742" s="72"/>
      <c r="H742" s="95"/>
      <c r="I742" s="74"/>
      <c r="J742" s="74"/>
      <c r="K742" s="74"/>
      <c r="L742" s="74"/>
      <c r="M742" s="96"/>
      <c r="N742" s="74"/>
      <c r="O742" s="74"/>
      <c r="P742" s="74"/>
    </row>
    <row r="743" spans="1:16" ht="15.75" customHeight="1">
      <c r="A743" s="94"/>
      <c r="B743" s="72"/>
      <c r="C743" s="74"/>
      <c r="D743" s="72"/>
      <c r="E743" s="95"/>
      <c r="F743" s="74"/>
      <c r="G743" s="72"/>
      <c r="H743" s="95"/>
      <c r="I743" s="74"/>
      <c r="J743" s="74"/>
      <c r="K743" s="74"/>
      <c r="L743" s="74"/>
      <c r="M743" s="96"/>
      <c r="N743" s="74"/>
      <c r="O743" s="74"/>
      <c r="P743" s="74"/>
    </row>
    <row r="744" spans="1:16" ht="15.75" customHeight="1">
      <c r="A744" s="94"/>
      <c r="B744" s="72"/>
      <c r="C744" s="74"/>
      <c r="D744" s="72"/>
      <c r="E744" s="95"/>
      <c r="F744" s="74"/>
      <c r="G744" s="72"/>
      <c r="H744" s="95"/>
      <c r="I744" s="74"/>
      <c r="J744" s="74"/>
      <c r="K744" s="74"/>
      <c r="L744" s="74"/>
      <c r="M744" s="96"/>
      <c r="N744" s="74"/>
      <c r="O744" s="74"/>
      <c r="P744" s="74"/>
    </row>
    <row r="745" spans="1:16" ht="15.75" customHeight="1">
      <c r="A745" s="94"/>
      <c r="B745" s="72"/>
      <c r="C745" s="74"/>
      <c r="D745" s="72"/>
      <c r="E745" s="95"/>
      <c r="F745" s="74"/>
      <c r="G745" s="72"/>
      <c r="H745" s="95"/>
      <c r="I745" s="74"/>
      <c r="J745" s="74"/>
      <c r="K745" s="74"/>
      <c r="L745" s="74"/>
      <c r="M745" s="96"/>
      <c r="N745" s="74"/>
      <c r="O745" s="74"/>
      <c r="P745" s="74"/>
    </row>
    <row r="746" spans="1:16" ht="15.75" customHeight="1">
      <c r="A746" s="94"/>
      <c r="B746" s="72"/>
      <c r="C746" s="74"/>
      <c r="D746" s="72"/>
      <c r="E746" s="95"/>
      <c r="F746" s="74"/>
      <c r="G746" s="72"/>
      <c r="H746" s="95"/>
      <c r="I746" s="74"/>
      <c r="J746" s="74"/>
      <c r="K746" s="74"/>
      <c r="L746" s="74"/>
      <c r="M746" s="96"/>
      <c r="N746" s="74"/>
      <c r="O746" s="74"/>
      <c r="P746" s="74"/>
    </row>
    <row r="747" spans="1:16" ht="15.75" customHeight="1">
      <c r="A747" s="94"/>
      <c r="B747" s="72"/>
      <c r="C747" s="74"/>
      <c r="D747" s="72"/>
      <c r="E747" s="95"/>
      <c r="F747" s="74"/>
      <c r="G747" s="72"/>
      <c r="H747" s="95"/>
      <c r="I747" s="74"/>
      <c r="J747" s="74"/>
      <c r="K747" s="74"/>
      <c r="L747" s="74"/>
      <c r="M747" s="96"/>
      <c r="N747" s="74"/>
      <c r="O747" s="74"/>
      <c r="P747" s="74"/>
    </row>
    <row r="748" spans="1:16" ht="15.75" customHeight="1">
      <c r="A748" s="94"/>
      <c r="B748" s="72"/>
      <c r="C748" s="74"/>
      <c r="D748" s="72"/>
      <c r="E748" s="95"/>
      <c r="F748" s="74"/>
      <c r="G748" s="72"/>
      <c r="H748" s="95"/>
      <c r="I748" s="74"/>
      <c r="J748" s="74"/>
      <c r="K748" s="74"/>
      <c r="L748" s="74"/>
      <c r="M748" s="96"/>
      <c r="N748" s="74"/>
      <c r="O748" s="74"/>
      <c r="P748" s="74"/>
    </row>
    <row r="749" spans="1:16" ht="15.75" customHeight="1">
      <c r="A749" s="94"/>
      <c r="B749" s="72"/>
      <c r="C749" s="74"/>
      <c r="D749" s="72"/>
      <c r="E749" s="95"/>
      <c r="F749" s="74"/>
      <c r="G749" s="72"/>
      <c r="H749" s="95"/>
      <c r="I749" s="74"/>
      <c r="J749" s="74"/>
      <c r="K749" s="74"/>
      <c r="L749" s="74"/>
      <c r="M749" s="96"/>
      <c r="N749" s="74"/>
      <c r="O749" s="74"/>
      <c r="P749" s="74"/>
    </row>
    <row r="750" spans="1:16" ht="15.75" customHeight="1">
      <c r="A750" s="94"/>
      <c r="B750" s="72"/>
      <c r="C750" s="74"/>
      <c r="D750" s="72"/>
      <c r="E750" s="95"/>
      <c r="F750" s="74"/>
      <c r="G750" s="72"/>
      <c r="H750" s="95"/>
      <c r="I750" s="74"/>
      <c r="J750" s="74"/>
      <c r="K750" s="74"/>
      <c r="L750" s="74"/>
      <c r="M750" s="96"/>
      <c r="N750" s="74"/>
      <c r="O750" s="74"/>
      <c r="P750" s="74"/>
    </row>
    <row r="751" spans="1:16" ht="15.75" customHeight="1">
      <c r="A751" s="94"/>
      <c r="B751" s="72"/>
      <c r="C751" s="74"/>
      <c r="D751" s="72"/>
      <c r="E751" s="95"/>
      <c r="F751" s="74"/>
      <c r="G751" s="72"/>
      <c r="H751" s="95"/>
      <c r="I751" s="74"/>
      <c r="J751" s="74"/>
      <c r="K751" s="74"/>
      <c r="L751" s="74"/>
      <c r="M751" s="96"/>
      <c r="N751" s="74"/>
      <c r="O751" s="74"/>
      <c r="P751" s="74"/>
    </row>
    <row r="752" spans="1:16" ht="15.75" customHeight="1">
      <c r="A752" s="94"/>
      <c r="B752" s="72"/>
      <c r="C752" s="74"/>
      <c r="D752" s="72"/>
      <c r="E752" s="95"/>
      <c r="F752" s="74"/>
      <c r="G752" s="72"/>
      <c r="H752" s="95"/>
      <c r="I752" s="74"/>
      <c r="J752" s="74"/>
      <c r="K752" s="74"/>
      <c r="L752" s="74"/>
      <c r="M752" s="96"/>
      <c r="N752" s="74"/>
      <c r="O752" s="74"/>
      <c r="P752" s="74"/>
    </row>
    <row r="753" spans="1:16" ht="15.75" customHeight="1">
      <c r="A753" s="94"/>
      <c r="B753" s="72"/>
      <c r="C753" s="74"/>
      <c r="D753" s="72"/>
      <c r="E753" s="95"/>
      <c r="F753" s="74"/>
      <c r="G753" s="72"/>
      <c r="H753" s="95"/>
      <c r="I753" s="74"/>
      <c r="J753" s="74"/>
      <c r="K753" s="74"/>
      <c r="L753" s="74"/>
      <c r="M753" s="96"/>
      <c r="N753" s="74"/>
      <c r="O753" s="74"/>
      <c r="P753" s="74"/>
    </row>
    <row r="754" spans="1:16" ht="15.75" customHeight="1">
      <c r="A754" s="94"/>
      <c r="B754" s="72"/>
      <c r="C754" s="74"/>
      <c r="D754" s="72"/>
      <c r="E754" s="95"/>
      <c r="F754" s="74"/>
      <c r="G754" s="72"/>
      <c r="H754" s="95"/>
      <c r="I754" s="74"/>
      <c r="J754" s="74"/>
      <c r="K754" s="74"/>
      <c r="L754" s="74"/>
      <c r="M754" s="96"/>
      <c r="N754" s="74"/>
      <c r="O754" s="74"/>
      <c r="P754" s="74"/>
    </row>
    <row r="755" spans="1:16" ht="15.75" customHeight="1">
      <c r="A755" s="94"/>
      <c r="B755" s="72"/>
      <c r="C755" s="74"/>
      <c r="D755" s="72"/>
      <c r="E755" s="95"/>
      <c r="F755" s="74"/>
      <c r="G755" s="72"/>
      <c r="H755" s="95"/>
      <c r="I755" s="74"/>
      <c r="J755" s="74"/>
      <c r="K755" s="74"/>
      <c r="L755" s="74"/>
      <c r="M755" s="96"/>
      <c r="N755" s="74"/>
      <c r="O755" s="74"/>
      <c r="P755" s="74"/>
    </row>
    <row r="756" spans="1:16" ht="15.75" customHeight="1">
      <c r="A756" s="94"/>
      <c r="B756" s="72"/>
      <c r="C756" s="74"/>
      <c r="D756" s="72"/>
      <c r="E756" s="95"/>
      <c r="F756" s="74"/>
      <c r="G756" s="72"/>
      <c r="H756" s="95"/>
      <c r="I756" s="74"/>
      <c r="J756" s="74"/>
      <c r="K756" s="74"/>
      <c r="L756" s="74"/>
      <c r="M756" s="96"/>
      <c r="N756" s="74"/>
      <c r="O756" s="74"/>
      <c r="P756" s="74"/>
    </row>
    <row r="757" spans="1:16" ht="15.75" customHeight="1">
      <c r="A757" s="94"/>
      <c r="B757" s="72"/>
      <c r="C757" s="74"/>
      <c r="D757" s="72"/>
      <c r="E757" s="95"/>
      <c r="F757" s="74"/>
      <c r="G757" s="72"/>
      <c r="H757" s="95"/>
      <c r="I757" s="74"/>
      <c r="J757" s="74"/>
      <c r="K757" s="74"/>
      <c r="L757" s="74"/>
      <c r="M757" s="96"/>
      <c r="N757" s="74"/>
      <c r="O757" s="74"/>
      <c r="P757" s="74"/>
    </row>
    <row r="758" spans="1:16" ht="15.75" customHeight="1">
      <c r="A758" s="94"/>
      <c r="B758" s="72"/>
      <c r="C758" s="74"/>
      <c r="D758" s="72"/>
      <c r="E758" s="95"/>
      <c r="F758" s="74"/>
      <c r="G758" s="72"/>
      <c r="H758" s="95"/>
      <c r="I758" s="74"/>
      <c r="J758" s="74"/>
      <c r="K758" s="74"/>
      <c r="L758" s="74"/>
      <c r="M758" s="96"/>
      <c r="N758" s="74"/>
      <c r="O758" s="74"/>
      <c r="P758" s="74"/>
    </row>
    <row r="759" spans="1:16" ht="15.75" customHeight="1">
      <c r="A759" s="94"/>
      <c r="B759" s="72"/>
      <c r="C759" s="74"/>
      <c r="D759" s="72"/>
      <c r="E759" s="95"/>
      <c r="F759" s="74"/>
      <c r="G759" s="72"/>
      <c r="H759" s="95"/>
      <c r="I759" s="74"/>
      <c r="J759" s="74"/>
      <c r="K759" s="74"/>
      <c r="L759" s="74"/>
      <c r="M759" s="96"/>
      <c r="N759" s="74"/>
      <c r="O759" s="74"/>
      <c r="P759" s="74"/>
    </row>
    <row r="760" spans="1:16" ht="15.75" customHeight="1">
      <c r="A760" s="94"/>
      <c r="B760" s="72"/>
      <c r="C760" s="74"/>
      <c r="D760" s="72"/>
      <c r="E760" s="95"/>
      <c r="F760" s="74"/>
      <c r="G760" s="72"/>
      <c r="H760" s="95"/>
      <c r="I760" s="74"/>
      <c r="J760" s="74"/>
      <c r="K760" s="74"/>
      <c r="L760" s="74"/>
      <c r="M760" s="96"/>
      <c r="N760" s="74"/>
      <c r="O760" s="74"/>
      <c r="P760" s="74"/>
    </row>
    <row r="761" spans="1:16" ht="15.75" customHeight="1">
      <c r="A761" s="94"/>
      <c r="B761" s="72"/>
      <c r="C761" s="74"/>
      <c r="D761" s="72"/>
      <c r="E761" s="95"/>
      <c r="F761" s="74"/>
      <c r="G761" s="72"/>
      <c r="H761" s="95"/>
      <c r="I761" s="74"/>
      <c r="J761" s="74"/>
      <c r="K761" s="74"/>
      <c r="L761" s="74"/>
      <c r="M761" s="96"/>
      <c r="N761" s="74"/>
      <c r="O761" s="74"/>
      <c r="P761" s="74"/>
    </row>
    <row r="762" spans="1:16" ht="15.75" customHeight="1">
      <c r="A762" s="94"/>
      <c r="B762" s="72"/>
      <c r="C762" s="74"/>
      <c r="D762" s="72"/>
      <c r="E762" s="95"/>
      <c r="F762" s="74"/>
      <c r="G762" s="72"/>
      <c r="H762" s="95"/>
      <c r="I762" s="74"/>
      <c r="J762" s="74"/>
      <c r="K762" s="74"/>
      <c r="L762" s="74"/>
      <c r="M762" s="96"/>
      <c r="N762" s="74"/>
      <c r="O762" s="74"/>
      <c r="P762" s="74"/>
    </row>
    <row r="763" spans="1:16" ht="15.75" customHeight="1">
      <c r="A763" s="94"/>
      <c r="B763" s="72"/>
      <c r="C763" s="74"/>
      <c r="D763" s="72"/>
      <c r="E763" s="95"/>
      <c r="F763" s="74"/>
      <c r="G763" s="72"/>
      <c r="H763" s="95"/>
      <c r="I763" s="74"/>
      <c r="J763" s="74"/>
      <c r="K763" s="74"/>
      <c r="L763" s="74"/>
      <c r="M763" s="96"/>
      <c r="N763" s="74"/>
      <c r="O763" s="74"/>
      <c r="P763" s="74"/>
    </row>
    <row r="764" spans="1:16" ht="15.75" customHeight="1">
      <c r="A764" s="94"/>
      <c r="B764" s="72"/>
      <c r="C764" s="74"/>
      <c r="D764" s="72"/>
      <c r="E764" s="95"/>
      <c r="F764" s="74"/>
      <c r="G764" s="72"/>
      <c r="H764" s="95"/>
      <c r="I764" s="74"/>
      <c r="J764" s="74"/>
      <c r="K764" s="74"/>
      <c r="L764" s="74"/>
      <c r="M764" s="96"/>
      <c r="N764" s="74"/>
      <c r="O764" s="74"/>
      <c r="P764" s="74"/>
    </row>
    <row r="765" spans="1:16" ht="15.75" customHeight="1">
      <c r="A765" s="94"/>
      <c r="B765" s="72"/>
      <c r="C765" s="74"/>
      <c r="D765" s="72"/>
      <c r="E765" s="95"/>
      <c r="F765" s="74"/>
      <c r="G765" s="72"/>
      <c r="H765" s="95"/>
      <c r="I765" s="74"/>
      <c r="J765" s="74"/>
      <c r="K765" s="74"/>
      <c r="L765" s="74"/>
      <c r="M765" s="96"/>
      <c r="N765" s="74"/>
      <c r="O765" s="74"/>
      <c r="P765" s="74"/>
    </row>
    <row r="766" spans="1:16" ht="15.75" customHeight="1">
      <c r="A766" s="94"/>
      <c r="B766" s="72"/>
      <c r="C766" s="74"/>
      <c r="D766" s="72"/>
      <c r="E766" s="95"/>
      <c r="F766" s="74"/>
      <c r="G766" s="72"/>
      <c r="H766" s="95"/>
      <c r="I766" s="74"/>
      <c r="J766" s="74"/>
      <c r="K766" s="74"/>
      <c r="L766" s="74"/>
      <c r="M766" s="96"/>
      <c r="N766" s="74"/>
      <c r="O766" s="74"/>
      <c r="P766" s="74"/>
    </row>
    <row r="767" spans="1:16" ht="15.75" customHeight="1">
      <c r="A767" s="94"/>
      <c r="B767" s="72"/>
      <c r="C767" s="74"/>
      <c r="D767" s="72"/>
      <c r="E767" s="95"/>
      <c r="F767" s="74"/>
      <c r="G767" s="72"/>
      <c r="H767" s="95"/>
      <c r="I767" s="74"/>
      <c r="J767" s="74"/>
      <c r="K767" s="74"/>
      <c r="L767" s="74"/>
      <c r="M767" s="96"/>
      <c r="N767" s="74"/>
      <c r="O767" s="74"/>
      <c r="P767" s="74"/>
    </row>
    <row r="768" spans="1:16" ht="15.75" customHeight="1">
      <c r="A768" s="94"/>
      <c r="B768" s="72"/>
      <c r="C768" s="74"/>
      <c r="D768" s="72"/>
      <c r="E768" s="95"/>
      <c r="F768" s="74"/>
      <c r="G768" s="72"/>
      <c r="H768" s="95"/>
      <c r="I768" s="74"/>
      <c r="J768" s="74"/>
      <c r="K768" s="74"/>
      <c r="L768" s="74"/>
      <c r="M768" s="96"/>
      <c r="N768" s="74"/>
      <c r="O768" s="74"/>
      <c r="P768" s="74"/>
    </row>
    <row r="769" spans="1:16" ht="15.75" customHeight="1">
      <c r="A769" s="94"/>
      <c r="B769" s="72"/>
      <c r="C769" s="74"/>
      <c r="D769" s="72"/>
      <c r="E769" s="95"/>
      <c r="F769" s="74"/>
      <c r="G769" s="72"/>
      <c r="H769" s="95"/>
      <c r="I769" s="74"/>
      <c r="J769" s="74"/>
      <c r="K769" s="74"/>
      <c r="L769" s="74"/>
      <c r="M769" s="96"/>
      <c r="N769" s="74"/>
      <c r="O769" s="74"/>
      <c r="P769" s="74"/>
    </row>
    <row r="770" spans="1:16" ht="15.75" customHeight="1">
      <c r="A770" s="94"/>
      <c r="B770" s="72"/>
      <c r="C770" s="74"/>
      <c r="D770" s="72"/>
      <c r="E770" s="95"/>
      <c r="F770" s="74"/>
      <c r="G770" s="72"/>
      <c r="H770" s="95"/>
      <c r="I770" s="74"/>
      <c r="J770" s="74"/>
      <c r="K770" s="74"/>
      <c r="L770" s="74"/>
      <c r="M770" s="96"/>
      <c r="N770" s="74"/>
      <c r="O770" s="74"/>
      <c r="P770" s="74"/>
    </row>
    <row r="771" spans="1:16" ht="15.75" customHeight="1">
      <c r="A771" s="94"/>
      <c r="B771" s="72"/>
      <c r="C771" s="74"/>
      <c r="D771" s="72"/>
      <c r="E771" s="95"/>
      <c r="F771" s="74"/>
      <c r="G771" s="72"/>
      <c r="H771" s="95"/>
      <c r="I771" s="74"/>
      <c r="J771" s="74"/>
      <c r="K771" s="74"/>
      <c r="L771" s="74"/>
      <c r="M771" s="96"/>
      <c r="N771" s="74"/>
      <c r="O771" s="74"/>
      <c r="P771" s="74"/>
    </row>
    <row r="772" spans="1:16" ht="15.75" customHeight="1">
      <c r="A772" s="94"/>
      <c r="B772" s="72"/>
      <c r="C772" s="74"/>
      <c r="D772" s="72"/>
      <c r="E772" s="95"/>
      <c r="F772" s="74"/>
      <c r="G772" s="72"/>
      <c r="H772" s="95"/>
      <c r="I772" s="74"/>
      <c r="J772" s="74"/>
      <c r="K772" s="74"/>
      <c r="L772" s="74"/>
      <c r="M772" s="96"/>
      <c r="N772" s="74"/>
      <c r="O772" s="74"/>
      <c r="P772" s="74"/>
    </row>
    <row r="773" spans="1:16" ht="15.75" customHeight="1">
      <c r="A773" s="94"/>
      <c r="B773" s="72"/>
      <c r="C773" s="74"/>
      <c r="D773" s="72"/>
      <c r="E773" s="95"/>
      <c r="F773" s="74"/>
      <c r="G773" s="72"/>
      <c r="H773" s="95"/>
      <c r="I773" s="74"/>
      <c r="J773" s="74"/>
      <c r="K773" s="74"/>
      <c r="L773" s="74"/>
      <c r="M773" s="96"/>
      <c r="N773" s="74"/>
      <c r="O773" s="74"/>
      <c r="P773" s="74"/>
    </row>
    <row r="774" spans="1:16" ht="15.75" customHeight="1">
      <c r="A774" s="94"/>
      <c r="B774" s="72"/>
      <c r="C774" s="74"/>
      <c r="D774" s="72"/>
      <c r="E774" s="95"/>
      <c r="F774" s="74"/>
      <c r="G774" s="72"/>
      <c r="H774" s="95"/>
      <c r="I774" s="74"/>
      <c r="J774" s="74"/>
      <c r="K774" s="74"/>
      <c r="L774" s="74"/>
      <c r="M774" s="96"/>
      <c r="N774" s="74"/>
      <c r="O774" s="74"/>
      <c r="P774" s="74"/>
    </row>
    <row r="775" spans="1:16" ht="15.75" customHeight="1">
      <c r="A775" s="94"/>
      <c r="B775" s="72"/>
      <c r="C775" s="74"/>
      <c r="D775" s="72"/>
      <c r="E775" s="95"/>
      <c r="F775" s="74"/>
      <c r="G775" s="72"/>
      <c r="H775" s="95"/>
      <c r="I775" s="74"/>
      <c r="J775" s="74"/>
      <c r="K775" s="74"/>
      <c r="L775" s="74"/>
      <c r="M775" s="96"/>
      <c r="N775" s="74"/>
      <c r="O775" s="74"/>
      <c r="P775" s="74"/>
    </row>
    <row r="776" spans="1:16" ht="15.75" customHeight="1">
      <c r="A776" s="94"/>
      <c r="B776" s="72"/>
      <c r="C776" s="74"/>
      <c r="D776" s="72"/>
      <c r="E776" s="95"/>
      <c r="F776" s="74"/>
      <c r="G776" s="72"/>
      <c r="H776" s="95"/>
      <c r="I776" s="74"/>
      <c r="J776" s="74"/>
      <c r="K776" s="74"/>
      <c r="L776" s="74"/>
      <c r="M776" s="96"/>
      <c r="N776" s="74"/>
      <c r="O776" s="74"/>
      <c r="P776" s="74"/>
    </row>
    <row r="777" spans="1:16" ht="15.75" customHeight="1">
      <c r="A777" s="94"/>
      <c r="B777" s="72"/>
      <c r="C777" s="74"/>
      <c r="D777" s="72"/>
      <c r="E777" s="95"/>
      <c r="F777" s="74"/>
      <c r="G777" s="72"/>
      <c r="H777" s="95"/>
      <c r="I777" s="74"/>
      <c r="J777" s="74"/>
      <c r="K777" s="74"/>
      <c r="L777" s="74"/>
      <c r="M777" s="96"/>
      <c r="N777" s="74"/>
      <c r="O777" s="74"/>
      <c r="P777" s="74"/>
    </row>
    <row r="778" spans="1:16" ht="15.75" customHeight="1">
      <c r="A778" s="94"/>
      <c r="B778" s="72"/>
      <c r="C778" s="74"/>
      <c r="D778" s="72"/>
      <c r="E778" s="95"/>
      <c r="F778" s="74"/>
      <c r="G778" s="72"/>
      <c r="H778" s="95"/>
      <c r="I778" s="74"/>
      <c r="J778" s="74"/>
      <c r="K778" s="74"/>
      <c r="L778" s="74"/>
      <c r="M778" s="96"/>
      <c r="N778" s="74"/>
      <c r="O778" s="74"/>
      <c r="P778" s="74"/>
    </row>
    <row r="779" spans="1:16" ht="15.75" customHeight="1">
      <c r="A779" s="94"/>
      <c r="B779" s="72"/>
      <c r="C779" s="74"/>
      <c r="D779" s="72"/>
      <c r="E779" s="95"/>
      <c r="F779" s="74"/>
      <c r="G779" s="72"/>
      <c r="H779" s="95"/>
      <c r="I779" s="74"/>
      <c r="J779" s="74"/>
      <c r="K779" s="74"/>
      <c r="L779" s="74"/>
      <c r="M779" s="96"/>
      <c r="N779" s="74"/>
      <c r="O779" s="74"/>
      <c r="P779" s="74"/>
    </row>
    <row r="780" spans="1:16" ht="15.75" customHeight="1">
      <c r="A780" s="94"/>
      <c r="B780" s="72"/>
      <c r="C780" s="74"/>
      <c r="D780" s="72"/>
      <c r="E780" s="95"/>
      <c r="F780" s="74"/>
      <c r="G780" s="72"/>
      <c r="H780" s="95"/>
      <c r="I780" s="74"/>
      <c r="J780" s="74"/>
      <c r="K780" s="74"/>
      <c r="L780" s="74"/>
      <c r="M780" s="96"/>
      <c r="N780" s="74"/>
      <c r="O780" s="74"/>
      <c r="P780" s="74"/>
    </row>
    <row r="781" spans="1:16" ht="15.75" customHeight="1">
      <c r="A781" s="94"/>
      <c r="B781" s="72"/>
      <c r="C781" s="74"/>
      <c r="D781" s="72"/>
      <c r="E781" s="95"/>
      <c r="F781" s="74"/>
      <c r="G781" s="72"/>
      <c r="H781" s="95"/>
      <c r="I781" s="74"/>
      <c r="J781" s="74"/>
      <c r="K781" s="74"/>
      <c r="L781" s="74"/>
      <c r="M781" s="96"/>
      <c r="N781" s="74"/>
      <c r="O781" s="74"/>
      <c r="P781" s="74"/>
    </row>
    <row r="782" spans="1:16" ht="15.75" customHeight="1">
      <c r="A782" s="94"/>
      <c r="B782" s="72"/>
      <c r="C782" s="74"/>
      <c r="D782" s="72"/>
      <c r="E782" s="95"/>
      <c r="F782" s="74"/>
      <c r="G782" s="72"/>
      <c r="H782" s="95"/>
      <c r="I782" s="74"/>
      <c r="J782" s="74"/>
      <c r="K782" s="74"/>
      <c r="L782" s="74"/>
      <c r="M782" s="96"/>
      <c r="N782" s="74"/>
      <c r="O782" s="74"/>
      <c r="P782" s="74"/>
    </row>
    <row r="783" spans="1:16" ht="15.75" customHeight="1">
      <c r="A783" s="94"/>
      <c r="B783" s="72"/>
      <c r="C783" s="74"/>
      <c r="D783" s="72"/>
      <c r="E783" s="95"/>
      <c r="F783" s="74"/>
      <c r="G783" s="72"/>
      <c r="H783" s="95"/>
      <c r="I783" s="74"/>
      <c r="J783" s="74"/>
      <c r="K783" s="74"/>
      <c r="L783" s="74"/>
      <c r="M783" s="96"/>
      <c r="N783" s="74"/>
      <c r="O783" s="74"/>
      <c r="P783" s="74"/>
    </row>
    <row r="784" spans="1:16" ht="15.75" customHeight="1">
      <c r="A784" s="94"/>
      <c r="B784" s="72"/>
      <c r="C784" s="74"/>
      <c r="D784" s="72"/>
      <c r="E784" s="95"/>
      <c r="F784" s="74"/>
      <c r="G784" s="72"/>
      <c r="H784" s="95"/>
      <c r="I784" s="74"/>
      <c r="J784" s="74"/>
      <c r="K784" s="74"/>
      <c r="L784" s="74"/>
      <c r="M784" s="96"/>
      <c r="N784" s="74"/>
      <c r="O784" s="74"/>
      <c r="P784" s="74"/>
    </row>
    <row r="785" spans="1:16" ht="15.75" customHeight="1">
      <c r="A785" s="94"/>
      <c r="B785" s="72"/>
      <c r="C785" s="74"/>
      <c r="D785" s="72"/>
      <c r="E785" s="95"/>
      <c r="F785" s="74"/>
      <c r="G785" s="72"/>
      <c r="H785" s="95"/>
      <c r="I785" s="74"/>
      <c r="J785" s="74"/>
      <c r="K785" s="74"/>
      <c r="L785" s="74"/>
      <c r="M785" s="96"/>
      <c r="N785" s="74"/>
      <c r="O785" s="74"/>
      <c r="P785" s="74"/>
    </row>
    <row r="786" spans="1:16" ht="15.75" customHeight="1">
      <c r="A786" s="94"/>
      <c r="B786" s="72"/>
      <c r="C786" s="74"/>
      <c r="D786" s="72"/>
      <c r="E786" s="95"/>
      <c r="F786" s="74"/>
      <c r="G786" s="72"/>
      <c r="H786" s="95"/>
      <c r="I786" s="74"/>
      <c r="J786" s="74"/>
      <c r="K786" s="74"/>
      <c r="L786" s="74"/>
      <c r="M786" s="96"/>
      <c r="N786" s="74"/>
      <c r="O786" s="74"/>
      <c r="P786" s="74"/>
    </row>
    <row r="787" spans="1:16" ht="15.75" customHeight="1">
      <c r="A787" s="94"/>
      <c r="B787" s="72"/>
      <c r="C787" s="74"/>
      <c r="D787" s="72"/>
      <c r="E787" s="95"/>
      <c r="F787" s="74"/>
      <c r="G787" s="72"/>
      <c r="H787" s="95"/>
      <c r="I787" s="74"/>
      <c r="J787" s="74"/>
      <c r="K787" s="74"/>
      <c r="L787" s="74"/>
      <c r="M787" s="96"/>
      <c r="N787" s="74"/>
      <c r="O787" s="74"/>
      <c r="P787" s="74"/>
    </row>
    <row r="788" spans="1:16" ht="15.75" customHeight="1">
      <c r="A788" s="94"/>
      <c r="B788" s="72"/>
      <c r="C788" s="74"/>
      <c r="D788" s="72"/>
      <c r="E788" s="95"/>
      <c r="F788" s="74"/>
      <c r="G788" s="72"/>
      <c r="H788" s="95"/>
      <c r="I788" s="74"/>
      <c r="J788" s="74"/>
      <c r="K788" s="74"/>
      <c r="L788" s="74"/>
      <c r="M788" s="96"/>
      <c r="N788" s="74"/>
      <c r="O788" s="74"/>
      <c r="P788" s="74"/>
    </row>
    <row r="789" spans="1:16" ht="15.75" customHeight="1">
      <c r="A789" s="94"/>
      <c r="B789" s="72"/>
      <c r="C789" s="74"/>
      <c r="D789" s="72"/>
      <c r="E789" s="95"/>
      <c r="F789" s="74"/>
      <c r="G789" s="72"/>
      <c r="H789" s="95"/>
      <c r="I789" s="74"/>
      <c r="J789" s="74"/>
      <c r="K789" s="74"/>
      <c r="L789" s="74"/>
      <c r="M789" s="96"/>
      <c r="N789" s="74"/>
      <c r="O789" s="74"/>
      <c r="P789" s="74"/>
    </row>
    <row r="790" spans="1:16" ht="15.75" customHeight="1">
      <c r="A790" s="94"/>
      <c r="B790" s="72"/>
      <c r="C790" s="74"/>
      <c r="D790" s="72"/>
      <c r="E790" s="95"/>
      <c r="F790" s="74"/>
      <c r="G790" s="72"/>
      <c r="H790" s="95"/>
      <c r="I790" s="74"/>
      <c r="J790" s="74"/>
      <c r="K790" s="74"/>
      <c r="L790" s="74"/>
      <c r="M790" s="96"/>
      <c r="N790" s="74"/>
      <c r="O790" s="74"/>
      <c r="P790" s="74"/>
    </row>
    <row r="791" spans="1:16" ht="15.75" customHeight="1">
      <c r="A791" s="94"/>
      <c r="B791" s="72"/>
      <c r="C791" s="74"/>
      <c r="D791" s="72"/>
      <c r="E791" s="95"/>
      <c r="F791" s="74"/>
      <c r="G791" s="72"/>
      <c r="H791" s="95"/>
      <c r="I791" s="74"/>
      <c r="J791" s="74"/>
      <c r="K791" s="74"/>
      <c r="L791" s="74"/>
      <c r="M791" s="96"/>
      <c r="N791" s="74"/>
      <c r="O791" s="74"/>
      <c r="P791" s="74"/>
    </row>
    <row r="792" spans="1:16" ht="15.75" customHeight="1">
      <c r="A792" s="94"/>
      <c r="B792" s="72"/>
      <c r="C792" s="74"/>
      <c r="D792" s="72"/>
      <c r="E792" s="95"/>
      <c r="F792" s="74"/>
      <c r="G792" s="72"/>
      <c r="H792" s="95"/>
      <c r="I792" s="74"/>
      <c r="J792" s="74"/>
      <c r="K792" s="74"/>
      <c r="L792" s="74"/>
      <c r="M792" s="96"/>
      <c r="N792" s="74"/>
      <c r="O792" s="74"/>
      <c r="P792" s="74"/>
    </row>
    <row r="793" spans="1:16" ht="15.75" customHeight="1">
      <c r="A793" s="94"/>
      <c r="B793" s="72"/>
      <c r="C793" s="74"/>
      <c r="D793" s="72"/>
      <c r="E793" s="95"/>
      <c r="F793" s="74"/>
      <c r="G793" s="72"/>
      <c r="H793" s="95"/>
      <c r="I793" s="74"/>
      <c r="J793" s="74"/>
      <c r="K793" s="74"/>
      <c r="L793" s="74"/>
      <c r="M793" s="96"/>
      <c r="N793" s="74"/>
      <c r="O793" s="74"/>
      <c r="P793" s="74"/>
    </row>
    <row r="794" spans="1:16" ht="15.75" customHeight="1">
      <c r="A794" s="94"/>
      <c r="B794" s="72"/>
      <c r="C794" s="74"/>
      <c r="D794" s="72"/>
      <c r="E794" s="95"/>
      <c r="F794" s="74"/>
      <c r="G794" s="72"/>
      <c r="H794" s="95"/>
      <c r="I794" s="74"/>
      <c r="J794" s="74"/>
      <c r="K794" s="74"/>
      <c r="L794" s="74"/>
      <c r="M794" s="96"/>
      <c r="N794" s="74"/>
      <c r="O794" s="74"/>
      <c r="P794" s="74"/>
    </row>
    <row r="795" spans="1:16" ht="15.75" customHeight="1">
      <c r="A795" s="94"/>
      <c r="B795" s="72"/>
      <c r="C795" s="74"/>
      <c r="D795" s="72"/>
      <c r="E795" s="95"/>
      <c r="F795" s="74"/>
      <c r="G795" s="72"/>
      <c r="H795" s="95"/>
      <c r="I795" s="74"/>
      <c r="J795" s="74"/>
      <c r="K795" s="74"/>
      <c r="L795" s="74"/>
      <c r="M795" s="96"/>
      <c r="N795" s="74"/>
      <c r="O795" s="74"/>
      <c r="P795" s="74"/>
    </row>
    <row r="796" spans="1:16" ht="15.75" customHeight="1">
      <c r="A796" s="94"/>
      <c r="B796" s="72"/>
      <c r="C796" s="74"/>
      <c r="D796" s="72"/>
      <c r="E796" s="95"/>
      <c r="F796" s="74"/>
      <c r="G796" s="72"/>
      <c r="H796" s="95"/>
      <c r="I796" s="74"/>
      <c r="J796" s="74"/>
      <c r="K796" s="74"/>
      <c r="L796" s="74"/>
      <c r="M796" s="96"/>
      <c r="N796" s="74"/>
      <c r="O796" s="74"/>
      <c r="P796" s="74"/>
    </row>
    <row r="797" spans="1:16" ht="15.75" customHeight="1">
      <c r="A797" s="94"/>
      <c r="B797" s="72"/>
      <c r="C797" s="74"/>
      <c r="D797" s="72"/>
      <c r="E797" s="95"/>
      <c r="F797" s="74"/>
      <c r="G797" s="72"/>
      <c r="H797" s="95"/>
      <c r="I797" s="74"/>
      <c r="J797" s="74"/>
      <c r="K797" s="74"/>
      <c r="L797" s="74"/>
      <c r="M797" s="96"/>
      <c r="N797" s="74"/>
      <c r="O797" s="74"/>
      <c r="P797" s="74"/>
    </row>
    <row r="798" spans="1:16" ht="15.75" customHeight="1">
      <c r="A798" s="94"/>
      <c r="B798" s="72"/>
      <c r="C798" s="74"/>
      <c r="D798" s="72"/>
      <c r="E798" s="95"/>
      <c r="F798" s="74"/>
      <c r="G798" s="72"/>
      <c r="H798" s="95"/>
      <c r="I798" s="74"/>
      <c r="J798" s="74"/>
      <c r="K798" s="74"/>
      <c r="L798" s="74"/>
      <c r="M798" s="96"/>
      <c r="N798" s="74"/>
      <c r="O798" s="74"/>
      <c r="P798" s="74"/>
    </row>
    <row r="799" spans="1:16" ht="15.75" customHeight="1">
      <c r="A799" s="94"/>
      <c r="B799" s="72"/>
      <c r="C799" s="74"/>
      <c r="D799" s="72"/>
      <c r="E799" s="95"/>
      <c r="F799" s="74"/>
      <c r="G799" s="72"/>
      <c r="H799" s="95"/>
      <c r="I799" s="74"/>
      <c r="J799" s="74"/>
      <c r="K799" s="74"/>
      <c r="L799" s="74"/>
      <c r="M799" s="96"/>
      <c r="N799" s="74"/>
      <c r="O799" s="74"/>
      <c r="P799" s="74"/>
    </row>
    <row r="800" spans="1:16" ht="15.75" customHeight="1">
      <c r="A800" s="94"/>
      <c r="B800" s="72"/>
      <c r="C800" s="74"/>
      <c r="D800" s="72"/>
      <c r="E800" s="95"/>
      <c r="F800" s="74"/>
      <c r="G800" s="72"/>
      <c r="H800" s="95"/>
      <c r="I800" s="74"/>
      <c r="J800" s="74"/>
      <c r="K800" s="74"/>
      <c r="L800" s="74"/>
      <c r="M800" s="96"/>
      <c r="N800" s="74"/>
      <c r="O800" s="74"/>
      <c r="P800" s="74"/>
    </row>
    <row r="801" spans="1:16" ht="15.75" customHeight="1">
      <c r="A801" s="94"/>
      <c r="B801" s="72"/>
      <c r="C801" s="74"/>
      <c r="D801" s="72"/>
      <c r="E801" s="95"/>
      <c r="F801" s="74"/>
      <c r="G801" s="72"/>
      <c r="H801" s="95"/>
      <c r="I801" s="74"/>
      <c r="J801" s="74"/>
      <c r="K801" s="74"/>
      <c r="L801" s="74"/>
      <c r="M801" s="96"/>
      <c r="N801" s="74"/>
      <c r="O801" s="74"/>
      <c r="P801" s="74"/>
    </row>
    <row r="802" spans="1:16" ht="15.75" customHeight="1">
      <c r="A802" s="94"/>
      <c r="B802" s="72"/>
      <c r="C802" s="74"/>
      <c r="D802" s="72"/>
      <c r="E802" s="95"/>
      <c r="F802" s="74"/>
      <c r="G802" s="72"/>
      <c r="H802" s="95"/>
      <c r="I802" s="74"/>
      <c r="J802" s="74"/>
      <c r="K802" s="74"/>
      <c r="L802" s="74"/>
      <c r="M802" s="96"/>
      <c r="N802" s="74"/>
      <c r="O802" s="74"/>
      <c r="P802" s="74"/>
    </row>
    <row r="803" spans="1:16" ht="15.75" customHeight="1">
      <c r="A803" s="94"/>
      <c r="B803" s="72"/>
      <c r="C803" s="74"/>
      <c r="D803" s="72"/>
      <c r="E803" s="95"/>
      <c r="F803" s="74"/>
      <c r="G803" s="72"/>
      <c r="H803" s="95"/>
      <c r="I803" s="74"/>
      <c r="J803" s="74"/>
      <c r="K803" s="74"/>
      <c r="L803" s="74"/>
      <c r="M803" s="96"/>
      <c r="N803" s="74"/>
      <c r="O803" s="74"/>
      <c r="P803" s="74"/>
    </row>
    <row r="804" spans="1:16" ht="15.75" customHeight="1">
      <c r="A804" s="94"/>
      <c r="B804" s="72"/>
      <c r="C804" s="74"/>
      <c r="D804" s="72"/>
      <c r="E804" s="95"/>
      <c r="F804" s="74"/>
      <c r="G804" s="72"/>
      <c r="H804" s="95"/>
      <c r="I804" s="74"/>
      <c r="J804" s="74"/>
      <c r="K804" s="74"/>
      <c r="L804" s="74"/>
      <c r="M804" s="96"/>
      <c r="N804" s="74"/>
      <c r="O804" s="74"/>
      <c r="P804" s="74"/>
    </row>
    <row r="805" spans="1:16" ht="15.75" customHeight="1">
      <c r="A805" s="94"/>
      <c r="B805" s="72"/>
      <c r="C805" s="74"/>
      <c r="D805" s="72"/>
      <c r="E805" s="95"/>
      <c r="F805" s="74"/>
      <c r="G805" s="72"/>
      <c r="H805" s="95"/>
      <c r="I805" s="74"/>
      <c r="J805" s="74"/>
      <c r="K805" s="74"/>
      <c r="L805" s="74"/>
      <c r="M805" s="96"/>
      <c r="N805" s="74"/>
      <c r="O805" s="74"/>
      <c r="P805" s="74"/>
    </row>
    <row r="806" spans="1:16" ht="15.75" customHeight="1">
      <c r="A806" s="94"/>
      <c r="B806" s="72"/>
      <c r="C806" s="74"/>
      <c r="D806" s="72"/>
      <c r="E806" s="95"/>
      <c r="F806" s="74"/>
      <c r="G806" s="72"/>
      <c r="H806" s="95"/>
      <c r="I806" s="74"/>
      <c r="J806" s="74"/>
      <c r="K806" s="74"/>
      <c r="L806" s="74"/>
      <c r="M806" s="96"/>
      <c r="N806" s="74"/>
      <c r="O806" s="74"/>
      <c r="P806" s="74"/>
    </row>
    <row r="807" spans="1:16" ht="15.75" customHeight="1">
      <c r="A807" s="94"/>
      <c r="B807" s="72"/>
      <c r="C807" s="74"/>
      <c r="D807" s="72"/>
      <c r="E807" s="95"/>
      <c r="F807" s="74"/>
      <c r="G807" s="72"/>
      <c r="H807" s="95"/>
      <c r="I807" s="74"/>
      <c r="J807" s="74"/>
      <c r="K807" s="74"/>
      <c r="L807" s="74"/>
      <c r="M807" s="96"/>
      <c r="N807" s="74"/>
      <c r="O807" s="74"/>
      <c r="P807" s="74"/>
    </row>
    <row r="808" spans="1:16" ht="15.75" customHeight="1">
      <c r="A808" s="94"/>
      <c r="B808" s="72"/>
      <c r="C808" s="74"/>
      <c r="D808" s="72"/>
      <c r="E808" s="95"/>
      <c r="F808" s="74"/>
      <c r="G808" s="72"/>
      <c r="H808" s="95"/>
      <c r="I808" s="74"/>
      <c r="J808" s="74"/>
      <c r="K808" s="74"/>
      <c r="L808" s="74"/>
      <c r="M808" s="96"/>
      <c r="N808" s="74"/>
      <c r="O808" s="74"/>
      <c r="P808" s="74"/>
    </row>
    <row r="809" spans="1:16" ht="15.75" customHeight="1">
      <c r="A809" s="94"/>
      <c r="B809" s="72"/>
      <c r="C809" s="74"/>
      <c r="D809" s="72"/>
      <c r="E809" s="95"/>
      <c r="F809" s="74"/>
      <c r="G809" s="72"/>
      <c r="H809" s="95"/>
      <c r="I809" s="74"/>
      <c r="J809" s="74"/>
      <c r="K809" s="74"/>
      <c r="L809" s="74"/>
      <c r="M809" s="96"/>
      <c r="N809" s="74"/>
      <c r="O809" s="74"/>
      <c r="P809" s="74"/>
    </row>
    <row r="810" spans="1:16" ht="15.75" customHeight="1">
      <c r="A810" s="94"/>
      <c r="B810" s="72"/>
      <c r="C810" s="74"/>
      <c r="D810" s="72"/>
      <c r="E810" s="95"/>
      <c r="F810" s="74"/>
      <c r="G810" s="72"/>
      <c r="H810" s="95"/>
      <c r="I810" s="74"/>
      <c r="J810" s="74"/>
      <c r="K810" s="74"/>
      <c r="L810" s="74"/>
      <c r="M810" s="96"/>
      <c r="N810" s="74"/>
      <c r="O810" s="74"/>
      <c r="P810" s="74"/>
    </row>
    <row r="811" spans="1:16" ht="15.75" customHeight="1">
      <c r="A811" s="94"/>
      <c r="B811" s="72"/>
      <c r="C811" s="74"/>
      <c r="D811" s="72"/>
      <c r="E811" s="95"/>
      <c r="F811" s="74"/>
      <c r="G811" s="72"/>
      <c r="H811" s="95"/>
      <c r="I811" s="74"/>
      <c r="J811" s="74"/>
      <c r="K811" s="74"/>
      <c r="L811" s="74"/>
      <c r="M811" s="96"/>
      <c r="N811" s="74"/>
      <c r="O811" s="74"/>
      <c r="P811" s="74"/>
    </row>
    <row r="812" spans="1:16" ht="15.75" customHeight="1">
      <c r="A812" s="94"/>
      <c r="B812" s="72"/>
      <c r="C812" s="74"/>
      <c r="D812" s="72"/>
      <c r="E812" s="95"/>
      <c r="F812" s="74"/>
      <c r="G812" s="72"/>
      <c r="H812" s="95"/>
      <c r="I812" s="74"/>
      <c r="J812" s="74"/>
      <c r="K812" s="74"/>
      <c r="L812" s="74"/>
      <c r="M812" s="96"/>
      <c r="N812" s="74"/>
      <c r="O812" s="74"/>
      <c r="P812" s="74"/>
    </row>
    <row r="813" spans="1:16" ht="15.75" customHeight="1">
      <c r="A813" s="94"/>
      <c r="B813" s="72"/>
      <c r="C813" s="74"/>
      <c r="D813" s="72"/>
      <c r="E813" s="95"/>
      <c r="F813" s="74"/>
      <c r="G813" s="72"/>
      <c r="H813" s="95"/>
      <c r="I813" s="74"/>
      <c r="J813" s="74"/>
      <c r="K813" s="74"/>
      <c r="L813" s="74"/>
      <c r="M813" s="96"/>
      <c r="N813" s="74"/>
      <c r="O813" s="74"/>
      <c r="P813" s="74"/>
    </row>
    <row r="814" spans="1:16" ht="15.75" customHeight="1">
      <c r="A814" s="94"/>
      <c r="B814" s="72"/>
      <c r="C814" s="74"/>
      <c r="D814" s="72"/>
      <c r="E814" s="95"/>
      <c r="F814" s="74"/>
      <c r="G814" s="72"/>
      <c r="H814" s="95"/>
      <c r="I814" s="74"/>
      <c r="J814" s="74"/>
      <c r="K814" s="74"/>
      <c r="L814" s="74"/>
      <c r="M814" s="96"/>
      <c r="N814" s="74"/>
      <c r="O814" s="74"/>
      <c r="P814" s="74"/>
    </row>
    <row r="815" spans="1:16" ht="15.75" customHeight="1">
      <c r="A815" s="94"/>
      <c r="B815" s="72"/>
      <c r="C815" s="74"/>
      <c r="D815" s="72"/>
      <c r="E815" s="95"/>
      <c r="F815" s="74"/>
      <c r="G815" s="72"/>
      <c r="H815" s="95"/>
      <c r="I815" s="74"/>
      <c r="J815" s="74"/>
      <c r="K815" s="74"/>
      <c r="L815" s="74"/>
      <c r="M815" s="96"/>
      <c r="N815" s="74"/>
      <c r="O815" s="74"/>
      <c r="P815" s="74"/>
    </row>
    <row r="816" spans="1:16" ht="15.75" customHeight="1">
      <c r="A816" s="94"/>
      <c r="B816" s="72"/>
      <c r="C816" s="74"/>
      <c r="D816" s="72"/>
      <c r="E816" s="95"/>
      <c r="F816" s="74"/>
      <c r="G816" s="72"/>
      <c r="H816" s="95"/>
      <c r="I816" s="74"/>
      <c r="J816" s="74"/>
      <c r="K816" s="74"/>
      <c r="L816" s="74"/>
      <c r="M816" s="96"/>
      <c r="N816" s="74"/>
      <c r="O816" s="74"/>
      <c r="P816" s="74"/>
    </row>
    <row r="817" spans="1:16" ht="15.75" customHeight="1">
      <c r="A817" s="94"/>
      <c r="B817" s="72"/>
      <c r="C817" s="74"/>
      <c r="D817" s="72"/>
      <c r="E817" s="95"/>
      <c r="F817" s="74"/>
      <c r="G817" s="72"/>
      <c r="H817" s="95"/>
      <c r="I817" s="74"/>
      <c r="J817" s="74"/>
      <c r="K817" s="74"/>
      <c r="L817" s="74"/>
      <c r="M817" s="96"/>
      <c r="N817" s="74"/>
      <c r="O817" s="74"/>
      <c r="P817" s="74"/>
    </row>
    <row r="818" spans="1:16" ht="15.75" customHeight="1">
      <c r="A818" s="94"/>
      <c r="B818" s="72"/>
      <c r="C818" s="74"/>
      <c r="D818" s="72"/>
      <c r="E818" s="95"/>
      <c r="F818" s="74"/>
      <c r="G818" s="72"/>
      <c r="H818" s="95"/>
      <c r="I818" s="74"/>
      <c r="J818" s="74"/>
      <c r="K818" s="74"/>
      <c r="L818" s="74"/>
      <c r="M818" s="96"/>
      <c r="N818" s="74"/>
      <c r="O818" s="74"/>
      <c r="P818" s="74"/>
    </row>
    <row r="819" spans="1:16" ht="15.75" customHeight="1">
      <c r="A819" s="94"/>
      <c r="B819" s="72"/>
      <c r="C819" s="74"/>
      <c r="D819" s="72"/>
      <c r="E819" s="95"/>
      <c r="F819" s="74"/>
      <c r="G819" s="72"/>
      <c r="H819" s="95"/>
      <c r="I819" s="74"/>
      <c r="J819" s="74"/>
      <c r="K819" s="74"/>
      <c r="L819" s="74"/>
      <c r="M819" s="96"/>
      <c r="N819" s="74"/>
      <c r="O819" s="74"/>
      <c r="P819" s="74"/>
    </row>
    <row r="820" spans="1:16" ht="15.75" customHeight="1">
      <c r="A820" s="94"/>
      <c r="B820" s="72"/>
      <c r="C820" s="74"/>
      <c r="D820" s="72"/>
      <c r="E820" s="95"/>
      <c r="F820" s="74"/>
      <c r="G820" s="72"/>
      <c r="H820" s="95"/>
      <c r="I820" s="74"/>
      <c r="J820" s="74"/>
      <c r="K820" s="74"/>
      <c r="L820" s="74"/>
      <c r="M820" s="96"/>
      <c r="N820" s="74"/>
      <c r="O820" s="74"/>
      <c r="P820" s="74"/>
    </row>
    <row r="821" spans="1:16" ht="15.75" customHeight="1">
      <c r="A821" s="94"/>
      <c r="B821" s="72"/>
      <c r="C821" s="74"/>
      <c r="D821" s="72"/>
      <c r="E821" s="95"/>
      <c r="F821" s="74"/>
      <c r="G821" s="72"/>
      <c r="H821" s="95"/>
      <c r="I821" s="74"/>
      <c r="J821" s="74"/>
      <c r="K821" s="74"/>
      <c r="L821" s="74"/>
      <c r="M821" s="96"/>
      <c r="N821" s="74"/>
      <c r="O821" s="74"/>
      <c r="P821" s="74"/>
    </row>
    <row r="822" spans="1:16" ht="15.75" customHeight="1">
      <c r="A822" s="94"/>
      <c r="B822" s="72"/>
      <c r="C822" s="74"/>
      <c r="D822" s="72"/>
      <c r="E822" s="95"/>
      <c r="F822" s="74"/>
      <c r="G822" s="72"/>
      <c r="H822" s="95"/>
      <c r="I822" s="74"/>
      <c r="J822" s="74"/>
      <c r="K822" s="74"/>
      <c r="L822" s="74"/>
      <c r="M822" s="96"/>
      <c r="N822" s="74"/>
      <c r="O822" s="74"/>
      <c r="P822" s="74"/>
    </row>
    <row r="823" spans="1:16" ht="15.75" customHeight="1">
      <c r="A823" s="94"/>
      <c r="B823" s="72"/>
      <c r="C823" s="74"/>
      <c r="D823" s="72"/>
      <c r="E823" s="95"/>
      <c r="F823" s="74"/>
      <c r="G823" s="72"/>
      <c r="H823" s="95"/>
      <c r="I823" s="74"/>
      <c r="J823" s="74"/>
      <c r="K823" s="74"/>
      <c r="L823" s="74"/>
      <c r="M823" s="96"/>
      <c r="N823" s="74"/>
      <c r="O823" s="74"/>
      <c r="P823" s="74"/>
    </row>
    <row r="824" spans="1:16" ht="15.75" customHeight="1">
      <c r="A824" s="94"/>
      <c r="B824" s="72"/>
      <c r="C824" s="74"/>
      <c r="D824" s="72"/>
      <c r="E824" s="95"/>
      <c r="F824" s="74"/>
      <c r="G824" s="72"/>
      <c r="H824" s="95"/>
      <c r="I824" s="74"/>
      <c r="J824" s="74"/>
      <c r="K824" s="74"/>
      <c r="L824" s="74"/>
      <c r="M824" s="96"/>
      <c r="N824" s="74"/>
      <c r="O824" s="74"/>
      <c r="P824" s="74"/>
    </row>
    <row r="825" spans="1:16" ht="15.75" customHeight="1">
      <c r="A825" s="94"/>
      <c r="B825" s="72"/>
      <c r="C825" s="74"/>
      <c r="D825" s="72"/>
      <c r="E825" s="95"/>
      <c r="F825" s="74"/>
      <c r="G825" s="72"/>
      <c r="H825" s="95"/>
      <c r="I825" s="74"/>
      <c r="J825" s="74"/>
      <c r="K825" s="74"/>
      <c r="L825" s="74"/>
      <c r="M825" s="96"/>
      <c r="N825" s="74"/>
      <c r="O825" s="74"/>
      <c r="P825" s="74"/>
    </row>
    <row r="826" spans="1:16" ht="15.75" customHeight="1">
      <c r="A826" s="94"/>
      <c r="B826" s="72"/>
      <c r="C826" s="74"/>
      <c r="D826" s="72"/>
      <c r="E826" s="95"/>
      <c r="F826" s="74"/>
      <c r="G826" s="72"/>
      <c r="H826" s="95"/>
      <c r="I826" s="74"/>
      <c r="J826" s="74"/>
      <c r="K826" s="74"/>
      <c r="L826" s="74"/>
      <c r="M826" s="96"/>
      <c r="N826" s="74"/>
      <c r="O826" s="74"/>
      <c r="P826" s="74"/>
    </row>
    <row r="827" spans="1:16" ht="15.75" customHeight="1">
      <c r="A827" s="94"/>
      <c r="B827" s="72"/>
      <c r="C827" s="74"/>
      <c r="D827" s="72"/>
      <c r="E827" s="95"/>
      <c r="F827" s="74"/>
      <c r="G827" s="72"/>
      <c r="H827" s="95"/>
      <c r="I827" s="74"/>
      <c r="J827" s="74"/>
      <c r="K827" s="74"/>
      <c r="L827" s="74"/>
      <c r="M827" s="96"/>
      <c r="N827" s="74"/>
      <c r="O827" s="74"/>
      <c r="P827" s="74"/>
    </row>
    <row r="828" spans="1:16" ht="15.75" customHeight="1">
      <c r="A828" s="94"/>
      <c r="B828" s="72"/>
      <c r="C828" s="74"/>
      <c r="D828" s="72"/>
      <c r="E828" s="95"/>
      <c r="F828" s="74"/>
      <c r="G828" s="72"/>
      <c r="H828" s="95"/>
      <c r="I828" s="74"/>
      <c r="J828" s="74"/>
      <c r="K828" s="74"/>
      <c r="L828" s="74"/>
      <c r="M828" s="96"/>
      <c r="N828" s="74"/>
      <c r="O828" s="74"/>
      <c r="P828" s="74"/>
    </row>
    <row r="829" spans="1:16" ht="15.75" customHeight="1">
      <c r="A829" s="94"/>
      <c r="B829" s="72"/>
      <c r="C829" s="74"/>
      <c r="D829" s="72"/>
      <c r="E829" s="95"/>
      <c r="F829" s="74"/>
      <c r="G829" s="72"/>
      <c r="H829" s="95"/>
      <c r="I829" s="74"/>
      <c r="J829" s="74"/>
      <c r="K829" s="74"/>
      <c r="L829" s="74"/>
      <c r="M829" s="96"/>
      <c r="N829" s="74"/>
      <c r="O829" s="74"/>
      <c r="P829" s="74"/>
    </row>
    <row r="830" spans="1:16" ht="15.75" customHeight="1">
      <c r="A830" s="94"/>
      <c r="B830" s="72"/>
      <c r="C830" s="74"/>
      <c r="D830" s="72"/>
      <c r="E830" s="95"/>
      <c r="F830" s="74"/>
      <c r="G830" s="72"/>
      <c r="H830" s="95"/>
      <c r="I830" s="74"/>
      <c r="J830" s="74"/>
      <c r="K830" s="74"/>
      <c r="L830" s="74"/>
      <c r="M830" s="96"/>
      <c r="N830" s="74"/>
      <c r="O830" s="74"/>
      <c r="P830" s="74"/>
    </row>
    <row r="831" spans="1:16" ht="15.75" customHeight="1">
      <c r="A831" s="94"/>
      <c r="B831" s="72"/>
      <c r="C831" s="74"/>
      <c r="D831" s="72"/>
      <c r="E831" s="95"/>
      <c r="F831" s="74"/>
      <c r="G831" s="72"/>
      <c r="H831" s="95"/>
      <c r="I831" s="74"/>
      <c r="J831" s="74"/>
      <c r="K831" s="74"/>
      <c r="L831" s="74"/>
      <c r="M831" s="96"/>
      <c r="N831" s="74"/>
      <c r="O831" s="74"/>
      <c r="P831" s="74"/>
    </row>
    <row r="832" spans="1:16" ht="15.75" customHeight="1">
      <c r="A832" s="94"/>
      <c r="B832" s="72"/>
      <c r="C832" s="74"/>
      <c r="D832" s="72"/>
      <c r="E832" s="95"/>
      <c r="F832" s="74"/>
      <c r="G832" s="72"/>
      <c r="H832" s="95"/>
      <c r="I832" s="74"/>
      <c r="J832" s="74"/>
      <c r="K832" s="74"/>
      <c r="L832" s="74"/>
      <c r="M832" s="96"/>
      <c r="N832" s="74"/>
      <c r="O832" s="74"/>
      <c r="P832" s="74"/>
    </row>
    <row r="833" spans="1:16" ht="15.75" customHeight="1">
      <c r="A833" s="94"/>
      <c r="B833" s="72"/>
      <c r="C833" s="74"/>
      <c r="D833" s="72"/>
      <c r="E833" s="95"/>
      <c r="F833" s="74"/>
      <c r="G833" s="72"/>
      <c r="H833" s="95"/>
      <c r="I833" s="74"/>
      <c r="J833" s="74"/>
      <c r="K833" s="74"/>
      <c r="L833" s="74"/>
      <c r="M833" s="96"/>
      <c r="N833" s="74"/>
      <c r="O833" s="74"/>
      <c r="P833" s="74"/>
    </row>
    <row r="834" spans="1:16" ht="15.75" customHeight="1">
      <c r="A834" s="94"/>
      <c r="B834" s="72"/>
      <c r="C834" s="74"/>
      <c r="D834" s="72"/>
      <c r="E834" s="95"/>
      <c r="F834" s="74"/>
      <c r="G834" s="72"/>
      <c r="H834" s="95"/>
      <c r="I834" s="74"/>
      <c r="J834" s="74"/>
      <c r="K834" s="74"/>
      <c r="L834" s="74"/>
      <c r="M834" s="96"/>
      <c r="N834" s="74"/>
      <c r="O834" s="74"/>
      <c r="P834" s="74"/>
    </row>
    <row r="835" spans="1:16" ht="15.75" customHeight="1">
      <c r="A835" s="94"/>
      <c r="B835" s="72"/>
      <c r="C835" s="74"/>
      <c r="D835" s="72"/>
      <c r="E835" s="95"/>
      <c r="F835" s="74"/>
      <c r="G835" s="72"/>
      <c r="H835" s="95"/>
      <c r="I835" s="74"/>
      <c r="J835" s="74"/>
      <c r="K835" s="74"/>
      <c r="L835" s="74"/>
      <c r="M835" s="96"/>
      <c r="N835" s="74"/>
      <c r="O835" s="74"/>
      <c r="P835" s="74"/>
    </row>
    <row r="836" spans="1:16" ht="15.75" customHeight="1">
      <c r="A836" s="94"/>
      <c r="B836" s="72"/>
      <c r="C836" s="74"/>
      <c r="D836" s="72"/>
      <c r="E836" s="95"/>
      <c r="F836" s="74"/>
      <c r="G836" s="72"/>
      <c r="H836" s="95"/>
      <c r="I836" s="74"/>
      <c r="J836" s="74"/>
      <c r="K836" s="74"/>
      <c r="L836" s="74"/>
      <c r="M836" s="96"/>
      <c r="N836" s="74"/>
      <c r="O836" s="74"/>
      <c r="P836" s="74"/>
    </row>
    <row r="837" spans="1:16" ht="15.75" customHeight="1">
      <c r="A837" s="94"/>
      <c r="B837" s="72"/>
      <c r="C837" s="74"/>
      <c r="D837" s="72"/>
      <c r="E837" s="95"/>
      <c r="F837" s="74"/>
      <c r="G837" s="72"/>
      <c r="H837" s="95"/>
      <c r="I837" s="74"/>
      <c r="J837" s="74"/>
      <c r="K837" s="74"/>
      <c r="L837" s="74"/>
      <c r="M837" s="96"/>
      <c r="N837" s="74"/>
      <c r="O837" s="74"/>
      <c r="P837" s="74"/>
    </row>
    <row r="838" spans="1:16" ht="15.75" customHeight="1">
      <c r="A838" s="94"/>
      <c r="B838" s="72"/>
      <c r="C838" s="74"/>
      <c r="D838" s="72"/>
      <c r="E838" s="95"/>
      <c r="F838" s="74"/>
      <c r="G838" s="72"/>
      <c r="H838" s="95"/>
      <c r="I838" s="74"/>
      <c r="J838" s="74"/>
      <c r="K838" s="74"/>
      <c r="L838" s="74"/>
      <c r="M838" s="96"/>
      <c r="N838" s="74"/>
      <c r="O838" s="74"/>
      <c r="P838" s="74"/>
    </row>
    <row r="839" spans="1:16" ht="15.75" customHeight="1">
      <c r="A839" s="94"/>
      <c r="B839" s="72"/>
      <c r="C839" s="74"/>
      <c r="D839" s="72"/>
      <c r="E839" s="95"/>
      <c r="F839" s="74"/>
      <c r="G839" s="72"/>
      <c r="H839" s="95"/>
      <c r="I839" s="74"/>
      <c r="J839" s="74"/>
      <c r="K839" s="74"/>
      <c r="L839" s="74"/>
      <c r="M839" s="96"/>
      <c r="N839" s="74"/>
      <c r="O839" s="74"/>
      <c r="P839" s="74"/>
    </row>
    <row r="840" spans="1:16" ht="15.75" customHeight="1">
      <c r="A840" s="94"/>
      <c r="B840" s="72"/>
      <c r="C840" s="74"/>
      <c r="D840" s="72"/>
      <c r="E840" s="95"/>
      <c r="F840" s="74"/>
      <c r="G840" s="72"/>
      <c r="H840" s="95"/>
      <c r="I840" s="74"/>
      <c r="J840" s="74"/>
      <c r="K840" s="74"/>
      <c r="L840" s="74"/>
      <c r="M840" s="96"/>
      <c r="N840" s="74"/>
      <c r="O840" s="74"/>
      <c r="P840" s="74"/>
    </row>
    <row r="841" spans="1:16" ht="15.75" customHeight="1">
      <c r="A841" s="94"/>
      <c r="B841" s="72"/>
      <c r="C841" s="74"/>
      <c r="D841" s="72"/>
      <c r="E841" s="95"/>
      <c r="F841" s="74"/>
      <c r="G841" s="72"/>
      <c r="H841" s="95"/>
      <c r="I841" s="74"/>
      <c r="J841" s="74"/>
      <c r="K841" s="74"/>
      <c r="L841" s="74"/>
      <c r="M841" s="96"/>
      <c r="N841" s="74"/>
      <c r="O841" s="74"/>
      <c r="P841" s="74"/>
    </row>
    <row r="842" spans="1:16" ht="15.75" customHeight="1">
      <c r="A842" s="94"/>
      <c r="B842" s="72"/>
      <c r="C842" s="74"/>
      <c r="D842" s="72"/>
      <c r="E842" s="95"/>
      <c r="F842" s="74"/>
      <c r="G842" s="72"/>
      <c r="H842" s="95"/>
      <c r="I842" s="74"/>
      <c r="J842" s="74"/>
      <c r="K842" s="74"/>
      <c r="L842" s="74"/>
      <c r="M842" s="96"/>
      <c r="N842" s="74"/>
      <c r="O842" s="74"/>
      <c r="P842" s="74"/>
    </row>
    <row r="843" spans="1:16" ht="15.75" customHeight="1">
      <c r="A843" s="94"/>
      <c r="B843" s="72"/>
      <c r="C843" s="74"/>
      <c r="D843" s="72"/>
      <c r="E843" s="95"/>
      <c r="F843" s="74"/>
      <c r="G843" s="72"/>
      <c r="H843" s="95"/>
      <c r="I843" s="74"/>
      <c r="J843" s="74"/>
      <c r="K843" s="74"/>
      <c r="L843" s="74"/>
      <c r="M843" s="96"/>
      <c r="N843" s="74"/>
      <c r="O843" s="74"/>
      <c r="P843" s="74"/>
    </row>
    <row r="844" spans="1:16" ht="15.75" customHeight="1">
      <c r="A844" s="94"/>
      <c r="B844" s="72"/>
      <c r="C844" s="74"/>
      <c r="D844" s="72"/>
      <c r="E844" s="95"/>
      <c r="F844" s="74"/>
      <c r="G844" s="72"/>
      <c r="H844" s="95"/>
      <c r="I844" s="74"/>
      <c r="J844" s="74"/>
      <c r="K844" s="74"/>
      <c r="L844" s="74"/>
      <c r="M844" s="96"/>
      <c r="N844" s="74"/>
      <c r="O844" s="74"/>
      <c r="P844" s="74"/>
    </row>
    <row r="845" spans="1:16" ht="15.75" customHeight="1">
      <c r="A845" s="94"/>
      <c r="B845" s="72"/>
      <c r="C845" s="74"/>
      <c r="D845" s="72"/>
      <c r="E845" s="95"/>
      <c r="F845" s="74"/>
      <c r="G845" s="72"/>
      <c r="H845" s="95"/>
      <c r="I845" s="74"/>
      <c r="J845" s="74"/>
      <c r="K845" s="74"/>
      <c r="L845" s="74"/>
      <c r="M845" s="96"/>
      <c r="N845" s="74"/>
      <c r="O845" s="74"/>
      <c r="P845" s="74"/>
    </row>
    <row r="846" spans="1:16" ht="15.75" customHeight="1">
      <c r="A846" s="94"/>
      <c r="B846" s="72"/>
      <c r="C846" s="74"/>
      <c r="D846" s="72"/>
      <c r="E846" s="95"/>
      <c r="F846" s="74"/>
      <c r="G846" s="72"/>
      <c r="H846" s="95"/>
      <c r="I846" s="74"/>
      <c r="J846" s="74"/>
      <c r="K846" s="74"/>
      <c r="L846" s="74"/>
      <c r="M846" s="96"/>
      <c r="N846" s="74"/>
      <c r="O846" s="74"/>
      <c r="P846" s="74"/>
    </row>
    <row r="847" spans="1:16" ht="15.75" customHeight="1">
      <c r="A847" s="94"/>
      <c r="B847" s="72"/>
      <c r="C847" s="74"/>
      <c r="D847" s="72"/>
      <c r="E847" s="95"/>
      <c r="F847" s="74"/>
      <c r="G847" s="72"/>
      <c r="H847" s="95"/>
      <c r="I847" s="74"/>
      <c r="J847" s="74"/>
      <c r="K847" s="74"/>
      <c r="L847" s="74"/>
      <c r="M847" s="96"/>
      <c r="N847" s="74"/>
      <c r="O847" s="74"/>
      <c r="P847" s="74"/>
    </row>
    <row r="848" spans="1:16" ht="15.75" customHeight="1">
      <c r="A848" s="94"/>
      <c r="B848" s="72"/>
      <c r="C848" s="74"/>
      <c r="D848" s="72"/>
      <c r="E848" s="95"/>
      <c r="F848" s="74"/>
      <c r="G848" s="72"/>
      <c r="H848" s="95"/>
      <c r="I848" s="74"/>
      <c r="J848" s="74"/>
      <c r="K848" s="74"/>
      <c r="L848" s="74"/>
      <c r="M848" s="96"/>
      <c r="N848" s="74"/>
      <c r="O848" s="74"/>
      <c r="P848" s="74"/>
    </row>
    <row r="849" spans="1:16" ht="15.75" customHeight="1">
      <c r="A849" s="94"/>
      <c r="B849" s="72"/>
      <c r="C849" s="74"/>
      <c r="D849" s="72"/>
      <c r="E849" s="95"/>
      <c r="F849" s="74"/>
      <c r="G849" s="72"/>
      <c r="H849" s="95"/>
      <c r="I849" s="74"/>
      <c r="J849" s="74"/>
      <c r="K849" s="74"/>
      <c r="L849" s="74"/>
      <c r="M849" s="96"/>
      <c r="N849" s="74"/>
      <c r="O849" s="74"/>
      <c r="P849" s="74"/>
    </row>
    <row r="850" spans="1:16" ht="15.75" customHeight="1">
      <c r="A850" s="94"/>
      <c r="B850" s="72"/>
      <c r="C850" s="74"/>
      <c r="D850" s="72"/>
      <c r="E850" s="95"/>
      <c r="F850" s="74"/>
      <c r="G850" s="72"/>
      <c r="H850" s="95"/>
      <c r="I850" s="74"/>
      <c r="J850" s="74"/>
      <c r="K850" s="74"/>
      <c r="L850" s="74"/>
      <c r="M850" s="96"/>
      <c r="N850" s="74"/>
      <c r="O850" s="74"/>
      <c r="P850" s="74"/>
    </row>
    <row r="851" spans="1:16" ht="15.75" customHeight="1">
      <c r="A851" s="94"/>
      <c r="B851" s="72"/>
      <c r="C851" s="74"/>
      <c r="D851" s="72"/>
      <c r="E851" s="95"/>
      <c r="F851" s="74"/>
      <c r="G851" s="72"/>
      <c r="H851" s="95"/>
      <c r="I851" s="74"/>
      <c r="J851" s="74"/>
      <c r="K851" s="74"/>
      <c r="L851" s="74"/>
      <c r="M851" s="96"/>
      <c r="N851" s="74"/>
      <c r="O851" s="74"/>
      <c r="P851" s="74"/>
    </row>
    <row r="852" spans="1:16" ht="15.75" customHeight="1">
      <c r="A852" s="94"/>
      <c r="B852" s="72"/>
      <c r="C852" s="74"/>
      <c r="D852" s="72"/>
      <c r="E852" s="95"/>
      <c r="F852" s="74"/>
      <c r="G852" s="72"/>
      <c r="H852" s="95"/>
      <c r="I852" s="74"/>
      <c r="J852" s="74"/>
      <c r="K852" s="74"/>
      <c r="L852" s="74"/>
      <c r="M852" s="96"/>
      <c r="N852" s="74"/>
      <c r="O852" s="74"/>
      <c r="P852" s="74"/>
    </row>
    <row r="853" spans="1:16" ht="15.75" customHeight="1">
      <c r="A853" s="94"/>
      <c r="B853" s="72"/>
      <c r="C853" s="74"/>
      <c r="D853" s="72"/>
      <c r="E853" s="95"/>
      <c r="F853" s="74"/>
      <c r="G853" s="72"/>
      <c r="H853" s="95"/>
      <c r="I853" s="74"/>
      <c r="J853" s="74"/>
      <c r="K853" s="74"/>
      <c r="L853" s="74"/>
      <c r="M853" s="96"/>
      <c r="N853" s="74"/>
      <c r="O853" s="74"/>
      <c r="P853" s="74"/>
    </row>
    <row r="854" spans="1:16" ht="15.75" customHeight="1">
      <c r="A854" s="94"/>
      <c r="B854" s="72"/>
      <c r="C854" s="74"/>
      <c r="D854" s="72"/>
      <c r="E854" s="95"/>
      <c r="F854" s="74"/>
      <c r="G854" s="72"/>
      <c r="H854" s="95"/>
      <c r="I854" s="74"/>
      <c r="J854" s="74"/>
      <c r="K854" s="74"/>
      <c r="L854" s="74"/>
      <c r="M854" s="96"/>
      <c r="N854" s="74"/>
      <c r="O854" s="74"/>
      <c r="P854" s="74"/>
    </row>
    <row r="855" spans="1:16" ht="15.75" customHeight="1">
      <c r="A855" s="94"/>
      <c r="B855" s="72"/>
      <c r="C855" s="74"/>
      <c r="D855" s="72"/>
      <c r="E855" s="95"/>
      <c r="F855" s="74"/>
      <c r="G855" s="72"/>
      <c r="H855" s="95"/>
      <c r="I855" s="74"/>
      <c r="J855" s="74"/>
      <c r="K855" s="74"/>
      <c r="L855" s="74"/>
      <c r="M855" s="96"/>
      <c r="N855" s="74"/>
      <c r="O855" s="74"/>
      <c r="P855" s="74"/>
    </row>
    <row r="856" spans="1:16" ht="15.75" customHeight="1">
      <c r="A856" s="94"/>
      <c r="B856" s="72"/>
      <c r="C856" s="74"/>
      <c r="D856" s="72"/>
      <c r="E856" s="95"/>
      <c r="F856" s="74"/>
      <c r="G856" s="72"/>
      <c r="H856" s="95"/>
      <c r="I856" s="74"/>
      <c r="J856" s="74"/>
      <c r="K856" s="74"/>
      <c r="L856" s="74"/>
      <c r="M856" s="96"/>
      <c r="N856" s="74"/>
      <c r="O856" s="74"/>
      <c r="P856" s="74"/>
    </row>
    <row r="857" spans="1:16" ht="15.75" customHeight="1">
      <c r="A857" s="94"/>
      <c r="B857" s="72"/>
      <c r="C857" s="74"/>
      <c r="D857" s="72"/>
      <c r="E857" s="95"/>
      <c r="F857" s="74"/>
      <c r="G857" s="72"/>
      <c r="H857" s="95"/>
      <c r="I857" s="74"/>
      <c r="J857" s="74"/>
      <c r="K857" s="74"/>
      <c r="L857" s="74"/>
      <c r="M857" s="96"/>
      <c r="N857" s="74"/>
      <c r="O857" s="74"/>
      <c r="P857" s="74"/>
    </row>
    <row r="858" spans="1:16" ht="15.75" customHeight="1">
      <c r="A858" s="94"/>
      <c r="B858" s="72"/>
      <c r="C858" s="74"/>
      <c r="D858" s="72"/>
      <c r="E858" s="95"/>
      <c r="F858" s="74"/>
      <c r="G858" s="72"/>
      <c r="H858" s="95"/>
      <c r="I858" s="74"/>
      <c r="J858" s="74"/>
      <c r="K858" s="74"/>
      <c r="L858" s="74"/>
      <c r="M858" s="96"/>
      <c r="N858" s="74"/>
      <c r="O858" s="74"/>
      <c r="P858" s="74"/>
    </row>
    <row r="859" spans="1:16" ht="15.75" customHeight="1">
      <c r="A859" s="94"/>
      <c r="B859" s="72"/>
      <c r="C859" s="74"/>
      <c r="D859" s="72"/>
      <c r="E859" s="95"/>
      <c r="F859" s="74"/>
      <c r="G859" s="72"/>
      <c r="H859" s="95"/>
      <c r="I859" s="74"/>
      <c r="J859" s="74"/>
      <c r="K859" s="74"/>
      <c r="L859" s="74"/>
      <c r="M859" s="96"/>
      <c r="N859" s="74"/>
      <c r="O859" s="74"/>
      <c r="P859" s="74"/>
    </row>
    <row r="860" spans="1:16" ht="15.75" customHeight="1">
      <c r="A860" s="94"/>
      <c r="B860" s="72"/>
      <c r="C860" s="74"/>
      <c r="D860" s="72"/>
      <c r="E860" s="95"/>
      <c r="F860" s="74"/>
      <c r="G860" s="72"/>
      <c r="H860" s="95"/>
      <c r="I860" s="74"/>
      <c r="J860" s="74"/>
      <c r="K860" s="74"/>
      <c r="L860" s="74"/>
      <c r="M860" s="96"/>
      <c r="N860" s="74"/>
      <c r="O860" s="74"/>
      <c r="P860" s="74"/>
    </row>
    <row r="861" spans="1:16" ht="15.75" customHeight="1">
      <c r="A861" s="94"/>
      <c r="B861" s="72"/>
      <c r="C861" s="74"/>
      <c r="D861" s="72"/>
      <c r="E861" s="95"/>
      <c r="F861" s="74"/>
      <c r="G861" s="72"/>
      <c r="H861" s="95"/>
      <c r="I861" s="74"/>
      <c r="J861" s="74"/>
      <c r="K861" s="74"/>
      <c r="L861" s="74"/>
      <c r="M861" s="96"/>
      <c r="N861" s="74"/>
      <c r="O861" s="74"/>
      <c r="P861" s="74"/>
    </row>
    <row r="862" spans="1:16" ht="15.75" customHeight="1">
      <c r="A862" s="94"/>
      <c r="B862" s="72"/>
      <c r="C862" s="74"/>
      <c r="D862" s="72"/>
      <c r="E862" s="95"/>
      <c r="F862" s="74"/>
      <c r="G862" s="72"/>
      <c r="H862" s="95"/>
      <c r="I862" s="74"/>
      <c r="J862" s="74"/>
      <c r="K862" s="74"/>
      <c r="L862" s="74"/>
      <c r="M862" s="96"/>
      <c r="N862" s="74"/>
      <c r="O862" s="74"/>
      <c r="P862" s="74"/>
    </row>
    <row r="863" spans="1:16" ht="15.75" customHeight="1">
      <c r="A863" s="94"/>
      <c r="B863" s="72"/>
      <c r="C863" s="74"/>
      <c r="D863" s="72"/>
      <c r="E863" s="95"/>
      <c r="F863" s="74"/>
      <c r="G863" s="72"/>
      <c r="H863" s="95"/>
      <c r="I863" s="74"/>
      <c r="J863" s="74"/>
      <c r="K863" s="74"/>
      <c r="L863" s="74"/>
      <c r="M863" s="96"/>
      <c r="N863" s="74"/>
      <c r="O863" s="74"/>
      <c r="P863" s="74"/>
    </row>
    <row r="864" spans="1:16" ht="15.75" customHeight="1">
      <c r="A864" s="94"/>
      <c r="B864" s="72"/>
      <c r="C864" s="74"/>
      <c r="D864" s="72"/>
      <c r="E864" s="95"/>
      <c r="F864" s="74"/>
      <c r="G864" s="72"/>
      <c r="H864" s="95"/>
      <c r="I864" s="74"/>
      <c r="J864" s="74"/>
      <c r="K864" s="74"/>
      <c r="L864" s="74"/>
      <c r="M864" s="96"/>
      <c r="N864" s="74"/>
      <c r="O864" s="74"/>
      <c r="P864" s="74"/>
    </row>
    <row r="865" spans="1:16" ht="15.75" customHeight="1">
      <c r="A865" s="94"/>
      <c r="B865" s="72"/>
      <c r="C865" s="74"/>
      <c r="D865" s="72"/>
      <c r="E865" s="95"/>
      <c r="F865" s="74"/>
      <c r="G865" s="72"/>
      <c r="H865" s="95"/>
      <c r="I865" s="74"/>
      <c r="J865" s="74"/>
      <c r="K865" s="74"/>
      <c r="L865" s="74"/>
      <c r="M865" s="96"/>
      <c r="N865" s="74"/>
      <c r="O865" s="74"/>
      <c r="P865" s="74"/>
    </row>
    <row r="866" spans="1:16" ht="15.75" customHeight="1">
      <c r="A866" s="94"/>
      <c r="B866" s="72"/>
      <c r="C866" s="74"/>
      <c r="D866" s="72"/>
      <c r="E866" s="95"/>
      <c r="F866" s="74"/>
      <c r="G866" s="72"/>
      <c r="H866" s="95"/>
      <c r="I866" s="74"/>
      <c r="J866" s="74"/>
      <c r="K866" s="74"/>
      <c r="L866" s="74"/>
      <c r="M866" s="96"/>
      <c r="N866" s="74"/>
      <c r="O866" s="74"/>
      <c r="P866" s="74"/>
    </row>
    <row r="867" spans="1:16" ht="15.75" customHeight="1">
      <c r="A867" s="94"/>
      <c r="B867" s="72"/>
      <c r="C867" s="74"/>
      <c r="D867" s="72"/>
      <c r="E867" s="95"/>
      <c r="F867" s="74"/>
      <c r="G867" s="72"/>
      <c r="H867" s="95"/>
      <c r="I867" s="74"/>
      <c r="J867" s="74"/>
      <c r="K867" s="74"/>
      <c r="L867" s="74"/>
      <c r="M867" s="96"/>
      <c r="N867" s="74"/>
      <c r="O867" s="74"/>
      <c r="P867" s="74"/>
    </row>
    <row r="868" spans="1:16" ht="15.75" customHeight="1">
      <c r="A868" s="94"/>
      <c r="B868" s="72"/>
      <c r="C868" s="74"/>
      <c r="D868" s="72"/>
      <c r="E868" s="95"/>
      <c r="F868" s="74"/>
      <c r="G868" s="72"/>
      <c r="H868" s="95"/>
      <c r="I868" s="74"/>
      <c r="J868" s="74"/>
      <c r="K868" s="74"/>
      <c r="L868" s="74"/>
      <c r="M868" s="96"/>
      <c r="N868" s="74"/>
      <c r="O868" s="74"/>
      <c r="P868" s="74"/>
    </row>
    <row r="869" spans="1:16" ht="15.75" customHeight="1">
      <c r="A869" s="94"/>
      <c r="B869" s="72"/>
      <c r="C869" s="74"/>
      <c r="D869" s="72"/>
      <c r="E869" s="95"/>
      <c r="F869" s="74"/>
      <c r="G869" s="72"/>
      <c r="H869" s="95"/>
      <c r="I869" s="74"/>
      <c r="J869" s="74"/>
      <c r="K869" s="74"/>
      <c r="L869" s="74"/>
      <c r="M869" s="96"/>
      <c r="N869" s="74"/>
      <c r="O869" s="74"/>
      <c r="P869" s="74"/>
    </row>
    <row r="870" spans="1:16" ht="15.75" customHeight="1">
      <c r="A870" s="94"/>
      <c r="B870" s="72"/>
      <c r="C870" s="74"/>
      <c r="D870" s="72"/>
      <c r="E870" s="95"/>
      <c r="F870" s="74"/>
      <c r="G870" s="72"/>
      <c r="H870" s="95"/>
      <c r="I870" s="74"/>
      <c r="J870" s="74"/>
      <c r="K870" s="74"/>
      <c r="L870" s="74"/>
      <c r="M870" s="96"/>
      <c r="N870" s="74"/>
      <c r="O870" s="74"/>
      <c r="P870" s="74"/>
    </row>
    <row r="871" spans="1:16" ht="15.75" customHeight="1">
      <c r="A871" s="94"/>
      <c r="B871" s="72"/>
      <c r="C871" s="74"/>
      <c r="D871" s="72"/>
      <c r="E871" s="95"/>
      <c r="F871" s="74"/>
      <c r="G871" s="72"/>
      <c r="H871" s="95"/>
      <c r="I871" s="74"/>
      <c r="J871" s="74"/>
      <c r="K871" s="74"/>
      <c r="L871" s="74"/>
      <c r="M871" s="96"/>
      <c r="N871" s="74"/>
      <c r="O871" s="74"/>
      <c r="P871" s="74"/>
    </row>
    <row r="872" spans="1:16" ht="15.75" customHeight="1">
      <c r="A872" s="94"/>
      <c r="B872" s="72"/>
      <c r="C872" s="74"/>
      <c r="D872" s="72"/>
      <c r="E872" s="95"/>
      <c r="F872" s="74"/>
      <c r="G872" s="72"/>
      <c r="H872" s="95"/>
      <c r="I872" s="74"/>
      <c r="J872" s="74"/>
      <c r="K872" s="74"/>
      <c r="L872" s="74"/>
      <c r="M872" s="96"/>
      <c r="N872" s="74"/>
      <c r="O872" s="74"/>
      <c r="P872" s="74"/>
    </row>
    <row r="873" spans="1:16" ht="15.75" customHeight="1">
      <c r="A873" s="94"/>
      <c r="B873" s="72"/>
      <c r="C873" s="74"/>
      <c r="D873" s="72"/>
      <c r="E873" s="95"/>
      <c r="F873" s="74"/>
      <c r="G873" s="72"/>
      <c r="H873" s="95"/>
      <c r="I873" s="74"/>
      <c r="J873" s="74"/>
      <c r="K873" s="74"/>
      <c r="L873" s="74"/>
      <c r="M873" s="96"/>
      <c r="N873" s="74"/>
      <c r="O873" s="74"/>
      <c r="P873" s="74"/>
    </row>
    <row r="874" spans="1:16" ht="15.75" customHeight="1">
      <c r="A874" s="94"/>
      <c r="B874" s="72"/>
      <c r="C874" s="74"/>
      <c r="D874" s="72"/>
      <c r="E874" s="95"/>
      <c r="F874" s="74"/>
      <c r="G874" s="72"/>
      <c r="H874" s="95"/>
      <c r="I874" s="74"/>
      <c r="J874" s="74"/>
      <c r="K874" s="74"/>
      <c r="L874" s="74"/>
      <c r="M874" s="96"/>
      <c r="N874" s="74"/>
      <c r="O874" s="74"/>
      <c r="P874" s="74"/>
    </row>
    <row r="875" spans="1:16" ht="15.75" customHeight="1">
      <c r="A875" s="94"/>
      <c r="B875" s="72"/>
      <c r="C875" s="74"/>
      <c r="D875" s="72"/>
      <c r="E875" s="95"/>
      <c r="F875" s="74"/>
      <c r="G875" s="72"/>
      <c r="H875" s="95"/>
      <c r="I875" s="74"/>
      <c r="J875" s="74"/>
      <c r="K875" s="74"/>
      <c r="L875" s="74"/>
      <c r="M875" s="96"/>
      <c r="N875" s="74"/>
      <c r="O875" s="74"/>
      <c r="P875" s="74"/>
    </row>
    <row r="876" spans="1:16" ht="15.75" customHeight="1">
      <c r="A876" s="94"/>
      <c r="B876" s="72"/>
      <c r="C876" s="74"/>
      <c r="D876" s="72"/>
      <c r="E876" s="95"/>
      <c r="F876" s="74"/>
      <c r="G876" s="72"/>
      <c r="H876" s="95"/>
      <c r="I876" s="74"/>
      <c r="J876" s="74"/>
      <c r="K876" s="74"/>
      <c r="L876" s="74"/>
      <c r="M876" s="96"/>
      <c r="N876" s="74"/>
      <c r="O876" s="74"/>
      <c r="P876" s="74"/>
    </row>
    <row r="877" spans="1:16" ht="15.75" customHeight="1">
      <c r="A877" s="94"/>
      <c r="B877" s="72"/>
      <c r="C877" s="74"/>
      <c r="D877" s="72"/>
      <c r="E877" s="95"/>
      <c r="F877" s="74"/>
      <c r="G877" s="72"/>
      <c r="H877" s="95"/>
      <c r="I877" s="74"/>
      <c r="J877" s="74"/>
      <c r="K877" s="74"/>
      <c r="L877" s="74"/>
      <c r="M877" s="96"/>
      <c r="N877" s="74"/>
      <c r="O877" s="74"/>
      <c r="P877" s="74"/>
    </row>
    <row r="878" spans="1:16" ht="15.75" customHeight="1">
      <c r="A878" s="94"/>
      <c r="B878" s="72"/>
      <c r="C878" s="74"/>
      <c r="D878" s="72"/>
      <c r="E878" s="95"/>
      <c r="F878" s="74"/>
      <c r="G878" s="72"/>
      <c r="H878" s="95"/>
      <c r="I878" s="74"/>
      <c r="J878" s="74"/>
      <c r="K878" s="74"/>
      <c r="L878" s="74"/>
      <c r="M878" s="96"/>
      <c r="N878" s="74"/>
      <c r="O878" s="74"/>
      <c r="P878" s="74"/>
    </row>
    <row r="879" spans="1:16" ht="15.75" customHeight="1">
      <c r="A879" s="94"/>
      <c r="B879" s="72"/>
      <c r="C879" s="74"/>
      <c r="D879" s="72"/>
      <c r="E879" s="95"/>
      <c r="F879" s="74"/>
      <c r="G879" s="72"/>
      <c r="H879" s="95"/>
      <c r="I879" s="74"/>
      <c r="J879" s="74"/>
      <c r="K879" s="74"/>
      <c r="L879" s="74"/>
      <c r="M879" s="96"/>
      <c r="N879" s="74"/>
      <c r="O879" s="74"/>
      <c r="P879" s="74"/>
    </row>
    <row r="880" spans="1:16" ht="15.75" customHeight="1">
      <c r="A880" s="94"/>
      <c r="B880" s="72"/>
      <c r="C880" s="74"/>
      <c r="D880" s="72"/>
      <c r="E880" s="95"/>
      <c r="F880" s="74"/>
      <c r="G880" s="72"/>
      <c r="H880" s="95"/>
      <c r="I880" s="74"/>
      <c r="J880" s="74"/>
      <c r="K880" s="74"/>
      <c r="L880" s="74"/>
      <c r="M880" s="96"/>
      <c r="N880" s="74"/>
      <c r="O880" s="74"/>
      <c r="P880" s="74"/>
    </row>
    <row r="881" spans="1:16" ht="15.75" customHeight="1">
      <c r="A881" s="94"/>
      <c r="B881" s="72"/>
      <c r="C881" s="74"/>
      <c r="D881" s="72"/>
      <c r="E881" s="95"/>
      <c r="F881" s="74"/>
      <c r="G881" s="72"/>
      <c r="H881" s="95"/>
      <c r="I881" s="74"/>
      <c r="J881" s="74"/>
      <c r="K881" s="74"/>
      <c r="L881" s="74"/>
      <c r="M881" s="96"/>
      <c r="N881" s="74"/>
      <c r="O881" s="74"/>
      <c r="P881" s="74"/>
    </row>
    <row r="882" spans="1:16" ht="15.75" customHeight="1">
      <c r="A882" s="94"/>
      <c r="B882" s="72"/>
      <c r="C882" s="74"/>
      <c r="D882" s="72"/>
      <c r="E882" s="95"/>
      <c r="F882" s="74"/>
      <c r="G882" s="72"/>
      <c r="H882" s="95"/>
      <c r="I882" s="74"/>
      <c r="J882" s="74"/>
      <c r="K882" s="74"/>
      <c r="L882" s="74"/>
      <c r="M882" s="96"/>
      <c r="N882" s="74"/>
      <c r="O882" s="74"/>
      <c r="P882" s="74"/>
    </row>
    <row r="883" spans="1:16" ht="15.75" customHeight="1">
      <c r="A883" s="94"/>
      <c r="B883" s="72"/>
      <c r="C883" s="74"/>
      <c r="D883" s="72"/>
      <c r="E883" s="95"/>
      <c r="F883" s="74"/>
      <c r="G883" s="72"/>
      <c r="H883" s="95"/>
      <c r="I883" s="74"/>
      <c r="J883" s="74"/>
      <c r="K883" s="74"/>
      <c r="L883" s="74"/>
      <c r="M883" s="96"/>
      <c r="N883" s="74"/>
      <c r="O883" s="74"/>
      <c r="P883" s="74"/>
    </row>
    <row r="884" spans="1:16" ht="15.75" customHeight="1">
      <c r="A884" s="94"/>
      <c r="B884" s="72"/>
      <c r="C884" s="74"/>
      <c r="D884" s="72"/>
      <c r="E884" s="95"/>
      <c r="F884" s="74"/>
      <c r="G884" s="72"/>
      <c r="H884" s="95"/>
      <c r="I884" s="74"/>
      <c r="J884" s="74"/>
      <c r="K884" s="74"/>
      <c r="L884" s="74"/>
      <c r="M884" s="96"/>
      <c r="N884" s="74"/>
      <c r="O884" s="74"/>
      <c r="P884" s="74"/>
    </row>
    <row r="885" spans="1:16" ht="15.75" customHeight="1">
      <c r="A885" s="94"/>
      <c r="B885" s="72"/>
      <c r="C885" s="74"/>
      <c r="D885" s="72"/>
      <c r="E885" s="95"/>
      <c r="F885" s="74"/>
      <c r="G885" s="72"/>
      <c r="H885" s="95"/>
      <c r="I885" s="74"/>
      <c r="J885" s="74"/>
      <c r="K885" s="74"/>
      <c r="L885" s="74"/>
      <c r="M885" s="96"/>
      <c r="N885" s="74"/>
      <c r="O885" s="74"/>
      <c r="P885" s="74"/>
    </row>
    <row r="886" spans="1:16" ht="15.75" customHeight="1">
      <c r="A886" s="94"/>
      <c r="B886" s="72"/>
      <c r="C886" s="74"/>
      <c r="D886" s="72"/>
      <c r="E886" s="95"/>
      <c r="F886" s="74"/>
      <c r="G886" s="72"/>
      <c r="H886" s="95"/>
      <c r="I886" s="74"/>
      <c r="J886" s="74"/>
      <c r="K886" s="74"/>
      <c r="L886" s="74"/>
      <c r="M886" s="96"/>
      <c r="N886" s="74"/>
      <c r="O886" s="74"/>
      <c r="P886" s="74"/>
    </row>
    <row r="887" spans="1:16" ht="15.75" customHeight="1">
      <c r="A887" s="94"/>
      <c r="B887" s="72"/>
      <c r="C887" s="74"/>
      <c r="D887" s="72"/>
      <c r="E887" s="95"/>
      <c r="F887" s="74"/>
      <c r="G887" s="72"/>
      <c r="H887" s="95"/>
      <c r="I887" s="74"/>
      <c r="J887" s="74"/>
      <c r="K887" s="74"/>
      <c r="L887" s="74"/>
      <c r="M887" s="96"/>
      <c r="N887" s="74"/>
      <c r="O887" s="74"/>
      <c r="P887" s="74"/>
    </row>
    <row r="888" spans="1:16" ht="15.75" customHeight="1">
      <c r="A888" s="94"/>
      <c r="B888" s="72"/>
      <c r="C888" s="74"/>
      <c r="D888" s="72"/>
      <c r="E888" s="95"/>
      <c r="F888" s="74"/>
      <c r="G888" s="72"/>
      <c r="H888" s="95"/>
      <c r="I888" s="74"/>
      <c r="J888" s="74"/>
      <c r="K888" s="74"/>
      <c r="L888" s="74"/>
      <c r="M888" s="96"/>
      <c r="N888" s="74"/>
      <c r="O888" s="74"/>
      <c r="P888" s="74"/>
    </row>
    <row r="889" spans="1:16" ht="15.75" customHeight="1">
      <c r="A889" s="94"/>
      <c r="B889" s="72"/>
      <c r="C889" s="74"/>
      <c r="D889" s="72"/>
      <c r="E889" s="95"/>
      <c r="F889" s="74"/>
      <c r="G889" s="72"/>
      <c r="H889" s="95"/>
      <c r="I889" s="74"/>
      <c r="J889" s="74"/>
      <c r="K889" s="74"/>
      <c r="L889" s="74"/>
      <c r="M889" s="96"/>
      <c r="N889" s="74"/>
      <c r="O889" s="74"/>
      <c r="P889" s="74"/>
    </row>
    <row r="890" spans="1:16" ht="15.75" customHeight="1">
      <c r="A890" s="94"/>
      <c r="B890" s="72"/>
      <c r="C890" s="74"/>
      <c r="D890" s="72"/>
      <c r="E890" s="95"/>
      <c r="F890" s="74"/>
      <c r="G890" s="72"/>
      <c r="H890" s="95"/>
      <c r="I890" s="74"/>
      <c r="J890" s="74"/>
      <c r="K890" s="74"/>
      <c r="L890" s="74"/>
      <c r="M890" s="96"/>
      <c r="N890" s="74"/>
      <c r="O890" s="74"/>
      <c r="P890" s="74"/>
    </row>
    <row r="891" spans="1:16" ht="15.75" customHeight="1">
      <c r="A891" s="94"/>
      <c r="B891" s="72"/>
      <c r="C891" s="74"/>
      <c r="D891" s="72"/>
      <c r="E891" s="95"/>
      <c r="F891" s="74"/>
      <c r="G891" s="72"/>
      <c r="H891" s="95"/>
      <c r="I891" s="74"/>
      <c r="J891" s="74"/>
      <c r="K891" s="74"/>
      <c r="L891" s="74"/>
      <c r="M891" s="96"/>
      <c r="N891" s="74"/>
      <c r="O891" s="74"/>
      <c r="P891" s="74"/>
    </row>
    <row r="892" spans="1:16" ht="15.75" customHeight="1">
      <c r="A892" s="94"/>
      <c r="B892" s="72"/>
      <c r="C892" s="74"/>
      <c r="D892" s="72"/>
      <c r="E892" s="95"/>
      <c r="F892" s="74"/>
      <c r="G892" s="72"/>
      <c r="H892" s="95"/>
      <c r="I892" s="74"/>
      <c r="J892" s="74"/>
      <c r="K892" s="74"/>
      <c r="L892" s="74"/>
      <c r="M892" s="96"/>
      <c r="N892" s="74"/>
      <c r="O892" s="74"/>
      <c r="P892" s="74"/>
    </row>
    <row r="893" spans="1:16" ht="15.75" customHeight="1">
      <c r="A893" s="94"/>
      <c r="B893" s="72"/>
      <c r="C893" s="74"/>
      <c r="D893" s="72"/>
      <c r="E893" s="95"/>
      <c r="F893" s="74"/>
      <c r="G893" s="72"/>
      <c r="H893" s="95"/>
      <c r="I893" s="74"/>
      <c r="J893" s="74"/>
      <c r="K893" s="74"/>
      <c r="L893" s="74"/>
      <c r="M893" s="96"/>
      <c r="N893" s="74"/>
      <c r="O893" s="74"/>
      <c r="P893" s="74"/>
    </row>
    <row r="894" spans="1:16" ht="15.75" customHeight="1">
      <c r="A894" s="94"/>
      <c r="B894" s="72"/>
      <c r="C894" s="74"/>
      <c r="D894" s="72"/>
      <c r="E894" s="95"/>
      <c r="F894" s="74"/>
      <c r="G894" s="72"/>
      <c r="H894" s="95"/>
      <c r="I894" s="74"/>
      <c r="J894" s="74"/>
      <c r="K894" s="74"/>
      <c r="L894" s="74"/>
      <c r="M894" s="96"/>
      <c r="N894" s="74"/>
      <c r="O894" s="74"/>
      <c r="P894" s="74"/>
    </row>
    <row r="895" spans="1:16" ht="15.75" customHeight="1">
      <c r="A895" s="94"/>
      <c r="B895" s="72"/>
      <c r="C895" s="74"/>
      <c r="D895" s="72"/>
      <c r="E895" s="95"/>
      <c r="F895" s="74"/>
      <c r="G895" s="72"/>
      <c r="H895" s="95"/>
      <c r="I895" s="74"/>
      <c r="J895" s="74"/>
      <c r="K895" s="74"/>
      <c r="L895" s="74"/>
      <c r="M895" s="96"/>
      <c r="N895" s="74"/>
      <c r="O895" s="74"/>
      <c r="P895" s="74"/>
    </row>
    <row r="896" spans="1:16" ht="15.75" customHeight="1">
      <c r="A896" s="94"/>
      <c r="B896" s="72"/>
      <c r="C896" s="74"/>
      <c r="D896" s="72"/>
      <c r="E896" s="95"/>
      <c r="F896" s="74"/>
      <c r="G896" s="72"/>
      <c r="H896" s="95"/>
      <c r="I896" s="74"/>
      <c r="J896" s="74"/>
      <c r="K896" s="74"/>
      <c r="L896" s="74"/>
      <c r="M896" s="96"/>
      <c r="N896" s="74"/>
      <c r="O896" s="74"/>
      <c r="P896" s="74"/>
    </row>
    <row r="897" spans="1:16" ht="15.75" customHeight="1">
      <c r="A897" s="94"/>
      <c r="B897" s="72"/>
      <c r="C897" s="74"/>
      <c r="D897" s="72"/>
      <c r="E897" s="95"/>
      <c r="F897" s="74"/>
      <c r="G897" s="72"/>
      <c r="H897" s="95"/>
      <c r="I897" s="74"/>
      <c r="J897" s="74"/>
      <c r="K897" s="74"/>
      <c r="L897" s="74"/>
      <c r="M897" s="96"/>
      <c r="N897" s="74"/>
      <c r="O897" s="74"/>
      <c r="P897" s="74"/>
    </row>
    <row r="898" spans="1:16" ht="15.75" customHeight="1">
      <c r="A898" s="94"/>
      <c r="B898" s="72"/>
      <c r="C898" s="74"/>
      <c r="D898" s="72"/>
      <c r="E898" s="95"/>
      <c r="F898" s="74"/>
      <c r="G898" s="72"/>
      <c r="H898" s="95"/>
      <c r="I898" s="74"/>
      <c r="J898" s="74"/>
      <c r="K898" s="74"/>
      <c r="L898" s="74"/>
      <c r="M898" s="96"/>
      <c r="N898" s="74"/>
      <c r="O898" s="74"/>
      <c r="P898" s="74"/>
    </row>
    <row r="899" spans="1:16" ht="15.75" customHeight="1">
      <c r="A899" s="94"/>
      <c r="B899" s="72"/>
      <c r="C899" s="74"/>
      <c r="D899" s="72"/>
      <c r="E899" s="95"/>
      <c r="F899" s="74"/>
      <c r="G899" s="72"/>
      <c r="H899" s="95"/>
      <c r="I899" s="74"/>
      <c r="J899" s="74"/>
      <c r="K899" s="74"/>
      <c r="L899" s="74"/>
      <c r="M899" s="96"/>
      <c r="N899" s="74"/>
      <c r="O899" s="74"/>
      <c r="P899" s="74"/>
    </row>
    <row r="900" spans="1:16" ht="15.75" customHeight="1">
      <c r="A900" s="94"/>
      <c r="B900" s="72"/>
      <c r="C900" s="74"/>
      <c r="D900" s="72"/>
      <c r="E900" s="95"/>
      <c r="F900" s="74"/>
      <c r="G900" s="72"/>
      <c r="H900" s="95"/>
      <c r="I900" s="74"/>
      <c r="J900" s="74"/>
      <c r="K900" s="74"/>
      <c r="L900" s="74"/>
      <c r="M900" s="96"/>
      <c r="N900" s="74"/>
      <c r="O900" s="74"/>
      <c r="P900" s="74"/>
    </row>
    <row r="901" spans="1:16" ht="15.75" customHeight="1">
      <c r="A901" s="94"/>
      <c r="B901" s="72"/>
      <c r="C901" s="74"/>
      <c r="D901" s="72"/>
      <c r="E901" s="95"/>
      <c r="F901" s="74"/>
      <c r="G901" s="72"/>
      <c r="H901" s="95"/>
      <c r="I901" s="74"/>
      <c r="J901" s="74"/>
      <c r="K901" s="74"/>
      <c r="L901" s="74"/>
      <c r="M901" s="96"/>
      <c r="N901" s="74"/>
      <c r="O901" s="74"/>
      <c r="P901" s="74"/>
    </row>
    <row r="902" spans="1:16" ht="15.75" customHeight="1">
      <c r="A902" s="94"/>
      <c r="B902" s="72"/>
      <c r="C902" s="74"/>
      <c r="D902" s="72"/>
      <c r="E902" s="95"/>
      <c r="F902" s="74"/>
      <c r="G902" s="72"/>
      <c r="H902" s="95"/>
      <c r="I902" s="74"/>
      <c r="J902" s="74"/>
      <c r="K902" s="74"/>
      <c r="L902" s="74"/>
      <c r="M902" s="96"/>
      <c r="N902" s="74"/>
      <c r="O902" s="74"/>
      <c r="P902" s="74"/>
    </row>
    <row r="903" spans="1:16" ht="15.75" customHeight="1">
      <c r="A903" s="94"/>
      <c r="B903" s="72"/>
      <c r="C903" s="74"/>
      <c r="D903" s="72"/>
      <c r="E903" s="95"/>
      <c r="F903" s="74"/>
      <c r="G903" s="72"/>
      <c r="H903" s="95"/>
      <c r="I903" s="74"/>
      <c r="J903" s="74"/>
      <c r="K903" s="74"/>
      <c r="L903" s="74"/>
      <c r="M903" s="96"/>
      <c r="N903" s="74"/>
      <c r="O903" s="74"/>
      <c r="P903" s="74"/>
    </row>
    <row r="904" spans="1:16" ht="15.75" customHeight="1">
      <c r="A904" s="94"/>
      <c r="B904" s="72"/>
      <c r="C904" s="74"/>
      <c r="D904" s="72"/>
      <c r="E904" s="95"/>
      <c r="F904" s="74"/>
      <c r="G904" s="72"/>
      <c r="H904" s="95"/>
      <c r="I904" s="74"/>
      <c r="J904" s="74"/>
      <c r="K904" s="74"/>
      <c r="L904" s="74"/>
      <c r="M904" s="96"/>
      <c r="N904" s="74"/>
      <c r="O904" s="74"/>
      <c r="P904" s="74"/>
    </row>
    <row r="905" spans="1:16" ht="15.75" customHeight="1">
      <c r="A905" s="94"/>
      <c r="B905" s="72"/>
      <c r="C905" s="74"/>
      <c r="D905" s="72"/>
      <c r="E905" s="95"/>
      <c r="F905" s="74"/>
      <c r="G905" s="72"/>
      <c r="H905" s="95"/>
      <c r="I905" s="74"/>
      <c r="J905" s="74"/>
      <c r="K905" s="74"/>
      <c r="L905" s="74"/>
      <c r="M905" s="96"/>
      <c r="N905" s="74"/>
      <c r="O905" s="74"/>
      <c r="P905" s="74"/>
    </row>
    <row r="906" spans="1:16" ht="15.75" customHeight="1">
      <c r="A906" s="94"/>
      <c r="B906" s="72"/>
      <c r="C906" s="74"/>
      <c r="D906" s="72"/>
      <c r="E906" s="95"/>
      <c r="F906" s="74"/>
      <c r="G906" s="72"/>
      <c r="H906" s="95"/>
      <c r="I906" s="74"/>
      <c r="J906" s="74"/>
      <c r="K906" s="74"/>
      <c r="L906" s="74"/>
      <c r="M906" s="96"/>
      <c r="N906" s="74"/>
      <c r="O906" s="74"/>
      <c r="P906" s="74"/>
    </row>
    <row r="907" spans="1:16" ht="15.75" customHeight="1">
      <c r="A907" s="94"/>
      <c r="B907" s="72"/>
      <c r="C907" s="74"/>
      <c r="D907" s="72"/>
      <c r="E907" s="95"/>
      <c r="F907" s="74"/>
      <c r="G907" s="72"/>
      <c r="H907" s="95"/>
      <c r="I907" s="74"/>
      <c r="J907" s="74"/>
      <c r="K907" s="74"/>
      <c r="L907" s="74"/>
      <c r="M907" s="96"/>
      <c r="N907" s="74"/>
      <c r="O907" s="74"/>
      <c r="P907" s="74"/>
    </row>
    <row r="908" spans="1:16" ht="15.75" customHeight="1">
      <c r="A908" s="94"/>
      <c r="B908" s="72"/>
      <c r="C908" s="74"/>
      <c r="D908" s="72"/>
      <c r="E908" s="95"/>
      <c r="F908" s="74"/>
      <c r="G908" s="72"/>
      <c r="H908" s="95"/>
      <c r="I908" s="74"/>
      <c r="J908" s="74"/>
      <c r="K908" s="74"/>
      <c r="L908" s="74"/>
      <c r="M908" s="96"/>
      <c r="N908" s="74"/>
      <c r="O908" s="74"/>
      <c r="P908" s="74"/>
    </row>
    <row r="909" spans="1:16" ht="15.75" customHeight="1">
      <c r="A909" s="94"/>
      <c r="B909" s="72"/>
      <c r="C909" s="74"/>
      <c r="D909" s="72"/>
      <c r="E909" s="95"/>
      <c r="F909" s="74"/>
      <c r="G909" s="72"/>
      <c r="H909" s="95"/>
      <c r="I909" s="74"/>
      <c r="J909" s="74"/>
      <c r="K909" s="74"/>
      <c r="L909" s="74"/>
      <c r="M909" s="96"/>
      <c r="N909" s="74"/>
      <c r="O909" s="74"/>
      <c r="P909" s="74"/>
    </row>
    <row r="910" spans="1:16" ht="15.75" customHeight="1">
      <c r="A910" s="94"/>
      <c r="B910" s="72"/>
      <c r="C910" s="74"/>
      <c r="D910" s="72"/>
      <c r="E910" s="95"/>
      <c r="F910" s="74"/>
      <c r="G910" s="72"/>
      <c r="H910" s="95"/>
      <c r="I910" s="74"/>
      <c r="J910" s="74"/>
      <c r="K910" s="74"/>
      <c r="L910" s="74"/>
      <c r="M910" s="96"/>
      <c r="N910" s="74"/>
      <c r="O910" s="74"/>
      <c r="P910" s="74"/>
    </row>
    <row r="911" spans="1:16" ht="15.75" customHeight="1">
      <c r="A911" s="94"/>
      <c r="B911" s="72"/>
      <c r="C911" s="74"/>
      <c r="D911" s="72"/>
      <c r="E911" s="95"/>
      <c r="F911" s="74"/>
      <c r="G911" s="72"/>
      <c r="H911" s="95"/>
      <c r="I911" s="74"/>
      <c r="J911" s="74"/>
      <c r="K911" s="74"/>
      <c r="L911" s="74"/>
      <c r="M911" s="96"/>
      <c r="N911" s="74"/>
      <c r="O911" s="74"/>
      <c r="P911" s="74"/>
    </row>
    <row r="912" spans="1:16" ht="15.75" customHeight="1">
      <c r="A912" s="94"/>
      <c r="B912" s="72"/>
      <c r="C912" s="74"/>
      <c r="D912" s="72"/>
      <c r="E912" s="95"/>
      <c r="F912" s="74"/>
      <c r="G912" s="72"/>
      <c r="H912" s="95"/>
      <c r="I912" s="74"/>
      <c r="J912" s="74"/>
      <c r="K912" s="74"/>
      <c r="L912" s="74"/>
      <c r="M912" s="96"/>
      <c r="N912" s="74"/>
      <c r="O912" s="74"/>
      <c r="P912" s="74"/>
    </row>
    <row r="913" spans="1:16" ht="15.75" customHeight="1">
      <c r="A913" s="94"/>
      <c r="B913" s="72"/>
      <c r="C913" s="74"/>
      <c r="D913" s="72"/>
      <c r="E913" s="95"/>
      <c r="F913" s="74"/>
      <c r="G913" s="72"/>
      <c r="H913" s="95"/>
      <c r="I913" s="74"/>
      <c r="J913" s="74"/>
      <c r="K913" s="74"/>
      <c r="L913" s="74"/>
      <c r="M913" s="96"/>
      <c r="N913" s="74"/>
      <c r="O913" s="74"/>
      <c r="P913" s="74"/>
    </row>
    <row r="914" spans="1:16" ht="15.75" customHeight="1">
      <c r="A914" s="94"/>
      <c r="B914" s="72"/>
      <c r="C914" s="74"/>
      <c r="D914" s="72"/>
      <c r="E914" s="95"/>
      <c r="F914" s="74"/>
      <c r="G914" s="72"/>
      <c r="H914" s="95"/>
      <c r="I914" s="74"/>
      <c r="J914" s="74"/>
      <c r="K914" s="74"/>
      <c r="L914" s="74"/>
      <c r="M914" s="96"/>
      <c r="N914" s="74"/>
      <c r="O914" s="74"/>
      <c r="P914" s="74"/>
    </row>
    <row r="915" spans="1:16" ht="15.75" customHeight="1">
      <c r="A915" s="94"/>
      <c r="B915" s="72"/>
      <c r="C915" s="74"/>
      <c r="D915" s="72"/>
      <c r="E915" s="95"/>
      <c r="F915" s="74"/>
      <c r="G915" s="72"/>
      <c r="H915" s="95"/>
      <c r="I915" s="74"/>
      <c r="J915" s="74"/>
      <c r="K915" s="74"/>
      <c r="L915" s="74"/>
      <c r="M915" s="96"/>
      <c r="N915" s="74"/>
      <c r="O915" s="74"/>
      <c r="P915" s="74"/>
    </row>
    <row r="916" spans="1:16" ht="15.75" customHeight="1">
      <c r="A916" s="94"/>
      <c r="B916" s="72"/>
      <c r="C916" s="74"/>
      <c r="D916" s="72"/>
      <c r="E916" s="95"/>
      <c r="F916" s="74"/>
      <c r="G916" s="72"/>
      <c r="H916" s="95"/>
      <c r="I916" s="74"/>
      <c r="J916" s="74"/>
      <c r="K916" s="74"/>
      <c r="L916" s="74"/>
      <c r="M916" s="96"/>
      <c r="N916" s="74"/>
      <c r="O916" s="74"/>
      <c r="P916" s="74"/>
    </row>
    <row r="917" spans="1:16" ht="15.75" customHeight="1">
      <c r="A917" s="94"/>
      <c r="B917" s="72"/>
      <c r="C917" s="74"/>
      <c r="D917" s="72"/>
      <c r="E917" s="95"/>
      <c r="F917" s="74"/>
      <c r="G917" s="72"/>
      <c r="H917" s="95"/>
      <c r="I917" s="74"/>
      <c r="J917" s="74"/>
      <c r="K917" s="74"/>
      <c r="L917" s="74"/>
      <c r="M917" s="96"/>
      <c r="N917" s="74"/>
      <c r="O917" s="74"/>
      <c r="P917" s="74"/>
    </row>
    <row r="918" spans="1:16" ht="15.75" customHeight="1">
      <c r="A918" s="94"/>
      <c r="B918" s="72"/>
      <c r="C918" s="74"/>
      <c r="D918" s="72"/>
      <c r="E918" s="95"/>
      <c r="F918" s="74"/>
      <c r="G918" s="72"/>
      <c r="H918" s="95"/>
      <c r="I918" s="74"/>
      <c r="J918" s="74"/>
      <c r="K918" s="74"/>
      <c r="L918" s="74"/>
      <c r="M918" s="96"/>
      <c r="N918" s="74"/>
      <c r="O918" s="74"/>
      <c r="P918" s="74"/>
    </row>
    <row r="919" spans="1:16" ht="15.75" customHeight="1">
      <c r="A919" s="94"/>
      <c r="B919" s="72"/>
      <c r="C919" s="74"/>
      <c r="D919" s="72"/>
      <c r="E919" s="95"/>
      <c r="F919" s="74"/>
      <c r="G919" s="72"/>
      <c r="H919" s="95"/>
      <c r="I919" s="74"/>
      <c r="J919" s="74"/>
      <c r="K919" s="74"/>
      <c r="L919" s="74"/>
      <c r="M919" s="96"/>
      <c r="N919" s="74"/>
      <c r="O919" s="74"/>
      <c r="P919" s="74"/>
    </row>
    <row r="920" spans="1:16" ht="15.75" customHeight="1">
      <c r="A920" s="94"/>
      <c r="B920" s="72"/>
      <c r="C920" s="74"/>
      <c r="D920" s="72"/>
      <c r="E920" s="95"/>
      <c r="F920" s="74"/>
      <c r="G920" s="72"/>
      <c r="H920" s="95"/>
      <c r="I920" s="74"/>
      <c r="J920" s="74"/>
      <c r="K920" s="74"/>
      <c r="L920" s="74"/>
      <c r="M920" s="96"/>
      <c r="N920" s="74"/>
      <c r="O920" s="74"/>
      <c r="P920" s="74"/>
    </row>
    <row r="921" spans="1:16" ht="15.75" customHeight="1">
      <c r="A921" s="94"/>
      <c r="B921" s="72"/>
      <c r="C921" s="74"/>
      <c r="D921" s="72"/>
      <c r="E921" s="95"/>
      <c r="F921" s="74"/>
      <c r="G921" s="72"/>
      <c r="H921" s="95"/>
      <c r="I921" s="74"/>
      <c r="J921" s="74"/>
      <c r="K921" s="74"/>
      <c r="L921" s="74"/>
      <c r="M921" s="96"/>
      <c r="N921" s="74"/>
      <c r="O921" s="74"/>
      <c r="P921" s="74"/>
    </row>
    <row r="922" spans="1:16" ht="15.75" customHeight="1">
      <c r="A922" s="94"/>
      <c r="B922" s="72"/>
      <c r="C922" s="74"/>
      <c r="D922" s="72"/>
      <c r="E922" s="95"/>
      <c r="F922" s="74"/>
      <c r="G922" s="72"/>
      <c r="H922" s="95"/>
      <c r="I922" s="74"/>
      <c r="J922" s="74"/>
      <c r="K922" s="74"/>
      <c r="L922" s="74"/>
      <c r="M922" s="96"/>
      <c r="N922" s="74"/>
      <c r="O922" s="74"/>
      <c r="P922" s="74"/>
    </row>
    <row r="923" spans="1:16" ht="15.75" customHeight="1">
      <c r="A923" s="94"/>
      <c r="B923" s="72"/>
      <c r="C923" s="74"/>
      <c r="D923" s="72"/>
      <c r="E923" s="95"/>
      <c r="F923" s="74"/>
      <c r="G923" s="72"/>
      <c r="H923" s="95"/>
      <c r="I923" s="74"/>
      <c r="J923" s="74"/>
      <c r="K923" s="74"/>
      <c r="L923" s="74"/>
      <c r="M923" s="96"/>
      <c r="N923" s="74"/>
      <c r="O923" s="74"/>
      <c r="P923" s="74"/>
    </row>
    <row r="924" spans="1:16" ht="15.75" customHeight="1">
      <c r="A924" s="94"/>
      <c r="B924" s="72"/>
      <c r="C924" s="74"/>
      <c r="D924" s="72"/>
      <c r="E924" s="95"/>
      <c r="F924" s="74"/>
      <c r="G924" s="72"/>
      <c r="H924" s="95"/>
      <c r="I924" s="74"/>
      <c r="J924" s="74"/>
      <c r="K924" s="74"/>
      <c r="L924" s="74"/>
      <c r="M924" s="96"/>
      <c r="N924" s="74"/>
      <c r="O924" s="74"/>
      <c r="P924" s="74"/>
    </row>
    <row r="925" spans="1:16" ht="15.75" customHeight="1">
      <c r="A925" s="94"/>
      <c r="B925" s="72"/>
      <c r="C925" s="74"/>
      <c r="D925" s="72"/>
      <c r="E925" s="95"/>
      <c r="F925" s="74"/>
      <c r="G925" s="72"/>
      <c r="H925" s="95"/>
      <c r="I925" s="74"/>
      <c r="J925" s="74"/>
      <c r="K925" s="74"/>
      <c r="L925" s="74"/>
      <c r="M925" s="96"/>
      <c r="N925" s="74"/>
      <c r="O925" s="74"/>
      <c r="P925" s="74"/>
    </row>
    <row r="926" spans="1:16" ht="15.75" customHeight="1">
      <c r="A926" s="94"/>
      <c r="B926" s="72"/>
      <c r="C926" s="74"/>
      <c r="D926" s="72"/>
      <c r="E926" s="95"/>
      <c r="F926" s="74"/>
      <c r="G926" s="72"/>
      <c r="H926" s="95"/>
      <c r="I926" s="74"/>
      <c r="J926" s="74"/>
      <c r="K926" s="74"/>
      <c r="L926" s="74"/>
      <c r="M926" s="96"/>
      <c r="N926" s="74"/>
      <c r="O926" s="74"/>
      <c r="P926" s="74"/>
    </row>
    <row r="927" spans="1:16" ht="15.75" customHeight="1">
      <c r="A927" s="94"/>
      <c r="B927" s="72"/>
      <c r="C927" s="74"/>
      <c r="D927" s="72"/>
      <c r="E927" s="95"/>
      <c r="F927" s="74"/>
      <c r="G927" s="72"/>
      <c r="H927" s="95"/>
      <c r="I927" s="74"/>
      <c r="J927" s="74"/>
      <c r="K927" s="74"/>
      <c r="L927" s="74"/>
      <c r="M927" s="96"/>
      <c r="N927" s="74"/>
      <c r="O927" s="74"/>
      <c r="P927" s="74"/>
    </row>
    <row r="928" spans="1:16" ht="15.75" customHeight="1">
      <c r="A928" s="94"/>
      <c r="B928" s="72"/>
      <c r="C928" s="74"/>
      <c r="D928" s="72"/>
      <c r="E928" s="95"/>
      <c r="F928" s="74"/>
      <c r="G928" s="72"/>
      <c r="H928" s="95"/>
      <c r="I928" s="74"/>
      <c r="J928" s="74"/>
      <c r="K928" s="74"/>
      <c r="L928" s="74"/>
      <c r="M928" s="96"/>
      <c r="N928" s="74"/>
      <c r="O928" s="74"/>
      <c r="P928" s="74"/>
    </row>
    <row r="929" spans="1:16" ht="15.75" customHeight="1">
      <c r="A929" s="94"/>
      <c r="B929" s="72"/>
      <c r="C929" s="74"/>
      <c r="D929" s="72"/>
      <c r="E929" s="95"/>
      <c r="F929" s="74"/>
      <c r="G929" s="72"/>
      <c r="H929" s="95"/>
      <c r="I929" s="74"/>
      <c r="J929" s="74"/>
      <c r="K929" s="74"/>
      <c r="L929" s="74"/>
      <c r="M929" s="96"/>
      <c r="N929" s="74"/>
      <c r="O929" s="74"/>
      <c r="P929" s="74"/>
    </row>
    <row r="930" spans="1:16" ht="15.75" customHeight="1">
      <c r="A930" s="94"/>
      <c r="B930" s="72"/>
      <c r="C930" s="74"/>
      <c r="D930" s="72"/>
      <c r="E930" s="95"/>
      <c r="F930" s="74"/>
      <c r="G930" s="72"/>
      <c r="H930" s="95"/>
      <c r="I930" s="74"/>
      <c r="J930" s="74"/>
      <c r="K930" s="74"/>
      <c r="L930" s="74"/>
      <c r="M930" s="96"/>
      <c r="N930" s="74"/>
      <c r="O930" s="74"/>
      <c r="P930" s="74"/>
    </row>
    <row r="931" spans="1:16" ht="15.75" customHeight="1">
      <c r="A931" s="94"/>
      <c r="B931" s="72"/>
      <c r="C931" s="74"/>
      <c r="D931" s="72"/>
      <c r="E931" s="95"/>
      <c r="F931" s="74"/>
      <c r="G931" s="72"/>
      <c r="H931" s="95"/>
      <c r="I931" s="74"/>
      <c r="J931" s="74"/>
      <c r="K931" s="74"/>
      <c r="L931" s="74"/>
      <c r="M931" s="96"/>
      <c r="N931" s="74"/>
      <c r="O931" s="74"/>
      <c r="P931" s="74"/>
    </row>
    <row r="932" spans="1:16" ht="15.75" customHeight="1">
      <c r="A932" s="94"/>
      <c r="B932" s="72"/>
      <c r="C932" s="74"/>
      <c r="D932" s="72"/>
      <c r="E932" s="95"/>
      <c r="F932" s="74"/>
      <c r="G932" s="72"/>
      <c r="H932" s="95"/>
      <c r="I932" s="74"/>
      <c r="J932" s="74"/>
      <c r="K932" s="74"/>
      <c r="L932" s="74"/>
      <c r="M932" s="96"/>
      <c r="N932" s="74"/>
      <c r="O932" s="74"/>
      <c r="P932" s="74"/>
    </row>
    <row r="933" spans="1:16" ht="15.75" customHeight="1">
      <c r="A933" s="94"/>
      <c r="B933" s="72"/>
      <c r="C933" s="74"/>
      <c r="D933" s="72"/>
      <c r="E933" s="95"/>
      <c r="F933" s="74"/>
      <c r="G933" s="72"/>
      <c r="H933" s="95"/>
      <c r="I933" s="74"/>
      <c r="J933" s="74"/>
      <c r="K933" s="74"/>
      <c r="L933" s="74"/>
      <c r="M933" s="96"/>
      <c r="N933" s="74"/>
      <c r="O933" s="74"/>
      <c r="P933" s="74"/>
    </row>
    <row r="934" spans="1:16" ht="15.75" customHeight="1">
      <c r="A934" s="94"/>
      <c r="B934" s="72"/>
      <c r="C934" s="74"/>
      <c r="D934" s="72"/>
      <c r="E934" s="95"/>
      <c r="F934" s="74"/>
      <c r="G934" s="72"/>
      <c r="H934" s="95"/>
      <c r="I934" s="74"/>
      <c r="J934" s="74"/>
      <c r="K934" s="74"/>
      <c r="L934" s="74"/>
      <c r="M934" s="96"/>
      <c r="N934" s="74"/>
      <c r="O934" s="74"/>
      <c r="P934" s="74"/>
    </row>
    <row r="935" spans="1:16" ht="15.75" customHeight="1">
      <c r="A935" s="94"/>
      <c r="B935" s="72"/>
      <c r="C935" s="74"/>
      <c r="D935" s="72"/>
      <c r="E935" s="95"/>
      <c r="F935" s="74"/>
      <c r="G935" s="72"/>
      <c r="H935" s="95"/>
      <c r="I935" s="74"/>
      <c r="J935" s="74"/>
      <c r="K935" s="74"/>
      <c r="L935" s="74"/>
      <c r="M935" s="96"/>
      <c r="N935" s="74"/>
      <c r="O935" s="74"/>
      <c r="P935" s="74"/>
    </row>
    <row r="936" spans="1:16" ht="15.75" customHeight="1">
      <c r="A936" s="94"/>
      <c r="B936" s="72"/>
      <c r="C936" s="74"/>
      <c r="D936" s="72"/>
      <c r="E936" s="95"/>
      <c r="F936" s="74"/>
      <c r="G936" s="72"/>
      <c r="H936" s="95"/>
      <c r="I936" s="74"/>
      <c r="J936" s="74"/>
      <c r="K936" s="74"/>
      <c r="L936" s="74"/>
      <c r="M936" s="96"/>
      <c r="N936" s="74"/>
      <c r="O936" s="74"/>
      <c r="P936" s="74"/>
    </row>
    <row r="937" spans="1:16" ht="15.75" customHeight="1">
      <c r="A937" s="94"/>
      <c r="B937" s="72"/>
      <c r="C937" s="74"/>
      <c r="D937" s="72"/>
      <c r="E937" s="95"/>
      <c r="F937" s="74"/>
      <c r="G937" s="72"/>
      <c r="H937" s="95"/>
      <c r="I937" s="74"/>
      <c r="J937" s="74"/>
      <c r="K937" s="74"/>
      <c r="L937" s="74"/>
      <c r="M937" s="96"/>
      <c r="N937" s="74"/>
      <c r="O937" s="74"/>
      <c r="P937" s="74"/>
    </row>
    <row r="938" spans="1:16" ht="15.75" customHeight="1">
      <c r="A938" s="94"/>
      <c r="B938" s="72"/>
      <c r="C938" s="74"/>
      <c r="D938" s="72"/>
      <c r="E938" s="95"/>
      <c r="F938" s="74"/>
      <c r="G938" s="72"/>
      <c r="H938" s="95"/>
      <c r="I938" s="74"/>
      <c r="J938" s="74"/>
      <c r="K938" s="74"/>
      <c r="L938" s="74"/>
      <c r="M938" s="96"/>
      <c r="N938" s="74"/>
      <c r="O938" s="74"/>
      <c r="P938" s="74"/>
    </row>
    <row r="939" spans="1:16" ht="15.75" customHeight="1">
      <c r="A939" s="94"/>
      <c r="B939" s="72"/>
      <c r="C939" s="74"/>
      <c r="D939" s="72"/>
      <c r="E939" s="95"/>
      <c r="F939" s="74"/>
      <c r="G939" s="72"/>
      <c r="H939" s="95"/>
      <c r="I939" s="74"/>
      <c r="J939" s="74"/>
      <c r="K939" s="74"/>
      <c r="L939" s="74"/>
      <c r="M939" s="96"/>
      <c r="N939" s="74"/>
      <c r="O939" s="74"/>
      <c r="P939" s="74"/>
    </row>
    <row r="940" spans="1:16" ht="15.75" customHeight="1">
      <c r="A940" s="94"/>
      <c r="B940" s="72"/>
      <c r="C940" s="74"/>
      <c r="D940" s="72"/>
      <c r="E940" s="95"/>
      <c r="F940" s="74"/>
      <c r="G940" s="72"/>
      <c r="H940" s="95"/>
      <c r="I940" s="74"/>
      <c r="J940" s="74"/>
      <c r="K940" s="74"/>
      <c r="L940" s="74"/>
      <c r="M940" s="96"/>
      <c r="N940" s="74"/>
      <c r="O940" s="74"/>
      <c r="P940" s="74"/>
    </row>
    <row r="941" spans="1:16" ht="15.75" customHeight="1">
      <c r="A941" s="94"/>
      <c r="B941" s="72"/>
      <c r="C941" s="74"/>
      <c r="D941" s="72"/>
      <c r="E941" s="95"/>
      <c r="F941" s="74"/>
      <c r="G941" s="72"/>
      <c r="H941" s="95"/>
      <c r="I941" s="74"/>
      <c r="J941" s="74"/>
      <c r="K941" s="74"/>
      <c r="L941" s="74"/>
      <c r="M941" s="96"/>
      <c r="N941" s="74"/>
      <c r="O941" s="74"/>
      <c r="P941" s="74"/>
    </row>
    <row r="942" spans="1:16" ht="15.75" customHeight="1">
      <c r="A942" s="94"/>
      <c r="B942" s="72"/>
      <c r="C942" s="74"/>
      <c r="D942" s="72"/>
      <c r="E942" s="95"/>
      <c r="F942" s="74"/>
      <c r="G942" s="72"/>
      <c r="H942" s="95"/>
      <c r="I942" s="74"/>
      <c r="J942" s="74"/>
      <c r="K942" s="74"/>
      <c r="L942" s="74"/>
      <c r="M942" s="96"/>
      <c r="N942" s="74"/>
      <c r="O942" s="74"/>
      <c r="P942" s="74"/>
    </row>
    <row r="943" spans="1:16" ht="15.75" customHeight="1">
      <c r="A943" s="94"/>
      <c r="B943" s="72"/>
      <c r="C943" s="74"/>
      <c r="D943" s="72"/>
      <c r="E943" s="95"/>
      <c r="F943" s="74"/>
      <c r="G943" s="72"/>
      <c r="H943" s="95"/>
      <c r="I943" s="74"/>
      <c r="J943" s="74"/>
      <c r="K943" s="74"/>
      <c r="L943" s="74"/>
      <c r="M943" s="96"/>
      <c r="N943" s="74"/>
      <c r="O943" s="74"/>
      <c r="P943" s="74"/>
    </row>
    <row r="944" spans="1:16" ht="15.75" customHeight="1">
      <c r="A944" s="94"/>
      <c r="B944" s="72"/>
      <c r="C944" s="74"/>
      <c r="D944" s="72"/>
      <c r="E944" s="95"/>
      <c r="F944" s="74"/>
      <c r="G944" s="72"/>
      <c r="H944" s="95"/>
      <c r="I944" s="74"/>
      <c r="J944" s="74"/>
      <c r="K944" s="74"/>
      <c r="L944" s="74"/>
      <c r="M944" s="96"/>
      <c r="N944" s="74"/>
      <c r="O944" s="74"/>
      <c r="P944" s="74"/>
    </row>
    <row r="945" spans="1:16" ht="15.75" customHeight="1">
      <c r="A945" s="94"/>
      <c r="B945" s="72"/>
      <c r="C945" s="74"/>
      <c r="D945" s="72"/>
      <c r="E945" s="95"/>
      <c r="F945" s="74"/>
      <c r="G945" s="72"/>
      <c r="H945" s="95"/>
      <c r="I945" s="74"/>
      <c r="J945" s="74"/>
      <c r="K945" s="74"/>
      <c r="L945" s="74"/>
      <c r="M945" s="96"/>
      <c r="N945" s="74"/>
      <c r="O945" s="74"/>
      <c r="P945" s="74"/>
    </row>
    <row r="946" spans="1:16" ht="15.75" customHeight="1">
      <c r="A946" s="94"/>
      <c r="B946" s="72"/>
      <c r="C946" s="74"/>
      <c r="D946" s="72"/>
      <c r="E946" s="95"/>
      <c r="F946" s="74"/>
      <c r="G946" s="72"/>
      <c r="H946" s="95"/>
      <c r="I946" s="74"/>
      <c r="J946" s="74"/>
      <c r="K946" s="74"/>
      <c r="L946" s="74"/>
      <c r="M946" s="96"/>
      <c r="N946" s="74"/>
      <c r="O946" s="74"/>
      <c r="P946" s="74"/>
    </row>
    <row r="947" spans="1:16" ht="15.75" customHeight="1">
      <c r="A947" s="94"/>
      <c r="B947" s="72"/>
      <c r="C947" s="74"/>
      <c r="D947" s="72"/>
      <c r="E947" s="95"/>
      <c r="F947" s="74"/>
      <c r="G947" s="72"/>
      <c r="H947" s="95"/>
      <c r="I947" s="74"/>
      <c r="J947" s="74"/>
      <c r="K947" s="74"/>
      <c r="L947" s="74"/>
      <c r="M947" s="96"/>
      <c r="N947" s="74"/>
      <c r="O947" s="74"/>
      <c r="P947" s="74"/>
    </row>
    <row r="948" spans="1:16" ht="15.75" customHeight="1">
      <c r="A948" s="94"/>
      <c r="B948" s="72"/>
      <c r="C948" s="74"/>
      <c r="D948" s="72"/>
      <c r="E948" s="95"/>
      <c r="F948" s="74"/>
      <c r="G948" s="72"/>
      <c r="H948" s="95"/>
      <c r="I948" s="74"/>
      <c r="J948" s="74"/>
      <c r="K948" s="74"/>
      <c r="L948" s="74"/>
      <c r="M948" s="96"/>
      <c r="N948" s="74"/>
      <c r="O948" s="74"/>
      <c r="P948" s="74"/>
    </row>
    <row r="949" spans="1:16" ht="15.75" customHeight="1">
      <c r="A949" s="94"/>
      <c r="B949" s="72"/>
      <c r="C949" s="74"/>
      <c r="D949" s="72"/>
      <c r="E949" s="95"/>
      <c r="F949" s="74"/>
      <c r="G949" s="72"/>
      <c r="H949" s="95"/>
      <c r="I949" s="74"/>
      <c r="J949" s="74"/>
      <c r="K949" s="74"/>
      <c r="L949" s="74"/>
      <c r="M949" s="96"/>
      <c r="N949" s="74"/>
      <c r="O949" s="74"/>
      <c r="P949" s="74"/>
    </row>
    <row r="950" spans="1:16" ht="15.75" customHeight="1">
      <c r="A950" s="94"/>
      <c r="B950" s="72"/>
      <c r="C950" s="74"/>
      <c r="D950" s="72"/>
      <c r="E950" s="95"/>
      <c r="F950" s="74"/>
      <c r="G950" s="72"/>
      <c r="H950" s="95"/>
      <c r="I950" s="74"/>
      <c r="J950" s="74"/>
      <c r="K950" s="74"/>
      <c r="L950" s="74"/>
      <c r="M950" s="96"/>
      <c r="N950" s="74"/>
      <c r="O950" s="74"/>
      <c r="P950" s="74"/>
    </row>
    <row r="951" spans="1:16" ht="15.75" customHeight="1">
      <c r="A951" s="94"/>
      <c r="B951" s="72"/>
      <c r="C951" s="74"/>
      <c r="D951" s="72"/>
      <c r="E951" s="95"/>
      <c r="F951" s="74"/>
      <c r="G951" s="72"/>
      <c r="H951" s="95"/>
      <c r="I951" s="74"/>
      <c r="J951" s="74"/>
      <c r="K951" s="74"/>
      <c r="L951" s="74"/>
      <c r="M951" s="96"/>
      <c r="N951" s="74"/>
      <c r="O951" s="74"/>
      <c r="P951" s="74"/>
    </row>
    <row r="952" spans="1:16" ht="15.75" customHeight="1">
      <c r="A952" s="94"/>
      <c r="B952" s="72"/>
      <c r="C952" s="74"/>
      <c r="D952" s="72"/>
      <c r="E952" s="95"/>
      <c r="F952" s="74"/>
      <c r="G952" s="72"/>
      <c r="H952" s="95"/>
      <c r="I952" s="74"/>
      <c r="J952" s="74"/>
      <c r="K952" s="74"/>
      <c r="L952" s="74"/>
      <c r="M952" s="96"/>
      <c r="N952" s="74"/>
      <c r="O952" s="74"/>
      <c r="P952" s="74"/>
    </row>
    <row r="953" spans="1:16" ht="15.75" customHeight="1">
      <c r="A953" s="94"/>
      <c r="B953" s="72"/>
      <c r="C953" s="74"/>
      <c r="D953" s="72"/>
      <c r="E953" s="95"/>
      <c r="F953" s="74"/>
      <c r="G953" s="72"/>
      <c r="H953" s="95"/>
      <c r="I953" s="74"/>
      <c r="J953" s="74"/>
      <c r="K953" s="74"/>
      <c r="L953" s="74"/>
      <c r="M953" s="96"/>
      <c r="N953" s="74"/>
      <c r="O953" s="74"/>
      <c r="P953" s="74"/>
    </row>
    <row r="954" spans="1:16" ht="15.75" customHeight="1">
      <c r="A954" s="94"/>
      <c r="B954" s="72"/>
      <c r="C954" s="74"/>
      <c r="D954" s="72"/>
      <c r="E954" s="95"/>
      <c r="F954" s="74"/>
      <c r="G954" s="72"/>
      <c r="H954" s="95"/>
      <c r="I954" s="74"/>
      <c r="J954" s="74"/>
      <c r="K954" s="74"/>
      <c r="L954" s="74"/>
      <c r="M954" s="96"/>
      <c r="N954" s="74"/>
      <c r="O954" s="74"/>
      <c r="P954" s="74"/>
    </row>
    <row r="955" spans="1:16" ht="15.75" customHeight="1">
      <c r="A955" s="94"/>
      <c r="B955" s="72"/>
      <c r="C955" s="74"/>
      <c r="D955" s="72"/>
      <c r="E955" s="95"/>
      <c r="F955" s="74"/>
      <c r="G955" s="72"/>
      <c r="H955" s="95"/>
      <c r="I955" s="74"/>
      <c r="J955" s="74"/>
      <c r="K955" s="74"/>
      <c r="L955" s="74"/>
      <c r="M955" s="96"/>
      <c r="N955" s="74"/>
      <c r="O955" s="74"/>
      <c r="P955" s="74"/>
    </row>
    <row r="956" spans="1:16" ht="15.75" customHeight="1">
      <c r="A956" s="94"/>
      <c r="B956" s="72"/>
      <c r="C956" s="74"/>
      <c r="D956" s="72"/>
      <c r="E956" s="95"/>
      <c r="F956" s="74"/>
      <c r="G956" s="72"/>
      <c r="H956" s="95"/>
      <c r="I956" s="74"/>
      <c r="J956" s="74"/>
      <c r="K956" s="74"/>
      <c r="L956" s="74"/>
      <c r="M956" s="96"/>
      <c r="N956" s="74"/>
      <c r="O956" s="74"/>
      <c r="P956" s="74"/>
    </row>
    <row r="957" spans="1:16" ht="15.75" customHeight="1">
      <c r="A957" s="94"/>
      <c r="B957" s="72"/>
      <c r="C957" s="74"/>
      <c r="D957" s="72"/>
      <c r="E957" s="95"/>
      <c r="F957" s="74"/>
      <c r="G957" s="72"/>
      <c r="H957" s="95"/>
      <c r="I957" s="74"/>
      <c r="J957" s="74"/>
      <c r="K957" s="74"/>
      <c r="L957" s="74"/>
      <c r="M957" s="96"/>
      <c r="N957" s="74"/>
      <c r="O957" s="74"/>
      <c r="P957" s="74"/>
    </row>
    <row r="958" spans="1:16" ht="15.75" customHeight="1">
      <c r="A958" s="94"/>
      <c r="B958" s="72"/>
      <c r="C958" s="74"/>
      <c r="D958" s="72"/>
      <c r="E958" s="95"/>
      <c r="F958" s="74"/>
      <c r="G958" s="72"/>
      <c r="H958" s="95"/>
      <c r="I958" s="74"/>
      <c r="J958" s="74"/>
      <c r="K958" s="74"/>
      <c r="L958" s="74"/>
      <c r="M958" s="96"/>
      <c r="N958" s="74"/>
      <c r="O958" s="74"/>
      <c r="P958" s="74"/>
    </row>
    <row r="959" spans="1:16" ht="15.75" customHeight="1">
      <c r="A959" s="94"/>
      <c r="B959" s="72"/>
      <c r="C959" s="74"/>
      <c r="D959" s="72"/>
      <c r="E959" s="95"/>
      <c r="F959" s="74"/>
      <c r="G959" s="72"/>
      <c r="H959" s="95"/>
      <c r="I959" s="74"/>
      <c r="J959" s="74"/>
      <c r="K959" s="74"/>
      <c r="L959" s="74"/>
      <c r="M959" s="96"/>
      <c r="N959" s="74"/>
      <c r="O959" s="74"/>
      <c r="P959" s="74"/>
    </row>
    <row r="960" spans="1:16" ht="15.75" customHeight="1">
      <c r="A960" s="94"/>
      <c r="B960" s="72"/>
      <c r="C960" s="74"/>
      <c r="D960" s="72"/>
      <c r="E960" s="95"/>
      <c r="F960" s="74"/>
      <c r="G960" s="72"/>
      <c r="H960" s="95"/>
      <c r="I960" s="74"/>
      <c r="J960" s="74"/>
      <c r="K960" s="74"/>
      <c r="L960" s="74"/>
      <c r="M960" s="96"/>
      <c r="N960" s="74"/>
      <c r="O960" s="74"/>
      <c r="P960" s="74"/>
    </row>
    <row r="961" spans="1:16" ht="15.75" customHeight="1">
      <c r="A961" s="94"/>
      <c r="B961" s="72"/>
      <c r="C961" s="74"/>
      <c r="D961" s="72"/>
      <c r="E961" s="95"/>
      <c r="F961" s="74"/>
      <c r="G961" s="72"/>
      <c r="H961" s="95"/>
      <c r="I961" s="74"/>
      <c r="J961" s="74"/>
      <c r="K961" s="74"/>
      <c r="L961" s="74"/>
      <c r="M961" s="96"/>
      <c r="N961" s="74"/>
      <c r="O961" s="74"/>
      <c r="P961" s="74"/>
    </row>
    <row r="962" spans="1:16" ht="15.75" customHeight="1">
      <c r="A962" s="94"/>
      <c r="B962" s="72"/>
      <c r="C962" s="74"/>
      <c r="D962" s="72"/>
      <c r="E962" s="95"/>
      <c r="F962" s="74"/>
      <c r="G962" s="72"/>
      <c r="H962" s="95"/>
      <c r="I962" s="74"/>
      <c r="J962" s="74"/>
      <c r="K962" s="74"/>
      <c r="L962" s="74"/>
      <c r="M962" s="96"/>
      <c r="N962" s="74"/>
      <c r="O962" s="74"/>
      <c r="P962" s="74"/>
    </row>
    <row r="963" spans="1:16" ht="15.75" customHeight="1">
      <c r="A963" s="94"/>
      <c r="B963" s="72"/>
      <c r="C963" s="74"/>
      <c r="D963" s="72"/>
      <c r="E963" s="95"/>
      <c r="F963" s="74"/>
      <c r="G963" s="72"/>
      <c r="H963" s="95"/>
      <c r="I963" s="74"/>
      <c r="J963" s="74"/>
      <c r="K963" s="74"/>
      <c r="L963" s="74"/>
      <c r="M963" s="96"/>
      <c r="N963" s="74"/>
      <c r="O963" s="74"/>
      <c r="P963" s="74"/>
    </row>
    <row r="964" spans="1:16" ht="15.75" customHeight="1">
      <c r="A964" s="94"/>
      <c r="B964" s="72"/>
      <c r="C964" s="74"/>
      <c r="D964" s="72"/>
      <c r="E964" s="95"/>
      <c r="F964" s="74"/>
      <c r="G964" s="72"/>
      <c r="H964" s="95"/>
      <c r="I964" s="74"/>
      <c r="J964" s="74"/>
      <c r="K964" s="74"/>
      <c r="L964" s="74"/>
      <c r="M964" s="96"/>
      <c r="N964" s="74"/>
      <c r="O964" s="74"/>
      <c r="P964" s="74"/>
    </row>
    <row r="965" spans="1:16" ht="15.75" customHeight="1">
      <c r="A965" s="94"/>
      <c r="B965" s="72"/>
      <c r="C965" s="74"/>
      <c r="D965" s="72"/>
      <c r="E965" s="95"/>
      <c r="F965" s="74"/>
      <c r="G965" s="72"/>
      <c r="H965" s="95"/>
      <c r="I965" s="74"/>
      <c r="J965" s="74"/>
      <c r="K965" s="74"/>
      <c r="L965" s="74"/>
      <c r="M965" s="96"/>
      <c r="N965" s="74"/>
      <c r="O965" s="74"/>
      <c r="P965" s="74"/>
    </row>
    <row r="966" spans="1:16" ht="15.75" customHeight="1">
      <c r="A966" s="94"/>
      <c r="B966" s="72"/>
      <c r="C966" s="74"/>
      <c r="D966" s="72"/>
      <c r="E966" s="95"/>
      <c r="F966" s="74"/>
      <c r="G966" s="72"/>
      <c r="H966" s="95"/>
      <c r="I966" s="74"/>
      <c r="J966" s="74"/>
      <c r="K966" s="74"/>
      <c r="L966" s="74"/>
      <c r="M966" s="96"/>
      <c r="N966" s="74"/>
      <c r="O966" s="74"/>
      <c r="P966" s="74"/>
    </row>
    <row r="967" spans="1:16" ht="15.75" customHeight="1">
      <c r="A967" s="94"/>
      <c r="B967" s="72"/>
      <c r="C967" s="74"/>
      <c r="D967" s="72"/>
      <c r="E967" s="95"/>
      <c r="F967" s="74"/>
      <c r="G967" s="72"/>
      <c r="H967" s="95"/>
      <c r="I967" s="74"/>
      <c r="J967" s="74"/>
      <c r="K967" s="74"/>
      <c r="L967" s="74"/>
      <c r="M967" s="96"/>
      <c r="N967" s="74"/>
      <c r="O967" s="74"/>
      <c r="P967" s="74"/>
    </row>
    <row r="968" spans="1:16" ht="15.75" customHeight="1">
      <c r="A968" s="94"/>
      <c r="B968" s="72"/>
      <c r="C968" s="74"/>
      <c r="D968" s="72"/>
      <c r="E968" s="95"/>
      <c r="F968" s="74"/>
      <c r="G968" s="72"/>
      <c r="H968" s="95"/>
      <c r="I968" s="74"/>
      <c r="J968" s="74"/>
      <c r="K968" s="74"/>
      <c r="L968" s="74"/>
      <c r="M968" s="96"/>
      <c r="N968" s="74"/>
      <c r="O968" s="74"/>
      <c r="P968" s="74"/>
    </row>
    <row r="969" spans="1:16" ht="15.75" customHeight="1">
      <c r="A969" s="94"/>
      <c r="B969" s="72"/>
      <c r="C969" s="74"/>
      <c r="D969" s="72"/>
      <c r="E969" s="95"/>
      <c r="F969" s="74"/>
      <c r="G969" s="72"/>
      <c r="H969" s="95"/>
      <c r="I969" s="74"/>
      <c r="J969" s="74"/>
      <c r="K969" s="74"/>
      <c r="L969" s="74"/>
      <c r="M969" s="96"/>
      <c r="N969" s="74"/>
      <c r="O969" s="74"/>
      <c r="P969" s="74"/>
    </row>
    <row r="970" spans="1:16" ht="15.75" customHeight="1">
      <c r="A970" s="94"/>
      <c r="B970" s="72"/>
      <c r="C970" s="74"/>
      <c r="D970" s="72"/>
      <c r="E970" s="95"/>
      <c r="F970" s="74"/>
      <c r="G970" s="72"/>
      <c r="H970" s="95"/>
      <c r="I970" s="74"/>
      <c r="J970" s="74"/>
      <c r="K970" s="74"/>
      <c r="L970" s="74"/>
      <c r="M970" s="96"/>
      <c r="N970" s="74"/>
      <c r="O970" s="74"/>
      <c r="P970" s="74"/>
    </row>
    <row r="971" spans="1:16" ht="15.75" customHeight="1">
      <c r="A971" s="94"/>
      <c r="B971" s="72"/>
      <c r="C971" s="74"/>
      <c r="D971" s="72"/>
      <c r="E971" s="95"/>
      <c r="F971" s="74"/>
      <c r="G971" s="72"/>
      <c r="H971" s="95"/>
      <c r="I971" s="74"/>
      <c r="J971" s="74"/>
      <c r="K971" s="74"/>
      <c r="L971" s="74"/>
      <c r="M971" s="96"/>
      <c r="N971" s="74"/>
      <c r="O971" s="74"/>
      <c r="P971" s="74"/>
    </row>
    <row r="972" spans="1:16" ht="15.75" customHeight="1">
      <c r="A972" s="94"/>
      <c r="B972" s="72"/>
      <c r="C972" s="74"/>
      <c r="D972" s="72"/>
      <c r="E972" s="95"/>
      <c r="F972" s="74"/>
      <c r="G972" s="72"/>
      <c r="H972" s="95"/>
      <c r="I972" s="74"/>
      <c r="J972" s="74"/>
      <c r="K972" s="74"/>
      <c r="L972" s="74"/>
      <c r="M972" s="96"/>
      <c r="N972" s="74"/>
      <c r="O972" s="74"/>
      <c r="P972" s="74"/>
    </row>
    <row r="973" spans="1:16" ht="15.75" customHeight="1">
      <c r="A973" s="94"/>
      <c r="B973" s="72"/>
      <c r="C973" s="74"/>
      <c r="D973" s="72"/>
      <c r="E973" s="95"/>
      <c r="F973" s="74"/>
      <c r="G973" s="72"/>
      <c r="H973" s="95"/>
      <c r="I973" s="74"/>
      <c r="J973" s="74"/>
      <c r="K973" s="74"/>
      <c r="L973" s="74"/>
      <c r="M973" s="96"/>
      <c r="N973" s="74"/>
      <c r="O973" s="74"/>
      <c r="P973" s="74"/>
    </row>
    <row r="974" spans="1:16" ht="15.75" customHeight="1">
      <c r="A974" s="94"/>
      <c r="B974" s="72"/>
      <c r="C974" s="74"/>
      <c r="D974" s="72"/>
      <c r="E974" s="95"/>
      <c r="F974" s="74"/>
      <c r="G974" s="72"/>
      <c r="H974" s="95"/>
      <c r="I974" s="74"/>
      <c r="J974" s="74"/>
      <c r="K974" s="74"/>
      <c r="L974" s="74"/>
      <c r="M974" s="96"/>
      <c r="N974" s="74"/>
      <c r="O974" s="74"/>
      <c r="P974" s="74"/>
    </row>
    <row r="975" spans="1:16" ht="15.75" customHeight="1">
      <c r="A975" s="94"/>
      <c r="B975" s="72"/>
      <c r="C975" s="74"/>
      <c r="D975" s="72"/>
      <c r="E975" s="95"/>
      <c r="F975" s="74"/>
      <c r="G975" s="72"/>
      <c r="H975" s="95"/>
      <c r="I975" s="74"/>
      <c r="J975" s="74"/>
      <c r="K975" s="74"/>
      <c r="L975" s="74"/>
      <c r="M975" s="96"/>
      <c r="N975" s="74"/>
      <c r="O975" s="74"/>
      <c r="P975" s="74"/>
    </row>
    <row r="976" spans="1:16" ht="15.75" customHeight="1">
      <c r="A976" s="94"/>
      <c r="B976" s="72"/>
      <c r="C976" s="74"/>
      <c r="D976" s="72"/>
      <c r="E976" s="95"/>
      <c r="F976" s="74"/>
      <c r="G976" s="72"/>
      <c r="H976" s="95"/>
      <c r="I976" s="74"/>
      <c r="J976" s="74"/>
      <c r="K976" s="74"/>
      <c r="L976" s="74"/>
      <c r="M976" s="96"/>
      <c r="N976" s="74"/>
      <c r="O976" s="74"/>
      <c r="P976" s="74"/>
    </row>
    <row r="977" spans="1:16" ht="15.75" customHeight="1">
      <c r="A977" s="94"/>
      <c r="B977" s="72"/>
      <c r="C977" s="74"/>
      <c r="D977" s="72"/>
      <c r="E977" s="95"/>
      <c r="F977" s="74"/>
      <c r="G977" s="72"/>
      <c r="H977" s="95"/>
      <c r="I977" s="74"/>
      <c r="J977" s="74"/>
      <c r="K977" s="74"/>
      <c r="L977" s="74"/>
      <c r="M977" s="96"/>
      <c r="N977" s="74"/>
      <c r="O977" s="74"/>
      <c r="P977" s="74"/>
    </row>
    <row r="978" spans="1:16" ht="15.75" customHeight="1">
      <c r="A978" s="94"/>
      <c r="B978" s="72"/>
      <c r="C978" s="74"/>
      <c r="D978" s="72"/>
      <c r="E978" s="95"/>
      <c r="F978" s="74"/>
      <c r="G978" s="72"/>
      <c r="H978" s="95"/>
      <c r="I978" s="74"/>
      <c r="J978" s="74"/>
      <c r="K978" s="74"/>
      <c r="L978" s="74"/>
      <c r="M978" s="96"/>
      <c r="N978" s="74"/>
      <c r="O978" s="74"/>
      <c r="P978" s="74"/>
    </row>
    <row r="979" spans="1:16" ht="15.75" customHeight="1">
      <c r="A979" s="94"/>
      <c r="B979" s="72"/>
      <c r="C979" s="74"/>
      <c r="D979" s="72"/>
      <c r="E979" s="95"/>
      <c r="F979" s="74"/>
      <c r="G979" s="72"/>
      <c r="H979" s="95"/>
      <c r="I979" s="74"/>
      <c r="J979" s="74"/>
      <c r="K979" s="74"/>
      <c r="L979" s="74"/>
      <c r="M979" s="96"/>
      <c r="N979" s="74"/>
      <c r="O979" s="74"/>
      <c r="P979" s="74"/>
    </row>
    <row r="980" spans="1:16" ht="15.75" customHeight="1">
      <c r="A980" s="94"/>
      <c r="B980" s="72"/>
      <c r="C980" s="74"/>
      <c r="D980" s="72"/>
      <c r="E980" s="95"/>
      <c r="F980" s="74"/>
      <c r="G980" s="72"/>
      <c r="H980" s="95"/>
      <c r="I980" s="74"/>
      <c r="J980" s="74"/>
      <c r="K980" s="74"/>
      <c r="L980" s="74"/>
      <c r="M980" s="96"/>
      <c r="N980" s="74"/>
      <c r="O980" s="74"/>
      <c r="P980" s="74"/>
    </row>
    <row r="981" spans="1:16" ht="15.75" customHeight="1">
      <c r="A981" s="94"/>
      <c r="B981" s="72"/>
      <c r="C981" s="74"/>
      <c r="D981" s="72"/>
      <c r="E981" s="95"/>
      <c r="F981" s="74"/>
      <c r="G981" s="72"/>
      <c r="H981" s="95"/>
      <c r="I981" s="74"/>
      <c r="J981" s="74"/>
      <c r="K981" s="74"/>
      <c r="L981" s="74"/>
      <c r="M981" s="96"/>
      <c r="N981" s="74"/>
      <c r="O981" s="74"/>
      <c r="P981" s="74"/>
    </row>
    <row r="982" spans="1:16" ht="15.75" customHeight="1">
      <c r="A982" s="94"/>
      <c r="B982" s="72"/>
      <c r="C982" s="74"/>
      <c r="D982" s="72"/>
      <c r="E982" s="95"/>
      <c r="F982" s="74"/>
      <c r="G982" s="72"/>
      <c r="H982" s="95"/>
      <c r="I982" s="74"/>
      <c r="J982" s="74"/>
      <c r="K982" s="74"/>
      <c r="L982" s="74"/>
      <c r="M982" s="96"/>
      <c r="N982" s="74"/>
      <c r="O982" s="74"/>
      <c r="P982" s="74"/>
    </row>
    <row r="983" spans="1:16" ht="15.75" customHeight="1">
      <c r="A983" s="94"/>
      <c r="B983" s="72"/>
      <c r="C983" s="74"/>
      <c r="D983" s="72"/>
      <c r="E983" s="95"/>
      <c r="F983" s="74"/>
      <c r="G983" s="72"/>
      <c r="H983" s="95"/>
      <c r="I983" s="74"/>
      <c r="J983" s="74"/>
      <c r="K983" s="74"/>
      <c r="L983" s="74"/>
      <c r="M983" s="96"/>
      <c r="N983" s="74"/>
      <c r="O983" s="74"/>
      <c r="P983" s="74"/>
    </row>
    <row r="984" spans="1:16" ht="15.75" customHeight="1">
      <c r="A984" s="94"/>
      <c r="B984" s="72"/>
      <c r="C984" s="74"/>
      <c r="D984" s="72"/>
      <c r="E984" s="95"/>
      <c r="F984" s="74"/>
      <c r="G984" s="72"/>
      <c r="H984" s="95"/>
      <c r="I984" s="74"/>
      <c r="J984" s="74"/>
      <c r="K984" s="74"/>
      <c r="L984" s="74"/>
      <c r="M984" s="96"/>
      <c r="N984" s="74"/>
      <c r="O984" s="74"/>
      <c r="P984" s="74"/>
    </row>
    <row r="985" spans="1:16" ht="15.75" customHeight="1">
      <c r="A985" s="94"/>
      <c r="B985" s="72"/>
      <c r="C985" s="74"/>
      <c r="D985" s="72"/>
      <c r="E985" s="95"/>
      <c r="F985" s="74"/>
      <c r="G985" s="72"/>
      <c r="H985" s="95"/>
      <c r="I985" s="74"/>
      <c r="J985" s="74"/>
      <c r="K985" s="74"/>
      <c r="L985" s="74"/>
      <c r="M985" s="96"/>
      <c r="N985" s="74"/>
      <c r="O985" s="74"/>
      <c r="P985" s="74"/>
    </row>
    <row r="986" spans="1:16" ht="15.75" customHeight="1">
      <c r="A986" s="94"/>
      <c r="B986" s="72"/>
      <c r="C986" s="74"/>
      <c r="D986" s="72"/>
      <c r="E986" s="95"/>
      <c r="F986" s="74"/>
      <c r="G986" s="72"/>
      <c r="H986" s="95"/>
      <c r="I986" s="74"/>
      <c r="J986" s="74"/>
      <c r="K986" s="74"/>
      <c r="L986" s="74"/>
      <c r="M986" s="96"/>
      <c r="N986" s="74"/>
      <c r="O986" s="74"/>
      <c r="P986" s="74"/>
    </row>
    <row r="987" spans="1:16" ht="15.75" customHeight="1">
      <c r="A987" s="94"/>
      <c r="B987" s="72"/>
      <c r="C987" s="74"/>
      <c r="D987" s="72"/>
      <c r="E987" s="95"/>
      <c r="F987" s="74"/>
      <c r="G987" s="72"/>
      <c r="H987" s="95"/>
      <c r="I987" s="74"/>
      <c r="J987" s="74"/>
      <c r="K987" s="74"/>
      <c r="L987" s="74"/>
      <c r="M987" s="96"/>
      <c r="N987" s="74"/>
      <c r="O987" s="74"/>
      <c r="P987" s="74"/>
    </row>
    <row r="988" spans="1:16" ht="15.75" customHeight="1">
      <c r="A988" s="94"/>
      <c r="B988" s="72"/>
      <c r="C988" s="74"/>
      <c r="D988" s="72"/>
      <c r="E988" s="95"/>
      <c r="F988" s="74"/>
      <c r="G988" s="72"/>
      <c r="H988" s="95"/>
      <c r="I988" s="74"/>
      <c r="J988" s="74"/>
      <c r="K988" s="74"/>
      <c r="L988" s="74"/>
      <c r="M988" s="96"/>
      <c r="N988" s="74"/>
      <c r="O988" s="74"/>
      <c r="P988" s="74"/>
    </row>
    <row r="989" spans="1:16" ht="15.75" customHeight="1">
      <c r="A989" s="94"/>
      <c r="B989" s="72"/>
      <c r="C989" s="74"/>
      <c r="D989" s="72"/>
      <c r="E989" s="95"/>
      <c r="F989" s="74"/>
      <c r="G989" s="72"/>
      <c r="H989" s="95"/>
      <c r="I989" s="74"/>
      <c r="J989" s="74"/>
      <c r="K989" s="74"/>
      <c r="L989" s="74"/>
      <c r="M989" s="96"/>
      <c r="N989" s="74"/>
      <c r="O989" s="74"/>
      <c r="P989" s="74"/>
    </row>
    <row r="990" spans="1:16" ht="15.75" customHeight="1">
      <c r="A990" s="94"/>
      <c r="B990" s="72"/>
      <c r="C990" s="74"/>
      <c r="D990" s="72"/>
      <c r="E990" s="95"/>
      <c r="F990" s="74"/>
      <c r="G990" s="72"/>
      <c r="H990" s="95"/>
      <c r="I990" s="74"/>
      <c r="J990" s="74"/>
      <c r="K990" s="74"/>
      <c r="L990" s="74"/>
      <c r="M990" s="96"/>
      <c r="N990" s="74"/>
      <c r="O990" s="74"/>
      <c r="P990" s="74"/>
    </row>
    <row r="991" spans="1:16" ht="15.75" customHeight="1">
      <c r="A991" s="94"/>
      <c r="B991" s="72"/>
      <c r="C991" s="74"/>
      <c r="D991" s="72"/>
      <c r="E991" s="95"/>
      <c r="F991" s="74"/>
      <c r="G991" s="72"/>
      <c r="H991" s="95"/>
      <c r="I991" s="74"/>
      <c r="J991" s="74"/>
      <c r="K991" s="74"/>
      <c r="L991" s="74"/>
      <c r="M991" s="96"/>
      <c r="N991" s="74"/>
      <c r="O991" s="74"/>
      <c r="P991" s="74"/>
    </row>
    <row r="992" spans="1:16" ht="15.75" customHeight="1">
      <c r="A992" s="94"/>
      <c r="B992" s="72"/>
      <c r="C992" s="74"/>
      <c r="D992" s="72"/>
      <c r="E992" s="95"/>
      <c r="F992" s="74"/>
      <c r="G992" s="72"/>
      <c r="H992" s="95"/>
      <c r="I992" s="74"/>
      <c r="J992" s="74"/>
      <c r="K992" s="74"/>
      <c r="L992" s="74"/>
      <c r="M992" s="96"/>
      <c r="N992" s="74"/>
      <c r="O992" s="74"/>
      <c r="P992" s="74"/>
    </row>
    <row r="993" spans="1:16" ht="15.75" customHeight="1">
      <c r="A993" s="94"/>
      <c r="B993" s="72"/>
      <c r="C993" s="74"/>
      <c r="D993" s="72"/>
      <c r="E993" s="95"/>
      <c r="F993" s="74"/>
      <c r="G993" s="72"/>
      <c r="H993" s="95"/>
      <c r="I993" s="74"/>
      <c r="J993" s="74"/>
      <c r="K993" s="74"/>
      <c r="L993" s="74"/>
      <c r="M993" s="96"/>
      <c r="N993" s="74"/>
      <c r="O993" s="74"/>
      <c r="P993" s="74"/>
    </row>
    <row r="994" spans="1:16" ht="15.75" customHeight="1">
      <c r="A994" s="94"/>
      <c r="B994" s="72"/>
      <c r="C994" s="74"/>
      <c r="D994" s="72"/>
      <c r="E994" s="95"/>
      <c r="F994" s="74"/>
      <c r="G994" s="72"/>
      <c r="H994" s="95"/>
      <c r="I994" s="74"/>
      <c r="J994" s="74"/>
      <c r="K994" s="74"/>
      <c r="L994" s="74"/>
      <c r="M994" s="96"/>
      <c r="N994" s="74"/>
      <c r="O994" s="74"/>
      <c r="P994" s="74"/>
    </row>
    <row r="995" spans="1:16" ht="15.75" customHeight="1">
      <c r="A995" s="94"/>
      <c r="B995" s="72"/>
      <c r="C995" s="74"/>
      <c r="D995" s="72"/>
      <c r="E995" s="95"/>
      <c r="F995" s="74"/>
      <c r="G995" s="72"/>
      <c r="H995" s="95"/>
      <c r="I995" s="74"/>
      <c r="J995" s="74"/>
      <c r="K995" s="74"/>
      <c r="L995" s="74"/>
      <c r="M995" s="96"/>
      <c r="N995" s="74"/>
      <c r="O995" s="74"/>
      <c r="P995" s="74"/>
    </row>
    <row r="996" spans="1:16" ht="15.75" customHeight="1">
      <c r="A996" s="94"/>
      <c r="B996" s="72"/>
      <c r="C996" s="74"/>
      <c r="D996" s="72"/>
      <c r="E996" s="95"/>
      <c r="F996" s="74"/>
      <c r="G996" s="72"/>
      <c r="H996" s="95"/>
      <c r="I996" s="74"/>
      <c r="J996" s="74"/>
      <c r="K996" s="74"/>
      <c r="L996" s="74"/>
      <c r="M996" s="96"/>
      <c r="N996" s="74"/>
      <c r="O996" s="74"/>
      <c r="P996" s="74"/>
    </row>
    <row r="997" spans="1:16" ht="15.75" customHeight="1">
      <c r="A997" s="94"/>
      <c r="B997" s="72"/>
      <c r="C997" s="74"/>
      <c r="D997" s="72"/>
      <c r="E997" s="95"/>
      <c r="F997" s="74"/>
      <c r="G997" s="72"/>
      <c r="H997" s="95"/>
      <c r="I997" s="74"/>
      <c r="J997" s="74"/>
      <c r="K997" s="74"/>
      <c r="L997" s="74"/>
      <c r="M997" s="96"/>
      <c r="N997" s="74"/>
      <c r="O997" s="74"/>
      <c r="P997" s="74"/>
    </row>
    <row r="998" spans="1:16" ht="15.75" customHeight="1">
      <c r="A998" s="94"/>
      <c r="B998" s="72"/>
      <c r="C998" s="74"/>
      <c r="D998" s="72"/>
      <c r="E998" s="95"/>
      <c r="F998" s="74"/>
      <c r="G998" s="72"/>
      <c r="H998" s="95"/>
      <c r="I998" s="74"/>
      <c r="J998" s="74"/>
      <c r="K998" s="74"/>
      <c r="L998" s="74"/>
      <c r="M998" s="96"/>
      <c r="N998" s="74"/>
      <c r="O998" s="74"/>
      <c r="P998" s="74"/>
    </row>
  </sheetData>
  <mergeCells count="13">
    <mergeCell ref="P55:P56"/>
    <mergeCell ref="P2:P5"/>
    <mergeCell ref="P9:P11"/>
    <mergeCell ref="P13:P15"/>
    <mergeCell ref="P18:P26"/>
    <mergeCell ref="P27:P29"/>
    <mergeCell ref="P30:P35"/>
    <mergeCell ref="P36:P38"/>
    <mergeCell ref="P39:P41"/>
    <mergeCell ref="P42:P45"/>
    <mergeCell ref="P46:P49"/>
    <mergeCell ref="P50:P52"/>
    <mergeCell ref="P53:P5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3"/>
  <sheetViews>
    <sheetView workbookViewId="0">
      <selection activeCell="A2" sqref="A2"/>
    </sheetView>
  </sheetViews>
  <sheetFormatPr defaultColWidth="11.125" defaultRowHeight="15" customHeight="1"/>
  <cols>
    <col min="1" max="1" width="12.875" customWidth="1"/>
    <col min="2" max="5" width="10.875" customWidth="1"/>
    <col min="6" max="6" width="11.125" customWidth="1"/>
    <col min="7" max="9" width="10.875" customWidth="1"/>
    <col min="10" max="10" width="42.375" customWidth="1"/>
    <col min="11" max="27" width="10.5" customWidth="1"/>
  </cols>
  <sheetData>
    <row r="1" spans="1:27" ht="15.75" customHeight="1">
      <c r="A1" s="97" t="s">
        <v>0</v>
      </c>
      <c r="B1" s="98" t="s">
        <v>129</v>
      </c>
      <c r="C1" s="99" t="s">
        <v>3</v>
      </c>
      <c r="D1" s="98" t="s">
        <v>191</v>
      </c>
      <c r="E1" s="99" t="s">
        <v>192</v>
      </c>
      <c r="F1" s="99" t="s">
        <v>193</v>
      </c>
      <c r="G1" s="6" t="s">
        <v>194</v>
      </c>
      <c r="H1" s="6" t="s">
        <v>14</v>
      </c>
      <c r="I1" s="6" t="s">
        <v>12</v>
      </c>
      <c r="J1" s="83" t="s">
        <v>15</v>
      </c>
    </row>
    <row r="2" spans="1:27" ht="15.75" customHeight="1">
      <c r="A2" s="44" t="s">
        <v>195</v>
      </c>
      <c r="B2" s="12">
        <v>45188</v>
      </c>
      <c r="C2" s="13">
        <v>0.42986111111111114</v>
      </c>
      <c r="D2" s="12">
        <v>45188</v>
      </c>
      <c r="E2" s="13">
        <v>0.53819444444444442</v>
      </c>
      <c r="F2" s="21">
        <v>0.57986111111111116</v>
      </c>
      <c r="G2" s="100" t="s">
        <v>196</v>
      </c>
      <c r="H2" s="15" t="s">
        <v>21</v>
      </c>
      <c r="I2" s="15" t="s">
        <v>25</v>
      </c>
      <c r="J2" s="435" t="s">
        <v>197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15.75" customHeight="1">
      <c r="A3" s="44" t="s">
        <v>198</v>
      </c>
      <c r="B3" s="12">
        <v>45188</v>
      </c>
      <c r="C3" s="13">
        <v>0.375</v>
      </c>
      <c r="D3" s="12">
        <v>45188</v>
      </c>
      <c r="E3" s="13">
        <v>0.53819444444444442</v>
      </c>
      <c r="F3" s="21">
        <v>0.57986111111111116</v>
      </c>
      <c r="G3" s="15" t="s">
        <v>196</v>
      </c>
      <c r="H3" s="15" t="s">
        <v>21</v>
      </c>
      <c r="I3" s="15" t="s">
        <v>25</v>
      </c>
      <c r="J3" s="429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5.75" customHeight="1">
      <c r="A4" s="44" t="s">
        <v>199</v>
      </c>
      <c r="B4" s="12">
        <v>45188</v>
      </c>
      <c r="C4" s="13">
        <v>0.40763888888888888</v>
      </c>
      <c r="D4" s="12">
        <v>45188</v>
      </c>
      <c r="E4" s="13">
        <v>0.53888888888888886</v>
      </c>
      <c r="F4" s="21">
        <v>0.5805555555555556</v>
      </c>
      <c r="G4" s="15" t="s">
        <v>196</v>
      </c>
      <c r="H4" s="15" t="s">
        <v>21</v>
      </c>
      <c r="I4" s="15" t="s">
        <v>25</v>
      </c>
      <c r="J4" s="429"/>
    </row>
    <row r="5" spans="1:27" ht="15.75" customHeight="1">
      <c r="A5" s="44" t="s">
        <v>200</v>
      </c>
      <c r="B5" s="12">
        <v>45188</v>
      </c>
      <c r="C5" s="21">
        <v>0.33333333333333331</v>
      </c>
      <c r="D5" s="12">
        <v>45188</v>
      </c>
      <c r="E5" s="13">
        <v>0.53888888888888886</v>
      </c>
      <c r="F5" s="21">
        <v>0.5805555555555556</v>
      </c>
      <c r="G5" s="15" t="s">
        <v>196</v>
      </c>
      <c r="H5" s="15" t="s">
        <v>21</v>
      </c>
      <c r="I5" s="15" t="s">
        <v>25</v>
      </c>
      <c r="J5" s="427"/>
    </row>
    <row r="6" spans="1:27" ht="15.75" customHeight="1">
      <c r="A6" s="102" t="s">
        <v>201</v>
      </c>
      <c r="B6" s="12">
        <v>45189</v>
      </c>
      <c r="C6" s="21">
        <v>0.37152777777777779</v>
      </c>
      <c r="D6" s="12">
        <v>45189</v>
      </c>
      <c r="E6" s="13">
        <v>0.5708333333333333</v>
      </c>
      <c r="F6" s="13">
        <v>0.61250000000000004</v>
      </c>
      <c r="G6" s="15" t="s">
        <v>196</v>
      </c>
      <c r="H6" s="15" t="s">
        <v>21</v>
      </c>
      <c r="I6" s="15" t="s">
        <v>25</v>
      </c>
      <c r="J6" s="435" t="s">
        <v>202</v>
      </c>
    </row>
    <row r="7" spans="1:27" ht="15.75" customHeight="1">
      <c r="A7" s="103" t="s">
        <v>203</v>
      </c>
      <c r="B7" s="12">
        <v>45189</v>
      </c>
      <c r="C7" s="21">
        <v>0.40972222222222221</v>
      </c>
      <c r="D7" s="12">
        <v>45189</v>
      </c>
      <c r="E7" s="13">
        <v>0.5708333333333333</v>
      </c>
      <c r="F7" s="13">
        <v>0.61250000000000004</v>
      </c>
      <c r="G7" s="15" t="s">
        <v>196</v>
      </c>
      <c r="H7" s="15" t="s">
        <v>21</v>
      </c>
      <c r="I7" s="15" t="s">
        <v>25</v>
      </c>
      <c r="J7" s="429"/>
    </row>
    <row r="8" spans="1:27" ht="15.75" customHeight="1">
      <c r="A8" s="103" t="s">
        <v>204</v>
      </c>
      <c r="B8" s="12">
        <v>45189</v>
      </c>
      <c r="C8" s="13">
        <v>0.43402777777777779</v>
      </c>
      <c r="D8" s="12">
        <v>45189</v>
      </c>
      <c r="E8" s="13">
        <v>0.57152777777777775</v>
      </c>
      <c r="F8" s="13">
        <v>0.61319444444444449</v>
      </c>
      <c r="G8" s="15" t="s">
        <v>196</v>
      </c>
      <c r="H8" s="15" t="s">
        <v>21</v>
      </c>
      <c r="I8" s="15" t="s">
        <v>25</v>
      </c>
      <c r="J8" s="427"/>
    </row>
    <row r="9" spans="1:27" ht="15.75" customHeight="1">
      <c r="A9" s="44" t="s">
        <v>205</v>
      </c>
      <c r="B9" s="12">
        <v>45190</v>
      </c>
      <c r="C9" s="13">
        <v>0.36805555555555558</v>
      </c>
      <c r="D9" s="12">
        <v>45190</v>
      </c>
      <c r="E9" s="13">
        <v>0.58680555555555558</v>
      </c>
      <c r="F9" s="13">
        <v>0.62847222222222221</v>
      </c>
      <c r="G9" s="15" t="s">
        <v>196</v>
      </c>
      <c r="H9" s="15" t="s">
        <v>21</v>
      </c>
      <c r="I9" s="15" t="s">
        <v>25</v>
      </c>
      <c r="J9" s="435" t="s">
        <v>206</v>
      </c>
    </row>
    <row r="10" spans="1:27" ht="15.75" customHeight="1">
      <c r="A10" s="44" t="s">
        <v>207</v>
      </c>
      <c r="B10" s="12">
        <v>45190</v>
      </c>
      <c r="C10" s="13">
        <v>0.40555555555555556</v>
      </c>
      <c r="D10" s="12">
        <v>45190</v>
      </c>
      <c r="E10" s="13">
        <v>0.58750000000000002</v>
      </c>
      <c r="F10" s="13">
        <v>0.62916666666666665</v>
      </c>
      <c r="G10" s="15" t="s">
        <v>196</v>
      </c>
      <c r="H10" s="15" t="s">
        <v>21</v>
      </c>
      <c r="I10" s="15" t="s">
        <v>25</v>
      </c>
      <c r="J10" s="429"/>
    </row>
    <row r="11" spans="1:27" ht="15.75" customHeight="1">
      <c r="A11" s="44" t="s">
        <v>208</v>
      </c>
      <c r="B11" s="12">
        <v>45190</v>
      </c>
      <c r="C11" s="13">
        <v>0.44722222222222224</v>
      </c>
      <c r="D11" s="12">
        <v>45190</v>
      </c>
      <c r="E11" s="13">
        <v>0.58750000000000002</v>
      </c>
      <c r="F11" s="13">
        <v>0.62916666666666665</v>
      </c>
      <c r="G11" s="15" t="s">
        <v>196</v>
      </c>
      <c r="H11" s="15" t="s">
        <v>21</v>
      </c>
      <c r="I11" s="15" t="s">
        <v>25</v>
      </c>
      <c r="J11" s="429"/>
    </row>
    <row r="12" spans="1:27" ht="15.75" customHeight="1">
      <c r="A12" s="44" t="s">
        <v>209</v>
      </c>
      <c r="B12" s="12">
        <v>45190</v>
      </c>
      <c r="C12" s="13">
        <v>0.47569444444444442</v>
      </c>
      <c r="D12" s="12">
        <v>45190</v>
      </c>
      <c r="E12" s="13">
        <v>0.58819444444444446</v>
      </c>
      <c r="F12" s="13">
        <v>0.62986111111111109</v>
      </c>
      <c r="G12" s="15" t="s">
        <v>196</v>
      </c>
      <c r="H12" s="15" t="s">
        <v>21</v>
      </c>
      <c r="I12" s="15" t="s">
        <v>25</v>
      </c>
      <c r="J12" s="427"/>
    </row>
    <row r="13" spans="1:27" ht="15.75" customHeight="1">
      <c r="A13" s="44" t="s">
        <v>210</v>
      </c>
      <c r="B13" s="12">
        <v>45203</v>
      </c>
      <c r="C13" s="13">
        <v>0.3840277777777778</v>
      </c>
      <c r="D13" s="12">
        <v>45203</v>
      </c>
      <c r="E13" s="13">
        <v>0.61041666666666672</v>
      </c>
      <c r="F13" s="13">
        <v>0.65208333333333335</v>
      </c>
      <c r="G13" s="15" t="s">
        <v>196</v>
      </c>
      <c r="H13" s="15" t="s">
        <v>21</v>
      </c>
      <c r="I13" s="15" t="s">
        <v>25</v>
      </c>
      <c r="J13" s="104"/>
    </row>
    <row r="14" spans="1:27" ht="15.75" customHeight="1">
      <c r="A14" s="44" t="s">
        <v>211</v>
      </c>
      <c r="B14" s="12">
        <v>45203</v>
      </c>
      <c r="C14" s="13">
        <v>0.43472222222222223</v>
      </c>
      <c r="D14" s="12">
        <v>45203</v>
      </c>
      <c r="E14" s="13">
        <v>0.61111111111111116</v>
      </c>
      <c r="F14" s="13">
        <v>0.65277777777777779</v>
      </c>
      <c r="G14" s="15" t="s">
        <v>196</v>
      </c>
      <c r="H14" s="15" t="s">
        <v>21</v>
      </c>
      <c r="I14" s="15" t="s">
        <v>25</v>
      </c>
      <c r="J14" s="104"/>
    </row>
    <row r="15" spans="1:27" ht="15.75" customHeight="1">
      <c r="A15" s="44" t="s">
        <v>212</v>
      </c>
      <c r="B15" s="12">
        <v>45203</v>
      </c>
      <c r="C15" s="13">
        <v>0.41666666666666669</v>
      </c>
      <c r="D15" s="12">
        <v>45203</v>
      </c>
      <c r="E15" s="13">
        <v>0.61111111111111116</v>
      </c>
      <c r="F15" s="13">
        <v>0.65277777777777779</v>
      </c>
      <c r="G15" s="15" t="s">
        <v>196</v>
      </c>
      <c r="H15" s="15" t="s">
        <v>21</v>
      </c>
      <c r="I15" s="15" t="s">
        <v>25</v>
      </c>
      <c r="J15" s="104"/>
    </row>
    <row r="16" spans="1:27" ht="15.75" customHeight="1">
      <c r="A16" s="44" t="s">
        <v>213</v>
      </c>
      <c r="B16" s="12">
        <v>45203</v>
      </c>
      <c r="C16" s="13">
        <v>0.36736111111111114</v>
      </c>
      <c r="D16" s="12">
        <v>45203</v>
      </c>
      <c r="E16" s="13">
        <v>0.6118055555555556</v>
      </c>
      <c r="F16" s="13">
        <v>0.65347222222222223</v>
      </c>
      <c r="G16" s="15" t="s">
        <v>196</v>
      </c>
      <c r="H16" s="15" t="s">
        <v>21</v>
      </c>
      <c r="I16" s="15" t="s">
        <v>25</v>
      </c>
      <c r="J16" s="104"/>
    </row>
    <row r="17" spans="1:10" ht="15.75" customHeight="1">
      <c r="A17" s="44" t="s">
        <v>214</v>
      </c>
      <c r="B17" s="12">
        <v>45203</v>
      </c>
      <c r="C17" s="13">
        <v>0.34236111111111112</v>
      </c>
      <c r="D17" s="12">
        <v>45203</v>
      </c>
      <c r="E17" s="13">
        <v>0.6118055555555556</v>
      </c>
      <c r="F17" s="13">
        <v>0.65347222222222223</v>
      </c>
      <c r="G17" s="15" t="s">
        <v>196</v>
      </c>
      <c r="H17" s="15" t="s">
        <v>21</v>
      </c>
      <c r="I17" s="15" t="s">
        <v>25</v>
      </c>
      <c r="J17" s="104"/>
    </row>
    <row r="18" spans="1:10" ht="15.75" customHeight="1">
      <c r="A18" s="44" t="s">
        <v>215</v>
      </c>
      <c r="B18" s="12">
        <v>45203</v>
      </c>
      <c r="C18" s="13">
        <v>0.30555555555555558</v>
      </c>
      <c r="D18" s="12">
        <v>45203</v>
      </c>
      <c r="E18" s="13">
        <v>0.11319444444444444</v>
      </c>
      <c r="F18" s="13">
        <v>0.15486111111111112</v>
      </c>
      <c r="G18" s="15" t="s">
        <v>196</v>
      </c>
      <c r="H18" s="15" t="s">
        <v>21</v>
      </c>
      <c r="I18" s="15" t="s">
        <v>25</v>
      </c>
      <c r="J18" s="104"/>
    </row>
    <row r="19" spans="1:10" ht="15.75" customHeight="1">
      <c r="A19" s="44" t="s">
        <v>216</v>
      </c>
      <c r="B19" s="12">
        <v>45204</v>
      </c>
      <c r="C19" s="13">
        <v>0.33958333333333335</v>
      </c>
      <c r="D19" s="12">
        <v>45204</v>
      </c>
      <c r="E19" s="13">
        <v>0.63055555555555554</v>
      </c>
      <c r="F19" s="13">
        <v>0.67222222222222228</v>
      </c>
      <c r="G19" s="15" t="s">
        <v>196</v>
      </c>
      <c r="H19" s="15" t="s">
        <v>21</v>
      </c>
      <c r="I19" s="15" t="s">
        <v>25</v>
      </c>
      <c r="J19" s="104"/>
    </row>
    <row r="20" spans="1:10" ht="15.75" customHeight="1">
      <c r="A20" s="44" t="s">
        <v>217</v>
      </c>
      <c r="B20" s="12">
        <v>45204</v>
      </c>
      <c r="C20" s="13">
        <v>0.33958333333333335</v>
      </c>
      <c r="D20" s="12">
        <v>45204</v>
      </c>
      <c r="E20" s="13">
        <v>0.63055555555555554</v>
      </c>
      <c r="F20" s="13">
        <v>0.67222222222222228</v>
      </c>
      <c r="G20" s="15" t="s">
        <v>196</v>
      </c>
      <c r="H20" s="15" t="s">
        <v>21</v>
      </c>
      <c r="I20" s="15" t="s">
        <v>25</v>
      </c>
      <c r="J20" s="104"/>
    </row>
    <row r="21" spans="1:10" ht="15.75" customHeight="1">
      <c r="A21" s="44" t="s">
        <v>218</v>
      </c>
      <c r="B21" s="12">
        <v>45204</v>
      </c>
      <c r="C21" s="13">
        <v>0.39583333333333331</v>
      </c>
      <c r="D21" s="12">
        <v>45204</v>
      </c>
      <c r="E21" s="13">
        <v>0.63055555555555554</v>
      </c>
      <c r="F21" s="13">
        <v>0.67222222222222228</v>
      </c>
      <c r="G21" s="15" t="s">
        <v>196</v>
      </c>
      <c r="H21" s="15" t="s">
        <v>21</v>
      </c>
      <c r="I21" s="15" t="s">
        <v>25</v>
      </c>
      <c r="J21" s="104"/>
    </row>
    <row r="22" spans="1:10" ht="15.75" customHeight="1">
      <c r="A22" s="44" t="s">
        <v>219</v>
      </c>
      <c r="B22" s="12">
        <v>45205</v>
      </c>
      <c r="C22" s="13">
        <v>0.27847222222222223</v>
      </c>
      <c r="D22" s="12">
        <v>45205</v>
      </c>
      <c r="E22" s="13">
        <v>0.1736111111111111</v>
      </c>
      <c r="F22" s="13">
        <v>0.21527777777777779</v>
      </c>
      <c r="G22" s="15" t="s">
        <v>196</v>
      </c>
      <c r="H22" s="15" t="s">
        <v>21</v>
      </c>
      <c r="I22" s="15" t="s">
        <v>25</v>
      </c>
      <c r="J22" s="104"/>
    </row>
    <row r="23" spans="1:10" ht="15.75" customHeight="1">
      <c r="A23" s="44" t="s">
        <v>220</v>
      </c>
      <c r="B23" s="12">
        <v>45205</v>
      </c>
      <c r="C23" s="13">
        <v>0.29722222222222222</v>
      </c>
      <c r="D23" s="12">
        <v>45205</v>
      </c>
      <c r="E23" s="13">
        <v>0.1736111111111111</v>
      </c>
      <c r="F23" s="13">
        <v>0.21527777777777779</v>
      </c>
      <c r="G23" s="15" t="s">
        <v>196</v>
      </c>
      <c r="H23" s="15" t="s">
        <v>21</v>
      </c>
      <c r="I23" s="15" t="s">
        <v>25</v>
      </c>
      <c r="J23" s="104"/>
    </row>
    <row r="24" spans="1:10" ht="15.75">
      <c r="A24" s="44" t="s">
        <v>221</v>
      </c>
      <c r="B24" s="12">
        <v>45205</v>
      </c>
      <c r="C24" s="21">
        <v>0.3972222222222222</v>
      </c>
      <c r="D24" s="12">
        <v>45205</v>
      </c>
      <c r="E24" s="13">
        <v>0.17430555555555555</v>
      </c>
      <c r="F24" s="13">
        <v>0.21597222222222223</v>
      </c>
      <c r="G24" s="15" t="s">
        <v>196</v>
      </c>
      <c r="H24" s="15" t="s">
        <v>21</v>
      </c>
      <c r="I24" s="15" t="s">
        <v>25</v>
      </c>
      <c r="J24" s="104"/>
    </row>
    <row r="25" spans="1:10" ht="15.75" customHeight="1">
      <c r="A25" s="44" t="s">
        <v>222</v>
      </c>
      <c r="B25" s="12">
        <v>45212</v>
      </c>
      <c r="C25" s="13">
        <v>0.3</v>
      </c>
      <c r="D25" s="12">
        <v>45212</v>
      </c>
      <c r="E25" s="13">
        <v>0.80069444444444449</v>
      </c>
      <c r="F25" s="13">
        <v>0.84236111111111112</v>
      </c>
      <c r="G25" s="15" t="s">
        <v>196</v>
      </c>
      <c r="H25" s="15" t="s">
        <v>21</v>
      </c>
      <c r="I25" s="15" t="s">
        <v>25</v>
      </c>
      <c r="J25" s="104"/>
    </row>
    <row r="26" spans="1:10" ht="15.75" customHeight="1">
      <c r="A26" s="44" t="s">
        <v>223</v>
      </c>
      <c r="B26" s="12">
        <v>45212</v>
      </c>
      <c r="C26" s="13">
        <v>0.3263888888888889</v>
      </c>
      <c r="D26" s="12">
        <v>45212</v>
      </c>
      <c r="E26" s="13">
        <v>0.80069444444444449</v>
      </c>
      <c r="F26" s="13">
        <v>0.84236111111111112</v>
      </c>
      <c r="G26" s="15" t="s">
        <v>196</v>
      </c>
      <c r="H26" s="15" t="s">
        <v>21</v>
      </c>
      <c r="I26" s="15" t="s">
        <v>25</v>
      </c>
      <c r="J26" s="104"/>
    </row>
    <row r="27" spans="1:10" ht="15.75" customHeight="1">
      <c r="A27" s="44" t="s">
        <v>224</v>
      </c>
      <c r="B27" s="12">
        <v>45212</v>
      </c>
      <c r="C27" s="13">
        <v>0.35625000000000001</v>
      </c>
      <c r="D27" s="12">
        <v>45212</v>
      </c>
      <c r="E27" s="13">
        <v>0.80069444444444449</v>
      </c>
      <c r="F27" s="13">
        <v>0.84236111111111112</v>
      </c>
      <c r="G27" s="15" t="s">
        <v>196</v>
      </c>
      <c r="H27" s="15" t="s">
        <v>21</v>
      </c>
      <c r="I27" s="15" t="s">
        <v>25</v>
      </c>
      <c r="J27" s="104"/>
    </row>
    <row r="28" spans="1:10" ht="15.75" customHeight="1">
      <c r="A28" s="44" t="s">
        <v>225</v>
      </c>
      <c r="B28" s="12">
        <v>45212</v>
      </c>
      <c r="C28" s="13">
        <v>0.39166666666666666</v>
      </c>
      <c r="D28" s="12">
        <v>45212</v>
      </c>
      <c r="E28" s="13">
        <v>0.80069444444444449</v>
      </c>
      <c r="F28" s="13">
        <v>0.84236111111111112</v>
      </c>
      <c r="G28" s="15" t="s">
        <v>196</v>
      </c>
      <c r="H28" s="15" t="s">
        <v>21</v>
      </c>
      <c r="I28" s="15" t="s">
        <v>25</v>
      </c>
      <c r="J28" s="104"/>
    </row>
    <row r="29" spans="1:10" ht="15.75" customHeight="1">
      <c r="A29" s="105" t="s">
        <v>226</v>
      </c>
      <c r="B29" s="39">
        <v>45213</v>
      </c>
      <c r="C29" s="38">
        <v>0.31805555555555554</v>
      </c>
      <c r="D29" s="39">
        <v>45215</v>
      </c>
      <c r="E29" s="38">
        <v>0.92291666666666672</v>
      </c>
      <c r="F29" s="38">
        <v>0.96458333333333335</v>
      </c>
      <c r="G29" s="15" t="s">
        <v>196</v>
      </c>
      <c r="H29" s="15" t="s">
        <v>21</v>
      </c>
      <c r="I29" s="15" t="s">
        <v>227</v>
      </c>
      <c r="J29" s="104" t="s">
        <v>228</v>
      </c>
    </row>
    <row r="30" spans="1:10" ht="15.75" customHeight="1">
      <c r="A30" s="105" t="s">
        <v>229</v>
      </c>
      <c r="B30" s="39">
        <v>45213</v>
      </c>
      <c r="C30" s="38">
        <v>0.38541666666666669</v>
      </c>
      <c r="D30" s="39">
        <v>45215</v>
      </c>
      <c r="E30" s="38">
        <v>0.92222222222222228</v>
      </c>
      <c r="F30" s="38">
        <v>0.96388888888888891</v>
      </c>
      <c r="G30" s="15" t="s">
        <v>196</v>
      </c>
      <c r="H30" s="15" t="s">
        <v>21</v>
      </c>
      <c r="I30" s="15" t="s">
        <v>227</v>
      </c>
      <c r="J30" s="104" t="s">
        <v>230</v>
      </c>
    </row>
    <row r="31" spans="1:10" ht="15.75" customHeight="1">
      <c r="A31" s="44" t="s">
        <v>231</v>
      </c>
      <c r="B31" s="12">
        <v>45213</v>
      </c>
      <c r="C31" s="13">
        <v>0.42499999999999999</v>
      </c>
      <c r="D31" s="12">
        <v>45215</v>
      </c>
      <c r="E31" s="106">
        <v>0.92361111111111116</v>
      </c>
      <c r="F31" s="106">
        <v>0.96527777777777779</v>
      </c>
      <c r="G31" s="15" t="s">
        <v>196</v>
      </c>
      <c r="H31" s="15" t="s">
        <v>21</v>
      </c>
      <c r="I31" s="15" t="s">
        <v>227</v>
      </c>
      <c r="J31" s="104"/>
    </row>
    <row r="32" spans="1:10" ht="15.75" customHeight="1">
      <c r="A32" s="44" t="s">
        <v>232</v>
      </c>
      <c r="B32" s="12">
        <v>45214</v>
      </c>
      <c r="C32" s="13">
        <v>0.28541666666666665</v>
      </c>
      <c r="D32" s="12">
        <v>45215</v>
      </c>
      <c r="E32" s="13">
        <v>0.35833333333333334</v>
      </c>
      <c r="F32" s="13">
        <v>0.4</v>
      </c>
      <c r="G32" s="15" t="s">
        <v>196</v>
      </c>
      <c r="H32" s="15" t="s">
        <v>21</v>
      </c>
      <c r="I32" s="15" t="s">
        <v>227</v>
      </c>
      <c r="J32" s="104"/>
    </row>
    <row r="33" spans="1:10" ht="15.75" customHeight="1">
      <c r="A33" s="44" t="s">
        <v>233</v>
      </c>
      <c r="B33" s="12">
        <v>45214</v>
      </c>
      <c r="C33" s="13">
        <v>0.32291666666666669</v>
      </c>
      <c r="D33" s="12">
        <v>45215</v>
      </c>
      <c r="E33" s="13">
        <v>0.35902777777777778</v>
      </c>
      <c r="F33" s="13">
        <v>0.40069444444444446</v>
      </c>
      <c r="G33" s="15" t="s">
        <v>196</v>
      </c>
      <c r="H33" s="15" t="s">
        <v>21</v>
      </c>
      <c r="I33" s="15" t="s">
        <v>227</v>
      </c>
      <c r="J33" s="104"/>
    </row>
    <row r="34" spans="1:10" ht="15.75" customHeight="1">
      <c r="A34" s="44" t="s">
        <v>234</v>
      </c>
      <c r="B34" s="12">
        <v>45214</v>
      </c>
      <c r="C34" s="13">
        <v>0.3527777777777778</v>
      </c>
      <c r="D34" s="12">
        <v>45215</v>
      </c>
      <c r="E34" s="13">
        <v>0.35972222222222222</v>
      </c>
      <c r="F34" s="13">
        <v>0.40138888888888891</v>
      </c>
      <c r="G34" s="15" t="s">
        <v>196</v>
      </c>
      <c r="H34" s="15" t="s">
        <v>21</v>
      </c>
      <c r="I34" s="15" t="s">
        <v>227</v>
      </c>
      <c r="J34" s="104"/>
    </row>
    <row r="35" spans="1:10" ht="15.75" customHeight="1">
      <c r="A35" s="44" t="s">
        <v>235</v>
      </c>
      <c r="B35" s="12">
        <v>45214</v>
      </c>
      <c r="C35" s="13">
        <v>0.39791666666666664</v>
      </c>
      <c r="D35" s="12">
        <v>45215</v>
      </c>
      <c r="E35" s="106">
        <v>0.36041666666666666</v>
      </c>
      <c r="F35" s="106">
        <v>0.40208333333333335</v>
      </c>
      <c r="G35" s="15" t="s">
        <v>196</v>
      </c>
      <c r="H35" s="15" t="s">
        <v>21</v>
      </c>
      <c r="I35" s="15" t="s">
        <v>227</v>
      </c>
      <c r="J35" s="104"/>
    </row>
    <row r="36" spans="1:10" ht="15.75" customHeight="1">
      <c r="A36" s="44" t="s">
        <v>236</v>
      </c>
      <c r="B36" s="12">
        <v>45222</v>
      </c>
      <c r="C36" s="13">
        <v>0.3972222222222222</v>
      </c>
      <c r="D36" s="45">
        <v>45222</v>
      </c>
      <c r="E36" s="107">
        <v>0.63888888888888884</v>
      </c>
      <c r="F36" s="107">
        <v>0.68055555555555558</v>
      </c>
      <c r="G36" s="15" t="s">
        <v>196</v>
      </c>
      <c r="H36" s="15" t="s">
        <v>21</v>
      </c>
      <c r="I36" s="15" t="s">
        <v>25</v>
      </c>
      <c r="J36" s="104"/>
    </row>
    <row r="37" spans="1:10" ht="15.75" customHeight="1">
      <c r="A37" s="44" t="s">
        <v>237</v>
      </c>
      <c r="B37" s="12">
        <v>45222</v>
      </c>
      <c r="C37" s="13">
        <v>0.42777777777777776</v>
      </c>
      <c r="D37" s="45">
        <v>45222</v>
      </c>
      <c r="E37" s="107">
        <v>0.63888888888888884</v>
      </c>
      <c r="F37" s="107">
        <v>0.68055555555555558</v>
      </c>
      <c r="G37" s="15" t="s">
        <v>196</v>
      </c>
      <c r="H37" s="15" t="s">
        <v>21</v>
      </c>
      <c r="I37" s="15" t="s">
        <v>25</v>
      </c>
      <c r="J37" s="104"/>
    </row>
    <row r="38" spans="1:10" ht="15.75" customHeight="1">
      <c r="A38" s="44" t="s">
        <v>238</v>
      </c>
      <c r="B38" s="12">
        <v>45222</v>
      </c>
      <c r="C38" s="13">
        <v>0.45763888888888887</v>
      </c>
      <c r="D38" s="45">
        <v>45222</v>
      </c>
      <c r="E38" s="107">
        <v>0.63888888888888884</v>
      </c>
      <c r="F38" s="107">
        <v>0.68055555555555558</v>
      </c>
      <c r="G38" s="15" t="s">
        <v>196</v>
      </c>
      <c r="H38" s="15" t="s">
        <v>21</v>
      </c>
      <c r="I38" s="15" t="s">
        <v>25</v>
      </c>
      <c r="J38" s="104"/>
    </row>
    <row r="39" spans="1:10" ht="15.75" customHeight="1">
      <c r="A39" s="44" t="s">
        <v>239</v>
      </c>
      <c r="B39" s="12">
        <v>45222</v>
      </c>
      <c r="C39" s="41">
        <v>0.57499999999999996</v>
      </c>
      <c r="D39" s="45">
        <v>45222</v>
      </c>
      <c r="E39" s="107">
        <v>0.63888888888888884</v>
      </c>
      <c r="F39" s="107">
        <v>0.68055555555555558</v>
      </c>
      <c r="G39" s="15" t="s">
        <v>196</v>
      </c>
      <c r="H39" s="15" t="s">
        <v>21</v>
      </c>
      <c r="I39" s="15" t="s">
        <v>25</v>
      </c>
      <c r="J39" s="104"/>
    </row>
    <row r="40" spans="1:10" ht="15.75" customHeight="1">
      <c r="A40" s="44" t="s">
        <v>240</v>
      </c>
      <c r="B40" s="12">
        <v>45222</v>
      </c>
      <c r="C40" s="41">
        <v>0.57499999999999996</v>
      </c>
      <c r="D40" s="45">
        <v>45222</v>
      </c>
      <c r="E40" s="106">
        <v>0.68402777777777779</v>
      </c>
      <c r="F40" s="106">
        <v>0.72569444444444442</v>
      </c>
      <c r="G40" s="15" t="s">
        <v>196</v>
      </c>
      <c r="H40" s="15" t="s">
        <v>21</v>
      </c>
      <c r="I40" s="15" t="s">
        <v>25</v>
      </c>
      <c r="J40" s="104"/>
    </row>
    <row r="41" spans="1:10" ht="15.75" customHeight="1">
      <c r="A41" s="44" t="s">
        <v>241</v>
      </c>
      <c r="B41" s="12">
        <v>45223</v>
      </c>
      <c r="C41" s="41">
        <v>0.38541666666666669</v>
      </c>
      <c r="D41" s="45">
        <v>45223</v>
      </c>
      <c r="E41" s="106">
        <v>0.61111111111111116</v>
      </c>
      <c r="F41" s="106">
        <v>0.65277777777777779</v>
      </c>
      <c r="G41" s="15" t="s">
        <v>196</v>
      </c>
      <c r="H41" s="15" t="s">
        <v>21</v>
      </c>
      <c r="I41" s="15" t="s">
        <v>25</v>
      </c>
      <c r="J41" s="104"/>
    </row>
    <row r="42" spans="1:10" ht="15.75" customHeight="1">
      <c r="A42" s="44" t="s">
        <v>242</v>
      </c>
      <c r="B42" s="12">
        <v>45223</v>
      </c>
      <c r="C42" s="21">
        <v>0.40972222222222221</v>
      </c>
      <c r="D42" s="45">
        <v>45223</v>
      </c>
      <c r="E42" s="106">
        <v>0.61111111111111116</v>
      </c>
      <c r="F42" s="106">
        <v>0.65277777777777779</v>
      </c>
      <c r="G42" s="15" t="s">
        <v>196</v>
      </c>
      <c r="H42" s="15" t="s">
        <v>21</v>
      </c>
      <c r="I42" s="15" t="s">
        <v>25</v>
      </c>
      <c r="J42" s="104"/>
    </row>
    <row r="43" spans="1:10" ht="15.75" customHeight="1">
      <c r="A43" s="44" t="s">
        <v>243</v>
      </c>
      <c r="B43" s="12">
        <v>45223</v>
      </c>
      <c r="C43" s="13">
        <v>0.43541666666666667</v>
      </c>
      <c r="D43" s="45">
        <v>45223</v>
      </c>
      <c r="E43" s="107">
        <v>0.61111111111111116</v>
      </c>
      <c r="F43" s="106">
        <v>0.65277777777777779</v>
      </c>
      <c r="G43" s="15" t="s">
        <v>196</v>
      </c>
      <c r="H43" s="15" t="s">
        <v>21</v>
      </c>
      <c r="I43" s="15" t="s">
        <v>25</v>
      </c>
      <c r="J43" s="104"/>
    </row>
    <row r="44" spans="1:10" ht="15.75" customHeight="1">
      <c r="A44" s="44" t="s">
        <v>244</v>
      </c>
      <c r="B44" s="12">
        <v>45223</v>
      </c>
      <c r="C44" s="21">
        <v>0.48194444444444445</v>
      </c>
      <c r="D44" s="45">
        <v>45223</v>
      </c>
      <c r="E44" s="107">
        <v>0.61111111111111116</v>
      </c>
      <c r="F44" s="106">
        <v>0.65277777777777779</v>
      </c>
      <c r="G44" s="15" t="s">
        <v>196</v>
      </c>
      <c r="H44" s="15" t="s">
        <v>21</v>
      </c>
      <c r="I44" s="15" t="s">
        <v>25</v>
      </c>
      <c r="J44" s="104"/>
    </row>
    <row r="45" spans="1:10" ht="15.75" customHeight="1">
      <c r="A45" s="52" t="s">
        <v>245</v>
      </c>
      <c r="B45" s="45">
        <v>45224</v>
      </c>
      <c r="C45" s="108">
        <v>0.41319444444444442</v>
      </c>
      <c r="D45" s="45">
        <v>45224</v>
      </c>
      <c r="E45" s="106">
        <v>0.55555555555555558</v>
      </c>
      <c r="F45" s="106">
        <v>0.59722222222222221</v>
      </c>
      <c r="G45" s="15" t="s">
        <v>196</v>
      </c>
      <c r="H45" s="15" t="s">
        <v>21</v>
      </c>
      <c r="I45" s="15" t="s">
        <v>227</v>
      </c>
      <c r="J45" s="104"/>
    </row>
    <row r="46" spans="1:10" ht="15.75" customHeight="1">
      <c r="A46" s="52" t="s">
        <v>246</v>
      </c>
      <c r="B46" s="45">
        <v>45224</v>
      </c>
      <c r="C46" s="54">
        <v>0.32500000000000001</v>
      </c>
      <c r="D46" s="45">
        <v>45224</v>
      </c>
      <c r="E46" s="106">
        <v>0.55555555555555558</v>
      </c>
      <c r="F46" s="106">
        <v>0.59722222222222221</v>
      </c>
      <c r="G46" s="15" t="s">
        <v>196</v>
      </c>
      <c r="H46" s="15" t="s">
        <v>21</v>
      </c>
      <c r="I46" s="15" t="s">
        <v>227</v>
      </c>
      <c r="J46" s="104"/>
    </row>
    <row r="47" spans="1:10" ht="15.75" customHeight="1">
      <c r="A47" s="52" t="s">
        <v>247</v>
      </c>
      <c r="B47" s="45">
        <v>45224</v>
      </c>
      <c r="C47" s="54">
        <v>0.37569444444444444</v>
      </c>
      <c r="D47" s="45">
        <v>45224</v>
      </c>
      <c r="E47" s="107">
        <v>0.55555555555555558</v>
      </c>
      <c r="F47" s="107">
        <v>0.59722222222222221</v>
      </c>
      <c r="G47" s="15" t="s">
        <v>196</v>
      </c>
      <c r="H47" s="15" t="s">
        <v>21</v>
      </c>
      <c r="I47" s="15" t="s">
        <v>227</v>
      </c>
      <c r="J47" s="104"/>
    </row>
    <row r="48" spans="1:10" ht="15.75" customHeight="1">
      <c r="A48" s="52" t="s">
        <v>248</v>
      </c>
      <c r="B48" s="45">
        <v>45224</v>
      </c>
      <c r="C48" s="58">
        <v>0.34722222222222221</v>
      </c>
      <c r="D48" s="45">
        <v>45224</v>
      </c>
      <c r="E48" s="106">
        <v>0.55555555555555558</v>
      </c>
      <c r="F48" s="106">
        <v>0.59722222222222221</v>
      </c>
      <c r="G48" s="15" t="s">
        <v>196</v>
      </c>
      <c r="H48" s="15" t="s">
        <v>21</v>
      </c>
      <c r="I48" s="15" t="s">
        <v>227</v>
      </c>
      <c r="J48" s="104"/>
    </row>
    <row r="49" spans="2:10" ht="15.75" customHeight="1">
      <c r="B49" s="109"/>
      <c r="C49" s="110"/>
      <c r="D49" s="111"/>
      <c r="E49" s="112"/>
      <c r="F49" s="112"/>
      <c r="G49" s="113"/>
      <c r="H49" s="113"/>
      <c r="I49" s="113"/>
      <c r="J49" s="114"/>
    </row>
    <row r="50" spans="2:10" ht="15.75" customHeight="1">
      <c r="B50" s="109"/>
      <c r="C50" s="110"/>
      <c r="D50" s="111"/>
      <c r="E50" s="112"/>
      <c r="F50" s="112"/>
      <c r="G50" s="113"/>
      <c r="H50" s="113"/>
      <c r="I50" s="113"/>
      <c r="J50" s="114"/>
    </row>
    <row r="51" spans="2:10" ht="15.75" customHeight="1">
      <c r="B51" s="109"/>
      <c r="C51" s="110"/>
      <c r="D51" s="111"/>
      <c r="E51" s="112"/>
      <c r="F51" s="112"/>
      <c r="G51" s="113"/>
      <c r="H51" s="113"/>
      <c r="I51" s="113"/>
      <c r="J51" s="114"/>
    </row>
    <row r="52" spans="2:10" ht="15.75" customHeight="1">
      <c r="B52" s="109"/>
      <c r="C52" s="110"/>
      <c r="D52" s="111"/>
      <c r="E52" s="112"/>
      <c r="F52" s="112"/>
      <c r="G52" s="113"/>
      <c r="H52" s="113"/>
      <c r="I52" s="113"/>
      <c r="J52" s="17"/>
    </row>
    <row r="53" spans="2:10" ht="15.75" customHeight="1">
      <c r="B53" s="109"/>
      <c r="C53" s="110"/>
      <c r="D53" s="111"/>
      <c r="E53" s="112"/>
      <c r="F53" s="112"/>
      <c r="G53" s="113"/>
      <c r="H53" s="113"/>
      <c r="I53" s="113"/>
      <c r="J53" s="17"/>
    </row>
    <row r="54" spans="2:10" ht="15.75" customHeight="1">
      <c r="B54" s="109"/>
      <c r="C54" s="110"/>
      <c r="D54" s="111"/>
      <c r="E54" s="112"/>
      <c r="F54" s="112"/>
      <c r="G54" s="113"/>
      <c r="H54" s="113"/>
      <c r="I54" s="113"/>
      <c r="J54" s="17"/>
    </row>
    <row r="55" spans="2:10" ht="15.75" customHeight="1">
      <c r="B55" s="109"/>
      <c r="C55" s="110"/>
      <c r="D55" s="111"/>
      <c r="E55" s="112"/>
      <c r="F55" s="112"/>
      <c r="G55" s="113"/>
      <c r="H55" s="113"/>
      <c r="I55" s="113"/>
      <c r="J55" s="17"/>
    </row>
    <row r="56" spans="2:10" ht="15.75" customHeight="1">
      <c r="B56" s="109"/>
      <c r="C56" s="110"/>
      <c r="D56" s="111"/>
      <c r="E56" s="112"/>
      <c r="F56" s="112"/>
      <c r="G56" s="113"/>
      <c r="H56" s="113"/>
      <c r="I56" s="113"/>
      <c r="J56" s="17"/>
    </row>
    <row r="57" spans="2:10" ht="15.75" customHeight="1">
      <c r="B57" s="109"/>
      <c r="C57" s="110"/>
      <c r="D57" s="111"/>
      <c r="E57" s="112"/>
      <c r="F57" s="112"/>
      <c r="G57" s="113"/>
      <c r="H57" s="113"/>
      <c r="I57" s="113"/>
      <c r="J57" s="17"/>
    </row>
    <row r="58" spans="2:10" ht="15.75" customHeight="1">
      <c r="B58" s="109"/>
      <c r="C58" s="110"/>
      <c r="D58" s="111"/>
      <c r="E58" s="112"/>
      <c r="F58" s="112"/>
      <c r="G58" s="113"/>
      <c r="H58" s="113"/>
      <c r="I58" s="113"/>
      <c r="J58" s="17"/>
    </row>
    <row r="59" spans="2:10" ht="15.75" customHeight="1">
      <c r="B59" s="109"/>
      <c r="C59" s="110"/>
      <c r="D59" s="111"/>
      <c r="E59" s="112"/>
      <c r="F59" s="112"/>
      <c r="G59" s="113"/>
      <c r="H59" s="113"/>
      <c r="I59" s="113"/>
      <c r="J59" s="17"/>
    </row>
    <row r="60" spans="2:10" ht="15.75" customHeight="1">
      <c r="B60" s="109"/>
      <c r="C60" s="110"/>
      <c r="D60" s="111"/>
      <c r="E60" s="112"/>
      <c r="F60" s="112"/>
      <c r="G60" s="113"/>
      <c r="H60" s="113"/>
      <c r="I60" s="113"/>
      <c r="J60" s="17"/>
    </row>
    <row r="61" spans="2:10" ht="15.75" customHeight="1">
      <c r="B61" s="109"/>
      <c r="C61" s="110"/>
      <c r="D61" s="111"/>
      <c r="E61" s="112"/>
      <c r="F61" s="112"/>
      <c r="G61" s="113"/>
      <c r="H61" s="113"/>
      <c r="I61" s="113"/>
      <c r="J61" s="17"/>
    </row>
    <row r="62" spans="2:10" ht="15.75" customHeight="1">
      <c r="B62" s="109"/>
      <c r="C62" s="110"/>
      <c r="D62" s="111"/>
      <c r="E62" s="112"/>
      <c r="F62" s="112"/>
      <c r="G62" s="113"/>
      <c r="H62" s="113"/>
      <c r="I62" s="113"/>
      <c r="J62" s="17"/>
    </row>
    <row r="63" spans="2:10" ht="15.75" customHeight="1">
      <c r="B63" s="109"/>
      <c r="C63" s="110"/>
      <c r="D63" s="111"/>
      <c r="E63" s="112"/>
      <c r="F63" s="112"/>
      <c r="G63" s="113"/>
      <c r="H63" s="113"/>
      <c r="I63" s="113"/>
      <c r="J63" s="17"/>
    </row>
    <row r="64" spans="2:10" ht="15.75" customHeight="1">
      <c r="B64" s="109"/>
      <c r="C64" s="110"/>
      <c r="D64" s="111"/>
      <c r="E64" s="112"/>
      <c r="F64" s="112"/>
      <c r="G64" s="113"/>
      <c r="H64" s="113"/>
      <c r="I64" s="113"/>
      <c r="J64" s="17"/>
    </row>
    <row r="65" spans="2:10" ht="15.75" customHeight="1">
      <c r="B65" s="109"/>
      <c r="C65" s="110"/>
      <c r="D65" s="111"/>
      <c r="E65" s="112"/>
      <c r="F65" s="112"/>
      <c r="G65" s="113"/>
      <c r="H65" s="113"/>
      <c r="I65" s="113"/>
      <c r="J65" s="17"/>
    </row>
    <row r="66" spans="2:10" ht="15.75" customHeight="1">
      <c r="B66" s="109"/>
      <c r="C66" s="110"/>
      <c r="D66" s="111"/>
      <c r="E66" s="112"/>
      <c r="F66" s="112"/>
      <c r="G66" s="113"/>
      <c r="H66" s="113"/>
      <c r="I66" s="113"/>
      <c r="J66" s="17"/>
    </row>
    <row r="67" spans="2:10" ht="15.75" customHeight="1">
      <c r="B67" s="109"/>
      <c r="C67" s="110"/>
      <c r="D67" s="111"/>
      <c r="E67" s="112"/>
      <c r="F67" s="112"/>
      <c r="G67" s="113"/>
      <c r="H67" s="113"/>
      <c r="I67" s="113"/>
      <c r="J67" s="17"/>
    </row>
    <row r="68" spans="2:10" ht="15.75" customHeight="1">
      <c r="B68" s="109"/>
      <c r="C68" s="110"/>
      <c r="D68" s="111"/>
      <c r="E68" s="112"/>
      <c r="F68" s="112"/>
      <c r="G68" s="113"/>
      <c r="H68" s="113"/>
      <c r="I68" s="113"/>
      <c r="J68" s="17"/>
    </row>
    <row r="69" spans="2:10" ht="15.75" customHeight="1">
      <c r="B69" s="109"/>
      <c r="C69" s="110"/>
      <c r="D69" s="111"/>
      <c r="E69" s="112"/>
      <c r="F69" s="112"/>
      <c r="G69" s="113"/>
      <c r="H69" s="113"/>
      <c r="I69" s="113"/>
      <c r="J69" s="17"/>
    </row>
    <row r="70" spans="2:10" ht="15.75" customHeight="1">
      <c r="B70" s="109"/>
      <c r="C70" s="110"/>
      <c r="D70" s="111"/>
      <c r="E70" s="112"/>
      <c r="F70" s="112"/>
      <c r="G70" s="113"/>
      <c r="H70" s="113"/>
      <c r="I70" s="113"/>
      <c r="J70" s="17"/>
    </row>
    <row r="71" spans="2:10" ht="15.75" customHeight="1">
      <c r="B71" s="109"/>
      <c r="C71" s="110"/>
      <c r="D71" s="111"/>
      <c r="E71" s="112"/>
      <c r="F71" s="112"/>
      <c r="G71" s="113"/>
      <c r="H71" s="113"/>
      <c r="I71" s="113"/>
      <c r="J71" s="17"/>
    </row>
    <row r="72" spans="2:10" ht="15.75" customHeight="1">
      <c r="B72" s="109"/>
      <c r="C72" s="110"/>
      <c r="D72" s="111"/>
      <c r="E72" s="112"/>
      <c r="F72" s="112"/>
      <c r="G72" s="113"/>
      <c r="H72" s="113"/>
      <c r="I72" s="113"/>
      <c r="J72" s="17"/>
    </row>
    <row r="73" spans="2:10" ht="15.75" customHeight="1">
      <c r="B73" s="109"/>
      <c r="C73" s="110"/>
      <c r="D73" s="111"/>
      <c r="E73" s="112"/>
      <c r="F73" s="112"/>
      <c r="G73" s="113"/>
      <c r="H73" s="113"/>
      <c r="I73" s="113"/>
      <c r="J73" s="17"/>
    </row>
    <row r="74" spans="2:10" ht="15.75" customHeight="1">
      <c r="B74" s="109"/>
      <c r="C74" s="110"/>
      <c r="D74" s="111"/>
      <c r="E74" s="112"/>
      <c r="F74" s="112"/>
      <c r="G74" s="113"/>
      <c r="H74" s="113"/>
      <c r="I74" s="113"/>
      <c r="J74" s="17"/>
    </row>
    <row r="75" spans="2:10" ht="15.75" customHeight="1">
      <c r="B75" s="109"/>
      <c r="C75" s="110"/>
      <c r="D75" s="111"/>
      <c r="E75" s="112"/>
      <c r="F75" s="112"/>
      <c r="G75" s="113"/>
      <c r="H75" s="113"/>
      <c r="I75" s="113"/>
      <c r="J75" s="17"/>
    </row>
    <row r="76" spans="2:10" ht="15.75" customHeight="1">
      <c r="B76" s="109"/>
      <c r="C76" s="110"/>
      <c r="D76" s="111"/>
      <c r="E76" s="112"/>
      <c r="F76" s="112"/>
      <c r="G76" s="113"/>
      <c r="H76" s="113"/>
      <c r="I76" s="113"/>
      <c r="J76" s="17"/>
    </row>
    <row r="77" spans="2:10" ht="15.75" customHeight="1">
      <c r="B77" s="109"/>
      <c r="C77" s="110"/>
      <c r="D77" s="111"/>
      <c r="E77" s="112"/>
      <c r="F77" s="112"/>
      <c r="G77" s="113"/>
      <c r="H77" s="113"/>
      <c r="I77" s="113"/>
      <c r="J77" s="17"/>
    </row>
    <row r="78" spans="2:10" ht="15.75" customHeight="1">
      <c r="B78" s="109"/>
      <c r="C78" s="110"/>
      <c r="D78" s="111"/>
      <c r="E78" s="112"/>
      <c r="F78" s="112"/>
      <c r="G78" s="113"/>
      <c r="H78" s="113"/>
      <c r="I78" s="113"/>
      <c r="J78" s="17"/>
    </row>
    <row r="79" spans="2:10" ht="15.75" customHeight="1">
      <c r="B79" s="109"/>
      <c r="C79" s="110"/>
      <c r="D79" s="111"/>
      <c r="E79" s="112"/>
      <c r="F79" s="112"/>
      <c r="G79" s="113"/>
      <c r="H79" s="113"/>
      <c r="I79" s="113"/>
      <c r="J79" s="17"/>
    </row>
    <row r="80" spans="2:10" ht="15.75" customHeight="1">
      <c r="B80" s="109"/>
      <c r="C80" s="110"/>
      <c r="D80" s="111"/>
      <c r="E80" s="112"/>
      <c r="F80" s="112"/>
      <c r="G80" s="113"/>
      <c r="H80" s="113"/>
      <c r="I80" s="113"/>
      <c r="J80" s="17"/>
    </row>
    <row r="81" spans="2:10" ht="15.75" customHeight="1">
      <c r="B81" s="109"/>
      <c r="C81" s="110"/>
      <c r="D81" s="111"/>
      <c r="E81" s="112"/>
      <c r="F81" s="112"/>
      <c r="G81" s="113"/>
      <c r="H81" s="113"/>
      <c r="I81" s="113"/>
      <c r="J81" s="17"/>
    </row>
    <row r="82" spans="2:10" ht="15.75" customHeight="1">
      <c r="B82" s="109"/>
      <c r="C82" s="110"/>
      <c r="D82" s="111"/>
      <c r="E82" s="112"/>
      <c r="F82" s="112"/>
      <c r="G82" s="113"/>
      <c r="H82" s="113"/>
      <c r="I82" s="113"/>
      <c r="J82" s="17"/>
    </row>
    <row r="83" spans="2:10" ht="15.75" customHeight="1">
      <c r="B83" s="109"/>
      <c r="C83" s="110"/>
      <c r="D83" s="111"/>
      <c r="E83" s="112"/>
      <c r="F83" s="112"/>
      <c r="G83" s="113"/>
      <c r="H83" s="113"/>
      <c r="I83" s="113"/>
      <c r="J83" s="17"/>
    </row>
    <row r="84" spans="2:10" ht="15.75" customHeight="1">
      <c r="B84" s="109"/>
      <c r="C84" s="110"/>
      <c r="D84" s="111"/>
      <c r="E84" s="112"/>
      <c r="F84" s="112"/>
      <c r="G84" s="113"/>
      <c r="H84" s="113"/>
      <c r="I84" s="113"/>
      <c r="J84" s="17"/>
    </row>
    <row r="85" spans="2:10" ht="15.75" customHeight="1">
      <c r="B85" s="109"/>
      <c r="C85" s="110"/>
      <c r="D85" s="111"/>
      <c r="E85" s="112"/>
      <c r="F85" s="112"/>
      <c r="G85" s="113"/>
      <c r="H85" s="113"/>
      <c r="I85" s="113"/>
      <c r="J85" s="17"/>
    </row>
    <row r="86" spans="2:10" ht="15.75" customHeight="1">
      <c r="B86" s="109"/>
      <c r="C86" s="110"/>
      <c r="D86" s="111"/>
      <c r="E86" s="112"/>
      <c r="F86" s="112"/>
      <c r="G86" s="113"/>
      <c r="H86" s="113"/>
      <c r="I86" s="113"/>
      <c r="J86" s="17"/>
    </row>
    <row r="87" spans="2:10" ht="15.75" customHeight="1">
      <c r="B87" s="109"/>
      <c r="C87" s="110"/>
      <c r="D87" s="111"/>
      <c r="E87" s="112"/>
      <c r="F87" s="112"/>
      <c r="G87" s="113"/>
      <c r="H87" s="113"/>
      <c r="I87" s="113"/>
      <c r="J87" s="17"/>
    </row>
    <row r="88" spans="2:10" ht="15.75" customHeight="1">
      <c r="B88" s="109"/>
      <c r="C88" s="110"/>
      <c r="D88" s="111"/>
      <c r="E88" s="112"/>
      <c r="F88" s="112"/>
      <c r="G88" s="113"/>
      <c r="H88" s="113"/>
      <c r="I88" s="113"/>
      <c r="J88" s="17"/>
    </row>
    <row r="89" spans="2:10" ht="15.75" customHeight="1">
      <c r="B89" s="109"/>
      <c r="C89" s="110"/>
      <c r="D89" s="111"/>
      <c r="E89" s="112"/>
      <c r="F89" s="112"/>
      <c r="G89" s="113"/>
      <c r="H89" s="113"/>
      <c r="I89" s="113"/>
      <c r="J89" s="17"/>
    </row>
    <row r="90" spans="2:10" ht="15.75" customHeight="1">
      <c r="B90" s="109"/>
      <c r="C90" s="110"/>
      <c r="D90" s="111"/>
      <c r="E90" s="112"/>
      <c r="F90" s="112"/>
      <c r="G90" s="113"/>
      <c r="H90" s="113"/>
      <c r="I90" s="113"/>
      <c r="J90" s="17"/>
    </row>
    <row r="91" spans="2:10" ht="15.75" customHeight="1">
      <c r="B91" s="109"/>
      <c r="C91" s="110"/>
      <c r="D91" s="111"/>
      <c r="E91" s="112"/>
      <c r="F91" s="112"/>
      <c r="G91" s="113"/>
      <c r="H91" s="113"/>
      <c r="I91" s="113"/>
      <c r="J91" s="17"/>
    </row>
    <row r="92" spans="2:10" ht="15.75" customHeight="1">
      <c r="B92" s="109"/>
      <c r="C92" s="110"/>
      <c r="D92" s="111"/>
      <c r="E92" s="112"/>
      <c r="F92" s="112"/>
      <c r="G92" s="113"/>
      <c r="H92" s="113"/>
      <c r="I92" s="113"/>
      <c r="J92" s="17"/>
    </row>
    <row r="93" spans="2:10" ht="15.75" customHeight="1">
      <c r="B93" s="109"/>
      <c r="C93" s="110"/>
      <c r="D93" s="111"/>
      <c r="E93" s="112"/>
      <c r="F93" s="112"/>
      <c r="G93" s="113"/>
      <c r="H93" s="113"/>
      <c r="I93" s="113"/>
      <c r="J93" s="17"/>
    </row>
    <row r="94" spans="2:10" ht="15.75" customHeight="1">
      <c r="B94" s="109"/>
      <c r="C94" s="110"/>
      <c r="D94" s="111"/>
      <c r="E94" s="112"/>
      <c r="F94" s="112"/>
      <c r="G94" s="113"/>
      <c r="H94" s="113"/>
      <c r="I94" s="113"/>
      <c r="J94" s="17"/>
    </row>
    <row r="95" spans="2:10" ht="15.75" customHeight="1">
      <c r="B95" s="109"/>
      <c r="C95" s="110"/>
      <c r="D95" s="111"/>
      <c r="E95" s="112"/>
      <c r="F95" s="112"/>
      <c r="G95" s="113"/>
      <c r="H95" s="113"/>
      <c r="I95" s="113"/>
      <c r="J95" s="17"/>
    </row>
    <row r="96" spans="2:10" ht="15.75" customHeight="1">
      <c r="B96" s="109"/>
      <c r="C96" s="110"/>
      <c r="D96" s="111"/>
      <c r="E96" s="112"/>
      <c r="F96" s="112"/>
      <c r="G96" s="113"/>
      <c r="H96" s="113"/>
      <c r="I96" s="113"/>
      <c r="J96" s="17"/>
    </row>
    <row r="97" spans="2:10" ht="15.75" customHeight="1">
      <c r="B97" s="109"/>
      <c r="C97" s="110"/>
      <c r="D97" s="111"/>
      <c r="E97" s="112"/>
      <c r="F97" s="112"/>
      <c r="G97" s="113"/>
      <c r="H97" s="113"/>
      <c r="I97" s="113"/>
      <c r="J97" s="17"/>
    </row>
    <row r="98" spans="2:10" ht="15.75" customHeight="1">
      <c r="B98" s="109"/>
      <c r="C98" s="110"/>
      <c r="D98" s="111"/>
      <c r="E98" s="112"/>
      <c r="F98" s="112"/>
      <c r="G98" s="113"/>
      <c r="H98" s="113"/>
      <c r="I98" s="113"/>
      <c r="J98" s="17"/>
    </row>
    <row r="99" spans="2:10" ht="15.75" customHeight="1">
      <c r="B99" s="109"/>
      <c r="C99" s="110"/>
      <c r="D99" s="111"/>
      <c r="E99" s="112"/>
      <c r="F99" s="112"/>
      <c r="G99" s="113"/>
      <c r="H99" s="113"/>
      <c r="I99" s="113"/>
      <c r="J99" s="17"/>
    </row>
    <row r="100" spans="2:10" ht="15.75" customHeight="1">
      <c r="B100" s="109"/>
      <c r="C100" s="110"/>
      <c r="D100" s="111"/>
      <c r="E100" s="112"/>
      <c r="F100" s="112"/>
      <c r="G100" s="113"/>
      <c r="H100" s="113"/>
      <c r="I100" s="113"/>
      <c r="J100" s="17"/>
    </row>
    <row r="101" spans="2:10" ht="15.75" customHeight="1">
      <c r="B101" s="109"/>
      <c r="C101" s="110"/>
      <c r="D101" s="111"/>
      <c r="E101" s="112"/>
      <c r="F101" s="112"/>
      <c r="G101" s="113"/>
      <c r="H101" s="113"/>
      <c r="I101" s="113"/>
      <c r="J101" s="17"/>
    </row>
    <row r="102" spans="2:10" ht="15.75" customHeight="1">
      <c r="B102" s="109"/>
      <c r="C102" s="110"/>
      <c r="D102" s="111"/>
      <c r="E102" s="112"/>
      <c r="F102" s="112"/>
      <c r="G102" s="113"/>
      <c r="H102" s="113"/>
      <c r="I102" s="113"/>
      <c r="J102" s="17"/>
    </row>
    <row r="103" spans="2:10" ht="15.75" customHeight="1">
      <c r="B103" s="109"/>
      <c r="C103" s="110"/>
      <c r="D103" s="111"/>
      <c r="E103" s="112"/>
      <c r="F103" s="112"/>
      <c r="G103" s="113"/>
      <c r="H103" s="113"/>
      <c r="I103" s="113"/>
      <c r="J103" s="17"/>
    </row>
    <row r="104" spans="2:10" ht="15.75" customHeight="1">
      <c r="B104" s="109"/>
      <c r="C104" s="110"/>
      <c r="D104" s="111"/>
      <c r="E104" s="112"/>
      <c r="F104" s="112"/>
      <c r="G104" s="113"/>
      <c r="H104" s="113"/>
      <c r="I104" s="113"/>
      <c r="J104" s="17"/>
    </row>
    <row r="105" spans="2:10" ht="15.75" customHeight="1">
      <c r="B105" s="109"/>
      <c r="C105" s="110"/>
      <c r="D105" s="111"/>
      <c r="E105" s="112"/>
      <c r="F105" s="112"/>
      <c r="G105" s="113"/>
      <c r="H105" s="113"/>
      <c r="I105" s="113"/>
      <c r="J105" s="17"/>
    </row>
    <row r="106" spans="2:10" ht="15.75" customHeight="1">
      <c r="B106" s="109"/>
      <c r="C106" s="110"/>
      <c r="D106" s="111"/>
      <c r="E106" s="112"/>
      <c r="F106" s="112"/>
      <c r="G106" s="113"/>
      <c r="H106" s="113"/>
      <c r="I106" s="113"/>
      <c r="J106" s="17"/>
    </row>
    <row r="107" spans="2:10" ht="15.75" customHeight="1">
      <c r="B107" s="109"/>
      <c r="C107" s="110"/>
      <c r="D107" s="111"/>
      <c r="E107" s="112"/>
      <c r="F107" s="112"/>
      <c r="G107" s="113"/>
      <c r="H107" s="113"/>
      <c r="I107" s="113"/>
      <c r="J107" s="17"/>
    </row>
    <row r="108" spans="2:10" ht="15.75" customHeight="1">
      <c r="B108" s="109"/>
      <c r="C108" s="110"/>
      <c r="D108" s="111"/>
      <c r="E108" s="112"/>
      <c r="F108" s="112"/>
      <c r="G108" s="113"/>
      <c r="H108" s="113"/>
      <c r="I108" s="113"/>
      <c r="J108" s="17"/>
    </row>
    <row r="109" spans="2:10" ht="15.75" customHeight="1">
      <c r="B109" s="109"/>
      <c r="C109" s="110"/>
      <c r="D109" s="111"/>
      <c r="E109" s="112"/>
      <c r="F109" s="112"/>
      <c r="G109" s="113"/>
      <c r="H109" s="113"/>
      <c r="I109" s="113"/>
      <c r="J109" s="17"/>
    </row>
    <row r="110" spans="2:10" ht="15.75" customHeight="1">
      <c r="B110" s="109"/>
      <c r="C110" s="110"/>
      <c r="D110" s="111"/>
      <c r="E110" s="112"/>
      <c r="F110" s="112"/>
      <c r="G110" s="113"/>
      <c r="H110" s="113"/>
      <c r="I110" s="113"/>
      <c r="J110" s="17"/>
    </row>
    <row r="111" spans="2:10" ht="15.75" customHeight="1">
      <c r="B111" s="109"/>
      <c r="C111" s="110"/>
      <c r="D111" s="111"/>
      <c r="E111" s="112"/>
      <c r="F111" s="112"/>
      <c r="G111" s="113"/>
      <c r="H111" s="113"/>
      <c r="I111" s="113"/>
      <c r="J111" s="17"/>
    </row>
    <row r="112" spans="2:10" ht="15.75" customHeight="1">
      <c r="B112" s="109"/>
      <c r="C112" s="110"/>
      <c r="D112" s="111"/>
      <c r="E112" s="112"/>
      <c r="F112" s="112"/>
      <c r="G112" s="113"/>
      <c r="H112" s="113"/>
      <c r="I112" s="113"/>
      <c r="J112" s="17"/>
    </row>
    <row r="113" spans="2:10" ht="15.75" customHeight="1">
      <c r="B113" s="109"/>
      <c r="C113" s="110"/>
      <c r="D113" s="111"/>
      <c r="E113" s="112"/>
      <c r="F113" s="112"/>
      <c r="G113" s="113"/>
      <c r="H113" s="113"/>
      <c r="I113" s="113"/>
      <c r="J113" s="17"/>
    </row>
    <row r="114" spans="2:10" ht="15.75" customHeight="1">
      <c r="B114" s="109"/>
      <c r="C114" s="110"/>
      <c r="D114" s="111"/>
      <c r="E114" s="112"/>
      <c r="F114" s="112"/>
      <c r="G114" s="113"/>
      <c r="H114" s="113"/>
      <c r="I114" s="113"/>
      <c r="J114" s="17"/>
    </row>
    <row r="115" spans="2:10" ht="15.75" customHeight="1">
      <c r="B115" s="109"/>
      <c r="C115" s="110"/>
      <c r="D115" s="111"/>
      <c r="E115" s="112"/>
      <c r="F115" s="112"/>
      <c r="G115" s="113"/>
      <c r="H115" s="113"/>
      <c r="I115" s="113"/>
      <c r="J115" s="17"/>
    </row>
    <row r="116" spans="2:10" ht="15.75" customHeight="1">
      <c r="B116" s="109"/>
      <c r="C116" s="110"/>
      <c r="D116" s="111"/>
      <c r="E116" s="112"/>
      <c r="F116" s="112"/>
      <c r="G116" s="113"/>
      <c r="H116" s="113"/>
      <c r="I116" s="113"/>
      <c r="J116" s="17"/>
    </row>
    <row r="117" spans="2:10" ht="15.75" customHeight="1">
      <c r="B117" s="109"/>
      <c r="C117" s="110"/>
      <c r="D117" s="111"/>
      <c r="E117" s="112"/>
      <c r="F117" s="112"/>
      <c r="G117" s="113"/>
      <c r="H117" s="113"/>
      <c r="I117" s="113"/>
      <c r="J117" s="17"/>
    </row>
    <row r="118" spans="2:10" ht="15.75" customHeight="1">
      <c r="B118" s="109"/>
      <c r="C118" s="110"/>
      <c r="D118" s="111"/>
      <c r="E118" s="112"/>
      <c r="F118" s="112"/>
      <c r="G118" s="113"/>
      <c r="H118" s="113"/>
      <c r="I118" s="113"/>
      <c r="J118" s="17"/>
    </row>
    <row r="119" spans="2:10" ht="15.75" customHeight="1">
      <c r="B119" s="109"/>
      <c r="C119" s="110"/>
      <c r="D119" s="111"/>
      <c r="E119" s="112"/>
      <c r="F119" s="112"/>
      <c r="G119" s="113"/>
      <c r="H119" s="113"/>
      <c r="I119" s="113"/>
      <c r="J119" s="17"/>
    </row>
    <row r="120" spans="2:10" ht="15.75" customHeight="1">
      <c r="B120" s="109"/>
      <c r="C120" s="110"/>
      <c r="D120" s="111"/>
      <c r="E120" s="112"/>
      <c r="F120" s="112"/>
      <c r="G120" s="113"/>
      <c r="H120" s="113"/>
      <c r="I120" s="113"/>
      <c r="J120" s="17"/>
    </row>
    <row r="121" spans="2:10" ht="15.75" customHeight="1">
      <c r="B121" s="109"/>
      <c r="C121" s="110"/>
      <c r="D121" s="111"/>
      <c r="E121" s="112"/>
      <c r="F121" s="112"/>
      <c r="G121" s="113"/>
      <c r="H121" s="113"/>
      <c r="I121" s="113"/>
      <c r="J121" s="17"/>
    </row>
    <row r="122" spans="2:10" ht="15.75" customHeight="1">
      <c r="B122" s="109"/>
      <c r="C122" s="110"/>
      <c r="D122" s="111"/>
      <c r="E122" s="112"/>
      <c r="F122" s="112"/>
      <c r="G122" s="113"/>
      <c r="H122" s="113"/>
      <c r="I122" s="113"/>
      <c r="J122" s="17"/>
    </row>
    <row r="123" spans="2:10" ht="15.75" customHeight="1">
      <c r="B123" s="109"/>
      <c r="C123" s="110"/>
      <c r="D123" s="111"/>
      <c r="E123" s="112"/>
      <c r="F123" s="112"/>
      <c r="G123" s="113"/>
      <c r="H123" s="113"/>
      <c r="I123" s="113"/>
      <c r="J123" s="17"/>
    </row>
    <row r="124" spans="2:10" ht="15.75" customHeight="1">
      <c r="B124" s="109"/>
      <c r="C124" s="110"/>
      <c r="D124" s="111"/>
      <c r="E124" s="112"/>
      <c r="F124" s="112"/>
      <c r="G124" s="113"/>
      <c r="H124" s="113"/>
      <c r="I124" s="113"/>
      <c r="J124" s="17"/>
    </row>
    <row r="125" spans="2:10" ht="15.75" customHeight="1">
      <c r="B125" s="109"/>
      <c r="C125" s="110"/>
      <c r="D125" s="111"/>
      <c r="E125" s="112"/>
      <c r="F125" s="112"/>
      <c r="G125" s="113"/>
      <c r="H125" s="113"/>
      <c r="I125" s="113"/>
      <c r="J125" s="17"/>
    </row>
    <row r="126" spans="2:10" ht="15.75" customHeight="1">
      <c r="B126" s="109"/>
      <c r="C126" s="110"/>
      <c r="D126" s="111"/>
      <c r="E126" s="112"/>
      <c r="F126" s="112"/>
      <c r="G126" s="113"/>
      <c r="H126" s="113"/>
      <c r="I126" s="113"/>
      <c r="J126" s="17"/>
    </row>
    <row r="127" spans="2:10" ht="15.75" customHeight="1">
      <c r="B127" s="109"/>
      <c r="C127" s="110"/>
      <c r="D127" s="111"/>
      <c r="E127" s="112"/>
      <c r="F127" s="112"/>
      <c r="G127" s="113"/>
      <c r="H127" s="113"/>
      <c r="I127" s="113"/>
      <c r="J127" s="17"/>
    </row>
    <row r="128" spans="2:10" ht="15.75" customHeight="1">
      <c r="B128" s="109"/>
      <c r="C128" s="110"/>
      <c r="D128" s="111"/>
      <c r="E128" s="112"/>
      <c r="F128" s="112"/>
      <c r="G128" s="113"/>
      <c r="H128" s="113"/>
      <c r="I128" s="113"/>
      <c r="J128" s="17"/>
    </row>
    <row r="129" spans="2:10" ht="15.75" customHeight="1">
      <c r="B129" s="109"/>
      <c r="C129" s="110"/>
      <c r="D129" s="111"/>
      <c r="E129" s="112"/>
      <c r="F129" s="112"/>
      <c r="G129" s="113"/>
      <c r="H129" s="113"/>
      <c r="I129" s="113"/>
      <c r="J129" s="17"/>
    </row>
    <row r="130" spans="2:10" ht="15.75" customHeight="1">
      <c r="B130" s="109"/>
      <c r="C130" s="110"/>
      <c r="D130" s="111"/>
      <c r="E130" s="112"/>
      <c r="F130" s="112"/>
      <c r="G130" s="113"/>
      <c r="H130" s="113"/>
      <c r="I130" s="113"/>
      <c r="J130" s="17"/>
    </row>
    <row r="131" spans="2:10" ht="15.75" customHeight="1">
      <c r="B131" s="109"/>
      <c r="C131" s="110"/>
      <c r="D131" s="111"/>
      <c r="E131" s="112"/>
      <c r="F131" s="112"/>
      <c r="G131" s="113"/>
      <c r="H131" s="113"/>
      <c r="I131" s="113"/>
      <c r="J131" s="17"/>
    </row>
    <row r="132" spans="2:10" ht="15.75" customHeight="1">
      <c r="B132" s="109"/>
      <c r="C132" s="110"/>
      <c r="D132" s="111"/>
      <c r="E132" s="112"/>
      <c r="F132" s="112"/>
      <c r="G132" s="113"/>
      <c r="H132" s="113"/>
      <c r="I132" s="113"/>
      <c r="J132" s="17"/>
    </row>
    <row r="133" spans="2:10" ht="15.75" customHeight="1">
      <c r="B133" s="109"/>
      <c r="C133" s="110"/>
      <c r="D133" s="111"/>
      <c r="E133" s="112"/>
      <c r="F133" s="112"/>
      <c r="G133" s="113"/>
      <c r="H133" s="113"/>
      <c r="I133" s="113"/>
      <c r="J133" s="17"/>
    </row>
    <row r="134" spans="2:10" ht="15.75" customHeight="1">
      <c r="B134" s="109"/>
      <c r="C134" s="110"/>
      <c r="D134" s="111"/>
      <c r="E134" s="112"/>
      <c r="F134" s="112"/>
      <c r="G134" s="113"/>
      <c r="H134" s="113"/>
      <c r="I134" s="113"/>
      <c r="J134" s="17"/>
    </row>
    <row r="135" spans="2:10" ht="15.75" customHeight="1">
      <c r="B135" s="109"/>
      <c r="C135" s="110"/>
      <c r="D135" s="111"/>
      <c r="E135" s="112"/>
      <c r="F135" s="112"/>
      <c r="G135" s="113"/>
      <c r="H135" s="113"/>
      <c r="I135" s="113"/>
      <c r="J135" s="17"/>
    </row>
    <row r="136" spans="2:10" ht="15.75" customHeight="1">
      <c r="B136" s="109"/>
      <c r="C136" s="110"/>
      <c r="D136" s="111"/>
      <c r="E136" s="112"/>
      <c r="F136" s="112"/>
      <c r="G136" s="113"/>
      <c r="H136" s="113"/>
      <c r="I136" s="113"/>
      <c r="J136" s="17"/>
    </row>
    <row r="137" spans="2:10" ht="15.75" customHeight="1">
      <c r="B137" s="109"/>
      <c r="C137" s="110"/>
      <c r="D137" s="111"/>
      <c r="E137" s="112"/>
      <c r="F137" s="112"/>
      <c r="G137" s="113"/>
      <c r="H137" s="113"/>
      <c r="I137" s="113"/>
      <c r="J137" s="17"/>
    </row>
    <row r="138" spans="2:10" ht="15.75" customHeight="1">
      <c r="B138" s="109"/>
      <c r="C138" s="110"/>
      <c r="D138" s="111"/>
      <c r="E138" s="112"/>
      <c r="F138" s="112"/>
      <c r="G138" s="113"/>
      <c r="H138" s="113"/>
      <c r="I138" s="113"/>
      <c r="J138" s="17"/>
    </row>
    <row r="139" spans="2:10" ht="15.75" customHeight="1">
      <c r="B139" s="109"/>
      <c r="C139" s="110"/>
      <c r="D139" s="111"/>
      <c r="E139" s="112"/>
      <c r="F139" s="112"/>
      <c r="G139" s="113"/>
      <c r="H139" s="113"/>
      <c r="I139" s="113"/>
      <c r="J139" s="17"/>
    </row>
    <row r="140" spans="2:10" ht="15.75" customHeight="1">
      <c r="B140" s="109"/>
      <c r="C140" s="110"/>
      <c r="D140" s="111"/>
      <c r="E140" s="112"/>
      <c r="F140" s="112"/>
      <c r="G140" s="113"/>
      <c r="H140" s="113"/>
      <c r="I140" s="113"/>
      <c r="J140" s="17"/>
    </row>
    <row r="141" spans="2:10" ht="15.75" customHeight="1">
      <c r="B141" s="109"/>
      <c r="C141" s="110"/>
      <c r="D141" s="111"/>
      <c r="E141" s="112"/>
      <c r="F141" s="112"/>
      <c r="G141" s="113"/>
      <c r="H141" s="113"/>
      <c r="I141" s="113"/>
      <c r="J141" s="17"/>
    </row>
    <row r="142" spans="2:10" ht="15.75" customHeight="1">
      <c r="B142" s="109"/>
      <c r="C142" s="110"/>
      <c r="D142" s="111"/>
      <c r="E142" s="112"/>
      <c r="F142" s="112"/>
      <c r="G142" s="113"/>
      <c r="H142" s="113"/>
      <c r="I142" s="113"/>
      <c r="J142" s="17"/>
    </row>
    <row r="143" spans="2:10" ht="15.75" customHeight="1">
      <c r="B143" s="109"/>
      <c r="C143" s="110"/>
      <c r="D143" s="111"/>
      <c r="E143" s="112"/>
      <c r="F143" s="112"/>
      <c r="G143" s="113"/>
      <c r="H143" s="113"/>
      <c r="I143" s="113"/>
      <c r="J143" s="17"/>
    </row>
    <row r="144" spans="2:10" ht="15.75" customHeight="1">
      <c r="B144" s="109"/>
      <c r="C144" s="110"/>
      <c r="D144" s="111"/>
      <c r="E144" s="112"/>
      <c r="F144" s="112"/>
      <c r="G144" s="113"/>
      <c r="H144" s="113"/>
      <c r="I144" s="113"/>
      <c r="J144" s="17"/>
    </row>
    <row r="145" spans="2:10" ht="15.75" customHeight="1">
      <c r="B145" s="109"/>
      <c r="C145" s="110"/>
      <c r="D145" s="111"/>
      <c r="E145" s="112"/>
      <c r="F145" s="112"/>
      <c r="G145" s="113"/>
      <c r="H145" s="113"/>
      <c r="I145" s="113"/>
      <c r="J145" s="17"/>
    </row>
    <row r="146" spans="2:10" ht="15.75" customHeight="1">
      <c r="B146" s="109"/>
      <c r="C146" s="110"/>
      <c r="D146" s="111"/>
      <c r="E146" s="112"/>
      <c r="F146" s="112"/>
      <c r="G146" s="113"/>
      <c r="H146" s="113"/>
      <c r="I146" s="113"/>
      <c r="J146" s="17"/>
    </row>
    <row r="147" spans="2:10" ht="15.75" customHeight="1">
      <c r="B147" s="109"/>
      <c r="C147" s="110"/>
      <c r="D147" s="111"/>
      <c r="E147" s="112"/>
      <c r="F147" s="112"/>
      <c r="G147" s="113"/>
      <c r="H147" s="113"/>
      <c r="I147" s="113"/>
      <c r="J147" s="17"/>
    </row>
    <row r="148" spans="2:10" ht="15.75" customHeight="1">
      <c r="B148" s="109"/>
      <c r="C148" s="110"/>
      <c r="D148" s="111"/>
      <c r="E148" s="112"/>
      <c r="F148" s="112"/>
      <c r="G148" s="113"/>
      <c r="H148" s="113"/>
      <c r="I148" s="113"/>
      <c r="J148" s="17"/>
    </row>
    <row r="149" spans="2:10" ht="15.75" customHeight="1">
      <c r="B149" s="109"/>
      <c r="C149" s="110"/>
      <c r="D149" s="111"/>
      <c r="E149" s="112"/>
      <c r="F149" s="112"/>
      <c r="G149" s="113"/>
      <c r="H149" s="113"/>
      <c r="I149" s="113"/>
      <c r="J149" s="17"/>
    </row>
    <row r="150" spans="2:10" ht="15.75" customHeight="1">
      <c r="B150" s="109"/>
      <c r="C150" s="110"/>
      <c r="D150" s="111"/>
      <c r="E150" s="112"/>
      <c r="F150" s="112"/>
      <c r="G150" s="113"/>
      <c r="H150" s="113"/>
      <c r="I150" s="113"/>
      <c r="J150" s="17"/>
    </row>
    <row r="151" spans="2:10" ht="15.75" customHeight="1">
      <c r="B151" s="109"/>
      <c r="C151" s="110"/>
      <c r="D151" s="111"/>
      <c r="E151" s="112"/>
      <c r="F151" s="112"/>
      <c r="G151" s="113"/>
      <c r="H151" s="113"/>
      <c r="I151" s="113"/>
      <c r="J151" s="17"/>
    </row>
    <row r="152" spans="2:10" ht="15.75" customHeight="1">
      <c r="B152" s="109"/>
      <c r="C152" s="110"/>
      <c r="D152" s="111"/>
      <c r="E152" s="112"/>
      <c r="F152" s="112"/>
      <c r="G152" s="113"/>
      <c r="H152" s="113"/>
      <c r="I152" s="113"/>
      <c r="J152" s="17"/>
    </row>
    <row r="153" spans="2:10" ht="15.75" customHeight="1">
      <c r="B153" s="109"/>
      <c r="C153" s="110"/>
      <c r="D153" s="111"/>
      <c r="E153" s="112"/>
      <c r="F153" s="112"/>
      <c r="G153" s="113"/>
      <c r="H153" s="113"/>
      <c r="I153" s="113"/>
      <c r="J153" s="17"/>
    </row>
    <row r="154" spans="2:10" ht="15.75" customHeight="1">
      <c r="B154" s="109"/>
      <c r="C154" s="110"/>
      <c r="D154" s="111"/>
      <c r="E154" s="112"/>
      <c r="F154" s="112"/>
      <c r="G154" s="113"/>
      <c r="H154" s="113"/>
      <c r="I154" s="113"/>
      <c r="J154" s="17"/>
    </row>
    <row r="155" spans="2:10" ht="15.75" customHeight="1">
      <c r="B155" s="109"/>
      <c r="C155" s="110"/>
      <c r="D155" s="111"/>
      <c r="E155" s="112"/>
      <c r="F155" s="112"/>
      <c r="G155" s="113"/>
      <c r="H155" s="113"/>
      <c r="I155" s="113"/>
      <c r="J155" s="17"/>
    </row>
    <row r="156" spans="2:10" ht="15.75" customHeight="1">
      <c r="B156" s="109"/>
      <c r="C156" s="110"/>
      <c r="D156" s="111"/>
      <c r="E156" s="112"/>
      <c r="F156" s="112"/>
      <c r="G156" s="113"/>
      <c r="H156" s="113"/>
      <c r="I156" s="113"/>
      <c r="J156" s="17"/>
    </row>
    <row r="157" spans="2:10" ht="15.75" customHeight="1">
      <c r="B157" s="109"/>
      <c r="C157" s="110"/>
      <c r="D157" s="111"/>
      <c r="E157" s="112"/>
      <c r="F157" s="112"/>
      <c r="G157" s="113"/>
      <c r="H157" s="113"/>
      <c r="I157" s="113"/>
      <c r="J157" s="17"/>
    </row>
    <row r="158" spans="2:10" ht="15.75" customHeight="1">
      <c r="B158" s="109"/>
      <c r="C158" s="110"/>
      <c r="D158" s="111"/>
      <c r="E158" s="112"/>
      <c r="F158" s="112"/>
      <c r="G158" s="113"/>
      <c r="H158" s="113"/>
      <c r="I158" s="113"/>
      <c r="J158" s="17"/>
    </row>
    <row r="159" spans="2:10" ht="15.75" customHeight="1">
      <c r="B159" s="109"/>
      <c r="C159" s="110"/>
      <c r="D159" s="111"/>
      <c r="E159" s="112"/>
      <c r="F159" s="112"/>
      <c r="G159" s="113"/>
      <c r="H159" s="113"/>
      <c r="I159" s="113"/>
      <c r="J159" s="17"/>
    </row>
    <row r="160" spans="2:10" ht="15.75" customHeight="1">
      <c r="B160" s="109"/>
      <c r="C160" s="110"/>
      <c r="D160" s="111"/>
      <c r="E160" s="112"/>
      <c r="F160" s="112"/>
      <c r="G160" s="113"/>
      <c r="H160" s="113"/>
      <c r="I160" s="113"/>
      <c r="J160" s="17"/>
    </row>
    <row r="161" spans="2:10" ht="15.75" customHeight="1">
      <c r="B161" s="109"/>
      <c r="C161" s="110"/>
      <c r="D161" s="111"/>
      <c r="E161" s="112"/>
      <c r="F161" s="112"/>
      <c r="G161" s="113"/>
      <c r="H161" s="113"/>
      <c r="I161" s="113"/>
      <c r="J161" s="17"/>
    </row>
    <row r="162" spans="2:10" ht="15.75" customHeight="1">
      <c r="B162" s="109"/>
      <c r="C162" s="110"/>
      <c r="D162" s="111"/>
      <c r="E162" s="112"/>
      <c r="F162" s="112"/>
      <c r="G162" s="113"/>
      <c r="H162" s="113"/>
      <c r="I162" s="113"/>
      <c r="J162" s="17"/>
    </row>
    <row r="163" spans="2:10" ht="15.75" customHeight="1">
      <c r="B163" s="109"/>
      <c r="C163" s="110"/>
      <c r="D163" s="111"/>
      <c r="E163" s="112"/>
      <c r="F163" s="112"/>
      <c r="G163" s="113"/>
      <c r="H163" s="113"/>
      <c r="I163" s="113"/>
      <c r="J163" s="17"/>
    </row>
    <row r="164" spans="2:10" ht="15.75" customHeight="1">
      <c r="B164" s="109"/>
      <c r="C164" s="110"/>
      <c r="D164" s="111"/>
      <c r="E164" s="112"/>
      <c r="F164" s="112"/>
      <c r="G164" s="113"/>
      <c r="H164" s="113"/>
      <c r="I164" s="113"/>
      <c r="J164" s="17"/>
    </row>
    <row r="165" spans="2:10" ht="15.75" customHeight="1">
      <c r="B165" s="109"/>
      <c r="C165" s="110"/>
      <c r="D165" s="111"/>
      <c r="E165" s="112"/>
      <c r="F165" s="112"/>
      <c r="G165" s="113"/>
      <c r="H165" s="113"/>
      <c r="I165" s="113"/>
      <c r="J165" s="17"/>
    </row>
    <row r="166" spans="2:10" ht="15.75" customHeight="1">
      <c r="B166" s="109"/>
      <c r="C166" s="110"/>
      <c r="D166" s="111"/>
      <c r="E166" s="112"/>
      <c r="F166" s="112"/>
      <c r="G166" s="113"/>
      <c r="H166" s="113"/>
      <c r="I166" s="113"/>
      <c r="J166" s="17"/>
    </row>
    <row r="167" spans="2:10" ht="15.75" customHeight="1">
      <c r="B167" s="109"/>
      <c r="C167" s="110"/>
      <c r="D167" s="111"/>
      <c r="E167" s="112"/>
      <c r="F167" s="112"/>
      <c r="G167" s="113"/>
      <c r="H167" s="113"/>
      <c r="I167" s="113"/>
      <c r="J167" s="17"/>
    </row>
    <row r="168" spans="2:10" ht="15.75" customHeight="1">
      <c r="B168" s="109"/>
      <c r="C168" s="110"/>
      <c r="D168" s="111"/>
      <c r="E168" s="112"/>
      <c r="F168" s="112"/>
      <c r="G168" s="113"/>
      <c r="H168" s="113"/>
      <c r="I168" s="113"/>
      <c r="J168" s="17"/>
    </row>
    <row r="169" spans="2:10" ht="15.75" customHeight="1">
      <c r="B169" s="109"/>
      <c r="C169" s="110"/>
      <c r="D169" s="111"/>
      <c r="E169" s="112"/>
      <c r="F169" s="112"/>
      <c r="G169" s="113"/>
      <c r="H169" s="113"/>
      <c r="I169" s="113"/>
      <c r="J169" s="17"/>
    </row>
    <row r="170" spans="2:10" ht="15.75" customHeight="1">
      <c r="B170" s="109"/>
      <c r="C170" s="110"/>
      <c r="D170" s="111"/>
      <c r="E170" s="112"/>
      <c r="F170" s="112"/>
      <c r="G170" s="113"/>
      <c r="H170" s="113"/>
      <c r="I170" s="113"/>
      <c r="J170" s="17"/>
    </row>
    <row r="171" spans="2:10" ht="15.75" customHeight="1">
      <c r="B171" s="109"/>
      <c r="C171" s="110"/>
      <c r="D171" s="111"/>
      <c r="E171" s="112"/>
      <c r="F171" s="112"/>
      <c r="G171" s="113"/>
      <c r="H171" s="113"/>
      <c r="I171" s="113"/>
      <c r="J171" s="17"/>
    </row>
    <row r="172" spans="2:10" ht="15.75" customHeight="1">
      <c r="B172" s="109"/>
      <c r="C172" s="110"/>
      <c r="D172" s="111"/>
      <c r="E172" s="112"/>
      <c r="F172" s="112"/>
      <c r="G172" s="113"/>
      <c r="H172" s="113"/>
      <c r="I172" s="113"/>
      <c r="J172" s="17"/>
    </row>
    <row r="173" spans="2:10" ht="15.75" customHeight="1">
      <c r="B173" s="109"/>
      <c r="C173" s="110"/>
      <c r="D173" s="111"/>
      <c r="E173" s="112"/>
      <c r="F173" s="112"/>
      <c r="G173" s="113"/>
      <c r="H173" s="113"/>
      <c r="I173" s="113"/>
      <c r="J173" s="17"/>
    </row>
    <row r="174" spans="2:10" ht="15.75" customHeight="1">
      <c r="B174" s="109"/>
      <c r="C174" s="110"/>
      <c r="D174" s="111"/>
      <c r="E174" s="112"/>
      <c r="F174" s="112"/>
      <c r="G174" s="113"/>
      <c r="H174" s="113"/>
      <c r="I174" s="113"/>
      <c r="J174" s="17"/>
    </row>
    <row r="175" spans="2:10" ht="15.75" customHeight="1">
      <c r="B175" s="109"/>
      <c r="C175" s="110"/>
      <c r="D175" s="111"/>
      <c r="E175" s="112"/>
      <c r="F175" s="112"/>
      <c r="G175" s="113"/>
      <c r="H175" s="113"/>
      <c r="I175" s="113"/>
      <c r="J175" s="17"/>
    </row>
    <row r="176" spans="2:10" ht="15.75" customHeight="1">
      <c r="B176" s="109"/>
      <c r="C176" s="110"/>
      <c r="D176" s="111"/>
      <c r="E176" s="112"/>
      <c r="F176" s="112"/>
      <c r="G176" s="113"/>
      <c r="H176" s="113"/>
      <c r="I176" s="113"/>
      <c r="J176" s="17"/>
    </row>
    <row r="177" spans="2:10" ht="15.75" customHeight="1">
      <c r="B177" s="109"/>
      <c r="C177" s="110"/>
      <c r="D177" s="111"/>
      <c r="E177" s="112"/>
      <c r="F177" s="112"/>
      <c r="G177" s="113"/>
      <c r="H177" s="113"/>
      <c r="I177" s="113"/>
      <c r="J177" s="17"/>
    </row>
    <row r="178" spans="2:10" ht="15.75" customHeight="1">
      <c r="B178" s="109"/>
      <c r="C178" s="110"/>
      <c r="D178" s="111"/>
      <c r="E178" s="112"/>
      <c r="F178" s="112"/>
      <c r="G178" s="113"/>
      <c r="H178" s="113"/>
      <c r="I178" s="113"/>
      <c r="J178" s="17"/>
    </row>
    <row r="179" spans="2:10" ht="15.75" customHeight="1">
      <c r="B179" s="109"/>
      <c r="C179" s="110"/>
      <c r="D179" s="111"/>
      <c r="E179" s="112"/>
      <c r="F179" s="112"/>
      <c r="G179" s="113"/>
      <c r="H179" s="113"/>
      <c r="I179" s="113"/>
      <c r="J179" s="17"/>
    </row>
    <row r="180" spans="2:10" ht="15.75" customHeight="1">
      <c r="B180" s="109"/>
      <c r="C180" s="110"/>
      <c r="D180" s="111"/>
      <c r="E180" s="112"/>
      <c r="F180" s="112"/>
      <c r="G180" s="113"/>
      <c r="H180" s="113"/>
      <c r="I180" s="113"/>
      <c r="J180" s="17"/>
    </row>
    <row r="181" spans="2:10" ht="15.75" customHeight="1">
      <c r="B181" s="109"/>
      <c r="C181" s="110"/>
      <c r="D181" s="111"/>
      <c r="E181" s="112"/>
      <c r="F181" s="112"/>
      <c r="G181" s="113"/>
      <c r="H181" s="113"/>
      <c r="I181" s="113"/>
      <c r="J181" s="17"/>
    </row>
    <row r="182" spans="2:10" ht="15.75" customHeight="1">
      <c r="B182" s="109"/>
      <c r="C182" s="110"/>
      <c r="D182" s="111"/>
      <c r="E182" s="112"/>
      <c r="F182" s="112"/>
      <c r="G182" s="113"/>
      <c r="H182" s="113"/>
      <c r="I182" s="113"/>
      <c r="J182" s="17"/>
    </row>
    <row r="183" spans="2:10" ht="15.75" customHeight="1">
      <c r="B183" s="109"/>
      <c r="C183" s="110"/>
      <c r="D183" s="111"/>
      <c r="E183" s="112"/>
      <c r="F183" s="112"/>
      <c r="G183" s="113"/>
      <c r="H183" s="113"/>
      <c r="I183" s="113"/>
      <c r="J183" s="17"/>
    </row>
    <row r="184" spans="2:10" ht="15.75" customHeight="1">
      <c r="B184" s="109"/>
      <c r="C184" s="110"/>
      <c r="D184" s="111"/>
      <c r="E184" s="112"/>
      <c r="F184" s="112"/>
      <c r="G184" s="113"/>
      <c r="H184" s="113"/>
      <c r="I184" s="113"/>
      <c r="J184" s="17"/>
    </row>
    <row r="185" spans="2:10" ht="15.75" customHeight="1">
      <c r="B185" s="109"/>
      <c r="C185" s="110"/>
      <c r="D185" s="111"/>
      <c r="E185" s="112"/>
      <c r="F185" s="112"/>
      <c r="G185" s="113"/>
      <c r="H185" s="113"/>
      <c r="I185" s="113"/>
      <c r="J185" s="17"/>
    </row>
    <row r="186" spans="2:10" ht="15.75" customHeight="1">
      <c r="B186" s="109"/>
      <c r="C186" s="110"/>
      <c r="D186" s="111"/>
      <c r="E186" s="112"/>
      <c r="F186" s="112"/>
      <c r="G186" s="113"/>
      <c r="H186" s="113"/>
      <c r="I186" s="113"/>
      <c r="J186" s="17"/>
    </row>
    <row r="187" spans="2:10" ht="15.75" customHeight="1">
      <c r="B187" s="109"/>
      <c r="C187" s="110"/>
      <c r="D187" s="111"/>
      <c r="E187" s="112"/>
      <c r="F187" s="112"/>
      <c r="G187" s="113"/>
      <c r="H187" s="113"/>
      <c r="I187" s="113"/>
      <c r="J187" s="17"/>
    </row>
    <row r="188" spans="2:10" ht="15.75" customHeight="1">
      <c r="B188" s="109"/>
      <c r="C188" s="110"/>
      <c r="D188" s="111"/>
      <c r="E188" s="112"/>
      <c r="F188" s="112"/>
      <c r="G188" s="113"/>
      <c r="H188" s="113"/>
      <c r="I188" s="113"/>
      <c r="J188" s="17"/>
    </row>
    <row r="189" spans="2:10" ht="15.75" customHeight="1">
      <c r="B189" s="109"/>
      <c r="C189" s="110"/>
      <c r="D189" s="111"/>
      <c r="E189" s="112"/>
      <c r="F189" s="112"/>
      <c r="G189" s="113"/>
      <c r="H189" s="113"/>
      <c r="I189" s="113"/>
      <c r="J189" s="17"/>
    </row>
    <row r="190" spans="2:10" ht="15.75" customHeight="1">
      <c r="B190" s="109"/>
      <c r="C190" s="110"/>
      <c r="D190" s="111"/>
      <c r="E190" s="112"/>
      <c r="F190" s="112"/>
      <c r="G190" s="113"/>
      <c r="H190" s="113"/>
      <c r="I190" s="113"/>
      <c r="J190" s="17"/>
    </row>
    <row r="191" spans="2:10" ht="15.75" customHeight="1">
      <c r="B191" s="109"/>
      <c r="C191" s="110"/>
      <c r="D191" s="111"/>
      <c r="E191" s="112"/>
      <c r="F191" s="112"/>
      <c r="G191" s="113"/>
      <c r="H191" s="113"/>
      <c r="I191" s="113"/>
      <c r="J191" s="17"/>
    </row>
    <row r="192" spans="2:10" ht="15.75" customHeight="1">
      <c r="B192" s="109"/>
      <c r="C192" s="110"/>
      <c r="D192" s="111"/>
      <c r="E192" s="112"/>
      <c r="F192" s="112"/>
      <c r="G192" s="113"/>
      <c r="H192" s="113"/>
      <c r="I192" s="113"/>
      <c r="J192" s="17"/>
    </row>
    <row r="193" spans="2:10" ht="15.75" customHeight="1">
      <c r="B193" s="109"/>
      <c r="C193" s="110"/>
      <c r="D193" s="111"/>
      <c r="E193" s="112"/>
      <c r="F193" s="112"/>
      <c r="G193" s="113"/>
      <c r="H193" s="113"/>
      <c r="I193" s="113"/>
      <c r="J193" s="17"/>
    </row>
    <row r="194" spans="2:10" ht="15.75" customHeight="1">
      <c r="B194" s="109"/>
      <c r="C194" s="110"/>
      <c r="D194" s="111"/>
      <c r="E194" s="112"/>
      <c r="F194" s="112"/>
      <c r="G194" s="113"/>
      <c r="H194" s="113"/>
      <c r="I194" s="113"/>
      <c r="J194" s="17"/>
    </row>
    <row r="195" spans="2:10" ht="15.75" customHeight="1">
      <c r="B195" s="109"/>
      <c r="C195" s="110"/>
      <c r="D195" s="111"/>
      <c r="E195" s="112"/>
      <c r="F195" s="112"/>
      <c r="G195" s="113"/>
      <c r="H195" s="113"/>
      <c r="I195" s="113"/>
      <c r="J195" s="17"/>
    </row>
    <row r="196" spans="2:10" ht="15.75" customHeight="1">
      <c r="B196" s="109"/>
      <c r="C196" s="110"/>
      <c r="D196" s="111"/>
      <c r="E196" s="112"/>
      <c r="F196" s="112"/>
      <c r="G196" s="113"/>
      <c r="H196" s="113"/>
      <c r="I196" s="113"/>
      <c r="J196" s="17"/>
    </row>
    <row r="197" spans="2:10" ht="15.75" customHeight="1">
      <c r="B197" s="109"/>
      <c r="C197" s="110"/>
      <c r="D197" s="111"/>
      <c r="E197" s="112"/>
      <c r="F197" s="112"/>
      <c r="G197" s="113"/>
      <c r="H197" s="113"/>
      <c r="I197" s="113"/>
      <c r="J197" s="17"/>
    </row>
    <row r="198" spans="2:10" ht="15.75" customHeight="1">
      <c r="B198" s="109"/>
      <c r="C198" s="110"/>
      <c r="D198" s="111"/>
      <c r="E198" s="112"/>
      <c r="F198" s="112"/>
      <c r="G198" s="113"/>
      <c r="H198" s="113"/>
      <c r="I198" s="113"/>
      <c r="J198" s="17"/>
    </row>
    <row r="199" spans="2:10" ht="15.75" customHeight="1">
      <c r="B199" s="109"/>
      <c r="C199" s="110"/>
      <c r="D199" s="111"/>
      <c r="E199" s="112"/>
      <c r="F199" s="112"/>
      <c r="G199" s="113"/>
      <c r="H199" s="113"/>
      <c r="I199" s="113"/>
      <c r="J199" s="17"/>
    </row>
    <row r="200" spans="2:10" ht="15.75" customHeight="1">
      <c r="B200" s="109"/>
      <c r="C200" s="110"/>
      <c r="D200" s="111"/>
      <c r="E200" s="112"/>
      <c r="F200" s="112"/>
      <c r="G200" s="113"/>
      <c r="H200" s="113"/>
      <c r="I200" s="113"/>
      <c r="J200" s="17"/>
    </row>
    <row r="201" spans="2:10" ht="15.75" customHeight="1">
      <c r="B201" s="109"/>
      <c r="C201" s="110"/>
      <c r="D201" s="111"/>
      <c r="E201" s="112"/>
      <c r="F201" s="112"/>
      <c r="G201" s="113"/>
      <c r="H201" s="113"/>
      <c r="I201" s="113"/>
      <c r="J201" s="17"/>
    </row>
    <row r="202" spans="2:10" ht="15.75" customHeight="1">
      <c r="B202" s="109"/>
      <c r="C202" s="110"/>
      <c r="D202" s="111"/>
      <c r="E202" s="112"/>
      <c r="F202" s="112"/>
      <c r="G202" s="113"/>
      <c r="H202" s="113"/>
      <c r="I202" s="113"/>
      <c r="J202" s="17"/>
    </row>
    <row r="203" spans="2:10" ht="15.75" customHeight="1">
      <c r="B203" s="109"/>
      <c r="C203" s="110"/>
      <c r="D203" s="111"/>
      <c r="E203" s="112"/>
      <c r="F203" s="112"/>
      <c r="G203" s="113"/>
      <c r="H203" s="113"/>
      <c r="I203" s="113"/>
      <c r="J203" s="17"/>
    </row>
    <row r="204" spans="2:10" ht="15.75" customHeight="1">
      <c r="B204" s="109"/>
      <c r="C204" s="110"/>
      <c r="D204" s="111"/>
      <c r="E204" s="112"/>
      <c r="F204" s="112"/>
      <c r="G204" s="113"/>
      <c r="H204" s="113"/>
      <c r="I204" s="113"/>
      <c r="J204" s="17"/>
    </row>
    <row r="205" spans="2:10" ht="15.75" customHeight="1">
      <c r="B205" s="109"/>
      <c r="C205" s="110"/>
      <c r="D205" s="111"/>
      <c r="E205" s="112"/>
      <c r="F205" s="112"/>
      <c r="G205" s="113"/>
      <c r="H205" s="113"/>
      <c r="I205" s="113"/>
      <c r="J205" s="17"/>
    </row>
    <row r="206" spans="2:10" ht="15.75" customHeight="1">
      <c r="B206" s="109"/>
      <c r="C206" s="110"/>
      <c r="D206" s="111"/>
      <c r="E206" s="112"/>
      <c r="F206" s="112"/>
      <c r="G206" s="113"/>
      <c r="H206" s="113"/>
      <c r="I206" s="113"/>
      <c r="J206" s="17"/>
    </row>
    <row r="207" spans="2:10" ht="15.75" customHeight="1">
      <c r="B207" s="109"/>
      <c r="C207" s="110"/>
      <c r="D207" s="111"/>
      <c r="E207" s="112"/>
      <c r="F207" s="112"/>
      <c r="G207" s="113"/>
      <c r="H207" s="113"/>
      <c r="I207" s="113"/>
      <c r="J207" s="17"/>
    </row>
    <row r="208" spans="2:10" ht="15.75" customHeight="1">
      <c r="B208" s="109"/>
      <c r="C208" s="110"/>
      <c r="D208" s="111"/>
      <c r="E208" s="112"/>
      <c r="F208" s="112"/>
      <c r="G208" s="113"/>
      <c r="H208" s="113"/>
      <c r="I208" s="113"/>
      <c r="J208" s="17"/>
    </row>
    <row r="209" spans="2:10" ht="15.75" customHeight="1">
      <c r="B209" s="109"/>
      <c r="C209" s="110"/>
      <c r="D209" s="111"/>
      <c r="E209" s="112"/>
      <c r="F209" s="112"/>
      <c r="G209" s="113"/>
      <c r="H209" s="113"/>
      <c r="I209" s="113"/>
      <c r="J209" s="17"/>
    </row>
    <row r="210" spans="2:10" ht="15.75" customHeight="1">
      <c r="B210" s="109"/>
      <c r="C210" s="110"/>
      <c r="D210" s="111"/>
      <c r="E210" s="112"/>
      <c r="F210" s="112"/>
      <c r="G210" s="113"/>
      <c r="H210" s="113"/>
      <c r="I210" s="113"/>
      <c r="J210" s="17"/>
    </row>
    <row r="211" spans="2:10" ht="15.75" customHeight="1">
      <c r="B211" s="109"/>
      <c r="C211" s="110"/>
      <c r="D211" s="111"/>
      <c r="E211" s="112"/>
      <c r="F211" s="112"/>
      <c r="G211" s="113"/>
      <c r="H211" s="113"/>
      <c r="I211" s="113"/>
      <c r="J211" s="17"/>
    </row>
    <row r="212" spans="2:10" ht="15.75" customHeight="1">
      <c r="B212" s="109"/>
      <c r="C212" s="110"/>
      <c r="D212" s="111"/>
      <c r="E212" s="112"/>
      <c r="F212" s="112"/>
      <c r="G212" s="113"/>
      <c r="H212" s="113"/>
      <c r="I212" s="113"/>
      <c r="J212" s="17"/>
    </row>
    <row r="213" spans="2:10" ht="15.75" customHeight="1">
      <c r="B213" s="109"/>
      <c r="C213" s="110"/>
      <c r="D213" s="111"/>
      <c r="E213" s="112"/>
      <c r="F213" s="112"/>
      <c r="G213" s="113"/>
      <c r="H213" s="113"/>
      <c r="I213" s="113"/>
      <c r="J213" s="17"/>
    </row>
    <row r="214" spans="2:10" ht="15.75" customHeight="1">
      <c r="B214" s="109"/>
      <c r="C214" s="110"/>
      <c r="D214" s="111"/>
      <c r="E214" s="112"/>
      <c r="F214" s="112"/>
      <c r="G214" s="113"/>
      <c r="H214" s="113"/>
      <c r="I214" s="113"/>
      <c r="J214" s="17"/>
    </row>
    <row r="215" spans="2:10" ht="15.75" customHeight="1">
      <c r="B215" s="109"/>
      <c r="C215" s="110"/>
      <c r="D215" s="111"/>
      <c r="E215" s="112"/>
      <c r="F215" s="112"/>
      <c r="G215" s="113"/>
      <c r="H215" s="113"/>
      <c r="I215" s="113"/>
      <c r="J215" s="17"/>
    </row>
    <row r="216" spans="2:10" ht="15.75" customHeight="1">
      <c r="B216" s="109"/>
      <c r="C216" s="110"/>
      <c r="D216" s="111"/>
      <c r="E216" s="112"/>
      <c r="F216" s="112"/>
      <c r="G216" s="113"/>
      <c r="H216" s="113"/>
      <c r="I216" s="113"/>
      <c r="J216" s="17"/>
    </row>
    <row r="217" spans="2:10" ht="15.75" customHeight="1">
      <c r="B217" s="109"/>
      <c r="C217" s="110"/>
      <c r="D217" s="111"/>
      <c r="E217" s="112"/>
      <c r="F217" s="112"/>
      <c r="G217" s="113"/>
      <c r="H217" s="113"/>
      <c r="I217" s="113"/>
      <c r="J217" s="17"/>
    </row>
    <row r="218" spans="2:10" ht="15.75" customHeight="1">
      <c r="B218" s="109"/>
      <c r="C218" s="110"/>
      <c r="D218" s="111"/>
      <c r="E218" s="112"/>
      <c r="F218" s="112"/>
      <c r="G218" s="113"/>
      <c r="H218" s="113"/>
      <c r="I218" s="113"/>
      <c r="J218" s="17"/>
    </row>
    <row r="219" spans="2:10" ht="15.75" customHeight="1">
      <c r="B219" s="109"/>
      <c r="C219" s="110"/>
      <c r="D219" s="111"/>
      <c r="E219" s="112"/>
      <c r="F219" s="112"/>
      <c r="G219" s="113"/>
      <c r="H219" s="113"/>
      <c r="I219" s="113"/>
      <c r="J219" s="17"/>
    </row>
    <row r="220" spans="2:10" ht="15.75" customHeight="1">
      <c r="B220" s="109"/>
      <c r="C220" s="110"/>
      <c r="D220" s="111"/>
      <c r="E220" s="112"/>
      <c r="F220" s="112"/>
      <c r="G220" s="113"/>
      <c r="H220" s="113"/>
      <c r="I220" s="113"/>
      <c r="J220" s="17"/>
    </row>
    <row r="221" spans="2:10" ht="15.75" customHeight="1">
      <c r="B221" s="109"/>
      <c r="C221" s="110"/>
      <c r="D221" s="111"/>
      <c r="E221" s="112"/>
      <c r="F221" s="112"/>
      <c r="G221" s="113"/>
      <c r="H221" s="113"/>
      <c r="I221" s="113"/>
      <c r="J221" s="17"/>
    </row>
    <row r="222" spans="2:10" ht="15.75" customHeight="1">
      <c r="B222" s="109"/>
      <c r="C222" s="110"/>
      <c r="D222" s="111"/>
      <c r="E222" s="112"/>
      <c r="F222" s="112"/>
      <c r="G222" s="113"/>
      <c r="H222" s="113"/>
      <c r="I222" s="113"/>
      <c r="J222" s="17"/>
    </row>
    <row r="223" spans="2:10" ht="15.75" customHeight="1">
      <c r="B223" s="109"/>
      <c r="C223" s="110"/>
      <c r="D223" s="111"/>
      <c r="E223" s="112"/>
      <c r="F223" s="112"/>
      <c r="G223" s="113"/>
      <c r="H223" s="113"/>
      <c r="I223" s="113"/>
      <c r="J223" s="17"/>
    </row>
    <row r="224" spans="2:10" ht="15.75" customHeight="1">
      <c r="B224" s="109"/>
      <c r="C224" s="110"/>
      <c r="D224" s="111"/>
      <c r="E224" s="112"/>
      <c r="F224" s="112"/>
      <c r="G224" s="113"/>
      <c r="H224" s="113"/>
      <c r="I224" s="113"/>
      <c r="J224" s="17"/>
    </row>
    <row r="225" spans="2:10" ht="15.75" customHeight="1">
      <c r="B225" s="109"/>
      <c r="C225" s="110"/>
      <c r="D225" s="111"/>
      <c r="E225" s="112"/>
      <c r="F225" s="112"/>
      <c r="G225" s="113"/>
      <c r="H225" s="113"/>
      <c r="I225" s="113"/>
      <c r="J225" s="17"/>
    </row>
    <row r="226" spans="2:10" ht="15.75" customHeight="1">
      <c r="B226" s="109"/>
      <c r="C226" s="110"/>
      <c r="D226" s="111"/>
      <c r="E226" s="112"/>
      <c r="F226" s="112"/>
      <c r="G226" s="113"/>
      <c r="H226" s="113"/>
      <c r="I226" s="113"/>
      <c r="J226" s="17"/>
    </row>
    <row r="227" spans="2:10" ht="15.75" customHeight="1">
      <c r="B227" s="109"/>
      <c r="C227" s="110"/>
      <c r="D227" s="111"/>
      <c r="E227" s="112"/>
      <c r="F227" s="112"/>
      <c r="G227" s="113"/>
      <c r="H227" s="113"/>
      <c r="I227" s="113"/>
      <c r="J227" s="17"/>
    </row>
    <row r="228" spans="2:10" ht="15.75" customHeight="1">
      <c r="B228" s="109"/>
      <c r="C228" s="110"/>
      <c r="D228" s="111"/>
      <c r="E228" s="112"/>
      <c r="F228" s="112"/>
      <c r="G228" s="113"/>
      <c r="H228" s="113"/>
      <c r="I228" s="113"/>
      <c r="J228" s="17"/>
    </row>
    <row r="229" spans="2:10" ht="15.75" customHeight="1">
      <c r="B229" s="109"/>
      <c r="C229" s="110"/>
      <c r="D229" s="111"/>
      <c r="E229" s="112"/>
      <c r="F229" s="112"/>
      <c r="G229" s="113"/>
      <c r="H229" s="113"/>
      <c r="I229" s="113"/>
      <c r="J229" s="17"/>
    </row>
    <row r="230" spans="2:10" ht="15.75" customHeight="1">
      <c r="B230" s="109"/>
      <c r="C230" s="110"/>
      <c r="D230" s="111"/>
      <c r="E230" s="112"/>
      <c r="F230" s="112"/>
      <c r="G230" s="113"/>
      <c r="H230" s="113"/>
      <c r="I230" s="113"/>
      <c r="J230" s="17"/>
    </row>
    <row r="231" spans="2:10" ht="15.75" customHeight="1">
      <c r="B231" s="109"/>
      <c r="C231" s="110"/>
      <c r="D231" s="111"/>
      <c r="E231" s="112"/>
      <c r="F231" s="112"/>
      <c r="G231" s="113"/>
      <c r="H231" s="113"/>
      <c r="I231" s="113"/>
      <c r="J231" s="17"/>
    </row>
    <row r="232" spans="2:10" ht="15.75" customHeight="1">
      <c r="B232" s="109"/>
      <c r="C232" s="110"/>
      <c r="D232" s="111"/>
      <c r="E232" s="112"/>
      <c r="F232" s="112"/>
      <c r="G232" s="113"/>
      <c r="H232" s="113"/>
      <c r="I232" s="113"/>
      <c r="J232" s="17"/>
    </row>
    <row r="233" spans="2:10" ht="15.75" customHeight="1">
      <c r="B233" s="109"/>
      <c r="C233" s="110"/>
      <c r="D233" s="111"/>
      <c r="E233" s="112"/>
      <c r="F233" s="112"/>
      <c r="G233" s="113"/>
      <c r="H233" s="113"/>
      <c r="I233" s="113"/>
      <c r="J233" s="17"/>
    </row>
    <row r="234" spans="2:10" ht="15.75" customHeight="1">
      <c r="B234" s="109"/>
      <c r="C234" s="110"/>
      <c r="D234" s="111"/>
      <c r="E234" s="112"/>
      <c r="F234" s="112"/>
      <c r="G234" s="113"/>
      <c r="H234" s="113"/>
      <c r="I234" s="113"/>
      <c r="J234" s="17"/>
    </row>
    <row r="235" spans="2:10" ht="15.75" customHeight="1">
      <c r="B235" s="109"/>
      <c r="C235" s="110"/>
      <c r="D235" s="111"/>
      <c r="E235" s="112"/>
      <c r="F235" s="112"/>
      <c r="G235" s="113"/>
      <c r="H235" s="113"/>
      <c r="I235" s="113"/>
      <c r="J235" s="17"/>
    </row>
    <row r="236" spans="2:10" ht="15.75" customHeight="1">
      <c r="B236" s="109"/>
      <c r="C236" s="110"/>
      <c r="D236" s="111"/>
      <c r="E236" s="112"/>
      <c r="F236" s="112"/>
      <c r="G236" s="113"/>
      <c r="H236" s="113"/>
      <c r="I236" s="113"/>
      <c r="J236" s="17"/>
    </row>
    <row r="237" spans="2:10" ht="15.75" customHeight="1">
      <c r="B237" s="109"/>
      <c r="C237" s="110"/>
      <c r="D237" s="111"/>
      <c r="E237" s="112"/>
      <c r="F237" s="112"/>
      <c r="G237" s="113"/>
      <c r="H237" s="113"/>
      <c r="I237" s="113"/>
      <c r="J237" s="17"/>
    </row>
    <row r="238" spans="2:10" ht="15.75" customHeight="1">
      <c r="B238" s="109"/>
      <c r="C238" s="110"/>
      <c r="D238" s="111"/>
      <c r="E238" s="112"/>
      <c r="F238" s="112"/>
      <c r="G238" s="113"/>
      <c r="H238" s="113"/>
      <c r="I238" s="113"/>
      <c r="J238" s="17"/>
    </row>
    <row r="239" spans="2:10" ht="15.75" customHeight="1">
      <c r="B239" s="109"/>
      <c r="C239" s="110"/>
      <c r="D239" s="111"/>
      <c r="E239" s="112"/>
      <c r="F239" s="112"/>
      <c r="G239" s="113"/>
      <c r="H239" s="113"/>
      <c r="I239" s="113"/>
      <c r="J239" s="17"/>
    </row>
    <row r="240" spans="2:10" ht="15.75" customHeight="1">
      <c r="B240" s="109"/>
      <c r="C240" s="110"/>
      <c r="D240" s="111"/>
      <c r="E240" s="112"/>
      <c r="F240" s="112"/>
      <c r="G240" s="113"/>
      <c r="H240" s="113"/>
      <c r="I240" s="113"/>
      <c r="J240" s="17"/>
    </row>
    <row r="241" spans="2:10" ht="15.75" customHeight="1">
      <c r="B241" s="109"/>
      <c r="C241" s="110"/>
      <c r="D241" s="111"/>
      <c r="E241" s="112"/>
      <c r="F241" s="112"/>
      <c r="G241" s="113"/>
      <c r="H241" s="113"/>
      <c r="I241" s="113"/>
      <c r="J241" s="17"/>
    </row>
    <row r="242" spans="2:10" ht="15.75" customHeight="1">
      <c r="B242" s="109"/>
      <c r="C242" s="110"/>
      <c r="D242" s="111"/>
      <c r="E242" s="112"/>
      <c r="F242" s="112"/>
      <c r="G242" s="113"/>
      <c r="H242" s="113"/>
      <c r="I242" s="113"/>
      <c r="J242" s="17"/>
    </row>
    <row r="243" spans="2:10" ht="15.75" customHeight="1">
      <c r="B243" s="109"/>
      <c r="C243" s="110"/>
      <c r="D243" s="111"/>
      <c r="E243" s="112"/>
      <c r="F243" s="112"/>
      <c r="G243" s="113"/>
      <c r="H243" s="113"/>
      <c r="I243" s="113"/>
      <c r="J243" s="17"/>
    </row>
    <row r="244" spans="2:10" ht="15.75" customHeight="1">
      <c r="B244" s="109"/>
      <c r="C244" s="110"/>
      <c r="D244" s="111"/>
      <c r="E244" s="112"/>
      <c r="F244" s="112"/>
      <c r="G244" s="113"/>
      <c r="H244" s="113"/>
      <c r="I244" s="113"/>
      <c r="J244" s="17"/>
    </row>
    <row r="245" spans="2:10" ht="15.75" customHeight="1">
      <c r="B245" s="109"/>
      <c r="C245" s="110"/>
      <c r="D245" s="111"/>
      <c r="E245" s="112"/>
      <c r="F245" s="112"/>
      <c r="G245" s="113"/>
      <c r="H245" s="113"/>
      <c r="I245" s="113"/>
      <c r="J245" s="17"/>
    </row>
    <row r="246" spans="2:10" ht="15.75" customHeight="1">
      <c r="B246" s="109"/>
      <c r="C246" s="110"/>
      <c r="D246" s="111"/>
      <c r="E246" s="112"/>
      <c r="F246" s="112"/>
      <c r="G246" s="113"/>
      <c r="H246" s="113"/>
      <c r="I246" s="113"/>
      <c r="J246" s="17"/>
    </row>
    <row r="247" spans="2:10" ht="15.75" customHeight="1">
      <c r="B247" s="109"/>
      <c r="C247" s="110"/>
      <c r="D247" s="111"/>
      <c r="E247" s="112"/>
      <c r="F247" s="112"/>
      <c r="G247" s="113"/>
      <c r="H247" s="113"/>
      <c r="I247" s="113"/>
      <c r="J247" s="17"/>
    </row>
    <row r="248" spans="2:10" ht="15.75" customHeight="1">
      <c r="B248" s="109"/>
      <c r="C248" s="110"/>
      <c r="D248" s="111"/>
      <c r="E248" s="112"/>
      <c r="F248" s="112"/>
      <c r="G248" s="113"/>
      <c r="H248" s="113"/>
      <c r="I248" s="113"/>
      <c r="J248" s="17"/>
    </row>
    <row r="249" spans="2:10" ht="15.75" customHeight="1">
      <c r="B249" s="109"/>
      <c r="C249" s="110"/>
      <c r="D249" s="111"/>
      <c r="E249" s="112"/>
      <c r="F249" s="112"/>
      <c r="G249" s="113"/>
      <c r="H249" s="113"/>
      <c r="I249" s="113"/>
      <c r="J249" s="17"/>
    </row>
    <row r="250" spans="2:10" ht="15.75" customHeight="1">
      <c r="B250" s="109"/>
      <c r="C250" s="110"/>
      <c r="D250" s="111"/>
      <c r="E250" s="112"/>
      <c r="F250" s="112"/>
      <c r="G250" s="113"/>
      <c r="H250" s="113"/>
      <c r="I250" s="113"/>
      <c r="J250" s="17"/>
    </row>
    <row r="251" spans="2:10" ht="15.75" customHeight="1">
      <c r="B251" s="109"/>
      <c r="C251" s="110"/>
      <c r="D251" s="111"/>
      <c r="E251" s="112"/>
      <c r="F251" s="112"/>
      <c r="G251" s="113"/>
      <c r="H251" s="113"/>
      <c r="I251" s="113"/>
      <c r="J251" s="17"/>
    </row>
    <row r="252" spans="2:10" ht="15.75" customHeight="1">
      <c r="B252" s="109"/>
      <c r="C252" s="110"/>
      <c r="D252" s="111"/>
      <c r="E252" s="112"/>
      <c r="F252" s="112"/>
      <c r="G252" s="113"/>
      <c r="H252" s="113"/>
      <c r="I252" s="113"/>
      <c r="J252" s="17"/>
    </row>
    <row r="253" spans="2:10" ht="15.75" customHeight="1">
      <c r="B253" s="109"/>
      <c r="C253" s="110"/>
      <c r="D253" s="111"/>
      <c r="E253" s="112"/>
      <c r="F253" s="112"/>
      <c r="G253" s="113"/>
      <c r="H253" s="113"/>
      <c r="I253" s="113"/>
      <c r="J253" s="17"/>
    </row>
    <row r="254" spans="2:10" ht="15.75" customHeight="1">
      <c r="B254" s="109"/>
      <c r="C254" s="110"/>
      <c r="D254" s="111"/>
      <c r="E254" s="112"/>
      <c r="F254" s="112"/>
      <c r="G254" s="113"/>
      <c r="H254" s="113"/>
      <c r="I254" s="113"/>
      <c r="J254" s="17"/>
    </row>
    <row r="255" spans="2:10" ht="15.75" customHeight="1">
      <c r="B255" s="109"/>
      <c r="C255" s="110"/>
      <c r="D255" s="111"/>
      <c r="E255" s="112"/>
      <c r="F255" s="112"/>
      <c r="G255" s="113"/>
      <c r="H255" s="113"/>
      <c r="I255" s="113"/>
      <c r="J255" s="17"/>
    </row>
    <row r="256" spans="2:10" ht="15.75" customHeight="1">
      <c r="B256" s="109"/>
      <c r="C256" s="110"/>
      <c r="D256" s="111"/>
      <c r="E256" s="112"/>
      <c r="F256" s="112"/>
      <c r="G256" s="113"/>
      <c r="H256" s="113"/>
      <c r="I256" s="113"/>
      <c r="J256" s="17"/>
    </row>
    <row r="257" spans="2:10" ht="15.75" customHeight="1">
      <c r="B257" s="109"/>
      <c r="C257" s="110"/>
      <c r="D257" s="111"/>
      <c r="E257" s="112"/>
      <c r="F257" s="112"/>
      <c r="G257" s="113"/>
      <c r="H257" s="113"/>
      <c r="I257" s="113"/>
      <c r="J257" s="17"/>
    </row>
    <row r="258" spans="2:10" ht="15.75" customHeight="1">
      <c r="B258" s="109"/>
      <c r="C258" s="110"/>
      <c r="D258" s="111"/>
      <c r="E258" s="112"/>
      <c r="F258" s="112"/>
      <c r="G258" s="113"/>
      <c r="H258" s="113"/>
      <c r="I258" s="113"/>
      <c r="J258" s="17"/>
    </row>
    <row r="259" spans="2:10" ht="15.75" customHeight="1">
      <c r="B259" s="109"/>
      <c r="C259" s="110"/>
      <c r="D259" s="111"/>
      <c r="E259" s="112"/>
      <c r="F259" s="112"/>
      <c r="G259" s="113"/>
      <c r="H259" s="113"/>
      <c r="I259" s="113"/>
      <c r="J259" s="17"/>
    </row>
    <row r="260" spans="2:10" ht="15.75" customHeight="1">
      <c r="B260" s="109"/>
      <c r="C260" s="110"/>
      <c r="D260" s="111"/>
      <c r="E260" s="112"/>
      <c r="F260" s="112"/>
      <c r="G260" s="113"/>
      <c r="H260" s="113"/>
      <c r="I260" s="113"/>
      <c r="J260" s="17"/>
    </row>
    <row r="261" spans="2:10" ht="15.75" customHeight="1">
      <c r="B261" s="109"/>
      <c r="C261" s="110"/>
      <c r="D261" s="111"/>
      <c r="E261" s="112"/>
      <c r="F261" s="112"/>
      <c r="G261" s="113"/>
      <c r="H261" s="113"/>
      <c r="I261" s="113"/>
      <c r="J261" s="17"/>
    </row>
    <row r="262" spans="2:10" ht="15.75" customHeight="1">
      <c r="B262" s="109"/>
      <c r="C262" s="110"/>
      <c r="D262" s="111"/>
      <c r="E262" s="112"/>
      <c r="F262" s="112"/>
      <c r="G262" s="113"/>
      <c r="H262" s="113"/>
      <c r="I262" s="113"/>
      <c r="J262" s="17"/>
    </row>
    <row r="263" spans="2:10" ht="15.75" customHeight="1">
      <c r="B263" s="109"/>
      <c r="C263" s="110"/>
      <c r="D263" s="111"/>
      <c r="E263" s="112"/>
      <c r="F263" s="112"/>
      <c r="G263" s="113"/>
      <c r="H263" s="113"/>
      <c r="I263" s="113"/>
      <c r="J263" s="17"/>
    </row>
    <row r="264" spans="2:10" ht="15.75" customHeight="1">
      <c r="B264" s="109"/>
      <c r="C264" s="110"/>
      <c r="D264" s="111"/>
      <c r="E264" s="112"/>
      <c r="F264" s="112"/>
      <c r="G264" s="113"/>
      <c r="H264" s="113"/>
      <c r="I264" s="113"/>
      <c r="J264" s="17"/>
    </row>
    <row r="265" spans="2:10" ht="15.75" customHeight="1">
      <c r="B265" s="109"/>
      <c r="C265" s="110"/>
      <c r="D265" s="111"/>
      <c r="E265" s="112"/>
      <c r="F265" s="112"/>
      <c r="G265" s="113"/>
      <c r="H265" s="113"/>
      <c r="I265" s="113"/>
      <c r="J265" s="17"/>
    </row>
    <row r="266" spans="2:10" ht="15.75" customHeight="1">
      <c r="B266" s="109"/>
      <c r="C266" s="110"/>
      <c r="D266" s="111"/>
      <c r="E266" s="112"/>
      <c r="F266" s="112"/>
      <c r="G266" s="113"/>
      <c r="H266" s="113"/>
      <c r="I266" s="113"/>
      <c r="J266" s="17"/>
    </row>
    <row r="267" spans="2:10" ht="15.75" customHeight="1">
      <c r="B267" s="109"/>
      <c r="C267" s="110"/>
      <c r="D267" s="111"/>
      <c r="E267" s="112"/>
      <c r="F267" s="112"/>
      <c r="G267" s="113"/>
      <c r="H267" s="113"/>
      <c r="I267" s="113"/>
      <c r="J267" s="17"/>
    </row>
    <row r="268" spans="2:10" ht="15.75" customHeight="1">
      <c r="B268" s="109"/>
      <c r="C268" s="110"/>
      <c r="D268" s="111"/>
      <c r="E268" s="112"/>
      <c r="F268" s="112"/>
      <c r="G268" s="113"/>
      <c r="H268" s="113"/>
      <c r="I268" s="113"/>
      <c r="J268" s="17"/>
    </row>
    <row r="269" spans="2:10" ht="15.75" customHeight="1">
      <c r="B269" s="109"/>
      <c r="C269" s="110"/>
      <c r="D269" s="111"/>
      <c r="E269" s="112"/>
      <c r="F269" s="112"/>
      <c r="G269" s="113"/>
      <c r="H269" s="113"/>
      <c r="I269" s="113"/>
      <c r="J269" s="17"/>
    </row>
    <row r="270" spans="2:10" ht="15.75" customHeight="1">
      <c r="B270" s="109"/>
      <c r="C270" s="110"/>
      <c r="D270" s="111"/>
      <c r="E270" s="112"/>
      <c r="F270" s="112"/>
      <c r="G270" s="113"/>
      <c r="H270" s="113"/>
      <c r="I270" s="113"/>
      <c r="J270" s="17"/>
    </row>
    <row r="271" spans="2:10" ht="15.75" customHeight="1">
      <c r="B271" s="109"/>
      <c r="C271" s="110"/>
      <c r="D271" s="111"/>
      <c r="E271" s="112"/>
      <c r="F271" s="112"/>
      <c r="G271" s="113"/>
      <c r="H271" s="113"/>
      <c r="I271" s="113"/>
      <c r="J271" s="17"/>
    </row>
    <row r="272" spans="2:10" ht="15.75" customHeight="1">
      <c r="B272" s="109"/>
      <c r="C272" s="110"/>
      <c r="D272" s="111"/>
      <c r="E272" s="112"/>
      <c r="F272" s="112"/>
      <c r="G272" s="113"/>
      <c r="H272" s="113"/>
      <c r="I272" s="113"/>
      <c r="J272" s="17"/>
    </row>
    <row r="273" spans="2:10" ht="15.75" customHeight="1">
      <c r="B273" s="109"/>
      <c r="C273" s="110"/>
      <c r="D273" s="111"/>
      <c r="E273" s="112"/>
      <c r="F273" s="112"/>
      <c r="G273" s="113"/>
      <c r="H273" s="113"/>
      <c r="I273" s="113"/>
      <c r="J273" s="17"/>
    </row>
    <row r="274" spans="2:10" ht="15.75" customHeight="1">
      <c r="B274" s="109"/>
      <c r="C274" s="110"/>
      <c r="D274" s="111"/>
      <c r="E274" s="112"/>
      <c r="F274" s="112"/>
      <c r="G274" s="113"/>
      <c r="H274" s="113"/>
      <c r="I274" s="113"/>
      <c r="J274" s="17"/>
    </row>
    <row r="275" spans="2:10" ht="15.75" customHeight="1">
      <c r="B275" s="109"/>
      <c r="C275" s="110"/>
      <c r="D275" s="111"/>
      <c r="E275" s="112"/>
      <c r="F275" s="112"/>
      <c r="G275" s="113"/>
      <c r="H275" s="113"/>
      <c r="I275" s="113"/>
      <c r="J275" s="17"/>
    </row>
    <row r="276" spans="2:10" ht="15.75" customHeight="1">
      <c r="B276" s="109"/>
      <c r="C276" s="110"/>
      <c r="D276" s="111"/>
      <c r="E276" s="112"/>
      <c r="F276" s="112"/>
      <c r="G276" s="113"/>
      <c r="H276" s="113"/>
      <c r="I276" s="113"/>
      <c r="J276" s="17"/>
    </row>
    <row r="277" spans="2:10" ht="15.75" customHeight="1">
      <c r="B277" s="109"/>
      <c r="C277" s="110"/>
      <c r="D277" s="111"/>
      <c r="E277" s="112"/>
      <c r="F277" s="112"/>
      <c r="G277" s="113"/>
      <c r="H277" s="113"/>
      <c r="I277" s="113"/>
      <c r="J277" s="17"/>
    </row>
    <row r="278" spans="2:10" ht="15.75" customHeight="1">
      <c r="B278" s="109"/>
      <c r="C278" s="110"/>
      <c r="D278" s="111"/>
      <c r="E278" s="112"/>
      <c r="F278" s="112"/>
      <c r="G278" s="113"/>
      <c r="H278" s="113"/>
      <c r="I278" s="113"/>
      <c r="J278" s="17"/>
    </row>
    <row r="279" spans="2:10" ht="15.75" customHeight="1">
      <c r="B279" s="109"/>
      <c r="C279" s="110"/>
      <c r="D279" s="111"/>
      <c r="E279" s="112"/>
      <c r="F279" s="112"/>
      <c r="G279" s="113"/>
      <c r="H279" s="113"/>
      <c r="I279" s="113"/>
      <c r="J279" s="17"/>
    </row>
    <row r="280" spans="2:10" ht="15.75" customHeight="1">
      <c r="B280" s="109"/>
      <c r="C280" s="110"/>
      <c r="D280" s="111"/>
      <c r="E280" s="112"/>
      <c r="F280" s="112"/>
      <c r="G280" s="113"/>
      <c r="H280" s="113"/>
      <c r="I280" s="113"/>
      <c r="J280" s="17"/>
    </row>
    <row r="281" spans="2:10" ht="15.75" customHeight="1">
      <c r="B281" s="109"/>
      <c r="C281" s="110"/>
      <c r="D281" s="111"/>
      <c r="E281" s="112"/>
      <c r="F281" s="112"/>
      <c r="G281" s="113"/>
      <c r="H281" s="113"/>
      <c r="I281" s="113"/>
      <c r="J281" s="17"/>
    </row>
    <row r="282" spans="2:10" ht="15.75" customHeight="1">
      <c r="B282" s="109"/>
      <c r="C282" s="110"/>
      <c r="D282" s="111"/>
      <c r="E282" s="112"/>
      <c r="F282" s="112"/>
      <c r="G282" s="113"/>
      <c r="H282" s="113"/>
      <c r="I282" s="113"/>
      <c r="J282" s="17"/>
    </row>
    <row r="283" spans="2:10" ht="15.75" customHeight="1">
      <c r="B283" s="109"/>
      <c r="C283" s="110"/>
      <c r="D283" s="111"/>
      <c r="E283" s="112"/>
      <c r="F283" s="112"/>
      <c r="G283" s="113"/>
      <c r="H283" s="113"/>
      <c r="I283" s="113"/>
      <c r="J283" s="17"/>
    </row>
    <row r="284" spans="2:10" ht="15.75" customHeight="1">
      <c r="B284" s="109"/>
      <c r="C284" s="110"/>
      <c r="D284" s="111"/>
      <c r="E284" s="112"/>
      <c r="F284" s="112"/>
      <c r="G284" s="113"/>
      <c r="H284" s="113"/>
      <c r="I284" s="113"/>
      <c r="J284" s="17"/>
    </row>
    <row r="285" spans="2:10" ht="15.75" customHeight="1">
      <c r="B285" s="109"/>
      <c r="C285" s="110"/>
      <c r="D285" s="111"/>
      <c r="E285" s="112"/>
      <c r="F285" s="112"/>
      <c r="G285" s="113"/>
      <c r="H285" s="113"/>
      <c r="I285" s="113"/>
      <c r="J285" s="17"/>
    </row>
    <row r="286" spans="2:10" ht="15.75" customHeight="1">
      <c r="B286" s="109"/>
      <c r="C286" s="110"/>
      <c r="D286" s="111"/>
      <c r="E286" s="112"/>
      <c r="F286" s="112"/>
      <c r="G286" s="113"/>
      <c r="H286" s="113"/>
      <c r="I286" s="113"/>
      <c r="J286" s="17"/>
    </row>
    <row r="287" spans="2:10" ht="15.75" customHeight="1">
      <c r="B287" s="109"/>
      <c r="C287" s="110"/>
      <c r="D287" s="111"/>
      <c r="E287" s="112"/>
      <c r="F287" s="112"/>
      <c r="G287" s="113"/>
      <c r="H287" s="113"/>
      <c r="I287" s="113"/>
      <c r="J287" s="17"/>
    </row>
    <row r="288" spans="2:10" ht="15.75" customHeight="1">
      <c r="B288" s="109"/>
      <c r="C288" s="110"/>
      <c r="D288" s="111"/>
      <c r="E288" s="112"/>
      <c r="F288" s="112"/>
      <c r="G288" s="113"/>
      <c r="H288" s="113"/>
      <c r="I288" s="113"/>
      <c r="J288" s="17"/>
    </row>
    <row r="289" spans="2:10" ht="15.75" customHeight="1">
      <c r="B289" s="109"/>
      <c r="C289" s="110"/>
      <c r="D289" s="111"/>
      <c r="E289" s="112"/>
      <c r="F289" s="112"/>
      <c r="G289" s="113"/>
      <c r="H289" s="113"/>
      <c r="I289" s="113"/>
      <c r="J289" s="17"/>
    </row>
    <row r="290" spans="2:10" ht="15.75" customHeight="1">
      <c r="B290" s="109"/>
      <c r="C290" s="110"/>
      <c r="D290" s="111"/>
      <c r="E290" s="112"/>
      <c r="F290" s="112"/>
      <c r="G290" s="113"/>
      <c r="H290" s="113"/>
      <c r="I290" s="113"/>
      <c r="J290" s="17"/>
    </row>
    <row r="291" spans="2:10" ht="15.75" customHeight="1">
      <c r="B291" s="109"/>
      <c r="C291" s="110"/>
      <c r="D291" s="111"/>
      <c r="E291" s="112"/>
      <c r="F291" s="112"/>
      <c r="G291" s="113"/>
      <c r="H291" s="113"/>
      <c r="I291" s="113"/>
      <c r="J291" s="17"/>
    </row>
    <row r="292" spans="2:10" ht="15.75" customHeight="1">
      <c r="B292" s="109"/>
      <c r="C292" s="110"/>
      <c r="D292" s="111"/>
      <c r="E292" s="112"/>
      <c r="F292" s="112"/>
      <c r="G292" s="113"/>
      <c r="H292" s="113"/>
      <c r="I292" s="113"/>
      <c r="J292" s="17"/>
    </row>
    <row r="293" spans="2:10" ht="15.75" customHeight="1">
      <c r="B293" s="109"/>
      <c r="C293" s="110"/>
      <c r="D293" s="111"/>
      <c r="E293" s="112"/>
      <c r="F293" s="112"/>
      <c r="G293" s="113"/>
      <c r="H293" s="113"/>
      <c r="I293" s="113"/>
      <c r="J293" s="17"/>
    </row>
    <row r="294" spans="2:10" ht="15.75" customHeight="1">
      <c r="B294" s="109"/>
      <c r="C294" s="110"/>
      <c r="D294" s="111"/>
      <c r="E294" s="112"/>
      <c r="F294" s="112"/>
      <c r="G294" s="113"/>
      <c r="H294" s="113"/>
      <c r="I294" s="113"/>
      <c r="J294" s="17"/>
    </row>
    <row r="295" spans="2:10" ht="15.75" customHeight="1">
      <c r="B295" s="109"/>
      <c r="C295" s="110"/>
      <c r="D295" s="111"/>
      <c r="E295" s="112"/>
      <c r="F295" s="112"/>
      <c r="G295" s="113"/>
      <c r="H295" s="113"/>
      <c r="I295" s="113"/>
      <c r="J295" s="17"/>
    </row>
    <row r="296" spans="2:10" ht="15.75" customHeight="1">
      <c r="B296" s="109"/>
      <c r="C296" s="110"/>
      <c r="D296" s="111"/>
      <c r="E296" s="112"/>
      <c r="F296" s="112"/>
      <c r="G296" s="113"/>
      <c r="H296" s="113"/>
      <c r="I296" s="113"/>
      <c r="J296" s="17"/>
    </row>
    <row r="297" spans="2:10" ht="15.75" customHeight="1">
      <c r="B297" s="109"/>
      <c r="C297" s="110"/>
      <c r="D297" s="111"/>
      <c r="E297" s="112"/>
      <c r="F297" s="112"/>
      <c r="G297" s="113"/>
      <c r="H297" s="113"/>
      <c r="I297" s="113"/>
      <c r="J297" s="17"/>
    </row>
    <row r="298" spans="2:10" ht="15.75" customHeight="1">
      <c r="B298" s="109"/>
      <c r="C298" s="110"/>
      <c r="D298" s="111"/>
      <c r="E298" s="112"/>
      <c r="F298" s="112"/>
      <c r="G298" s="113"/>
      <c r="H298" s="113"/>
      <c r="I298" s="113"/>
      <c r="J298" s="17"/>
    </row>
    <row r="299" spans="2:10" ht="15.75" customHeight="1">
      <c r="B299" s="109"/>
      <c r="C299" s="110"/>
      <c r="D299" s="111"/>
      <c r="E299" s="112"/>
      <c r="F299" s="112"/>
      <c r="G299" s="113"/>
      <c r="H299" s="113"/>
      <c r="I299" s="113"/>
      <c r="J299" s="17"/>
    </row>
    <row r="300" spans="2:10" ht="15.75" customHeight="1">
      <c r="B300" s="109"/>
      <c r="C300" s="110"/>
      <c r="D300" s="111"/>
      <c r="E300" s="112"/>
      <c r="F300" s="112"/>
      <c r="G300" s="113"/>
      <c r="H300" s="113"/>
      <c r="I300" s="113"/>
      <c r="J300" s="17"/>
    </row>
    <row r="301" spans="2:10" ht="15.75" customHeight="1">
      <c r="B301" s="109"/>
      <c r="C301" s="110"/>
      <c r="D301" s="111"/>
      <c r="E301" s="112"/>
      <c r="F301" s="112"/>
      <c r="G301" s="113"/>
      <c r="H301" s="113"/>
      <c r="I301" s="113"/>
      <c r="J301" s="17"/>
    </row>
    <row r="302" spans="2:10" ht="15.75" customHeight="1">
      <c r="B302" s="109"/>
      <c r="C302" s="110"/>
      <c r="D302" s="111"/>
      <c r="E302" s="112"/>
      <c r="F302" s="112"/>
      <c r="G302" s="113"/>
      <c r="H302" s="113"/>
      <c r="I302" s="113"/>
      <c r="J302" s="17"/>
    </row>
    <row r="303" spans="2:10" ht="15.75" customHeight="1">
      <c r="B303" s="109"/>
      <c r="C303" s="110"/>
      <c r="D303" s="111"/>
      <c r="E303" s="112"/>
      <c r="F303" s="112"/>
      <c r="G303" s="113"/>
      <c r="H303" s="113"/>
      <c r="I303" s="113"/>
      <c r="J303" s="17"/>
    </row>
    <row r="304" spans="2:10" ht="15.75" customHeight="1">
      <c r="B304" s="109"/>
      <c r="C304" s="110"/>
      <c r="D304" s="111"/>
      <c r="E304" s="112"/>
      <c r="F304" s="112"/>
      <c r="G304" s="113"/>
      <c r="H304" s="113"/>
      <c r="I304" s="113"/>
      <c r="J304" s="17"/>
    </row>
    <row r="305" spans="2:10" ht="15.75" customHeight="1">
      <c r="B305" s="109"/>
      <c r="C305" s="110"/>
      <c r="D305" s="111"/>
      <c r="E305" s="112"/>
      <c r="F305" s="112"/>
      <c r="G305" s="113"/>
      <c r="H305" s="113"/>
      <c r="I305" s="113"/>
      <c r="J305" s="17"/>
    </row>
    <row r="306" spans="2:10" ht="15.75" customHeight="1">
      <c r="B306" s="109"/>
      <c r="C306" s="110"/>
      <c r="D306" s="111"/>
      <c r="E306" s="112"/>
      <c r="F306" s="112"/>
      <c r="G306" s="113"/>
      <c r="H306" s="113"/>
      <c r="I306" s="113"/>
      <c r="J306" s="17"/>
    </row>
    <row r="307" spans="2:10" ht="15.75" customHeight="1">
      <c r="B307" s="109"/>
      <c r="C307" s="110"/>
      <c r="D307" s="111"/>
      <c r="E307" s="112"/>
      <c r="F307" s="112"/>
      <c r="G307" s="113"/>
      <c r="H307" s="113"/>
      <c r="I307" s="113"/>
      <c r="J307" s="17"/>
    </row>
    <row r="308" spans="2:10" ht="15.75" customHeight="1">
      <c r="B308" s="109"/>
      <c r="C308" s="110"/>
      <c r="D308" s="111"/>
      <c r="E308" s="112"/>
      <c r="F308" s="112"/>
      <c r="G308" s="113"/>
      <c r="H308" s="113"/>
      <c r="I308" s="113"/>
      <c r="J308" s="17"/>
    </row>
    <row r="309" spans="2:10" ht="15.75" customHeight="1">
      <c r="B309" s="109"/>
      <c r="C309" s="110"/>
      <c r="D309" s="111"/>
      <c r="E309" s="112"/>
      <c r="F309" s="112"/>
      <c r="G309" s="113"/>
      <c r="H309" s="113"/>
      <c r="I309" s="113"/>
      <c r="J309" s="17"/>
    </row>
    <row r="310" spans="2:10" ht="15.75" customHeight="1">
      <c r="B310" s="109"/>
      <c r="C310" s="110"/>
      <c r="D310" s="111"/>
      <c r="E310" s="112"/>
      <c r="F310" s="112"/>
      <c r="G310" s="113"/>
      <c r="H310" s="113"/>
      <c r="I310" s="113"/>
      <c r="J310" s="17"/>
    </row>
    <row r="311" spans="2:10" ht="15.75" customHeight="1">
      <c r="B311" s="109"/>
      <c r="C311" s="110"/>
      <c r="D311" s="111"/>
      <c r="E311" s="112"/>
      <c r="F311" s="112"/>
      <c r="G311" s="113"/>
      <c r="H311" s="113"/>
      <c r="I311" s="113"/>
      <c r="J311" s="17"/>
    </row>
    <row r="312" spans="2:10" ht="15.75" customHeight="1">
      <c r="B312" s="109"/>
      <c r="C312" s="110"/>
      <c r="D312" s="111"/>
      <c r="E312" s="112"/>
      <c r="F312" s="112"/>
      <c r="G312" s="113"/>
      <c r="H312" s="113"/>
      <c r="I312" s="113"/>
      <c r="J312" s="17"/>
    </row>
    <row r="313" spans="2:10" ht="15.75" customHeight="1">
      <c r="B313" s="109"/>
      <c r="C313" s="110"/>
      <c r="D313" s="111"/>
      <c r="E313" s="112"/>
      <c r="F313" s="112"/>
      <c r="G313" s="113"/>
      <c r="H313" s="113"/>
      <c r="I313" s="113"/>
      <c r="J313" s="17"/>
    </row>
    <row r="314" spans="2:10" ht="15.75" customHeight="1">
      <c r="B314" s="109"/>
      <c r="C314" s="110"/>
      <c r="D314" s="111"/>
      <c r="E314" s="112"/>
      <c r="F314" s="112"/>
      <c r="G314" s="113"/>
      <c r="H314" s="113"/>
      <c r="I314" s="113"/>
      <c r="J314" s="17"/>
    </row>
    <row r="315" spans="2:10" ht="15.75" customHeight="1">
      <c r="B315" s="109"/>
      <c r="C315" s="110"/>
      <c r="D315" s="111"/>
      <c r="E315" s="112"/>
      <c r="F315" s="112"/>
      <c r="G315" s="113"/>
      <c r="H315" s="113"/>
      <c r="I315" s="113"/>
      <c r="J315" s="17"/>
    </row>
    <row r="316" spans="2:10" ht="15.75" customHeight="1">
      <c r="B316" s="109"/>
      <c r="C316" s="110"/>
      <c r="D316" s="111"/>
      <c r="E316" s="112"/>
      <c r="F316" s="112"/>
      <c r="G316" s="113"/>
      <c r="H316" s="113"/>
      <c r="I316" s="113"/>
      <c r="J316" s="17"/>
    </row>
    <row r="317" spans="2:10" ht="15.75" customHeight="1">
      <c r="B317" s="109"/>
      <c r="C317" s="110"/>
      <c r="D317" s="111"/>
      <c r="E317" s="112"/>
      <c r="F317" s="112"/>
      <c r="G317" s="113"/>
      <c r="H317" s="113"/>
      <c r="I317" s="113"/>
      <c r="J317" s="17"/>
    </row>
    <row r="318" spans="2:10" ht="15.75" customHeight="1">
      <c r="B318" s="109"/>
      <c r="C318" s="110"/>
      <c r="D318" s="111"/>
      <c r="E318" s="112"/>
      <c r="F318" s="112"/>
      <c r="G318" s="113"/>
      <c r="H318" s="113"/>
      <c r="I318" s="113"/>
      <c r="J318" s="17"/>
    </row>
    <row r="319" spans="2:10" ht="15.75" customHeight="1">
      <c r="B319" s="109"/>
      <c r="C319" s="110"/>
      <c r="D319" s="111"/>
      <c r="E319" s="112"/>
      <c r="F319" s="112"/>
      <c r="G319" s="113"/>
      <c r="H319" s="113"/>
      <c r="I319" s="113"/>
      <c r="J319" s="17"/>
    </row>
    <row r="320" spans="2:10" ht="15.75" customHeight="1">
      <c r="B320" s="109"/>
      <c r="C320" s="110"/>
      <c r="D320" s="111"/>
      <c r="E320" s="112"/>
      <c r="F320" s="112"/>
      <c r="G320" s="113"/>
      <c r="H320" s="113"/>
      <c r="I320" s="113"/>
      <c r="J320" s="17"/>
    </row>
    <row r="321" spans="2:10" ht="15.75" customHeight="1">
      <c r="B321" s="109"/>
      <c r="C321" s="110"/>
      <c r="D321" s="111"/>
      <c r="E321" s="112"/>
      <c r="F321" s="112"/>
      <c r="G321" s="113"/>
      <c r="H321" s="113"/>
      <c r="I321" s="113"/>
      <c r="J321" s="17"/>
    </row>
    <row r="322" spans="2:10" ht="15.75" customHeight="1">
      <c r="B322" s="109"/>
      <c r="C322" s="110"/>
      <c r="D322" s="111"/>
      <c r="E322" s="112"/>
      <c r="F322" s="112"/>
      <c r="G322" s="113"/>
      <c r="H322" s="113"/>
      <c r="I322" s="113"/>
      <c r="J322" s="17"/>
    </row>
    <row r="323" spans="2:10" ht="15.75" customHeight="1">
      <c r="B323" s="109"/>
      <c r="C323" s="110"/>
      <c r="D323" s="111"/>
      <c r="E323" s="112"/>
      <c r="F323" s="112"/>
      <c r="G323" s="113"/>
      <c r="H323" s="113"/>
      <c r="I323" s="113"/>
      <c r="J323" s="17"/>
    </row>
    <row r="324" spans="2:10" ht="15.75" customHeight="1">
      <c r="B324" s="109"/>
      <c r="C324" s="110"/>
      <c r="D324" s="111"/>
      <c r="E324" s="112"/>
      <c r="F324" s="112"/>
      <c r="G324" s="113"/>
      <c r="H324" s="113"/>
      <c r="I324" s="113"/>
      <c r="J324" s="17"/>
    </row>
    <row r="325" spans="2:10" ht="15.75" customHeight="1">
      <c r="B325" s="109"/>
      <c r="C325" s="110"/>
      <c r="D325" s="111"/>
      <c r="E325" s="112"/>
      <c r="F325" s="112"/>
      <c r="G325" s="113"/>
      <c r="H325" s="113"/>
      <c r="I325" s="113"/>
      <c r="J325" s="17"/>
    </row>
    <row r="326" spans="2:10" ht="15.75" customHeight="1">
      <c r="B326" s="109"/>
      <c r="C326" s="110"/>
      <c r="D326" s="111"/>
      <c r="E326" s="112"/>
      <c r="F326" s="112"/>
      <c r="G326" s="113"/>
      <c r="H326" s="113"/>
      <c r="I326" s="113"/>
      <c r="J326" s="17"/>
    </row>
    <row r="327" spans="2:10" ht="15.75" customHeight="1">
      <c r="B327" s="109"/>
      <c r="C327" s="110"/>
      <c r="D327" s="111"/>
      <c r="E327" s="112"/>
      <c r="F327" s="112"/>
      <c r="G327" s="113"/>
      <c r="H327" s="113"/>
      <c r="I327" s="113"/>
      <c r="J327" s="17"/>
    </row>
    <row r="328" spans="2:10" ht="15.75" customHeight="1">
      <c r="B328" s="109"/>
      <c r="C328" s="110"/>
      <c r="D328" s="111"/>
      <c r="E328" s="112"/>
      <c r="F328" s="112"/>
      <c r="G328" s="113"/>
      <c r="H328" s="113"/>
      <c r="I328" s="113"/>
      <c r="J328" s="17"/>
    </row>
    <row r="329" spans="2:10" ht="15.75" customHeight="1">
      <c r="B329" s="109"/>
      <c r="C329" s="110"/>
      <c r="D329" s="111"/>
      <c r="E329" s="112"/>
      <c r="F329" s="112"/>
      <c r="G329" s="113"/>
      <c r="H329" s="113"/>
      <c r="I329" s="113"/>
      <c r="J329" s="17"/>
    </row>
    <row r="330" spans="2:10" ht="15.75" customHeight="1">
      <c r="B330" s="109"/>
      <c r="C330" s="110"/>
      <c r="D330" s="111"/>
      <c r="E330" s="112"/>
      <c r="F330" s="112"/>
      <c r="G330" s="113"/>
      <c r="H330" s="113"/>
      <c r="I330" s="113"/>
      <c r="J330" s="17"/>
    </row>
    <row r="331" spans="2:10" ht="15.75" customHeight="1">
      <c r="B331" s="109"/>
      <c r="C331" s="110"/>
      <c r="D331" s="111"/>
      <c r="E331" s="112"/>
      <c r="F331" s="112"/>
      <c r="G331" s="113"/>
      <c r="H331" s="113"/>
      <c r="I331" s="113"/>
      <c r="J331" s="17"/>
    </row>
    <row r="332" spans="2:10" ht="15.75" customHeight="1">
      <c r="B332" s="109"/>
      <c r="C332" s="110"/>
      <c r="D332" s="111"/>
      <c r="E332" s="112"/>
      <c r="F332" s="112"/>
      <c r="G332" s="113"/>
      <c r="H332" s="113"/>
      <c r="I332" s="113"/>
      <c r="J332" s="17"/>
    </row>
    <row r="333" spans="2:10" ht="15.75" customHeight="1">
      <c r="B333" s="109"/>
      <c r="C333" s="110"/>
      <c r="D333" s="111"/>
      <c r="E333" s="112"/>
      <c r="F333" s="112"/>
      <c r="G333" s="113"/>
      <c r="H333" s="113"/>
      <c r="I333" s="113"/>
      <c r="J333" s="17"/>
    </row>
    <row r="334" spans="2:10" ht="15.75" customHeight="1">
      <c r="B334" s="109"/>
      <c r="C334" s="110"/>
      <c r="D334" s="111"/>
      <c r="E334" s="112"/>
      <c r="F334" s="112"/>
      <c r="G334" s="113"/>
      <c r="H334" s="113"/>
      <c r="I334" s="113"/>
      <c r="J334" s="17"/>
    </row>
    <row r="335" spans="2:10" ht="15.75" customHeight="1">
      <c r="B335" s="109"/>
      <c r="C335" s="110"/>
      <c r="D335" s="111"/>
      <c r="E335" s="112"/>
      <c r="F335" s="112"/>
      <c r="G335" s="113"/>
      <c r="H335" s="113"/>
      <c r="I335" s="113"/>
      <c r="J335" s="17"/>
    </row>
    <row r="336" spans="2:10" ht="15.75" customHeight="1">
      <c r="B336" s="109"/>
      <c r="C336" s="110"/>
      <c r="D336" s="111"/>
      <c r="E336" s="112"/>
      <c r="F336" s="112"/>
      <c r="G336" s="113"/>
      <c r="H336" s="113"/>
      <c r="I336" s="113"/>
      <c r="J336" s="17"/>
    </row>
    <row r="337" spans="2:10" ht="15.75" customHeight="1">
      <c r="B337" s="109"/>
      <c r="C337" s="110"/>
      <c r="D337" s="111"/>
      <c r="E337" s="112"/>
      <c r="F337" s="112"/>
      <c r="G337" s="113"/>
      <c r="H337" s="113"/>
      <c r="I337" s="113"/>
      <c r="J337" s="17"/>
    </row>
    <row r="338" spans="2:10" ht="15.75" customHeight="1">
      <c r="B338" s="109"/>
      <c r="C338" s="110"/>
      <c r="D338" s="111"/>
      <c r="E338" s="112"/>
      <c r="F338" s="112"/>
      <c r="G338" s="113"/>
      <c r="H338" s="113"/>
      <c r="I338" s="113"/>
      <c r="J338" s="17"/>
    </row>
    <row r="339" spans="2:10" ht="15.75" customHeight="1">
      <c r="B339" s="109"/>
      <c r="C339" s="110"/>
      <c r="D339" s="111"/>
      <c r="E339" s="112"/>
      <c r="F339" s="112"/>
      <c r="G339" s="113"/>
      <c r="H339" s="113"/>
      <c r="I339" s="113"/>
      <c r="J339" s="17"/>
    </row>
    <row r="340" spans="2:10" ht="15.75" customHeight="1">
      <c r="B340" s="109"/>
      <c r="C340" s="110"/>
      <c r="D340" s="111"/>
      <c r="E340" s="112"/>
      <c r="F340" s="112"/>
      <c r="G340" s="113"/>
      <c r="H340" s="113"/>
      <c r="I340" s="113"/>
      <c r="J340" s="17"/>
    </row>
    <row r="341" spans="2:10" ht="15.75" customHeight="1">
      <c r="B341" s="109"/>
      <c r="C341" s="110"/>
      <c r="D341" s="111"/>
      <c r="E341" s="112"/>
      <c r="F341" s="112"/>
      <c r="G341" s="113"/>
      <c r="H341" s="113"/>
      <c r="I341" s="113"/>
      <c r="J341" s="17"/>
    </row>
    <row r="342" spans="2:10" ht="15.75" customHeight="1">
      <c r="B342" s="109"/>
      <c r="C342" s="110"/>
      <c r="D342" s="111"/>
      <c r="E342" s="112"/>
      <c r="F342" s="112"/>
      <c r="G342" s="113"/>
      <c r="H342" s="113"/>
      <c r="I342" s="113"/>
      <c r="J342" s="17"/>
    </row>
    <row r="343" spans="2:10" ht="15.75" customHeight="1">
      <c r="B343" s="109"/>
      <c r="C343" s="110"/>
      <c r="D343" s="111"/>
      <c r="E343" s="112"/>
      <c r="F343" s="112"/>
      <c r="G343" s="113"/>
      <c r="H343" s="113"/>
      <c r="I343" s="113"/>
      <c r="J343" s="17"/>
    </row>
    <row r="344" spans="2:10" ht="15.75" customHeight="1">
      <c r="B344" s="109"/>
      <c r="C344" s="110"/>
      <c r="D344" s="111"/>
      <c r="E344" s="112"/>
      <c r="F344" s="112"/>
      <c r="G344" s="113"/>
      <c r="H344" s="113"/>
      <c r="I344" s="113"/>
      <c r="J344" s="17"/>
    </row>
    <row r="345" spans="2:10" ht="15.75" customHeight="1">
      <c r="B345" s="109"/>
      <c r="C345" s="110"/>
      <c r="D345" s="111"/>
      <c r="E345" s="112"/>
      <c r="F345" s="112"/>
      <c r="G345" s="113"/>
      <c r="H345" s="113"/>
      <c r="I345" s="113"/>
      <c r="J345" s="17"/>
    </row>
    <row r="346" spans="2:10" ht="15.75" customHeight="1">
      <c r="B346" s="109"/>
      <c r="C346" s="110"/>
      <c r="D346" s="111"/>
      <c r="E346" s="112"/>
      <c r="F346" s="112"/>
      <c r="G346" s="113"/>
      <c r="H346" s="113"/>
      <c r="I346" s="113"/>
      <c r="J346" s="17"/>
    </row>
    <row r="347" spans="2:10" ht="15.75" customHeight="1">
      <c r="B347" s="109"/>
      <c r="C347" s="110"/>
      <c r="D347" s="111"/>
      <c r="E347" s="112"/>
      <c r="F347" s="112"/>
      <c r="G347" s="113"/>
      <c r="H347" s="113"/>
      <c r="I347" s="113"/>
      <c r="J347" s="17"/>
    </row>
    <row r="348" spans="2:10" ht="15.75" customHeight="1">
      <c r="B348" s="109"/>
      <c r="C348" s="110"/>
      <c r="D348" s="111"/>
      <c r="E348" s="112"/>
      <c r="F348" s="112"/>
      <c r="G348" s="113"/>
      <c r="H348" s="113"/>
      <c r="I348" s="113"/>
      <c r="J348" s="17"/>
    </row>
    <row r="349" spans="2:10" ht="15.75" customHeight="1">
      <c r="B349" s="109"/>
      <c r="C349" s="110"/>
      <c r="D349" s="111"/>
      <c r="E349" s="112"/>
      <c r="F349" s="112"/>
      <c r="G349" s="113"/>
      <c r="H349" s="113"/>
      <c r="I349" s="113"/>
      <c r="J349" s="17"/>
    </row>
    <row r="350" spans="2:10" ht="15.75" customHeight="1">
      <c r="B350" s="109"/>
      <c r="C350" s="110"/>
      <c r="D350" s="111"/>
      <c r="E350" s="112"/>
      <c r="F350" s="112"/>
      <c r="G350" s="113"/>
      <c r="H350" s="113"/>
      <c r="I350" s="113"/>
      <c r="J350" s="17"/>
    </row>
    <row r="351" spans="2:10" ht="15.75" customHeight="1">
      <c r="B351" s="109"/>
      <c r="C351" s="110"/>
      <c r="D351" s="111"/>
      <c r="E351" s="112"/>
      <c r="F351" s="112"/>
      <c r="G351" s="113"/>
      <c r="H351" s="113"/>
      <c r="I351" s="113"/>
      <c r="J351" s="17"/>
    </row>
    <row r="352" spans="2:10" ht="15.75" customHeight="1">
      <c r="B352" s="109"/>
      <c r="C352" s="110"/>
      <c r="D352" s="111"/>
      <c r="E352" s="112"/>
      <c r="F352" s="112"/>
      <c r="G352" s="113"/>
      <c r="H352" s="113"/>
      <c r="I352" s="113"/>
      <c r="J352" s="17"/>
    </row>
    <row r="353" spans="2:10" ht="15.75" customHeight="1">
      <c r="B353" s="109"/>
      <c r="C353" s="110"/>
      <c r="D353" s="111"/>
      <c r="E353" s="112"/>
      <c r="F353" s="112"/>
      <c r="G353" s="113"/>
      <c r="H353" s="113"/>
      <c r="I353" s="113"/>
      <c r="J353" s="17"/>
    </row>
    <row r="354" spans="2:10" ht="15.75" customHeight="1">
      <c r="B354" s="109"/>
      <c r="C354" s="110"/>
      <c r="D354" s="111"/>
      <c r="E354" s="112"/>
      <c r="F354" s="112"/>
      <c r="G354" s="113"/>
      <c r="H354" s="113"/>
      <c r="I354" s="113"/>
      <c r="J354" s="17"/>
    </row>
    <row r="355" spans="2:10" ht="15.75" customHeight="1">
      <c r="B355" s="109"/>
      <c r="C355" s="110"/>
      <c r="D355" s="111"/>
      <c r="E355" s="112"/>
      <c r="F355" s="112"/>
      <c r="G355" s="113"/>
      <c r="H355" s="113"/>
      <c r="I355" s="113"/>
      <c r="J355" s="17"/>
    </row>
    <row r="356" spans="2:10" ht="15.75" customHeight="1">
      <c r="B356" s="109"/>
      <c r="C356" s="110"/>
      <c r="D356" s="111"/>
      <c r="E356" s="112"/>
      <c r="F356" s="112"/>
      <c r="G356" s="113"/>
      <c r="H356" s="113"/>
      <c r="I356" s="113"/>
      <c r="J356" s="17"/>
    </row>
    <row r="357" spans="2:10" ht="15.75" customHeight="1">
      <c r="B357" s="109"/>
      <c r="C357" s="110"/>
      <c r="D357" s="111"/>
      <c r="E357" s="112"/>
      <c r="F357" s="112"/>
      <c r="G357" s="113"/>
      <c r="H357" s="113"/>
      <c r="I357" s="113"/>
      <c r="J357" s="17"/>
    </row>
    <row r="358" spans="2:10" ht="15.75" customHeight="1">
      <c r="B358" s="109"/>
      <c r="C358" s="110"/>
      <c r="D358" s="111"/>
      <c r="E358" s="112"/>
      <c r="F358" s="112"/>
      <c r="G358" s="113"/>
      <c r="H358" s="113"/>
      <c r="I358" s="113"/>
      <c r="J358" s="17"/>
    </row>
    <row r="359" spans="2:10" ht="15.75" customHeight="1">
      <c r="B359" s="109"/>
      <c r="C359" s="110"/>
      <c r="D359" s="111"/>
      <c r="E359" s="112"/>
      <c r="F359" s="112"/>
      <c r="G359" s="113"/>
      <c r="H359" s="113"/>
      <c r="I359" s="113"/>
      <c r="J359" s="17"/>
    </row>
    <row r="360" spans="2:10" ht="15.75" customHeight="1">
      <c r="B360" s="109"/>
      <c r="C360" s="110"/>
      <c r="D360" s="111"/>
      <c r="E360" s="112"/>
      <c r="F360" s="112"/>
      <c r="G360" s="113"/>
      <c r="H360" s="113"/>
      <c r="I360" s="113"/>
      <c r="J360" s="17"/>
    </row>
    <row r="361" spans="2:10" ht="15.75" customHeight="1">
      <c r="B361" s="109"/>
      <c r="C361" s="110"/>
      <c r="D361" s="111"/>
      <c r="E361" s="112"/>
      <c r="F361" s="112"/>
      <c r="G361" s="113"/>
      <c r="H361" s="113"/>
      <c r="I361" s="113"/>
      <c r="J361" s="17"/>
    </row>
    <row r="362" spans="2:10" ht="15.75" customHeight="1">
      <c r="B362" s="109"/>
      <c r="C362" s="110"/>
      <c r="D362" s="111"/>
      <c r="E362" s="112"/>
      <c r="F362" s="112"/>
      <c r="G362" s="113"/>
      <c r="H362" s="113"/>
      <c r="I362" s="113"/>
      <c r="J362" s="17"/>
    </row>
    <row r="363" spans="2:10" ht="15.75" customHeight="1">
      <c r="B363" s="109"/>
      <c r="C363" s="110"/>
      <c r="D363" s="111"/>
      <c r="E363" s="112"/>
      <c r="F363" s="112"/>
      <c r="G363" s="113"/>
      <c r="H363" s="113"/>
      <c r="I363" s="113"/>
      <c r="J363" s="17"/>
    </row>
    <row r="364" spans="2:10" ht="15.75" customHeight="1">
      <c r="B364" s="109"/>
      <c r="C364" s="110"/>
      <c r="D364" s="111"/>
      <c r="E364" s="112"/>
      <c r="F364" s="112"/>
      <c r="G364" s="113"/>
      <c r="H364" s="113"/>
      <c r="I364" s="113"/>
      <c r="J364" s="17"/>
    </row>
    <row r="365" spans="2:10" ht="15.75" customHeight="1">
      <c r="B365" s="109"/>
      <c r="C365" s="110"/>
      <c r="D365" s="111"/>
      <c r="E365" s="112"/>
      <c r="F365" s="112"/>
      <c r="G365" s="113"/>
      <c r="H365" s="113"/>
      <c r="I365" s="113"/>
      <c r="J365" s="17"/>
    </row>
    <row r="366" spans="2:10" ht="15.75" customHeight="1">
      <c r="B366" s="109"/>
      <c r="C366" s="110"/>
      <c r="D366" s="111"/>
      <c r="E366" s="112"/>
      <c r="F366" s="112"/>
      <c r="G366" s="113"/>
      <c r="H366" s="113"/>
      <c r="I366" s="113"/>
      <c r="J366" s="17"/>
    </row>
    <row r="367" spans="2:10" ht="15.75" customHeight="1">
      <c r="B367" s="109"/>
      <c r="C367" s="110"/>
      <c r="D367" s="111"/>
      <c r="E367" s="112"/>
      <c r="F367" s="112"/>
      <c r="G367" s="113"/>
      <c r="H367" s="113"/>
      <c r="I367" s="113"/>
      <c r="J367" s="17"/>
    </row>
    <row r="368" spans="2:10" ht="15.75" customHeight="1">
      <c r="B368" s="109"/>
      <c r="C368" s="110"/>
      <c r="D368" s="111"/>
      <c r="E368" s="112"/>
      <c r="F368" s="112"/>
      <c r="G368" s="113"/>
      <c r="H368" s="113"/>
      <c r="I368" s="113"/>
      <c r="J368" s="17"/>
    </row>
    <row r="369" spans="2:10" ht="15.75" customHeight="1">
      <c r="B369" s="109"/>
      <c r="C369" s="110"/>
      <c r="D369" s="111"/>
      <c r="E369" s="112"/>
      <c r="F369" s="112"/>
      <c r="G369" s="113"/>
      <c r="H369" s="113"/>
      <c r="I369" s="113"/>
      <c r="J369" s="17"/>
    </row>
    <row r="370" spans="2:10" ht="15.75" customHeight="1">
      <c r="B370" s="109"/>
      <c r="C370" s="110"/>
      <c r="D370" s="111"/>
      <c r="E370" s="112"/>
      <c r="F370" s="112"/>
      <c r="G370" s="113"/>
      <c r="H370" s="113"/>
      <c r="I370" s="113"/>
      <c r="J370" s="17"/>
    </row>
    <row r="371" spans="2:10" ht="15.75" customHeight="1">
      <c r="B371" s="109"/>
      <c r="C371" s="110"/>
      <c r="D371" s="111"/>
      <c r="E371" s="112"/>
      <c r="F371" s="112"/>
      <c r="G371" s="113"/>
      <c r="H371" s="113"/>
      <c r="I371" s="113"/>
      <c r="J371" s="17"/>
    </row>
    <row r="372" spans="2:10" ht="15.75" customHeight="1">
      <c r="B372" s="109"/>
      <c r="C372" s="110"/>
      <c r="D372" s="111"/>
      <c r="E372" s="112"/>
      <c r="F372" s="112"/>
      <c r="G372" s="113"/>
      <c r="H372" s="113"/>
      <c r="I372" s="113"/>
      <c r="J372" s="17"/>
    </row>
    <row r="373" spans="2:10" ht="15.75" customHeight="1">
      <c r="B373" s="109"/>
      <c r="C373" s="110"/>
      <c r="D373" s="111"/>
      <c r="E373" s="112"/>
      <c r="F373" s="112"/>
      <c r="G373" s="113"/>
      <c r="H373" s="113"/>
      <c r="I373" s="113"/>
      <c r="J373" s="17"/>
    </row>
    <row r="374" spans="2:10" ht="15.75" customHeight="1">
      <c r="B374" s="109"/>
      <c r="C374" s="110"/>
      <c r="D374" s="111"/>
      <c r="E374" s="112"/>
      <c r="F374" s="112"/>
      <c r="G374" s="113"/>
      <c r="H374" s="113"/>
      <c r="I374" s="113"/>
      <c r="J374" s="17"/>
    </row>
    <row r="375" spans="2:10" ht="15.75" customHeight="1">
      <c r="B375" s="109"/>
      <c r="C375" s="110"/>
      <c r="D375" s="111"/>
      <c r="E375" s="112"/>
      <c r="F375" s="112"/>
      <c r="G375" s="113"/>
      <c r="H375" s="113"/>
      <c r="I375" s="113"/>
      <c r="J375" s="17"/>
    </row>
    <row r="376" spans="2:10" ht="15.75" customHeight="1">
      <c r="B376" s="109"/>
      <c r="C376" s="110"/>
      <c r="D376" s="111"/>
      <c r="E376" s="112"/>
      <c r="F376" s="112"/>
      <c r="G376" s="113"/>
      <c r="H376" s="113"/>
      <c r="I376" s="113"/>
      <c r="J376" s="17"/>
    </row>
    <row r="377" spans="2:10" ht="15.75" customHeight="1">
      <c r="B377" s="109"/>
      <c r="C377" s="110"/>
      <c r="D377" s="111"/>
      <c r="E377" s="112"/>
      <c r="F377" s="112"/>
      <c r="G377" s="113"/>
      <c r="H377" s="113"/>
      <c r="I377" s="113"/>
      <c r="J377" s="17"/>
    </row>
    <row r="378" spans="2:10" ht="15.75" customHeight="1">
      <c r="B378" s="109"/>
      <c r="C378" s="110"/>
      <c r="D378" s="111"/>
      <c r="E378" s="112"/>
      <c r="F378" s="112"/>
      <c r="G378" s="113"/>
      <c r="H378" s="113"/>
      <c r="I378" s="113"/>
      <c r="J378" s="17"/>
    </row>
    <row r="379" spans="2:10" ht="15.75" customHeight="1">
      <c r="B379" s="109"/>
      <c r="C379" s="110"/>
      <c r="D379" s="111"/>
      <c r="E379" s="112"/>
      <c r="F379" s="112"/>
      <c r="G379" s="113"/>
      <c r="H379" s="113"/>
      <c r="I379" s="113"/>
      <c r="J379" s="17"/>
    </row>
    <row r="380" spans="2:10" ht="15.75" customHeight="1">
      <c r="B380" s="109"/>
      <c r="C380" s="110"/>
      <c r="D380" s="111"/>
      <c r="E380" s="112"/>
      <c r="F380" s="112"/>
      <c r="G380" s="113"/>
      <c r="H380" s="113"/>
      <c r="I380" s="113"/>
      <c r="J380" s="17"/>
    </row>
    <row r="381" spans="2:10" ht="15.75" customHeight="1">
      <c r="B381" s="109"/>
      <c r="C381" s="110"/>
      <c r="D381" s="111"/>
      <c r="E381" s="112"/>
      <c r="F381" s="112"/>
      <c r="G381" s="113"/>
      <c r="H381" s="113"/>
      <c r="I381" s="113"/>
      <c r="J381" s="17"/>
    </row>
    <row r="382" spans="2:10" ht="15.75" customHeight="1">
      <c r="B382" s="109"/>
      <c r="C382" s="110"/>
      <c r="D382" s="111"/>
      <c r="E382" s="112"/>
      <c r="F382" s="112"/>
      <c r="G382" s="113"/>
      <c r="H382" s="113"/>
      <c r="I382" s="113"/>
      <c r="J382" s="17"/>
    </row>
    <row r="383" spans="2:10" ht="15.75" customHeight="1">
      <c r="B383" s="109"/>
      <c r="C383" s="110"/>
      <c r="D383" s="111"/>
      <c r="E383" s="112"/>
      <c r="F383" s="112"/>
      <c r="G383" s="113"/>
      <c r="H383" s="113"/>
      <c r="I383" s="113"/>
      <c r="J383" s="17"/>
    </row>
    <row r="384" spans="2:10" ht="15.75" customHeight="1">
      <c r="B384" s="109"/>
      <c r="C384" s="110"/>
      <c r="D384" s="111"/>
      <c r="E384" s="112"/>
      <c r="F384" s="112"/>
      <c r="G384" s="113"/>
      <c r="H384" s="113"/>
      <c r="I384" s="113"/>
      <c r="J384" s="17"/>
    </row>
    <row r="385" spans="2:10" ht="15.75" customHeight="1">
      <c r="B385" s="109"/>
      <c r="C385" s="110"/>
      <c r="D385" s="111"/>
      <c r="E385" s="112"/>
      <c r="F385" s="112"/>
      <c r="G385" s="113"/>
      <c r="H385" s="113"/>
      <c r="I385" s="113"/>
      <c r="J385" s="17"/>
    </row>
    <row r="386" spans="2:10" ht="15.75" customHeight="1">
      <c r="B386" s="109"/>
      <c r="C386" s="110"/>
      <c r="D386" s="111"/>
      <c r="E386" s="112"/>
      <c r="F386" s="112"/>
      <c r="G386" s="113"/>
      <c r="H386" s="113"/>
      <c r="I386" s="113"/>
      <c r="J386" s="17"/>
    </row>
    <row r="387" spans="2:10" ht="15.75" customHeight="1">
      <c r="B387" s="109"/>
      <c r="C387" s="110"/>
      <c r="D387" s="111"/>
      <c r="E387" s="112"/>
      <c r="F387" s="112"/>
      <c r="G387" s="113"/>
      <c r="H387" s="113"/>
      <c r="I387" s="113"/>
      <c r="J387" s="17"/>
    </row>
    <row r="388" spans="2:10" ht="15.75" customHeight="1">
      <c r="B388" s="109"/>
      <c r="C388" s="110"/>
      <c r="D388" s="111"/>
      <c r="E388" s="112"/>
      <c r="F388" s="112"/>
      <c r="G388" s="113"/>
      <c r="H388" s="113"/>
      <c r="I388" s="113"/>
      <c r="J388" s="17"/>
    </row>
    <row r="389" spans="2:10" ht="15.75" customHeight="1">
      <c r="B389" s="109"/>
      <c r="C389" s="110"/>
      <c r="D389" s="111"/>
      <c r="E389" s="112"/>
      <c r="F389" s="112"/>
      <c r="G389" s="113"/>
      <c r="H389" s="113"/>
      <c r="I389" s="113"/>
      <c r="J389" s="17"/>
    </row>
    <row r="390" spans="2:10" ht="15.75" customHeight="1">
      <c r="B390" s="109"/>
      <c r="C390" s="110"/>
      <c r="D390" s="111"/>
      <c r="E390" s="112"/>
      <c r="F390" s="112"/>
      <c r="G390" s="113"/>
      <c r="H390" s="113"/>
      <c r="I390" s="113"/>
      <c r="J390" s="17"/>
    </row>
    <row r="391" spans="2:10" ht="15.75" customHeight="1">
      <c r="B391" s="109"/>
      <c r="C391" s="110"/>
      <c r="D391" s="111"/>
      <c r="E391" s="112"/>
      <c r="F391" s="112"/>
      <c r="G391" s="113"/>
      <c r="H391" s="113"/>
      <c r="I391" s="113"/>
      <c r="J391" s="17"/>
    </row>
    <row r="392" spans="2:10" ht="15.75" customHeight="1">
      <c r="B392" s="109"/>
      <c r="C392" s="110"/>
      <c r="D392" s="111"/>
      <c r="E392" s="112"/>
      <c r="F392" s="112"/>
      <c r="G392" s="113"/>
      <c r="H392" s="113"/>
      <c r="I392" s="113"/>
      <c r="J392" s="17"/>
    </row>
    <row r="393" spans="2:10" ht="15.75" customHeight="1">
      <c r="B393" s="109"/>
      <c r="C393" s="110"/>
      <c r="D393" s="111"/>
      <c r="E393" s="112"/>
      <c r="F393" s="112"/>
      <c r="G393" s="113"/>
      <c r="H393" s="113"/>
      <c r="I393" s="113"/>
      <c r="J393" s="17"/>
    </row>
    <row r="394" spans="2:10" ht="15.75" customHeight="1">
      <c r="B394" s="109"/>
      <c r="C394" s="110"/>
      <c r="D394" s="111"/>
      <c r="E394" s="112"/>
      <c r="F394" s="112"/>
      <c r="G394" s="113"/>
      <c r="H394" s="113"/>
      <c r="I394" s="113"/>
      <c r="J394" s="17"/>
    </row>
    <row r="395" spans="2:10" ht="15.75" customHeight="1">
      <c r="B395" s="109"/>
      <c r="C395" s="110"/>
      <c r="D395" s="111"/>
      <c r="E395" s="112"/>
      <c r="F395" s="112"/>
      <c r="G395" s="113"/>
      <c r="H395" s="113"/>
      <c r="I395" s="113"/>
      <c r="J395" s="17"/>
    </row>
    <row r="396" spans="2:10" ht="15.75" customHeight="1">
      <c r="B396" s="109"/>
      <c r="C396" s="110"/>
      <c r="D396" s="111"/>
      <c r="E396" s="112"/>
      <c r="F396" s="112"/>
      <c r="G396" s="113"/>
      <c r="H396" s="113"/>
      <c r="I396" s="113"/>
      <c r="J396" s="17"/>
    </row>
    <row r="397" spans="2:10" ht="15.75" customHeight="1">
      <c r="B397" s="109"/>
      <c r="C397" s="110"/>
      <c r="D397" s="111"/>
      <c r="E397" s="112"/>
      <c r="F397" s="112"/>
      <c r="G397" s="113"/>
      <c r="H397" s="113"/>
      <c r="I397" s="113"/>
      <c r="J397" s="17"/>
    </row>
    <row r="398" spans="2:10" ht="15.75" customHeight="1">
      <c r="B398" s="109"/>
      <c r="C398" s="110"/>
      <c r="D398" s="111"/>
      <c r="E398" s="112"/>
      <c r="F398" s="112"/>
      <c r="G398" s="113"/>
      <c r="H398" s="113"/>
      <c r="I398" s="113"/>
      <c r="J398" s="17"/>
    </row>
    <row r="399" spans="2:10" ht="15.75" customHeight="1">
      <c r="B399" s="109"/>
      <c r="C399" s="110"/>
      <c r="D399" s="111"/>
      <c r="E399" s="112"/>
      <c r="F399" s="112"/>
      <c r="G399" s="113"/>
      <c r="H399" s="113"/>
      <c r="I399" s="113"/>
      <c r="J399" s="17"/>
    </row>
    <row r="400" spans="2:10" ht="15.75" customHeight="1">
      <c r="B400" s="109"/>
      <c r="C400" s="110"/>
      <c r="D400" s="111"/>
      <c r="E400" s="112"/>
      <c r="F400" s="112"/>
      <c r="G400" s="113"/>
      <c r="H400" s="113"/>
      <c r="I400" s="113"/>
      <c r="J400" s="17"/>
    </row>
    <row r="401" spans="2:10" ht="15.75" customHeight="1">
      <c r="B401" s="109"/>
      <c r="C401" s="110"/>
      <c r="D401" s="111"/>
      <c r="E401" s="112"/>
      <c r="F401" s="112"/>
      <c r="G401" s="113"/>
      <c r="H401" s="113"/>
      <c r="I401" s="113"/>
      <c r="J401" s="17"/>
    </row>
    <row r="402" spans="2:10" ht="15.75" customHeight="1">
      <c r="B402" s="109"/>
      <c r="C402" s="110"/>
      <c r="D402" s="111"/>
      <c r="E402" s="112"/>
      <c r="F402" s="112"/>
      <c r="G402" s="113"/>
      <c r="H402" s="113"/>
      <c r="I402" s="113"/>
      <c r="J402" s="17"/>
    </row>
    <row r="403" spans="2:10" ht="15.75" customHeight="1">
      <c r="B403" s="109"/>
      <c r="C403" s="110"/>
      <c r="D403" s="111"/>
      <c r="E403" s="112"/>
      <c r="F403" s="112"/>
      <c r="G403" s="113"/>
      <c r="H403" s="113"/>
      <c r="I403" s="113"/>
      <c r="J403" s="17"/>
    </row>
    <row r="404" spans="2:10" ht="15.75" customHeight="1">
      <c r="B404" s="109"/>
      <c r="C404" s="110"/>
      <c r="D404" s="111"/>
      <c r="E404" s="112"/>
      <c r="F404" s="112"/>
      <c r="G404" s="113"/>
      <c r="H404" s="113"/>
      <c r="I404" s="113"/>
      <c r="J404" s="17"/>
    </row>
    <row r="405" spans="2:10" ht="15.75" customHeight="1">
      <c r="B405" s="109"/>
      <c r="C405" s="110"/>
      <c r="D405" s="111"/>
      <c r="E405" s="112"/>
      <c r="F405" s="112"/>
      <c r="G405" s="113"/>
      <c r="H405" s="113"/>
      <c r="I405" s="113"/>
      <c r="J405" s="17"/>
    </row>
    <row r="406" spans="2:10" ht="15.75" customHeight="1">
      <c r="B406" s="109"/>
      <c r="C406" s="110"/>
      <c r="D406" s="111"/>
      <c r="E406" s="112"/>
      <c r="F406" s="112"/>
      <c r="G406" s="113"/>
      <c r="H406" s="113"/>
      <c r="I406" s="113"/>
      <c r="J406" s="17"/>
    </row>
    <row r="407" spans="2:10" ht="15.75" customHeight="1">
      <c r="B407" s="109"/>
      <c r="C407" s="110"/>
      <c r="D407" s="111"/>
      <c r="E407" s="112"/>
      <c r="F407" s="112"/>
      <c r="G407" s="113"/>
      <c r="H407" s="113"/>
      <c r="I407" s="113"/>
      <c r="J407" s="17"/>
    </row>
    <row r="408" spans="2:10" ht="15.75" customHeight="1">
      <c r="B408" s="109"/>
      <c r="C408" s="110"/>
      <c r="D408" s="111"/>
      <c r="E408" s="112"/>
      <c r="F408" s="112"/>
      <c r="G408" s="113"/>
      <c r="H408" s="113"/>
      <c r="I408" s="113"/>
      <c r="J408" s="17"/>
    </row>
    <row r="409" spans="2:10" ht="15.75" customHeight="1">
      <c r="B409" s="109"/>
      <c r="C409" s="110"/>
      <c r="D409" s="111"/>
      <c r="E409" s="112"/>
      <c r="F409" s="112"/>
      <c r="G409" s="113"/>
      <c r="H409" s="113"/>
      <c r="I409" s="113"/>
      <c r="J409" s="17"/>
    </row>
    <row r="410" spans="2:10" ht="15.75" customHeight="1">
      <c r="B410" s="109"/>
      <c r="C410" s="110"/>
      <c r="D410" s="111"/>
      <c r="E410" s="112"/>
      <c r="F410" s="112"/>
      <c r="G410" s="113"/>
      <c r="H410" s="113"/>
      <c r="I410" s="113"/>
      <c r="J410" s="17"/>
    </row>
    <row r="411" spans="2:10" ht="15.75" customHeight="1">
      <c r="B411" s="109"/>
      <c r="C411" s="110"/>
      <c r="D411" s="111"/>
      <c r="E411" s="112"/>
      <c r="F411" s="112"/>
      <c r="G411" s="113"/>
      <c r="H411" s="113"/>
      <c r="I411" s="113"/>
      <c r="J411" s="17"/>
    </row>
    <row r="412" spans="2:10" ht="15.75" customHeight="1">
      <c r="B412" s="109"/>
      <c r="C412" s="110"/>
      <c r="D412" s="111"/>
      <c r="E412" s="112"/>
      <c r="F412" s="112"/>
      <c r="G412" s="113"/>
      <c r="H412" s="113"/>
      <c r="I412" s="113"/>
      <c r="J412" s="17"/>
    </row>
    <row r="413" spans="2:10" ht="15.75" customHeight="1">
      <c r="B413" s="109"/>
      <c r="C413" s="110"/>
      <c r="D413" s="111"/>
      <c r="E413" s="112"/>
      <c r="F413" s="112"/>
      <c r="G413" s="113"/>
      <c r="H413" s="113"/>
      <c r="I413" s="113"/>
      <c r="J413" s="17"/>
    </row>
    <row r="414" spans="2:10" ht="15.75" customHeight="1">
      <c r="B414" s="109"/>
      <c r="C414" s="110"/>
      <c r="D414" s="111"/>
      <c r="E414" s="112"/>
      <c r="F414" s="112"/>
      <c r="G414" s="113"/>
      <c r="H414" s="113"/>
      <c r="I414" s="113"/>
      <c r="J414" s="17"/>
    </row>
    <row r="415" spans="2:10" ht="15.75" customHeight="1">
      <c r="B415" s="109"/>
      <c r="C415" s="110"/>
      <c r="D415" s="111"/>
      <c r="E415" s="112"/>
      <c r="F415" s="112"/>
      <c r="G415" s="113"/>
      <c r="H415" s="113"/>
      <c r="I415" s="113"/>
      <c r="J415" s="17"/>
    </row>
    <row r="416" spans="2:10" ht="15.75" customHeight="1">
      <c r="B416" s="109"/>
      <c r="C416" s="110"/>
      <c r="D416" s="111"/>
      <c r="E416" s="112"/>
      <c r="F416" s="112"/>
      <c r="G416" s="113"/>
      <c r="H416" s="113"/>
      <c r="I416" s="113"/>
      <c r="J416" s="17"/>
    </row>
    <row r="417" spans="2:10" ht="15.75" customHeight="1">
      <c r="B417" s="109"/>
      <c r="C417" s="110"/>
      <c r="D417" s="111"/>
      <c r="E417" s="112"/>
      <c r="F417" s="112"/>
      <c r="G417" s="113"/>
      <c r="H417" s="113"/>
      <c r="I417" s="113"/>
      <c r="J417" s="17"/>
    </row>
    <row r="418" spans="2:10" ht="15.75" customHeight="1">
      <c r="B418" s="109"/>
      <c r="C418" s="110"/>
      <c r="D418" s="111"/>
      <c r="E418" s="112"/>
      <c r="F418" s="112"/>
      <c r="G418" s="113"/>
      <c r="H418" s="113"/>
      <c r="I418" s="113"/>
      <c r="J418" s="17"/>
    </row>
    <row r="419" spans="2:10" ht="15.75" customHeight="1">
      <c r="B419" s="109"/>
      <c r="C419" s="110"/>
      <c r="D419" s="111"/>
      <c r="E419" s="112"/>
      <c r="F419" s="112"/>
      <c r="G419" s="113"/>
      <c r="H419" s="113"/>
      <c r="I419" s="113"/>
      <c r="J419" s="17"/>
    </row>
    <row r="420" spans="2:10" ht="15.75" customHeight="1">
      <c r="B420" s="109"/>
      <c r="C420" s="110"/>
      <c r="D420" s="111"/>
      <c r="E420" s="112"/>
      <c r="F420" s="112"/>
      <c r="G420" s="113"/>
      <c r="H420" s="113"/>
      <c r="I420" s="113"/>
      <c r="J420" s="17"/>
    </row>
    <row r="421" spans="2:10" ht="15.75" customHeight="1">
      <c r="B421" s="109"/>
      <c r="C421" s="110"/>
      <c r="D421" s="111"/>
      <c r="E421" s="112"/>
      <c r="F421" s="112"/>
      <c r="G421" s="113"/>
      <c r="H421" s="113"/>
      <c r="I421" s="113"/>
      <c r="J421" s="17"/>
    </row>
    <row r="422" spans="2:10" ht="15.75" customHeight="1">
      <c r="B422" s="109"/>
      <c r="C422" s="110"/>
      <c r="D422" s="111"/>
      <c r="E422" s="112"/>
      <c r="F422" s="112"/>
      <c r="G422" s="113"/>
      <c r="H422" s="113"/>
      <c r="I422" s="113"/>
      <c r="J422" s="17"/>
    </row>
    <row r="423" spans="2:10" ht="15.75" customHeight="1">
      <c r="B423" s="109"/>
      <c r="C423" s="110"/>
      <c r="D423" s="111"/>
      <c r="E423" s="112"/>
      <c r="F423" s="112"/>
      <c r="G423" s="113"/>
      <c r="H423" s="113"/>
      <c r="I423" s="113"/>
      <c r="J423" s="17"/>
    </row>
    <row r="424" spans="2:10" ht="15.75" customHeight="1">
      <c r="B424" s="109"/>
      <c r="C424" s="110"/>
      <c r="D424" s="111"/>
      <c r="E424" s="112"/>
      <c r="F424" s="112"/>
      <c r="G424" s="113"/>
      <c r="H424" s="113"/>
      <c r="I424" s="113"/>
      <c r="J424" s="17"/>
    </row>
    <row r="425" spans="2:10" ht="15.75" customHeight="1">
      <c r="B425" s="109"/>
      <c r="C425" s="110"/>
      <c r="D425" s="111"/>
      <c r="E425" s="112"/>
      <c r="F425" s="112"/>
      <c r="G425" s="113"/>
      <c r="H425" s="113"/>
      <c r="I425" s="113"/>
      <c r="J425" s="17"/>
    </row>
    <row r="426" spans="2:10" ht="15.75" customHeight="1">
      <c r="B426" s="109"/>
      <c r="C426" s="110"/>
      <c r="D426" s="111"/>
      <c r="E426" s="112"/>
      <c r="F426" s="112"/>
      <c r="G426" s="113"/>
      <c r="H426" s="113"/>
      <c r="I426" s="113"/>
      <c r="J426" s="17"/>
    </row>
    <row r="427" spans="2:10" ht="15.75" customHeight="1">
      <c r="B427" s="109"/>
      <c r="C427" s="110"/>
      <c r="D427" s="111"/>
      <c r="E427" s="112"/>
      <c r="F427" s="112"/>
      <c r="G427" s="113"/>
      <c r="H427" s="113"/>
      <c r="I427" s="113"/>
      <c r="J427" s="17"/>
    </row>
    <row r="428" spans="2:10" ht="15.75" customHeight="1">
      <c r="B428" s="109"/>
      <c r="C428" s="110"/>
      <c r="D428" s="111"/>
      <c r="E428" s="112"/>
      <c r="F428" s="112"/>
      <c r="G428" s="113"/>
      <c r="H428" s="113"/>
      <c r="I428" s="113"/>
      <c r="J428" s="17"/>
    </row>
    <row r="429" spans="2:10" ht="15.75" customHeight="1">
      <c r="B429" s="109"/>
      <c r="C429" s="110"/>
      <c r="D429" s="111"/>
      <c r="E429" s="112"/>
      <c r="F429" s="112"/>
      <c r="G429" s="113"/>
      <c r="H429" s="113"/>
      <c r="I429" s="113"/>
      <c r="J429" s="17"/>
    </row>
    <row r="430" spans="2:10" ht="15.75" customHeight="1">
      <c r="B430" s="109"/>
      <c r="C430" s="110"/>
      <c r="D430" s="111"/>
      <c r="E430" s="112"/>
      <c r="F430" s="112"/>
      <c r="G430" s="113"/>
      <c r="H430" s="113"/>
      <c r="I430" s="113"/>
      <c r="J430" s="17"/>
    </row>
    <row r="431" spans="2:10" ht="15.75" customHeight="1">
      <c r="B431" s="109"/>
      <c r="C431" s="110"/>
      <c r="D431" s="111"/>
      <c r="E431" s="112"/>
      <c r="F431" s="112"/>
      <c r="G431" s="113"/>
      <c r="H431" s="113"/>
      <c r="I431" s="113"/>
      <c r="J431" s="17"/>
    </row>
    <row r="432" spans="2:10" ht="15.75" customHeight="1">
      <c r="B432" s="109"/>
      <c r="C432" s="110"/>
      <c r="D432" s="111"/>
      <c r="E432" s="112"/>
      <c r="F432" s="112"/>
      <c r="G432" s="113"/>
      <c r="H432" s="113"/>
      <c r="I432" s="113"/>
      <c r="J432" s="17"/>
    </row>
    <row r="433" spans="2:10" ht="15.75" customHeight="1">
      <c r="B433" s="109"/>
      <c r="C433" s="110"/>
      <c r="D433" s="111"/>
      <c r="E433" s="112"/>
      <c r="F433" s="112"/>
      <c r="G433" s="113"/>
      <c r="H433" s="113"/>
      <c r="I433" s="113"/>
      <c r="J433" s="17"/>
    </row>
    <row r="434" spans="2:10" ht="15.75" customHeight="1">
      <c r="B434" s="109"/>
      <c r="C434" s="110"/>
      <c r="D434" s="111"/>
      <c r="E434" s="112"/>
      <c r="F434" s="112"/>
      <c r="G434" s="113"/>
      <c r="H434" s="113"/>
      <c r="I434" s="113"/>
      <c r="J434" s="17"/>
    </row>
    <row r="435" spans="2:10" ht="15.75" customHeight="1">
      <c r="B435" s="109"/>
      <c r="C435" s="110"/>
      <c r="D435" s="111"/>
      <c r="E435" s="112"/>
      <c r="F435" s="112"/>
      <c r="G435" s="113"/>
      <c r="H435" s="113"/>
      <c r="I435" s="113"/>
      <c r="J435" s="17"/>
    </row>
    <row r="436" spans="2:10" ht="15.75" customHeight="1">
      <c r="B436" s="109"/>
      <c r="C436" s="110"/>
      <c r="D436" s="111"/>
      <c r="E436" s="112"/>
      <c r="F436" s="112"/>
      <c r="G436" s="113"/>
      <c r="H436" s="113"/>
      <c r="I436" s="113"/>
      <c r="J436" s="17"/>
    </row>
    <row r="437" spans="2:10" ht="15.75" customHeight="1">
      <c r="B437" s="109"/>
      <c r="C437" s="110"/>
      <c r="D437" s="111"/>
      <c r="E437" s="112"/>
      <c r="F437" s="112"/>
      <c r="G437" s="113"/>
      <c r="H437" s="113"/>
      <c r="I437" s="113"/>
      <c r="J437" s="17"/>
    </row>
    <row r="438" spans="2:10" ht="15.75" customHeight="1">
      <c r="B438" s="109"/>
      <c r="C438" s="110"/>
      <c r="D438" s="111"/>
      <c r="E438" s="112"/>
      <c r="F438" s="112"/>
      <c r="G438" s="113"/>
      <c r="H438" s="113"/>
      <c r="I438" s="113"/>
      <c r="J438" s="17"/>
    </row>
    <row r="439" spans="2:10" ht="15.75" customHeight="1">
      <c r="B439" s="109"/>
      <c r="C439" s="110"/>
      <c r="D439" s="111"/>
      <c r="E439" s="112"/>
      <c r="F439" s="112"/>
      <c r="G439" s="113"/>
      <c r="H439" s="113"/>
      <c r="I439" s="113"/>
      <c r="J439" s="17"/>
    </row>
    <row r="440" spans="2:10" ht="15.75" customHeight="1">
      <c r="B440" s="109"/>
      <c r="C440" s="110"/>
      <c r="D440" s="111"/>
      <c r="E440" s="112"/>
      <c r="F440" s="112"/>
      <c r="G440" s="113"/>
      <c r="H440" s="113"/>
      <c r="I440" s="113"/>
      <c r="J440" s="17"/>
    </row>
    <row r="441" spans="2:10" ht="15.75" customHeight="1">
      <c r="B441" s="109"/>
      <c r="C441" s="110"/>
      <c r="D441" s="111"/>
      <c r="E441" s="112"/>
      <c r="F441" s="112"/>
      <c r="G441" s="113"/>
      <c r="H441" s="113"/>
      <c r="I441" s="113"/>
      <c r="J441" s="17"/>
    </row>
    <row r="442" spans="2:10" ht="15.75" customHeight="1">
      <c r="B442" s="109"/>
      <c r="C442" s="110"/>
      <c r="D442" s="111"/>
      <c r="E442" s="112"/>
      <c r="F442" s="112"/>
      <c r="G442" s="113"/>
      <c r="H442" s="113"/>
      <c r="I442" s="113"/>
      <c r="J442" s="17"/>
    </row>
    <row r="443" spans="2:10" ht="15.75" customHeight="1">
      <c r="B443" s="109"/>
      <c r="C443" s="110"/>
      <c r="D443" s="111"/>
      <c r="E443" s="112"/>
      <c r="F443" s="112"/>
      <c r="G443" s="113"/>
      <c r="H443" s="113"/>
      <c r="I443" s="113"/>
      <c r="J443" s="17"/>
    </row>
    <row r="444" spans="2:10" ht="15.75" customHeight="1">
      <c r="B444" s="109"/>
      <c r="C444" s="110"/>
      <c r="D444" s="111"/>
      <c r="E444" s="112"/>
      <c r="F444" s="112"/>
      <c r="G444" s="113"/>
      <c r="H444" s="113"/>
      <c r="I444" s="113"/>
      <c r="J444" s="17"/>
    </row>
    <row r="445" spans="2:10" ht="15.75" customHeight="1">
      <c r="B445" s="109"/>
      <c r="C445" s="110"/>
      <c r="D445" s="111"/>
      <c r="E445" s="112"/>
      <c r="F445" s="112"/>
      <c r="G445" s="113"/>
      <c r="H445" s="113"/>
      <c r="I445" s="113"/>
      <c r="J445" s="17"/>
    </row>
    <row r="446" spans="2:10" ht="15.75" customHeight="1">
      <c r="B446" s="109"/>
      <c r="C446" s="110"/>
      <c r="D446" s="111"/>
      <c r="E446" s="112"/>
      <c r="F446" s="112"/>
      <c r="G446" s="113"/>
      <c r="H446" s="113"/>
      <c r="I446" s="113"/>
      <c r="J446" s="17"/>
    </row>
    <row r="447" spans="2:10" ht="15.75" customHeight="1">
      <c r="B447" s="109"/>
      <c r="C447" s="110"/>
      <c r="D447" s="111"/>
      <c r="E447" s="112"/>
      <c r="F447" s="112"/>
      <c r="G447" s="113"/>
      <c r="H447" s="113"/>
      <c r="I447" s="113"/>
      <c r="J447" s="17"/>
    </row>
    <row r="448" spans="2:10" ht="15.75" customHeight="1">
      <c r="B448" s="109"/>
      <c r="C448" s="110"/>
      <c r="D448" s="111"/>
      <c r="E448" s="112"/>
      <c r="F448" s="112"/>
      <c r="G448" s="113"/>
      <c r="H448" s="113"/>
      <c r="I448" s="113"/>
      <c r="J448" s="17"/>
    </row>
    <row r="449" spans="2:10" ht="15.75" customHeight="1">
      <c r="B449" s="109"/>
      <c r="C449" s="110"/>
      <c r="D449" s="111"/>
      <c r="E449" s="112"/>
      <c r="F449" s="112"/>
      <c r="G449" s="113"/>
      <c r="H449" s="113"/>
      <c r="I449" s="113"/>
      <c r="J449" s="17"/>
    </row>
    <row r="450" spans="2:10" ht="15.75" customHeight="1">
      <c r="B450" s="109"/>
      <c r="C450" s="110"/>
      <c r="D450" s="111"/>
      <c r="E450" s="112"/>
      <c r="F450" s="112"/>
      <c r="G450" s="113"/>
      <c r="H450" s="113"/>
      <c r="I450" s="113"/>
      <c r="J450" s="17"/>
    </row>
    <row r="451" spans="2:10" ht="15.75" customHeight="1">
      <c r="B451" s="109"/>
      <c r="C451" s="110"/>
      <c r="D451" s="111"/>
      <c r="E451" s="112"/>
      <c r="F451" s="112"/>
      <c r="G451" s="113"/>
      <c r="H451" s="113"/>
      <c r="I451" s="113"/>
      <c r="J451" s="17"/>
    </row>
    <row r="452" spans="2:10" ht="15.75" customHeight="1">
      <c r="B452" s="109"/>
      <c r="C452" s="110"/>
      <c r="D452" s="111"/>
      <c r="E452" s="112"/>
      <c r="F452" s="112"/>
      <c r="G452" s="113"/>
      <c r="H452" s="113"/>
      <c r="I452" s="113"/>
      <c r="J452" s="17"/>
    </row>
    <row r="453" spans="2:10" ht="15.75" customHeight="1">
      <c r="B453" s="109"/>
      <c r="C453" s="110"/>
      <c r="D453" s="111"/>
      <c r="E453" s="112"/>
      <c r="F453" s="112"/>
      <c r="G453" s="113"/>
      <c r="H453" s="113"/>
      <c r="I453" s="113"/>
      <c r="J453" s="17"/>
    </row>
    <row r="454" spans="2:10" ht="15.75" customHeight="1">
      <c r="B454" s="109"/>
      <c r="C454" s="110"/>
      <c r="D454" s="111"/>
      <c r="E454" s="112"/>
      <c r="F454" s="112"/>
      <c r="G454" s="113"/>
      <c r="H454" s="113"/>
      <c r="I454" s="113"/>
      <c r="J454" s="17"/>
    </row>
    <row r="455" spans="2:10" ht="15.75" customHeight="1">
      <c r="B455" s="109"/>
      <c r="C455" s="110"/>
      <c r="D455" s="111"/>
      <c r="E455" s="112"/>
      <c r="F455" s="112"/>
      <c r="G455" s="113"/>
      <c r="H455" s="113"/>
      <c r="I455" s="113"/>
      <c r="J455" s="17"/>
    </row>
    <row r="456" spans="2:10" ht="15.75" customHeight="1">
      <c r="B456" s="109"/>
      <c r="C456" s="110"/>
      <c r="D456" s="111"/>
      <c r="E456" s="112"/>
      <c r="F456" s="112"/>
      <c r="G456" s="113"/>
      <c r="H456" s="113"/>
      <c r="I456" s="113"/>
      <c r="J456" s="17"/>
    </row>
    <row r="457" spans="2:10" ht="15.75" customHeight="1">
      <c r="B457" s="109"/>
      <c r="C457" s="110"/>
      <c r="D457" s="111"/>
      <c r="E457" s="112"/>
      <c r="F457" s="112"/>
      <c r="G457" s="113"/>
      <c r="H457" s="113"/>
      <c r="I457" s="113"/>
      <c r="J457" s="17"/>
    </row>
    <row r="458" spans="2:10" ht="15.75" customHeight="1">
      <c r="B458" s="109"/>
      <c r="C458" s="110"/>
      <c r="D458" s="111"/>
      <c r="E458" s="112"/>
      <c r="F458" s="112"/>
      <c r="G458" s="113"/>
      <c r="H458" s="113"/>
      <c r="I458" s="113"/>
      <c r="J458" s="17"/>
    </row>
    <row r="459" spans="2:10" ht="15.75" customHeight="1">
      <c r="B459" s="109"/>
      <c r="C459" s="110"/>
      <c r="D459" s="111"/>
      <c r="E459" s="112"/>
      <c r="F459" s="112"/>
      <c r="G459" s="113"/>
      <c r="H459" s="113"/>
      <c r="I459" s="113"/>
      <c r="J459" s="17"/>
    </row>
    <row r="460" spans="2:10" ht="15.75" customHeight="1">
      <c r="B460" s="109"/>
      <c r="C460" s="110"/>
      <c r="D460" s="111"/>
      <c r="E460" s="112"/>
      <c r="F460" s="112"/>
      <c r="G460" s="113"/>
      <c r="H460" s="113"/>
      <c r="I460" s="113"/>
      <c r="J460" s="17"/>
    </row>
    <row r="461" spans="2:10" ht="15.75" customHeight="1">
      <c r="B461" s="109"/>
      <c r="C461" s="110"/>
      <c r="D461" s="111"/>
      <c r="E461" s="112"/>
      <c r="F461" s="112"/>
      <c r="G461" s="113"/>
      <c r="H461" s="113"/>
      <c r="I461" s="113"/>
      <c r="J461" s="17"/>
    </row>
    <row r="462" spans="2:10" ht="15.75" customHeight="1">
      <c r="B462" s="109"/>
      <c r="C462" s="110"/>
      <c r="D462" s="111"/>
      <c r="E462" s="112"/>
      <c r="F462" s="112"/>
      <c r="G462" s="113"/>
      <c r="H462" s="113"/>
      <c r="I462" s="113"/>
      <c r="J462" s="17"/>
    </row>
    <row r="463" spans="2:10" ht="15.75" customHeight="1">
      <c r="B463" s="109"/>
      <c r="C463" s="110"/>
      <c r="D463" s="111"/>
      <c r="E463" s="112"/>
      <c r="F463" s="112"/>
      <c r="G463" s="113"/>
      <c r="H463" s="113"/>
      <c r="I463" s="113"/>
      <c r="J463" s="17"/>
    </row>
    <row r="464" spans="2:10" ht="15.75" customHeight="1">
      <c r="B464" s="109"/>
      <c r="C464" s="110"/>
      <c r="D464" s="111"/>
      <c r="E464" s="112"/>
      <c r="F464" s="112"/>
      <c r="G464" s="113"/>
      <c r="H464" s="113"/>
      <c r="I464" s="113"/>
      <c r="J464" s="17"/>
    </row>
    <row r="465" spans="2:10" ht="15.75" customHeight="1">
      <c r="B465" s="109"/>
      <c r="C465" s="110"/>
      <c r="D465" s="111"/>
      <c r="E465" s="112"/>
      <c r="F465" s="112"/>
      <c r="G465" s="113"/>
      <c r="H465" s="113"/>
      <c r="I465" s="113"/>
      <c r="J465" s="17"/>
    </row>
    <row r="466" spans="2:10" ht="15.75" customHeight="1">
      <c r="B466" s="109"/>
      <c r="C466" s="110"/>
      <c r="D466" s="111"/>
      <c r="E466" s="112"/>
      <c r="F466" s="112"/>
      <c r="G466" s="113"/>
      <c r="H466" s="113"/>
      <c r="I466" s="113"/>
      <c r="J466" s="17"/>
    </row>
    <row r="467" spans="2:10" ht="15.75" customHeight="1">
      <c r="B467" s="109"/>
      <c r="C467" s="110"/>
      <c r="D467" s="111"/>
      <c r="E467" s="112"/>
      <c r="F467" s="112"/>
      <c r="G467" s="113"/>
      <c r="H467" s="113"/>
      <c r="I467" s="113"/>
      <c r="J467" s="17"/>
    </row>
    <row r="468" spans="2:10" ht="15.75" customHeight="1">
      <c r="B468" s="109"/>
      <c r="C468" s="110"/>
      <c r="D468" s="111"/>
      <c r="E468" s="112"/>
      <c r="F468" s="112"/>
      <c r="G468" s="113"/>
      <c r="H468" s="113"/>
      <c r="I468" s="113"/>
      <c r="J468" s="17"/>
    </row>
    <row r="469" spans="2:10" ht="15.75" customHeight="1">
      <c r="B469" s="109"/>
      <c r="C469" s="110"/>
      <c r="D469" s="111"/>
      <c r="E469" s="112"/>
      <c r="F469" s="112"/>
      <c r="G469" s="113"/>
      <c r="H469" s="113"/>
      <c r="I469" s="113"/>
      <c r="J469" s="17"/>
    </row>
    <row r="470" spans="2:10" ht="15.75" customHeight="1">
      <c r="B470" s="109"/>
      <c r="C470" s="110"/>
      <c r="D470" s="111"/>
      <c r="E470" s="112"/>
      <c r="F470" s="112"/>
      <c r="G470" s="113"/>
      <c r="H470" s="113"/>
      <c r="I470" s="113"/>
      <c r="J470" s="17"/>
    </row>
    <row r="471" spans="2:10" ht="15.75" customHeight="1">
      <c r="B471" s="109"/>
      <c r="C471" s="110"/>
      <c r="D471" s="111"/>
      <c r="E471" s="112"/>
      <c r="F471" s="112"/>
      <c r="G471" s="113"/>
      <c r="H471" s="113"/>
      <c r="I471" s="113"/>
      <c r="J471" s="17"/>
    </row>
    <row r="472" spans="2:10" ht="15.75" customHeight="1">
      <c r="B472" s="109"/>
      <c r="C472" s="110"/>
      <c r="D472" s="111"/>
      <c r="E472" s="112"/>
      <c r="F472" s="112"/>
      <c r="G472" s="113"/>
      <c r="H472" s="113"/>
      <c r="I472" s="113"/>
      <c r="J472" s="17"/>
    </row>
    <row r="473" spans="2:10" ht="15.75" customHeight="1">
      <c r="B473" s="109"/>
      <c r="C473" s="110"/>
      <c r="D473" s="111"/>
      <c r="E473" s="112"/>
      <c r="F473" s="112"/>
      <c r="G473" s="113"/>
      <c r="H473" s="113"/>
      <c r="I473" s="113"/>
      <c r="J473" s="17"/>
    </row>
    <row r="474" spans="2:10" ht="15.75" customHeight="1">
      <c r="B474" s="109"/>
      <c r="C474" s="110"/>
      <c r="D474" s="111"/>
      <c r="E474" s="112"/>
      <c r="F474" s="112"/>
      <c r="G474" s="113"/>
      <c r="H474" s="113"/>
      <c r="I474" s="113"/>
      <c r="J474" s="17"/>
    </row>
    <row r="475" spans="2:10" ht="15.75" customHeight="1">
      <c r="B475" s="109"/>
      <c r="C475" s="110"/>
      <c r="D475" s="111"/>
      <c r="E475" s="112"/>
      <c r="F475" s="112"/>
      <c r="G475" s="113"/>
      <c r="H475" s="113"/>
      <c r="I475" s="113"/>
      <c r="J475" s="17"/>
    </row>
    <row r="476" spans="2:10" ht="15.75" customHeight="1">
      <c r="B476" s="109"/>
      <c r="C476" s="110"/>
      <c r="D476" s="111"/>
      <c r="E476" s="112"/>
      <c r="F476" s="112"/>
      <c r="G476" s="113"/>
      <c r="H476" s="113"/>
      <c r="I476" s="113"/>
      <c r="J476" s="17"/>
    </row>
    <row r="477" spans="2:10" ht="15.75" customHeight="1">
      <c r="B477" s="109"/>
      <c r="C477" s="110"/>
      <c r="D477" s="111"/>
      <c r="E477" s="112"/>
      <c r="F477" s="112"/>
      <c r="G477" s="113"/>
      <c r="H477" s="113"/>
      <c r="I477" s="113"/>
      <c r="J477" s="17"/>
    </row>
    <row r="478" spans="2:10" ht="15.75" customHeight="1">
      <c r="B478" s="109"/>
      <c r="C478" s="110"/>
      <c r="D478" s="111"/>
      <c r="E478" s="112"/>
      <c r="F478" s="112"/>
      <c r="G478" s="113"/>
      <c r="H478" s="113"/>
      <c r="I478" s="113"/>
      <c r="J478" s="17"/>
    </row>
    <row r="479" spans="2:10" ht="15.75" customHeight="1">
      <c r="B479" s="109"/>
      <c r="C479" s="110"/>
      <c r="D479" s="111"/>
      <c r="E479" s="112"/>
      <c r="F479" s="112"/>
      <c r="G479" s="113"/>
      <c r="H479" s="113"/>
      <c r="I479" s="113"/>
      <c r="J479" s="17"/>
    </row>
    <row r="480" spans="2:10" ht="15.75" customHeight="1">
      <c r="B480" s="109"/>
      <c r="C480" s="110"/>
      <c r="D480" s="111"/>
      <c r="E480" s="112"/>
      <c r="F480" s="112"/>
      <c r="G480" s="113"/>
      <c r="H480" s="113"/>
      <c r="I480" s="113"/>
      <c r="J480" s="17"/>
    </row>
    <row r="481" spans="2:10" ht="15.75" customHeight="1">
      <c r="B481" s="109"/>
      <c r="C481" s="110"/>
      <c r="D481" s="111"/>
      <c r="E481" s="112"/>
      <c r="F481" s="112"/>
      <c r="G481" s="113"/>
      <c r="H481" s="113"/>
      <c r="I481" s="113"/>
      <c r="J481" s="17"/>
    </row>
    <row r="482" spans="2:10" ht="15.75" customHeight="1">
      <c r="B482" s="109"/>
      <c r="C482" s="110"/>
      <c r="D482" s="111"/>
      <c r="E482" s="112"/>
      <c r="F482" s="112"/>
      <c r="G482" s="113"/>
      <c r="H482" s="113"/>
      <c r="I482" s="113"/>
      <c r="J482" s="17"/>
    </row>
    <row r="483" spans="2:10" ht="15.75" customHeight="1">
      <c r="B483" s="109"/>
      <c r="C483" s="110"/>
      <c r="D483" s="111"/>
      <c r="E483" s="112"/>
      <c r="F483" s="112"/>
      <c r="G483" s="113"/>
      <c r="H483" s="113"/>
      <c r="I483" s="113"/>
      <c r="J483" s="17"/>
    </row>
    <row r="484" spans="2:10" ht="15.75" customHeight="1">
      <c r="B484" s="109"/>
      <c r="C484" s="110"/>
      <c r="D484" s="111"/>
      <c r="E484" s="112"/>
      <c r="F484" s="112"/>
      <c r="G484" s="113"/>
      <c r="H484" s="113"/>
      <c r="I484" s="113"/>
      <c r="J484" s="17"/>
    </row>
    <row r="485" spans="2:10" ht="15.75" customHeight="1">
      <c r="B485" s="109"/>
      <c r="C485" s="110"/>
      <c r="D485" s="111"/>
      <c r="E485" s="112"/>
      <c r="F485" s="112"/>
      <c r="G485" s="113"/>
      <c r="H485" s="113"/>
      <c r="I485" s="113"/>
      <c r="J485" s="17"/>
    </row>
    <row r="486" spans="2:10" ht="15.75" customHeight="1">
      <c r="B486" s="109"/>
      <c r="C486" s="110"/>
      <c r="D486" s="111"/>
      <c r="E486" s="112"/>
      <c r="F486" s="112"/>
      <c r="G486" s="113"/>
      <c r="H486" s="113"/>
      <c r="I486" s="113"/>
      <c r="J486" s="17"/>
    </row>
    <row r="487" spans="2:10" ht="15.75" customHeight="1">
      <c r="B487" s="109"/>
      <c r="C487" s="110"/>
      <c r="D487" s="111"/>
      <c r="E487" s="112"/>
      <c r="F487" s="112"/>
      <c r="G487" s="113"/>
      <c r="H487" s="113"/>
      <c r="I487" s="113"/>
      <c r="J487" s="17"/>
    </row>
    <row r="488" spans="2:10" ht="15.75" customHeight="1">
      <c r="B488" s="109"/>
      <c r="C488" s="110"/>
      <c r="D488" s="111"/>
      <c r="E488" s="112"/>
      <c r="F488" s="112"/>
      <c r="G488" s="113"/>
      <c r="H488" s="113"/>
      <c r="I488" s="113"/>
      <c r="J488" s="17"/>
    </row>
    <row r="489" spans="2:10" ht="15.75" customHeight="1">
      <c r="B489" s="109"/>
      <c r="C489" s="110"/>
      <c r="D489" s="111"/>
      <c r="E489" s="112"/>
      <c r="F489" s="112"/>
      <c r="G489" s="113"/>
      <c r="H489" s="113"/>
      <c r="I489" s="113"/>
      <c r="J489" s="17"/>
    </row>
    <row r="490" spans="2:10" ht="15.75" customHeight="1">
      <c r="B490" s="109"/>
      <c r="C490" s="110"/>
      <c r="D490" s="111"/>
      <c r="E490" s="112"/>
      <c r="F490" s="112"/>
      <c r="G490" s="113"/>
      <c r="H490" s="113"/>
      <c r="I490" s="113"/>
      <c r="J490" s="17"/>
    </row>
    <row r="491" spans="2:10" ht="15.75" customHeight="1">
      <c r="B491" s="109"/>
      <c r="C491" s="110"/>
      <c r="D491" s="111"/>
      <c r="E491" s="112"/>
      <c r="F491" s="112"/>
      <c r="G491" s="113"/>
      <c r="H491" s="113"/>
      <c r="I491" s="113"/>
      <c r="J491" s="17"/>
    </row>
    <row r="492" spans="2:10" ht="15.75" customHeight="1">
      <c r="B492" s="109"/>
      <c r="C492" s="110"/>
      <c r="D492" s="111"/>
      <c r="E492" s="112"/>
      <c r="F492" s="112"/>
      <c r="G492" s="113"/>
      <c r="H492" s="113"/>
      <c r="I492" s="113"/>
      <c r="J492" s="17"/>
    </row>
    <row r="493" spans="2:10" ht="15.75" customHeight="1">
      <c r="B493" s="109"/>
      <c r="C493" s="110"/>
      <c r="D493" s="111"/>
      <c r="E493" s="112"/>
      <c r="F493" s="112"/>
      <c r="G493" s="113"/>
      <c r="H493" s="113"/>
      <c r="I493" s="113"/>
      <c r="J493" s="17"/>
    </row>
    <row r="494" spans="2:10" ht="15.75" customHeight="1">
      <c r="B494" s="109"/>
      <c r="C494" s="110"/>
      <c r="D494" s="111"/>
      <c r="E494" s="112"/>
      <c r="F494" s="112"/>
      <c r="G494" s="113"/>
      <c r="H494" s="113"/>
      <c r="I494" s="113"/>
      <c r="J494" s="17"/>
    </row>
    <row r="495" spans="2:10" ht="15.75" customHeight="1">
      <c r="B495" s="109"/>
      <c r="C495" s="110"/>
      <c r="D495" s="111"/>
      <c r="E495" s="112"/>
      <c r="F495" s="112"/>
      <c r="G495" s="113"/>
      <c r="H495" s="113"/>
      <c r="I495" s="113"/>
      <c r="J495" s="17"/>
    </row>
    <row r="496" spans="2:10" ht="15.75" customHeight="1">
      <c r="B496" s="109"/>
      <c r="C496" s="110"/>
      <c r="D496" s="111"/>
      <c r="E496" s="112"/>
      <c r="F496" s="112"/>
      <c r="G496" s="113"/>
      <c r="H496" s="113"/>
      <c r="I496" s="113"/>
      <c r="J496" s="17"/>
    </row>
    <row r="497" spans="2:10" ht="15.75" customHeight="1">
      <c r="B497" s="109"/>
      <c r="C497" s="110"/>
      <c r="D497" s="111"/>
      <c r="E497" s="112"/>
      <c r="F497" s="112"/>
      <c r="G497" s="113"/>
      <c r="H497" s="113"/>
      <c r="I497" s="113"/>
      <c r="J497" s="17"/>
    </row>
    <row r="498" spans="2:10" ht="15.75" customHeight="1">
      <c r="B498" s="109"/>
      <c r="C498" s="110"/>
      <c r="D498" s="111"/>
      <c r="E498" s="112"/>
      <c r="F498" s="112"/>
      <c r="G498" s="113"/>
      <c r="H498" s="113"/>
      <c r="I498" s="113"/>
      <c r="J498" s="17"/>
    </row>
    <row r="499" spans="2:10" ht="15.75" customHeight="1">
      <c r="B499" s="109"/>
      <c r="C499" s="110"/>
      <c r="D499" s="111"/>
      <c r="E499" s="112"/>
      <c r="F499" s="112"/>
      <c r="G499" s="113"/>
      <c r="H499" s="113"/>
      <c r="I499" s="113"/>
      <c r="J499" s="17"/>
    </row>
    <row r="500" spans="2:10" ht="15.75" customHeight="1">
      <c r="B500" s="109"/>
      <c r="C500" s="110"/>
      <c r="D500" s="111"/>
      <c r="E500" s="112"/>
      <c r="F500" s="112"/>
      <c r="G500" s="113"/>
      <c r="H500" s="113"/>
      <c r="I500" s="113"/>
      <c r="J500" s="17"/>
    </row>
    <row r="501" spans="2:10" ht="15.75" customHeight="1">
      <c r="B501" s="109"/>
      <c r="C501" s="110"/>
      <c r="D501" s="111"/>
      <c r="E501" s="112"/>
      <c r="F501" s="112"/>
      <c r="G501" s="113"/>
      <c r="H501" s="113"/>
      <c r="I501" s="113"/>
      <c r="J501" s="17"/>
    </row>
    <row r="502" spans="2:10" ht="15.75" customHeight="1">
      <c r="B502" s="109"/>
      <c r="C502" s="110"/>
      <c r="D502" s="111"/>
      <c r="E502" s="112"/>
      <c r="F502" s="112"/>
      <c r="G502" s="113"/>
      <c r="H502" s="113"/>
      <c r="I502" s="113"/>
      <c r="J502" s="17"/>
    </row>
    <row r="503" spans="2:10" ht="15.75" customHeight="1">
      <c r="B503" s="109"/>
      <c r="C503" s="110"/>
      <c r="D503" s="111"/>
      <c r="E503" s="112"/>
      <c r="F503" s="112"/>
      <c r="G503" s="113"/>
      <c r="H503" s="113"/>
      <c r="I503" s="113"/>
      <c r="J503" s="17"/>
    </row>
    <row r="504" spans="2:10" ht="15.75" customHeight="1">
      <c r="B504" s="109"/>
      <c r="C504" s="110"/>
      <c r="D504" s="111"/>
      <c r="E504" s="112"/>
      <c r="F504" s="112"/>
      <c r="G504" s="113"/>
      <c r="H504" s="113"/>
      <c r="I504" s="113"/>
      <c r="J504" s="17"/>
    </row>
    <row r="505" spans="2:10" ht="15.75" customHeight="1">
      <c r="B505" s="109"/>
      <c r="C505" s="110"/>
      <c r="D505" s="111"/>
      <c r="E505" s="112"/>
      <c r="F505" s="112"/>
      <c r="G505" s="113"/>
      <c r="H505" s="113"/>
      <c r="I505" s="113"/>
      <c r="J505" s="17"/>
    </row>
    <row r="506" spans="2:10" ht="15.75" customHeight="1">
      <c r="B506" s="109"/>
      <c r="C506" s="110"/>
      <c r="D506" s="111"/>
      <c r="E506" s="112"/>
      <c r="F506" s="112"/>
      <c r="G506" s="113"/>
      <c r="H506" s="113"/>
      <c r="I506" s="113"/>
      <c r="J506" s="17"/>
    </row>
    <row r="507" spans="2:10" ht="15.75" customHeight="1">
      <c r="B507" s="109"/>
      <c r="C507" s="110"/>
      <c r="D507" s="111"/>
      <c r="E507" s="112"/>
      <c r="F507" s="112"/>
      <c r="G507" s="113"/>
      <c r="H507" s="113"/>
      <c r="I507" s="113"/>
      <c r="J507" s="17"/>
    </row>
    <row r="508" spans="2:10" ht="15.75" customHeight="1">
      <c r="B508" s="109"/>
      <c r="C508" s="110"/>
      <c r="D508" s="111"/>
      <c r="E508" s="112"/>
      <c r="F508" s="112"/>
      <c r="G508" s="113"/>
      <c r="H508" s="113"/>
      <c r="I508" s="113"/>
      <c r="J508" s="17"/>
    </row>
    <row r="509" spans="2:10" ht="15.75" customHeight="1">
      <c r="B509" s="109"/>
      <c r="C509" s="110"/>
      <c r="D509" s="111"/>
      <c r="E509" s="112"/>
      <c r="F509" s="112"/>
      <c r="G509" s="113"/>
      <c r="H509" s="113"/>
      <c r="I509" s="113"/>
      <c r="J509" s="17"/>
    </row>
    <row r="510" spans="2:10" ht="15.75" customHeight="1">
      <c r="B510" s="109"/>
      <c r="C510" s="110"/>
      <c r="D510" s="111"/>
      <c r="E510" s="112"/>
      <c r="F510" s="112"/>
      <c r="G510" s="113"/>
      <c r="H510" s="113"/>
      <c r="I510" s="113"/>
      <c r="J510" s="17"/>
    </row>
    <row r="511" spans="2:10" ht="15.75" customHeight="1">
      <c r="B511" s="109"/>
      <c r="C511" s="110"/>
      <c r="D511" s="111"/>
      <c r="E511" s="112"/>
      <c r="F511" s="112"/>
      <c r="G511" s="113"/>
      <c r="H511" s="113"/>
      <c r="I511" s="113"/>
      <c r="J511" s="17"/>
    </row>
    <row r="512" spans="2:10" ht="15.75" customHeight="1">
      <c r="B512" s="109"/>
      <c r="C512" s="110"/>
      <c r="D512" s="111"/>
      <c r="E512" s="112"/>
      <c r="F512" s="112"/>
      <c r="G512" s="113"/>
      <c r="H512" s="113"/>
      <c r="I512" s="113"/>
      <c r="J512" s="17"/>
    </row>
    <row r="513" spans="2:10" ht="15.75" customHeight="1">
      <c r="B513" s="109"/>
      <c r="C513" s="110"/>
      <c r="D513" s="111"/>
      <c r="E513" s="112"/>
      <c r="F513" s="112"/>
      <c r="G513" s="113"/>
      <c r="H513" s="113"/>
      <c r="I513" s="113"/>
      <c r="J513" s="17"/>
    </row>
    <row r="514" spans="2:10" ht="15.75" customHeight="1">
      <c r="B514" s="109"/>
      <c r="C514" s="110"/>
      <c r="D514" s="111"/>
      <c r="E514" s="112"/>
      <c r="F514" s="112"/>
      <c r="G514" s="113"/>
      <c r="H514" s="113"/>
      <c r="I514" s="113"/>
      <c r="J514" s="17"/>
    </row>
    <row r="515" spans="2:10" ht="15.75" customHeight="1">
      <c r="B515" s="109"/>
      <c r="C515" s="110"/>
      <c r="D515" s="111"/>
      <c r="E515" s="112"/>
      <c r="F515" s="112"/>
      <c r="G515" s="113"/>
      <c r="H515" s="113"/>
      <c r="I515" s="113"/>
      <c r="J515" s="17"/>
    </row>
    <row r="516" spans="2:10" ht="15.75" customHeight="1">
      <c r="B516" s="109"/>
      <c r="C516" s="110"/>
      <c r="D516" s="111"/>
      <c r="E516" s="112"/>
      <c r="F516" s="112"/>
      <c r="G516" s="113"/>
      <c r="H516" s="113"/>
      <c r="I516" s="113"/>
      <c r="J516" s="17"/>
    </row>
    <row r="517" spans="2:10" ht="15.75" customHeight="1">
      <c r="B517" s="109"/>
      <c r="C517" s="110"/>
      <c r="D517" s="111"/>
      <c r="E517" s="112"/>
      <c r="F517" s="112"/>
      <c r="G517" s="113"/>
      <c r="H517" s="113"/>
      <c r="I517" s="113"/>
      <c r="J517" s="17"/>
    </row>
    <row r="518" spans="2:10" ht="15.75" customHeight="1">
      <c r="B518" s="109"/>
      <c r="C518" s="110"/>
      <c r="D518" s="111"/>
      <c r="E518" s="112"/>
      <c r="F518" s="112"/>
      <c r="G518" s="113"/>
      <c r="H518" s="113"/>
      <c r="I518" s="113"/>
      <c r="J518" s="17"/>
    </row>
    <row r="519" spans="2:10" ht="15.75" customHeight="1">
      <c r="B519" s="109"/>
      <c r="C519" s="110"/>
      <c r="D519" s="111"/>
      <c r="E519" s="112"/>
      <c r="F519" s="112"/>
      <c r="G519" s="113"/>
      <c r="H519" s="113"/>
      <c r="I519" s="113"/>
      <c r="J519" s="17"/>
    </row>
    <row r="520" spans="2:10" ht="15.75" customHeight="1">
      <c r="B520" s="109"/>
      <c r="C520" s="110"/>
      <c r="D520" s="111"/>
      <c r="E520" s="112"/>
      <c r="F520" s="112"/>
      <c r="G520" s="113"/>
      <c r="H520" s="113"/>
      <c r="I520" s="113"/>
      <c r="J520" s="17"/>
    </row>
    <row r="521" spans="2:10" ht="15.75" customHeight="1">
      <c r="B521" s="109"/>
      <c r="C521" s="110"/>
      <c r="D521" s="111"/>
      <c r="E521" s="112"/>
      <c r="F521" s="112"/>
      <c r="G521" s="113"/>
      <c r="H521" s="113"/>
      <c r="I521" s="113"/>
      <c r="J521" s="17"/>
    </row>
    <row r="522" spans="2:10" ht="15.75" customHeight="1">
      <c r="B522" s="109"/>
      <c r="C522" s="110"/>
      <c r="D522" s="111"/>
      <c r="E522" s="112"/>
      <c r="F522" s="112"/>
      <c r="G522" s="113"/>
      <c r="H522" s="113"/>
      <c r="I522" s="113"/>
      <c r="J522" s="17"/>
    </row>
    <row r="523" spans="2:10" ht="15.75" customHeight="1">
      <c r="B523" s="109"/>
      <c r="C523" s="110"/>
      <c r="D523" s="111"/>
      <c r="E523" s="112"/>
      <c r="F523" s="112"/>
      <c r="G523" s="113"/>
      <c r="H523" s="113"/>
      <c r="I523" s="113"/>
      <c r="J523" s="17"/>
    </row>
    <row r="524" spans="2:10" ht="15.75" customHeight="1">
      <c r="B524" s="109"/>
      <c r="C524" s="110"/>
      <c r="D524" s="111"/>
      <c r="E524" s="112"/>
      <c r="F524" s="112"/>
      <c r="G524" s="113"/>
      <c r="H524" s="113"/>
      <c r="I524" s="113"/>
      <c r="J524" s="17"/>
    </row>
    <row r="525" spans="2:10" ht="15.75" customHeight="1">
      <c r="B525" s="109"/>
      <c r="C525" s="110"/>
      <c r="D525" s="111"/>
      <c r="E525" s="112"/>
      <c r="F525" s="112"/>
      <c r="G525" s="113"/>
      <c r="H525" s="113"/>
      <c r="I525" s="113"/>
      <c r="J525" s="17"/>
    </row>
    <row r="526" spans="2:10" ht="15.75" customHeight="1">
      <c r="B526" s="109"/>
      <c r="C526" s="110"/>
      <c r="D526" s="111"/>
      <c r="E526" s="112"/>
      <c r="F526" s="112"/>
      <c r="G526" s="113"/>
      <c r="H526" s="113"/>
      <c r="I526" s="113"/>
      <c r="J526" s="17"/>
    </row>
    <row r="527" spans="2:10" ht="15.75" customHeight="1">
      <c r="B527" s="109"/>
      <c r="C527" s="110"/>
      <c r="D527" s="111"/>
      <c r="E527" s="112"/>
      <c r="F527" s="112"/>
      <c r="G527" s="113"/>
      <c r="H527" s="113"/>
      <c r="I527" s="113"/>
      <c r="J527" s="17"/>
    </row>
    <row r="528" spans="2:10" ht="15.75" customHeight="1">
      <c r="B528" s="109"/>
      <c r="C528" s="110"/>
      <c r="D528" s="111"/>
      <c r="E528" s="112"/>
      <c r="F528" s="112"/>
      <c r="G528" s="113"/>
      <c r="H528" s="113"/>
      <c r="I528" s="113"/>
      <c r="J528" s="17"/>
    </row>
    <row r="529" spans="2:10" ht="15.75" customHeight="1">
      <c r="B529" s="109"/>
      <c r="C529" s="110"/>
      <c r="D529" s="111"/>
      <c r="E529" s="112"/>
      <c r="F529" s="112"/>
      <c r="G529" s="113"/>
      <c r="H529" s="113"/>
      <c r="I529" s="113"/>
      <c r="J529" s="17"/>
    </row>
    <row r="530" spans="2:10" ht="15.75" customHeight="1">
      <c r="B530" s="109"/>
      <c r="C530" s="110"/>
      <c r="D530" s="111"/>
      <c r="E530" s="112"/>
      <c r="F530" s="112"/>
      <c r="G530" s="113"/>
      <c r="H530" s="113"/>
      <c r="I530" s="113"/>
      <c r="J530" s="17"/>
    </row>
    <row r="531" spans="2:10" ht="15.75" customHeight="1">
      <c r="B531" s="109"/>
      <c r="C531" s="110"/>
      <c r="D531" s="111"/>
      <c r="E531" s="112"/>
      <c r="F531" s="112"/>
      <c r="G531" s="113"/>
      <c r="H531" s="113"/>
      <c r="I531" s="113"/>
      <c r="J531" s="17"/>
    </row>
    <row r="532" spans="2:10" ht="15.75" customHeight="1">
      <c r="B532" s="109"/>
      <c r="C532" s="110"/>
      <c r="D532" s="111"/>
      <c r="E532" s="112"/>
      <c r="F532" s="112"/>
      <c r="G532" s="113"/>
      <c r="H532" s="113"/>
      <c r="I532" s="113"/>
      <c r="J532" s="17"/>
    </row>
    <row r="533" spans="2:10" ht="15.75" customHeight="1">
      <c r="B533" s="109"/>
      <c r="C533" s="110"/>
      <c r="D533" s="111"/>
      <c r="E533" s="112"/>
      <c r="F533" s="112"/>
      <c r="G533" s="113"/>
      <c r="H533" s="113"/>
      <c r="I533" s="113"/>
      <c r="J533" s="17"/>
    </row>
    <row r="534" spans="2:10" ht="15.75" customHeight="1">
      <c r="B534" s="109"/>
      <c r="C534" s="110"/>
      <c r="D534" s="111"/>
      <c r="E534" s="112"/>
      <c r="F534" s="112"/>
      <c r="G534" s="113"/>
      <c r="H534" s="113"/>
      <c r="I534" s="113"/>
      <c r="J534" s="17"/>
    </row>
    <row r="535" spans="2:10" ht="15.75" customHeight="1">
      <c r="B535" s="109"/>
      <c r="C535" s="110"/>
      <c r="D535" s="111"/>
      <c r="E535" s="112"/>
      <c r="F535" s="112"/>
      <c r="G535" s="113"/>
      <c r="H535" s="113"/>
      <c r="I535" s="113"/>
      <c r="J535" s="17"/>
    </row>
    <row r="536" spans="2:10" ht="15.75" customHeight="1">
      <c r="B536" s="109"/>
      <c r="C536" s="110"/>
      <c r="D536" s="111"/>
      <c r="E536" s="112"/>
      <c r="F536" s="112"/>
      <c r="G536" s="113"/>
      <c r="H536" s="113"/>
      <c r="I536" s="113"/>
      <c r="J536" s="17"/>
    </row>
    <row r="537" spans="2:10" ht="15.75" customHeight="1">
      <c r="B537" s="109"/>
      <c r="C537" s="110"/>
      <c r="D537" s="111"/>
      <c r="E537" s="112"/>
      <c r="F537" s="112"/>
      <c r="G537" s="113"/>
      <c r="H537" s="113"/>
      <c r="I537" s="113"/>
      <c r="J537" s="17"/>
    </row>
    <row r="538" spans="2:10" ht="15.75" customHeight="1">
      <c r="B538" s="109"/>
      <c r="C538" s="110"/>
      <c r="D538" s="111"/>
      <c r="E538" s="112"/>
      <c r="F538" s="112"/>
      <c r="G538" s="113"/>
      <c r="H538" s="113"/>
      <c r="I538" s="113"/>
      <c r="J538" s="17"/>
    </row>
    <row r="539" spans="2:10" ht="15.75" customHeight="1">
      <c r="B539" s="109"/>
      <c r="C539" s="110"/>
      <c r="D539" s="111"/>
      <c r="E539" s="112"/>
      <c r="F539" s="112"/>
      <c r="G539" s="113"/>
      <c r="H539" s="113"/>
      <c r="I539" s="113"/>
      <c r="J539" s="17"/>
    </row>
    <row r="540" spans="2:10" ht="15.75" customHeight="1">
      <c r="B540" s="109"/>
      <c r="C540" s="110"/>
      <c r="D540" s="111"/>
      <c r="E540" s="112"/>
      <c r="F540" s="112"/>
      <c r="G540" s="113"/>
      <c r="H540" s="113"/>
      <c r="I540" s="113"/>
      <c r="J540" s="17"/>
    </row>
    <row r="541" spans="2:10" ht="15.75" customHeight="1">
      <c r="B541" s="109"/>
      <c r="C541" s="110"/>
      <c r="D541" s="111"/>
      <c r="E541" s="112"/>
      <c r="F541" s="112"/>
      <c r="G541" s="113"/>
      <c r="H541" s="113"/>
      <c r="I541" s="113"/>
      <c r="J541" s="17"/>
    </row>
    <row r="542" spans="2:10" ht="15.75" customHeight="1">
      <c r="B542" s="109"/>
      <c r="C542" s="110"/>
      <c r="D542" s="111"/>
      <c r="E542" s="112"/>
      <c r="F542" s="112"/>
      <c r="G542" s="113"/>
      <c r="H542" s="113"/>
      <c r="I542" s="113"/>
      <c r="J542" s="17"/>
    </row>
    <row r="543" spans="2:10" ht="15.75" customHeight="1">
      <c r="B543" s="109"/>
      <c r="C543" s="110"/>
      <c r="D543" s="111"/>
      <c r="E543" s="112"/>
      <c r="F543" s="112"/>
      <c r="G543" s="113"/>
      <c r="H543" s="113"/>
      <c r="I543" s="113"/>
      <c r="J543" s="17"/>
    </row>
    <row r="544" spans="2:10" ht="15.75" customHeight="1">
      <c r="B544" s="109"/>
      <c r="C544" s="110"/>
      <c r="D544" s="111"/>
      <c r="E544" s="112"/>
      <c r="F544" s="112"/>
      <c r="G544" s="113"/>
      <c r="H544" s="113"/>
      <c r="I544" s="113"/>
      <c r="J544" s="17"/>
    </row>
    <row r="545" spans="2:10" ht="15.75" customHeight="1">
      <c r="B545" s="109"/>
      <c r="C545" s="110"/>
      <c r="D545" s="111"/>
      <c r="E545" s="112"/>
      <c r="F545" s="112"/>
      <c r="G545" s="113"/>
      <c r="H545" s="113"/>
      <c r="I545" s="113"/>
      <c r="J545" s="17"/>
    </row>
    <row r="546" spans="2:10" ht="15.75" customHeight="1">
      <c r="B546" s="109"/>
      <c r="C546" s="110"/>
      <c r="D546" s="111"/>
      <c r="E546" s="112"/>
      <c r="F546" s="112"/>
      <c r="G546" s="113"/>
      <c r="H546" s="113"/>
      <c r="I546" s="113"/>
      <c r="J546" s="17"/>
    </row>
    <row r="547" spans="2:10" ht="15.75" customHeight="1">
      <c r="B547" s="109"/>
      <c r="C547" s="110"/>
      <c r="D547" s="111"/>
      <c r="E547" s="112"/>
      <c r="F547" s="112"/>
      <c r="G547" s="113"/>
      <c r="H547" s="113"/>
      <c r="I547" s="113"/>
      <c r="J547" s="17"/>
    </row>
    <row r="548" spans="2:10" ht="15.75" customHeight="1">
      <c r="B548" s="109"/>
      <c r="C548" s="110"/>
      <c r="D548" s="111"/>
      <c r="E548" s="112"/>
      <c r="F548" s="112"/>
      <c r="G548" s="113"/>
      <c r="H548" s="113"/>
      <c r="I548" s="113"/>
      <c r="J548" s="17"/>
    </row>
    <row r="549" spans="2:10" ht="15.75" customHeight="1">
      <c r="B549" s="109"/>
      <c r="C549" s="110"/>
      <c r="D549" s="111"/>
      <c r="E549" s="112"/>
      <c r="F549" s="112"/>
      <c r="G549" s="113"/>
      <c r="H549" s="113"/>
      <c r="I549" s="113"/>
      <c r="J549" s="17"/>
    </row>
    <row r="550" spans="2:10" ht="15.75" customHeight="1">
      <c r="B550" s="109"/>
      <c r="C550" s="110"/>
      <c r="D550" s="111"/>
      <c r="E550" s="112"/>
      <c r="F550" s="112"/>
      <c r="G550" s="113"/>
      <c r="H550" s="113"/>
      <c r="I550" s="113"/>
      <c r="J550" s="17"/>
    </row>
    <row r="551" spans="2:10" ht="15.75" customHeight="1">
      <c r="B551" s="109"/>
      <c r="C551" s="110"/>
      <c r="D551" s="111"/>
      <c r="E551" s="112"/>
      <c r="F551" s="112"/>
      <c r="G551" s="113"/>
      <c r="H551" s="113"/>
      <c r="I551" s="113"/>
      <c r="J551" s="17"/>
    </row>
    <row r="552" spans="2:10" ht="15.75" customHeight="1">
      <c r="B552" s="109"/>
      <c r="C552" s="110"/>
      <c r="D552" s="111"/>
      <c r="E552" s="112"/>
      <c r="F552" s="112"/>
      <c r="G552" s="113"/>
      <c r="H552" s="113"/>
      <c r="I552" s="113"/>
      <c r="J552" s="17"/>
    </row>
    <row r="553" spans="2:10" ht="15.75" customHeight="1">
      <c r="B553" s="109"/>
      <c r="C553" s="110"/>
      <c r="D553" s="111"/>
      <c r="E553" s="112"/>
      <c r="F553" s="112"/>
      <c r="G553" s="113"/>
      <c r="H553" s="113"/>
      <c r="I553" s="113"/>
      <c r="J553" s="17"/>
    </row>
    <row r="554" spans="2:10" ht="15.75" customHeight="1">
      <c r="B554" s="109"/>
      <c r="C554" s="110"/>
      <c r="D554" s="111"/>
      <c r="E554" s="112"/>
      <c r="F554" s="112"/>
      <c r="G554" s="113"/>
      <c r="H554" s="113"/>
      <c r="I554" s="113"/>
      <c r="J554" s="17"/>
    </row>
    <row r="555" spans="2:10" ht="15.75" customHeight="1">
      <c r="B555" s="109"/>
      <c r="C555" s="110"/>
      <c r="D555" s="111"/>
      <c r="E555" s="112"/>
      <c r="F555" s="112"/>
      <c r="G555" s="113"/>
      <c r="H555" s="113"/>
      <c r="I555" s="113"/>
      <c r="J555" s="17"/>
    </row>
    <row r="556" spans="2:10" ht="15.75" customHeight="1">
      <c r="B556" s="109"/>
      <c r="C556" s="110"/>
      <c r="D556" s="111"/>
      <c r="E556" s="112"/>
      <c r="F556" s="112"/>
      <c r="G556" s="113"/>
      <c r="H556" s="113"/>
      <c r="I556" s="113"/>
      <c r="J556" s="17"/>
    </row>
    <row r="557" spans="2:10" ht="15.75" customHeight="1">
      <c r="B557" s="109"/>
      <c r="C557" s="110"/>
      <c r="D557" s="111"/>
      <c r="E557" s="112"/>
      <c r="F557" s="112"/>
      <c r="G557" s="113"/>
      <c r="H557" s="113"/>
      <c r="I557" s="113"/>
      <c r="J557" s="17"/>
    </row>
    <row r="558" spans="2:10" ht="15.75" customHeight="1">
      <c r="B558" s="109"/>
      <c r="C558" s="110"/>
      <c r="D558" s="111"/>
      <c r="E558" s="112"/>
      <c r="F558" s="112"/>
      <c r="G558" s="113"/>
      <c r="H558" s="113"/>
      <c r="I558" s="113"/>
      <c r="J558" s="17"/>
    </row>
    <row r="559" spans="2:10" ht="15.75" customHeight="1">
      <c r="B559" s="109"/>
      <c r="C559" s="110"/>
      <c r="D559" s="111"/>
      <c r="E559" s="112"/>
      <c r="F559" s="112"/>
      <c r="G559" s="113"/>
      <c r="H559" s="113"/>
      <c r="I559" s="113"/>
      <c r="J559" s="17"/>
    </row>
    <row r="560" spans="2:10" ht="15.75" customHeight="1">
      <c r="B560" s="109"/>
      <c r="C560" s="110"/>
      <c r="D560" s="111"/>
      <c r="E560" s="112"/>
      <c r="F560" s="112"/>
      <c r="G560" s="113"/>
      <c r="H560" s="113"/>
      <c r="I560" s="113"/>
      <c r="J560" s="17"/>
    </row>
    <row r="561" spans="2:10" ht="15.75" customHeight="1">
      <c r="B561" s="109"/>
      <c r="C561" s="110"/>
      <c r="D561" s="111"/>
      <c r="E561" s="112"/>
      <c r="F561" s="112"/>
      <c r="G561" s="113"/>
      <c r="H561" s="113"/>
      <c r="I561" s="113"/>
      <c r="J561" s="17"/>
    </row>
    <row r="562" spans="2:10" ht="15.75" customHeight="1">
      <c r="B562" s="109"/>
      <c r="C562" s="110"/>
      <c r="D562" s="111"/>
      <c r="E562" s="112"/>
      <c r="F562" s="112"/>
      <c r="G562" s="113"/>
      <c r="H562" s="113"/>
      <c r="I562" s="113"/>
      <c r="J562" s="17"/>
    </row>
    <row r="563" spans="2:10" ht="15.75" customHeight="1">
      <c r="B563" s="109"/>
      <c r="C563" s="110"/>
      <c r="D563" s="111"/>
      <c r="E563" s="112"/>
      <c r="F563" s="112"/>
      <c r="G563" s="113"/>
      <c r="H563" s="113"/>
      <c r="I563" s="113"/>
      <c r="J563" s="17"/>
    </row>
    <row r="564" spans="2:10" ht="15.75" customHeight="1">
      <c r="B564" s="109"/>
      <c r="C564" s="110"/>
      <c r="D564" s="111"/>
      <c r="E564" s="112"/>
      <c r="F564" s="112"/>
      <c r="G564" s="113"/>
      <c r="H564" s="113"/>
      <c r="I564" s="113"/>
      <c r="J564" s="17"/>
    </row>
    <row r="565" spans="2:10" ht="15.75" customHeight="1">
      <c r="B565" s="109"/>
      <c r="C565" s="110"/>
      <c r="D565" s="111"/>
      <c r="E565" s="112"/>
      <c r="F565" s="112"/>
      <c r="G565" s="113"/>
      <c r="H565" s="113"/>
      <c r="I565" s="113"/>
      <c r="J565" s="17"/>
    </row>
    <row r="566" spans="2:10" ht="15.75" customHeight="1">
      <c r="B566" s="109"/>
      <c r="C566" s="110"/>
      <c r="D566" s="111"/>
      <c r="E566" s="112"/>
      <c r="F566" s="112"/>
      <c r="G566" s="113"/>
      <c r="H566" s="113"/>
      <c r="I566" s="113"/>
      <c r="J566" s="17"/>
    </row>
    <row r="567" spans="2:10" ht="15.75" customHeight="1">
      <c r="B567" s="109"/>
      <c r="C567" s="110"/>
      <c r="D567" s="111"/>
      <c r="E567" s="112"/>
      <c r="F567" s="112"/>
      <c r="G567" s="113"/>
      <c r="H567" s="113"/>
      <c r="I567" s="113"/>
      <c r="J567" s="17"/>
    </row>
    <row r="568" spans="2:10" ht="15.75" customHeight="1">
      <c r="B568" s="109"/>
      <c r="C568" s="110"/>
      <c r="D568" s="111"/>
      <c r="E568" s="112"/>
      <c r="F568" s="112"/>
      <c r="G568" s="113"/>
      <c r="H568" s="113"/>
      <c r="I568" s="113"/>
      <c r="J568" s="17"/>
    </row>
    <row r="569" spans="2:10" ht="15.75" customHeight="1">
      <c r="B569" s="109"/>
      <c r="C569" s="110"/>
      <c r="D569" s="111"/>
      <c r="E569" s="112"/>
      <c r="F569" s="112"/>
      <c r="G569" s="113"/>
      <c r="H569" s="113"/>
      <c r="I569" s="113"/>
      <c r="J569" s="17"/>
    </row>
    <row r="570" spans="2:10" ht="15.75" customHeight="1">
      <c r="B570" s="109"/>
      <c r="C570" s="110"/>
      <c r="D570" s="111"/>
      <c r="E570" s="112"/>
      <c r="F570" s="112"/>
      <c r="G570" s="113"/>
      <c r="H570" s="113"/>
      <c r="I570" s="113"/>
      <c r="J570" s="17"/>
    </row>
    <row r="571" spans="2:10" ht="15.75" customHeight="1">
      <c r="B571" s="109"/>
      <c r="C571" s="110"/>
      <c r="D571" s="111"/>
      <c r="E571" s="112"/>
      <c r="F571" s="112"/>
      <c r="G571" s="113"/>
      <c r="H571" s="113"/>
      <c r="I571" s="113"/>
      <c r="J571" s="17"/>
    </row>
    <row r="572" spans="2:10" ht="15.75" customHeight="1">
      <c r="B572" s="109"/>
      <c r="C572" s="110"/>
      <c r="D572" s="111"/>
      <c r="E572" s="112"/>
      <c r="F572" s="112"/>
      <c r="G572" s="113"/>
      <c r="H572" s="113"/>
      <c r="I572" s="113"/>
      <c r="J572" s="17"/>
    </row>
    <row r="573" spans="2:10" ht="15.75" customHeight="1">
      <c r="B573" s="109"/>
      <c r="C573" s="110"/>
      <c r="D573" s="111"/>
      <c r="E573" s="112"/>
      <c r="F573" s="112"/>
      <c r="G573" s="113"/>
      <c r="H573" s="113"/>
      <c r="I573" s="113"/>
      <c r="J573" s="17"/>
    </row>
    <row r="574" spans="2:10" ht="15.75" customHeight="1">
      <c r="B574" s="109"/>
      <c r="C574" s="110"/>
      <c r="D574" s="111"/>
      <c r="E574" s="112"/>
      <c r="F574" s="112"/>
      <c r="G574" s="113"/>
      <c r="H574" s="113"/>
      <c r="I574" s="113"/>
      <c r="J574" s="17"/>
    </row>
    <row r="575" spans="2:10" ht="15.75" customHeight="1">
      <c r="B575" s="109"/>
      <c r="C575" s="110"/>
      <c r="D575" s="111"/>
      <c r="E575" s="112"/>
      <c r="F575" s="112"/>
      <c r="G575" s="113"/>
      <c r="H575" s="113"/>
      <c r="I575" s="113"/>
      <c r="J575" s="17"/>
    </row>
    <row r="576" spans="2:10" ht="15.75" customHeight="1">
      <c r="B576" s="109"/>
      <c r="C576" s="110"/>
      <c r="D576" s="111"/>
      <c r="E576" s="112"/>
      <c r="F576" s="112"/>
      <c r="G576" s="113"/>
      <c r="H576" s="113"/>
      <c r="I576" s="113"/>
      <c r="J576" s="17"/>
    </row>
    <row r="577" spans="2:10" ht="15.75" customHeight="1">
      <c r="B577" s="109"/>
      <c r="C577" s="110"/>
      <c r="D577" s="111"/>
      <c r="E577" s="112"/>
      <c r="F577" s="112"/>
      <c r="G577" s="113"/>
      <c r="H577" s="113"/>
      <c r="I577" s="113"/>
      <c r="J577" s="17"/>
    </row>
    <row r="578" spans="2:10" ht="15.75" customHeight="1">
      <c r="B578" s="109"/>
      <c r="C578" s="110"/>
      <c r="D578" s="111"/>
      <c r="E578" s="112"/>
      <c r="F578" s="112"/>
      <c r="G578" s="113"/>
      <c r="H578" s="113"/>
      <c r="I578" s="113"/>
      <c r="J578" s="17"/>
    </row>
    <row r="579" spans="2:10" ht="15.75" customHeight="1">
      <c r="B579" s="109"/>
      <c r="C579" s="110"/>
      <c r="D579" s="111"/>
      <c r="E579" s="112"/>
      <c r="F579" s="112"/>
      <c r="G579" s="113"/>
      <c r="H579" s="113"/>
      <c r="I579" s="113"/>
      <c r="J579" s="17"/>
    </row>
    <row r="580" spans="2:10" ht="15.75" customHeight="1">
      <c r="B580" s="109"/>
      <c r="C580" s="110"/>
      <c r="D580" s="111"/>
      <c r="E580" s="112"/>
      <c r="F580" s="112"/>
      <c r="G580" s="113"/>
      <c r="H580" s="113"/>
      <c r="I580" s="113"/>
      <c r="J580" s="17"/>
    </row>
    <row r="581" spans="2:10" ht="15.75" customHeight="1">
      <c r="B581" s="109"/>
      <c r="C581" s="110"/>
      <c r="D581" s="111"/>
      <c r="E581" s="112"/>
      <c r="F581" s="112"/>
      <c r="G581" s="113"/>
      <c r="H581" s="113"/>
      <c r="I581" s="113"/>
      <c r="J581" s="17"/>
    </row>
    <row r="582" spans="2:10" ht="15.75" customHeight="1">
      <c r="B582" s="109"/>
      <c r="C582" s="110"/>
      <c r="D582" s="111"/>
      <c r="E582" s="112"/>
      <c r="F582" s="112"/>
      <c r="G582" s="113"/>
      <c r="H582" s="113"/>
      <c r="I582" s="113"/>
      <c r="J582" s="17"/>
    </row>
    <row r="583" spans="2:10" ht="15.75" customHeight="1">
      <c r="B583" s="109"/>
      <c r="C583" s="110"/>
      <c r="D583" s="111"/>
      <c r="E583" s="112"/>
      <c r="F583" s="112"/>
      <c r="G583" s="113"/>
      <c r="H583" s="113"/>
      <c r="I583" s="113"/>
      <c r="J583" s="17"/>
    </row>
    <row r="584" spans="2:10" ht="15.75" customHeight="1">
      <c r="B584" s="109"/>
      <c r="C584" s="110"/>
      <c r="D584" s="111"/>
      <c r="E584" s="112"/>
      <c r="F584" s="112"/>
      <c r="G584" s="113"/>
      <c r="H584" s="113"/>
      <c r="I584" s="113"/>
      <c r="J584" s="17"/>
    </row>
    <row r="585" spans="2:10" ht="15.75" customHeight="1">
      <c r="B585" s="109"/>
      <c r="C585" s="110"/>
      <c r="D585" s="111"/>
      <c r="E585" s="112"/>
      <c r="F585" s="112"/>
      <c r="G585" s="113"/>
      <c r="H585" s="113"/>
      <c r="I585" s="113"/>
      <c r="J585" s="17"/>
    </row>
    <row r="586" spans="2:10" ht="15.75" customHeight="1">
      <c r="B586" s="109"/>
      <c r="C586" s="110"/>
      <c r="D586" s="111"/>
      <c r="E586" s="112"/>
      <c r="F586" s="112"/>
      <c r="G586" s="113"/>
      <c r="H586" s="113"/>
      <c r="I586" s="113"/>
      <c r="J586" s="17"/>
    </row>
    <row r="587" spans="2:10" ht="15.75" customHeight="1">
      <c r="B587" s="109"/>
      <c r="C587" s="110"/>
      <c r="D587" s="111"/>
      <c r="E587" s="112"/>
      <c r="F587" s="112"/>
      <c r="G587" s="113"/>
      <c r="H587" s="113"/>
      <c r="I587" s="113"/>
      <c r="J587" s="17"/>
    </row>
    <row r="588" spans="2:10" ht="15.75" customHeight="1">
      <c r="B588" s="109"/>
      <c r="C588" s="110"/>
      <c r="D588" s="111"/>
      <c r="E588" s="112"/>
      <c r="F588" s="112"/>
      <c r="G588" s="113"/>
      <c r="H588" s="113"/>
      <c r="I588" s="113"/>
      <c r="J588" s="17"/>
    </row>
    <row r="589" spans="2:10" ht="15.75" customHeight="1">
      <c r="B589" s="109"/>
      <c r="C589" s="110"/>
      <c r="D589" s="111"/>
      <c r="E589" s="112"/>
      <c r="F589" s="112"/>
      <c r="G589" s="113"/>
      <c r="H589" s="113"/>
      <c r="I589" s="113"/>
      <c r="J589" s="17"/>
    </row>
    <row r="590" spans="2:10" ht="15.75" customHeight="1">
      <c r="B590" s="109"/>
      <c r="C590" s="110"/>
      <c r="D590" s="111"/>
      <c r="E590" s="112"/>
      <c r="F590" s="112"/>
      <c r="G590" s="113"/>
      <c r="H590" s="113"/>
      <c r="I590" s="113"/>
      <c r="J590" s="17"/>
    </row>
    <row r="591" spans="2:10" ht="15.75" customHeight="1">
      <c r="B591" s="109"/>
      <c r="C591" s="110"/>
      <c r="D591" s="111"/>
      <c r="E591" s="112"/>
      <c r="F591" s="112"/>
      <c r="G591" s="113"/>
      <c r="H591" s="113"/>
      <c r="I591" s="113"/>
      <c r="J591" s="17"/>
    </row>
    <row r="592" spans="2:10" ht="15.75" customHeight="1">
      <c r="B592" s="109"/>
      <c r="C592" s="110"/>
      <c r="D592" s="111"/>
      <c r="E592" s="112"/>
      <c r="F592" s="112"/>
      <c r="G592" s="113"/>
      <c r="H592" s="113"/>
      <c r="I592" s="113"/>
      <c r="J592" s="17"/>
    </row>
    <row r="593" spans="2:10" ht="15.75" customHeight="1">
      <c r="B593" s="109"/>
      <c r="C593" s="110"/>
      <c r="D593" s="111"/>
      <c r="E593" s="112"/>
      <c r="F593" s="112"/>
      <c r="G593" s="113"/>
      <c r="H593" s="113"/>
      <c r="I593" s="113"/>
      <c r="J593" s="17"/>
    </row>
    <row r="594" spans="2:10" ht="15.75" customHeight="1">
      <c r="B594" s="109"/>
      <c r="C594" s="110"/>
      <c r="D594" s="111"/>
      <c r="E594" s="112"/>
      <c r="F594" s="112"/>
      <c r="G594" s="113"/>
      <c r="H594" s="113"/>
      <c r="I594" s="113"/>
      <c r="J594" s="17"/>
    </row>
    <row r="595" spans="2:10" ht="15.75" customHeight="1">
      <c r="B595" s="109"/>
      <c r="C595" s="110"/>
      <c r="D595" s="111"/>
      <c r="E595" s="112"/>
      <c r="F595" s="112"/>
      <c r="G595" s="113"/>
      <c r="H595" s="113"/>
      <c r="I595" s="113"/>
      <c r="J595" s="17"/>
    </row>
    <row r="596" spans="2:10" ht="15.75" customHeight="1">
      <c r="B596" s="109"/>
      <c r="C596" s="110"/>
      <c r="D596" s="111"/>
      <c r="E596" s="112"/>
      <c r="F596" s="112"/>
      <c r="G596" s="113"/>
      <c r="H596" s="113"/>
      <c r="I596" s="113"/>
      <c r="J596" s="17"/>
    </row>
    <row r="597" spans="2:10" ht="15.75" customHeight="1">
      <c r="B597" s="109"/>
      <c r="C597" s="110"/>
      <c r="D597" s="111"/>
      <c r="E597" s="112"/>
      <c r="F597" s="112"/>
      <c r="G597" s="113"/>
      <c r="H597" s="113"/>
      <c r="I597" s="113"/>
      <c r="J597" s="17"/>
    </row>
    <row r="598" spans="2:10" ht="15.75" customHeight="1">
      <c r="B598" s="109"/>
      <c r="C598" s="110"/>
      <c r="D598" s="111"/>
      <c r="E598" s="112"/>
      <c r="F598" s="112"/>
      <c r="G598" s="113"/>
      <c r="H598" s="113"/>
      <c r="I598" s="113"/>
      <c r="J598" s="17"/>
    </row>
    <row r="599" spans="2:10" ht="15.75" customHeight="1">
      <c r="B599" s="109"/>
      <c r="C599" s="110"/>
      <c r="D599" s="111"/>
      <c r="E599" s="112"/>
      <c r="F599" s="112"/>
      <c r="G599" s="113"/>
      <c r="H599" s="113"/>
      <c r="I599" s="113"/>
      <c r="J599" s="17"/>
    </row>
    <row r="600" spans="2:10" ht="15.75" customHeight="1">
      <c r="B600" s="109"/>
      <c r="C600" s="110"/>
      <c r="D600" s="111"/>
      <c r="E600" s="112"/>
      <c r="F600" s="112"/>
      <c r="G600" s="113"/>
      <c r="H600" s="113"/>
      <c r="I600" s="113"/>
      <c r="J600" s="17"/>
    </row>
    <row r="601" spans="2:10" ht="15.75" customHeight="1">
      <c r="B601" s="109"/>
      <c r="C601" s="110"/>
      <c r="D601" s="111"/>
      <c r="E601" s="112"/>
      <c r="F601" s="112"/>
      <c r="G601" s="113"/>
      <c r="H601" s="113"/>
      <c r="I601" s="113"/>
      <c r="J601" s="17"/>
    </row>
    <row r="602" spans="2:10" ht="15.75" customHeight="1">
      <c r="B602" s="109"/>
      <c r="C602" s="110"/>
      <c r="D602" s="111"/>
      <c r="E602" s="112"/>
      <c r="F602" s="112"/>
      <c r="G602" s="113"/>
      <c r="H602" s="113"/>
      <c r="I602" s="113"/>
      <c r="J602" s="17"/>
    </row>
    <row r="603" spans="2:10" ht="15.75" customHeight="1">
      <c r="B603" s="109"/>
      <c r="C603" s="110"/>
      <c r="D603" s="111"/>
      <c r="E603" s="112"/>
      <c r="F603" s="112"/>
      <c r="G603" s="113"/>
      <c r="H603" s="113"/>
      <c r="I603" s="113"/>
      <c r="J603" s="17"/>
    </row>
    <row r="604" spans="2:10" ht="15.75" customHeight="1">
      <c r="B604" s="109"/>
      <c r="C604" s="110"/>
      <c r="D604" s="111"/>
      <c r="E604" s="112"/>
      <c r="F604" s="112"/>
      <c r="G604" s="113"/>
      <c r="H604" s="113"/>
      <c r="I604" s="113"/>
      <c r="J604" s="17"/>
    </row>
    <row r="605" spans="2:10" ht="15.75" customHeight="1">
      <c r="B605" s="109"/>
      <c r="C605" s="110"/>
      <c r="D605" s="111"/>
      <c r="E605" s="112"/>
      <c r="F605" s="112"/>
      <c r="G605" s="113"/>
      <c r="H605" s="113"/>
      <c r="I605" s="113"/>
      <c r="J605" s="17"/>
    </row>
    <row r="606" spans="2:10" ht="15.75" customHeight="1">
      <c r="B606" s="109"/>
      <c r="C606" s="110"/>
      <c r="D606" s="111"/>
      <c r="E606" s="112"/>
      <c r="F606" s="112"/>
      <c r="G606" s="113"/>
      <c r="H606" s="113"/>
      <c r="I606" s="113"/>
      <c r="J606" s="17"/>
    </row>
    <row r="607" spans="2:10" ht="15.75" customHeight="1">
      <c r="B607" s="109"/>
      <c r="C607" s="110"/>
      <c r="D607" s="111"/>
      <c r="E607" s="112"/>
      <c r="F607" s="112"/>
      <c r="G607" s="113"/>
      <c r="H607" s="113"/>
      <c r="I607" s="113"/>
      <c r="J607" s="17"/>
    </row>
    <row r="608" spans="2:10" ht="15.75" customHeight="1">
      <c r="B608" s="109"/>
      <c r="C608" s="110"/>
      <c r="D608" s="111"/>
      <c r="E608" s="112"/>
      <c r="F608" s="112"/>
      <c r="G608" s="113"/>
      <c r="H608" s="113"/>
      <c r="I608" s="113"/>
      <c r="J608" s="17"/>
    </row>
    <row r="609" spans="2:10" ht="15.75" customHeight="1">
      <c r="B609" s="109"/>
      <c r="C609" s="110"/>
      <c r="D609" s="111"/>
      <c r="E609" s="112"/>
      <c r="F609" s="112"/>
      <c r="G609" s="113"/>
      <c r="H609" s="113"/>
      <c r="I609" s="113"/>
      <c r="J609" s="17"/>
    </row>
    <row r="610" spans="2:10" ht="15.75" customHeight="1">
      <c r="B610" s="109"/>
      <c r="C610" s="110"/>
      <c r="D610" s="111"/>
      <c r="E610" s="112"/>
      <c r="F610" s="112"/>
      <c r="G610" s="113"/>
      <c r="H610" s="113"/>
      <c r="I610" s="113"/>
      <c r="J610" s="17"/>
    </row>
    <row r="611" spans="2:10" ht="15.75" customHeight="1">
      <c r="B611" s="109"/>
      <c r="C611" s="110"/>
      <c r="D611" s="111"/>
      <c r="E611" s="112"/>
      <c r="F611" s="112"/>
      <c r="G611" s="113"/>
      <c r="H611" s="113"/>
      <c r="I611" s="113"/>
      <c r="J611" s="17"/>
    </row>
    <row r="612" spans="2:10" ht="15.75" customHeight="1">
      <c r="B612" s="109"/>
      <c r="C612" s="110"/>
      <c r="D612" s="111"/>
      <c r="E612" s="112"/>
      <c r="F612" s="112"/>
      <c r="G612" s="113"/>
      <c r="H612" s="113"/>
      <c r="I612" s="113"/>
      <c r="J612" s="17"/>
    </row>
    <row r="613" spans="2:10" ht="15.75" customHeight="1">
      <c r="B613" s="109"/>
      <c r="C613" s="110"/>
      <c r="D613" s="111"/>
      <c r="E613" s="112"/>
      <c r="F613" s="112"/>
      <c r="G613" s="113"/>
      <c r="H613" s="113"/>
      <c r="I613" s="113"/>
      <c r="J613" s="17"/>
    </row>
    <row r="614" spans="2:10" ht="15.75" customHeight="1">
      <c r="B614" s="109"/>
      <c r="C614" s="110"/>
      <c r="D614" s="111"/>
      <c r="E614" s="112"/>
      <c r="F614" s="112"/>
      <c r="G614" s="113"/>
      <c r="H614" s="113"/>
      <c r="I614" s="113"/>
      <c r="J614" s="17"/>
    </row>
    <row r="615" spans="2:10" ht="15.75" customHeight="1">
      <c r="B615" s="109"/>
      <c r="C615" s="110"/>
      <c r="D615" s="111"/>
      <c r="E615" s="112"/>
      <c r="F615" s="112"/>
      <c r="G615" s="113"/>
      <c r="H615" s="113"/>
      <c r="I615" s="113"/>
      <c r="J615" s="17"/>
    </row>
    <row r="616" spans="2:10" ht="15.75" customHeight="1">
      <c r="B616" s="109"/>
      <c r="C616" s="110"/>
      <c r="D616" s="111"/>
      <c r="E616" s="112"/>
      <c r="F616" s="112"/>
      <c r="G616" s="113"/>
      <c r="H616" s="113"/>
      <c r="I616" s="113"/>
      <c r="J616" s="17"/>
    </row>
    <row r="617" spans="2:10" ht="15.75" customHeight="1">
      <c r="B617" s="109"/>
      <c r="C617" s="110"/>
      <c r="D617" s="111"/>
      <c r="E617" s="112"/>
      <c r="F617" s="112"/>
      <c r="G617" s="113"/>
      <c r="H617" s="113"/>
      <c r="I617" s="113"/>
      <c r="J617" s="17"/>
    </row>
    <row r="618" spans="2:10" ht="15.75" customHeight="1">
      <c r="B618" s="109"/>
      <c r="C618" s="110"/>
      <c r="D618" s="111"/>
      <c r="E618" s="112"/>
      <c r="F618" s="112"/>
      <c r="G618" s="113"/>
      <c r="H618" s="113"/>
      <c r="I618" s="113"/>
      <c r="J618" s="17"/>
    </row>
    <row r="619" spans="2:10" ht="15.75" customHeight="1">
      <c r="B619" s="109"/>
      <c r="C619" s="110"/>
      <c r="D619" s="111"/>
      <c r="E619" s="112"/>
      <c r="F619" s="112"/>
      <c r="G619" s="113"/>
      <c r="H619" s="113"/>
      <c r="I619" s="113"/>
      <c r="J619" s="17"/>
    </row>
    <row r="620" spans="2:10" ht="15.75" customHeight="1">
      <c r="B620" s="109"/>
      <c r="C620" s="110"/>
      <c r="D620" s="111"/>
      <c r="E620" s="112"/>
      <c r="F620" s="112"/>
      <c r="G620" s="113"/>
      <c r="H620" s="113"/>
      <c r="I620" s="113"/>
      <c r="J620" s="17"/>
    </row>
    <row r="621" spans="2:10" ht="15.75" customHeight="1">
      <c r="B621" s="109"/>
      <c r="C621" s="110"/>
      <c r="D621" s="111"/>
      <c r="E621" s="112"/>
      <c r="F621" s="112"/>
      <c r="G621" s="113"/>
      <c r="H621" s="113"/>
      <c r="I621" s="113"/>
      <c r="J621" s="17"/>
    </row>
    <row r="622" spans="2:10" ht="15.75" customHeight="1">
      <c r="B622" s="109"/>
      <c r="C622" s="110"/>
      <c r="D622" s="111"/>
      <c r="E622" s="112"/>
      <c r="F622" s="112"/>
      <c r="G622" s="113"/>
      <c r="H622" s="113"/>
      <c r="I622" s="113"/>
      <c r="J622" s="17"/>
    </row>
    <row r="623" spans="2:10" ht="15.75" customHeight="1">
      <c r="B623" s="109"/>
      <c r="C623" s="110"/>
      <c r="D623" s="111"/>
      <c r="E623" s="112"/>
      <c r="F623" s="112"/>
      <c r="G623" s="113"/>
      <c r="H623" s="113"/>
      <c r="I623" s="113"/>
      <c r="J623" s="17"/>
    </row>
    <row r="624" spans="2:10" ht="15.75" customHeight="1">
      <c r="B624" s="109"/>
      <c r="C624" s="110"/>
      <c r="D624" s="111"/>
      <c r="E624" s="112"/>
      <c r="F624" s="112"/>
      <c r="G624" s="113"/>
      <c r="H624" s="113"/>
      <c r="I624" s="113"/>
      <c r="J624" s="17"/>
    </row>
    <row r="625" spans="2:10" ht="15.75" customHeight="1">
      <c r="B625" s="109"/>
      <c r="C625" s="110"/>
      <c r="D625" s="111"/>
      <c r="E625" s="112"/>
      <c r="F625" s="112"/>
      <c r="G625" s="113"/>
      <c r="H625" s="113"/>
      <c r="I625" s="113"/>
      <c r="J625" s="17"/>
    </row>
    <row r="626" spans="2:10" ht="15.75" customHeight="1">
      <c r="B626" s="109"/>
      <c r="C626" s="110"/>
      <c r="D626" s="111"/>
      <c r="E626" s="112"/>
      <c r="F626" s="112"/>
      <c r="G626" s="113"/>
      <c r="H626" s="113"/>
      <c r="I626" s="113"/>
      <c r="J626" s="17"/>
    </row>
    <row r="627" spans="2:10" ht="15.75" customHeight="1">
      <c r="B627" s="109"/>
      <c r="C627" s="110"/>
      <c r="D627" s="111"/>
      <c r="E627" s="112"/>
      <c r="F627" s="112"/>
      <c r="G627" s="113"/>
      <c r="H627" s="113"/>
      <c r="I627" s="113"/>
      <c r="J627" s="17"/>
    </row>
    <row r="628" spans="2:10" ht="15.75" customHeight="1">
      <c r="B628" s="109"/>
      <c r="C628" s="110"/>
      <c r="D628" s="111"/>
      <c r="E628" s="112"/>
      <c r="F628" s="112"/>
      <c r="G628" s="113"/>
      <c r="H628" s="113"/>
      <c r="I628" s="113"/>
      <c r="J628" s="17"/>
    </row>
    <row r="629" spans="2:10" ht="15.75" customHeight="1">
      <c r="B629" s="109"/>
      <c r="C629" s="110"/>
      <c r="D629" s="111"/>
      <c r="E629" s="112"/>
      <c r="F629" s="112"/>
      <c r="G629" s="113"/>
      <c r="H629" s="113"/>
      <c r="I629" s="113"/>
      <c r="J629" s="17"/>
    </row>
    <row r="630" spans="2:10" ht="15.75" customHeight="1">
      <c r="B630" s="109"/>
      <c r="C630" s="110"/>
      <c r="D630" s="111"/>
      <c r="E630" s="112"/>
      <c r="F630" s="112"/>
      <c r="G630" s="113"/>
      <c r="H630" s="113"/>
      <c r="I630" s="113"/>
      <c r="J630" s="17"/>
    </row>
    <row r="631" spans="2:10" ht="15.75" customHeight="1">
      <c r="B631" s="109"/>
      <c r="C631" s="110"/>
      <c r="D631" s="111"/>
      <c r="E631" s="112"/>
      <c r="F631" s="112"/>
      <c r="G631" s="113"/>
      <c r="H631" s="113"/>
      <c r="I631" s="113"/>
      <c r="J631" s="17"/>
    </row>
    <row r="632" spans="2:10" ht="15.75" customHeight="1">
      <c r="B632" s="109"/>
      <c r="C632" s="110"/>
      <c r="D632" s="111"/>
      <c r="E632" s="112"/>
      <c r="F632" s="112"/>
      <c r="G632" s="113"/>
      <c r="H632" s="113"/>
      <c r="I632" s="113"/>
      <c r="J632" s="17"/>
    </row>
    <row r="633" spans="2:10" ht="15.75" customHeight="1">
      <c r="B633" s="109"/>
      <c r="C633" s="110"/>
      <c r="D633" s="111"/>
      <c r="E633" s="112"/>
      <c r="F633" s="112"/>
      <c r="G633" s="113"/>
      <c r="H633" s="113"/>
      <c r="I633" s="113"/>
      <c r="J633" s="17"/>
    </row>
    <row r="634" spans="2:10" ht="15.75" customHeight="1">
      <c r="B634" s="109"/>
      <c r="C634" s="110"/>
      <c r="D634" s="111"/>
      <c r="E634" s="112"/>
      <c r="F634" s="112"/>
      <c r="G634" s="113"/>
      <c r="H634" s="113"/>
      <c r="I634" s="113"/>
      <c r="J634" s="17"/>
    </row>
    <row r="635" spans="2:10" ht="15.75" customHeight="1">
      <c r="B635" s="109"/>
      <c r="C635" s="110"/>
      <c r="D635" s="111"/>
      <c r="E635" s="112"/>
      <c r="F635" s="112"/>
      <c r="G635" s="113"/>
      <c r="H635" s="113"/>
      <c r="I635" s="113"/>
      <c r="J635" s="17"/>
    </row>
    <row r="636" spans="2:10" ht="15.75" customHeight="1">
      <c r="B636" s="109"/>
      <c r="C636" s="110"/>
      <c r="D636" s="111"/>
      <c r="E636" s="112"/>
      <c r="F636" s="112"/>
      <c r="G636" s="113"/>
      <c r="H636" s="113"/>
      <c r="I636" s="113"/>
      <c r="J636" s="17"/>
    </row>
    <row r="637" spans="2:10" ht="15.75" customHeight="1">
      <c r="B637" s="109"/>
      <c r="C637" s="110"/>
      <c r="D637" s="111"/>
      <c r="E637" s="112"/>
      <c r="F637" s="112"/>
      <c r="G637" s="113"/>
      <c r="H637" s="113"/>
      <c r="I637" s="113"/>
      <c r="J637" s="17"/>
    </row>
    <row r="638" spans="2:10" ht="15.75" customHeight="1">
      <c r="B638" s="109"/>
      <c r="C638" s="110"/>
      <c r="D638" s="111"/>
      <c r="E638" s="112"/>
      <c r="F638" s="112"/>
      <c r="G638" s="113"/>
      <c r="H638" s="113"/>
      <c r="I638" s="113"/>
      <c r="J638" s="17"/>
    </row>
    <row r="639" spans="2:10" ht="15.75" customHeight="1">
      <c r="B639" s="109"/>
      <c r="C639" s="110"/>
      <c r="D639" s="111"/>
      <c r="E639" s="112"/>
      <c r="F639" s="112"/>
      <c r="G639" s="113"/>
      <c r="H639" s="113"/>
      <c r="I639" s="113"/>
      <c r="J639" s="17"/>
    </row>
    <row r="640" spans="2:10" ht="15.75" customHeight="1">
      <c r="B640" s="109"/>
      <c r="C640" s="110"/>
      <c r="D640" s="111"/>
      <c r="E640" s="112"/>
      <c r="F640" s="112"/>
      <c r="G640" s="113"/>
      <c r="H640" s="113"/>
      <c r="I640" s="113"/>
      <c r="J640" s="17"/>
    </row>
    <row r="641" spans="2:10" ht="15.75" customHeight="1">
      <c r="B641" s="109"/>
      <c r="C641" s="110"/>
      <c r="D641" s="111"/>
      <c r="E641" s="112"/>
      <c r="F641" s="112"/>
      <c r="G641" s="113"/>
      <c r="H641" s="113"/>
      <c r="I641" s="113"/>
      <c r="J641" s="17"/>
    </row>
    <row r="642" spans="2:10" ht="15.75" customHeight="1">
      <c r="B642" s="109"/>
      <c r="C642" s="110"/>
      <c r="D642" s="111"/>
      <c r="E642" s="112"/>
      <c r="F642" s="112"/>
      <c r="G642" s="113"/>
      <c r="H642" s="113"/>
      <c r="I642" s="113"/>
      <c r="J642" s="17"/>
    </row>
    <row r="643" spans="2:10" ht="15.75" customHeight="1">
      <c r="B643" s="109"/>
      <c r="C643" s="110"/>
      <c r="D643" s="111"/>
      <c r="E643" s="112"/>
      <c r="F643" s="112"/>
      <c r="G643" s="113"/>
      <c r="H643" s="113"/>
      <c r="I643" s="113"/>
      <c r="J643" s="17"/>
    </row>
    <row r="644" spans="2:10" ht="15.75" customHeight="1">
      <c r="B644" s="109"/>
      <c r="C644" s="110"/>
      <c r="D644" s="111"/>
      <c r="E644" s="112"/>
      <c r="F644" s="112"/>
      <c r="G644" s="113"/>
      <c r="H644" s="113"/>
      <c r="I644" s="113"/>
      <c r="J644" s="17"/>
    </row>
    <row r="645" spans="2:10" ht="15.75" customHeight="1">
      <c r="B645" s="109"/>
      <c r="C645" s="110"/>
      <c r="D645" s="111"/>
      <c r="E645" s="112"/>
      <c r="F645" s="112"/>
      <c r="G645" s="113"/>
      <c r="H645" s="113"/>
      <c r="I645" s="113"/>
      <c r="J645" s="17"/>
    </row>
    <row r="646" spans="2:10" ht="15.75" customHeight="1">
      <c r="B646" s="109"/>
      <c r="C646" s="110"/>
      <c r="D646" s="111"/>
      <c r="E646" s="112"/>
      <c r="F646" s="112"/>
      <c r="G646" s="113"/>
      <c r="H646" s="113"/>
      <c r="I646" s="113"/>
      <c r="J646" s="17"/>
    </row>
    <row r="647" spans="2:10" ht="15.75" customHeight="1">
      <c r="B647" s="109"/>
      <c r="C647" s="110"/>
      <c r="D647" s="111"/>
      <c r="E647" s="112"/>
      <c r="F647" s="112"/>
      <c r="G647" s="113"/>
      <c r="H647" s="113"/>
      <c r="I647" s="113"/>
      <c r="J647" s="17"/>
    </row>
    <row r="648" spans="2:10" ht="15.75" customHeight="1">
      <c r="B648" s="109"/>
      <c r="C648" s="110"/>
      <c r="D648" s="111"/>
      <c r="E648" s="112"/>
      <c r="F648" s="112"/>
      <c r="G648" s="113"/>
      <c r="H648" s="113"/>
      <c r="I648" s="113"/>
      <c r="J648" s="17"/>
    </row>
    <row r="649" spans="2:10" ht="15.75" customHeight="1">
      <c r="B649" s="109"/>
      <c r="C649" s="110"/>
      <c r="D649" s="111"/>
      <c r="E649" s="112"/>
      <c r="F649" s="112"/>
      <c r="G649" s="113"/>
      <c r="H649" s="113"/>
      <c r="I649" s="113"/>
      <c r="J649" s="17"/>
    </row>
    <row r="650" spans="2:10" ht="15.75" customHeight="1">
      <c r="B650" s="109"/>
      <c r="C650" s="110"/>
      <c r="D650" s="111"/>
      <c r="E650" s="112"/>
      <c r="F650" s="112"/>
      <c r="G650" s="113"/>
      <c r="H650" s="113"/>
      <c r="I650" s="113"/>
      <c r="J650" s="17"/>
    </row>
    <row r="651" spans="2:10" ht="15.75" customHeight="1">
      <c r="B651" s="109"/>
      <c r="C651" s="110"/>
      <c r="D651" s="111"/>
      <c r="E651" s="112"/>
      <c r="F651" s="112"/>
      <c r="G651" s="113"/>
      <c r="H651" s="113"/>
      <c r="I651" s="113"/>
      <c r="J651" s="17"/>
    </row>
    <row r="652" spans="2:10" ht="15.75" customHeight="1">
      <c r="B652" s="109"/>
      <c r="C652" s="110"/>
      <c r="D652" s="111"/>
      <c r="E652" s="112"/>
      <c r="F652" s="112"/>
      <c r="G652" s="113"/>
      <c r="H652" s="113"/>
      <c r="I652" s="113"/>
      <c r="J652" s="17"/>
    </row>
    <row r="653" spans="2:10" ht="15.75" customHeight="1">
      <c r="B653" s="109"/>
      <c r="C653" s="110"/>
      <c r="D653" s="111"/>
      <c r="E653" s="112"/>
      <c r="F653" s="112"/>
      <c r="G653" s="113"/>
      <c r="H653" s="113"/>
      <c r="I653" s="113"/>
      <c r="J653" s="17"/>
    </row>
    <row r="654" spans="2:10" ht="15.75" customHeight="1">
      <c r="B654" s="109"/>
      <c r="C654" s="110"/>
      <c r="D654" s="111"/>
      <c r="E654" s="112"/>
      <c r="F654" s="112"/>
      <c r="G654" s="113"/>
      <c r="H654" s="113"/>
      <c r="I654" s="113"/>
      <c r="J654" s="17"/>
    </row>
    <row r="655" spans="2:10" ht="15.75" customHeight="1">
      <c r="B655" s="109"/>
      <c r="C655" s="110"/>
      <c r="D655" s="111"/>
      <c r="E655" s="112"/>
      <c r="F655" s="112"/>
      <c r="G655" s="113"/>
      <c r="H655" s="113"/>
      <c r="I655" s="113"/>
      <c r="J655" s="17"/>
    </row>
    <row r="656" spans="2:10" ht="15.75" customHeight="1">
      <c r="B656" s="109"/>
      <c r="C656" s="110"/>
      <c r="D656" s="111"/>
      <c r="E656" s="112"/>
      <c r="F656" s="112"/>
      <c r="G656" s="113"/>
      <c r="H656" s="113"/>
      <c r="I656" s="113"/>
      <c r="J656" s="17"/>
    </row>
    <row r="657" spans="2:10" ht="15.75" customHeight="1">
      <c r="B657" s="109"/>
      <c r="C657" s="110"/>
      <c r="D657" s="111"/>
      <c r="E657" s="112"/>
      <c r="F657" s="112"/>
      <c r="G657" s="113"/>
      <c r="H657" s="113"/>
      <c r="I657" s="113"/>
      <c r="J657" s="17"/>
    </row>
    <row r="658" spans="2:10" ht="15.75" customHeight="1">
      <c r="B658" s="109"/>
      <c r="C658" s="110"/>
      <c r="D658" s="111"/>
      <c r="E658" s="112"/>
      <c r="F658" s="112"/>
      <c r="G658" s="113"/>
      <c r="H658" s="113"/>
      <c r="I658" s="113"/>
      <c r="J658" s="17"/>
    </row>
    <row r="659" spans="2:10" ht="15.75" customHeight="1">
      <c r="B659" s="109"/>
      <c r="C659" s="110"/>
      <c r="D659" s="111"/>
      <c r="E659" s="112"/>
      <c r="F659" s="112"/>
      <c r="G659" s="113"/>
      <c r="H659" s="113"/>
      <c r="I659" s="113"/>
      <c r="J659" s="17"/>
    </row>
    <row r="660" spans="2:10" ht="15.75" customHeight="1">
      <c r="B660" s="109"/>
      <c r="C660" s="110"/>
      <c r="D660" s="111"/>
      <c r="E660" s="112"/>
      <c r="F660" s="112"/>
      <c r="G660" s="113"/>
      <c r="H660" s="113"/>
      <c r="I660" s="113"/>
      <c r="J660" s="17"/>
    </row>
    <row r="661" spans="2:10" ht="15.75" customHeight="1">
      <c r="B661" s="109"/>
      <c r="C661" s="110"/>
      <c r="D661" s="111"/>
      <c r="E661" s="112"/>
      <c r="F661" s="112"/>
      <c r="G661" s="113"/>
      <c r="H661" s="113"/>
      <c r="I661" s="113"/>
      <c r="J661" s="17"/>
    </row>
    <row r="662" spans="2:10" ht="15.75" customHeight="1">
      <c r="B662" s="109"/>
      <c r="C662" s="110"/>
      <c r="D662" s="111"/>
      <c r="E662" s="112"/>
      <c r="F662" s="112"/>
      <c r="G662" s="113"/>
      <c r="H662" s="113"/>
      <c r="I662" s="113"/>
      <c r="J662" s="17"/>
    </row>
    <row r="663" spans="2:10" ht="15.75" customHeight="1">
      <c r="B663" s="109"/>
      <c r="C663" s="110"/>
      <c r="D663" s="111"/>
      <c r="E663" s="112"/>
      <c r="F663" s="112"/>
      <c r="G663" s="113"/>
      <c r="H663" s="113"/>
      <c r="I663" s="113"/>
      <c r="J663" s="17"/>
    </row>
    <row r="664" spans="2:10" ht="15.75" customHeight="1">
      <c r="B664" s="109"/>
      <c r="C664" s="110"/>
      <c r="D664" s="111"/>
      <c r="E664" s="112"/>
      <c r="F664" s="112"/>
      <c r="G664" s="113"/>
      <c r="H664" s="113"/>
      <c r="I664" s="113"/>
      <c r="J664" s="17"/>
    </row>
    <row r="665" spans="2:10" ht="15.75" customHeight="1">
      <c r="B665" s="109"/>
      <c r="C665" s="110"/>
      <c r="D665" s="111"/>
      <c r="E665" s="112"/>
      <c r="F665" s="112"/>
      <c r="G665" s="113"/>
      <c r="H665" s="113"/>
      <c r="I665" s="113"/>
      <c r="J665" s="17"/>
    </row>
    <row r="666" spans="2:10" ht="15.75" customHeight="1">
      <c r="B666" s="109"/>
      <c r="C666" s="110"/>
      <c r="D666" s="111"/>
      <c r="E666" s="112"/>
      <c r="F666" s="112"/>
      <c r="G666" s="113"/>
      <c r="H666" s="113"/>
      <c r="I666" s="113"/>
      <c r="J666" s="17"/>
    </row>
    <row r="667" spans="2:10" ht="15.75" customHeight="1">
      <c r="B667" s="109"/>
      <c r="C667" s="110"/>
      <c r="D667" s="111"/>
      <c r="E667" s="112"/>
      <c r="F667" s="112"/>
      <c r="G667" s="113"/>
      <c r="H667" s="113"/>
      <c r="I667" s="113"/>
      <c r="J667" s="17"/>
    </row>
    <row r="668" spans="2:10" ht="15.75" customHeight="1">
      <c r="B668" s="109"/>
      <c r="C668" s="110"/>
      <c r="D668" s="111"/>
      <c r="E668" s="112"/>
      <c r="F668" s="112"/>
      <c r="G668" s="113"/>
      <c r="H668" s="113"/>
      <c r="I668" s="113"/>
      <c r="J668" s="17"/>
    </row>
    <row r="669" spans="2:10" ht="15.75" customHeight="1">
      <c r="B669" s="109"/>
      <c r="C669" s="110"/>
      <c r="D669" s="111"/>
      <c r="E669" s="112"/>
      <c r="F669" s="112"/>
      <c r="G669" s="113"/>
      <c r="H669" s="113"/>
      <c r="I669" s="113"/>
      <c r="J669" s="17"/>
    </row>
    <row r="670" spans="2:10" ht="15.75" customHeight="1">
      <c r="B670" s="109"/>
      <c r="C670" s="110"/>
      <c r="D670" s="111"/>
      <c r="E670" s="112"/>
      <c r="F670" s="112"/>
      <c r="G670" s="113"/>
      <c r="H670" s="113"/>
      <c r="I670" s="113"/>
      <c r="J670" s="17"/>
    </row>
    <row r="671" spans="2:10" ht="15.75" customHeight="1">
      <c r="B671" s="109"/>
      <c r="C671" s="110"/>
      <c r="D671" s="111"/>
      <c r="E671" s="112"/>
      <c r="F671" s="112"/>
      <c r="G671" s="113"/>
      <c r="H671" s="113"/>
      <c r="I671" s="113"/>
      <c r="J671" s="17"/>
    </row>
    <row r="672" spans="2:10" ht="15.75" customHeight="1">
      <c r="B672" s="109"/>
      <c r="C672" s="110"/>
      <c r="D672" s="111"/>
      <c r="E672" s="112"/>
      <c r="F672" s="112"/>
      <c r="G672" s="113"/>
      <c r="H672" s="113"/>
      <c r="I672" s="113"/>
      <c r="J672" s="17"/>
    </row>
    <row r="673" spans="2:10" ht="15.75" customHeight="1">
      <c r="B673" s="109"/>
      <c r="C673" s="110"/>
      <c r="D673" s="111"/>
      <c r="E673" s="112"/>
      <c r="F673" s="112"/>
      <c r="G673" s="113"/>
      <c r="H673" s="113"/>
      <c r="I673" s="113"/>
      <c r="J673" s="17"/>
    </row>
    <row r="674" spans="2:10" ht="15.75" customHeight="1">
      <c r="B674" s="109"/>
      <c r="C674" s="110"/>
      <c r="D674" s="111"/>
      <c r="E674" s="112"/>
      <c r="F674" s="112"/>
      <c r="G674" s="113"/>
      <c r="H674" s="113"/>
      <c r="I674" s="113"/>
      <c r="J674" s="17"/>
    </row>
    <row r="675" spans="2:10" ht="15.75" customHeight="1">
      <c r="B675" s="109"/>
      <c r="C675" s="110"/>
      <c r="D675" s="111"/>
      <c r="E675" s="112"/>
      <c r="F675" s="112"/>
      <c r="G675" s="113"/>
      <c r="H675" s="113"/>
      <c r="I675" s="113"/>
      <c r="J675" s="17"/>
    </row>
    <row r="676" spans="2:10" ht="15.75" customHeight="1">
      <c r="B676" s="109"/>
      <c r="C676" s="110"/>
      <c r="D676" s="111"/>
      <c r="E676" s="112"/>
      <c r="F676" s="112"/>
      <c r="G676" s="113"/>
      <c r="H676" s="113"/>
      <c r="I676" s="113"/>
      <c r="J676" s="17"/>
    </row>
    <row r="677" spans="2:10" ht="15.75" customHeight="1">
      <c r="B677" s="109"/>
      <c r="C677" s="110"/>
      <c r="D677" s="111"/>
      <c r="E677" s="112"/>
      <c r="F677" s="112"/>
      <c r="G677" s="113"/>
      <c r="H677" s="113"/>
      <c r="I677" s="113"/>
      <c r="J677" s="17"/>
    </row>
    <row r="678" spans="2:10" ht="15.75" customHeight="1">
      <c r="B678" s="109"/>
      <c r="C678" s="110"/>
      <c r="D678" s="111"/>
      <c r="E678" s="112"/>
      <c r="F678" s="112"/>
      <c r="G678" s="113"/>
      <c r="H678" s="113"/>
      <c r="I678" s="113"/>
      <c r="J678" s="17"/>
    </row>
    <row r="679" spans="2:10" ht="15.75" customHeight="1">
      <c r="B679" s="109"/>
      <c r="C679" s="110"/>
      <c r="D679" s="111"/>
      <c r="E679" s="112"/>
      <c r="F679" s="112"/>
      <c r="G679" s="113"/>
      <c r="H679" s="113"/>
      <c r="I679" s="113"/>
      <c r="J679" s="17"/>
    </row>
    <row r="680" spans="2:10" ht="15.75" customHeight="1">
      <c r="B680" s="109"/>
      <c r="C680" s="110"/>
      <c r="D680" s="111"/>
      <c r="E680" s="112"/>
      <c r="F680" s="112"/>
      <c r="G680" s="113"/>
      <c r="H680" s="113"/>
      <c r="I680" s="113"/>
      <c r="J680" s="17"/>
    </row>
    <row r="681" spans="2:10" ht="15.75" customHeight="1">
      <c r="B681" s="109"/>
      <c r="C681" s="110"/>
      <c r="D681" s="111"/>
      <c r="E681" s="112"/>
      <c r="F681" s="112"/>
      <c r="G681" s="113"/>
      <c r="H681" s="113"/>
      <c r="I681" s="113"/>
      <c r="J681" s="17"/>
    </row>
    <row r="682" spans="2:10" ht="15.75" customHeight="1">
      <c r="B682" s="109"/>
      <c r="C682" s="110"/>
      <c r="D682" s="111"/>
      <c r="E682" s="112"/>
      <c r="F682" s="112"/>
      <c r="G682" s="113"/>
      <c r="H682" s="113"/>
      <c r="I682" s="113"/>
      <c r="J682" s="17"/>
    </row>
    <row r="683" spans="2:10" ht="15.75" customHeight="1">
      <c r="B683" s="109"/>
      <c r="C683" s="110"/>
      <c r="D683" s="111"/>
      <c r="E683" s="112"/>
      <c r="F683" s="112"/>
      <c r="G683" s="113"/>
      <c r="H683" s="113"/>
      <c r="I683" s="113"/>
      <c r="J683" s="17"/>
    </row>
    <row r="684" spans="2:10" ht="15.75" customHeight="1">
      <c r="B684" s="109"/>
      <c r="C684" s="110"/>
      <c r="D684" s="111"/>
      <c r="E684" s="112"/>
      <c r="F684" s="112"/>
      <c r="G684" s="113"/>
      <c r="H684" s="113"/>
      <c r="I684" s="113"/>
      <c r="J684" s="17"/>
    </row>
    <row r="685" spans="2:10" ht="15.75" customHeight="1">
      <c r="B685" s="109"/>
      <c r="C685" s="110"/>
      <c r="D685" s="111"/>
      <c r="E685" s="112"/>
      <c r="F685" s="112"/>
      <c r="G685" s="113"/>
      <c r="H685" s="113"/>
      <c r="I685" s="113"/>
      <c r="J685" s="17"/>
    </row>
    <row r="686" spans="2:10" ht="15.75" customHeight="1">
      <c r="B686" s="109"/>
      <c r="C686" s="110"/>
      <c r="D686" s="111"/>
      <c r="E686" s="112"/>
      <c r="F686" s="112"/>
      <c r="G686" s="113"/>
      <c r="H686" s="113"/>
      <c r="I686" s="113"/>
      <c r="J686" s="17"/>
    </row>
    <row r="687" spans="2:10" ht="15.75" customHeight="1">
      <c r="B687" s="109"/>
      <c r="C687" s="110"/>
      <c r="D687" s="111"/>
      <c r="E687" s="112"/>
      <c r="F687" s="112"/>
      <c r="G687" s="113"/>
      <c r="H687" s="113"/>
      <c r="I687" s="113"/>
      <c r="J687" s="17"/>
    </row>
    <row r="688" spans="2:10" ht="15.75" customHeight="1">
      <c r="B688" s="109"/>
      <c r="C688" s="110"/>
      <c r="D688" s="111"/>
      <c r="E688" s="112"/>
      <c r="F688" s="112"/>
      <c r="G688" s="113"/>
      <c r="H688" s="113"/>
      <c r="I688" s="113"/>
      <c r="J688" s="17"/>
    </row>
    <row r="689" spans="2:10" ht="15.75" customHeight="1">
      <c r="B689" s="109"/>
      <c r="C689" s="110"/>
      <c r="D689" s="111"/>
      <c r="E689" s="112"/>
      <c r="F689" s="112"/>
      <c r="G689" s="113"/>
      <c r="H689" s="113"/>
      <c r="I689" s="113"/>
      <c r="J689" s="17"/>
    </row>
    <row r="690" spans="2:10" ht="15.75" customHeight="1">
      <c r="B690" s="109"/>
      <c r="C690" s="110"/>
      <c r="D690" s="111"/>
      <c r="E690" s="112"/>
      <c r="F690" s="112"/>
      <c r="G690" s="113"/>
      <c r="H690" s="113"/>
      <c r="I690" s="113"/>
      <c r="J690" s="17"/>
    </row>
    <row r="691" spans="2:10" ht="15.75" customHeight="1">
      <c r="B691" s="109"/>
      <c r="C691" s="110"/>
      <c r="D691" s="111"/>
      <c r="E691" s="112"/>
      <c r="F691" s="112"/>
      <c r="G691" s="113"/>
      <c r="H691" s="113"/>
      <c r="I691" s="113"/>
      <c r="J691" s="17"/>
    </row>
    <row r="692" spans="2:10" ht="15.75" customHeight="1">
      <c r="B692" s="109"/>
      <c r="C692" s="110"/>
      <c r="D692" s="111"/>
      <c r="E692" s="112"/>
      <c r="F692" s="112"/>
      <c r="G692" s="113"/>
      <c r="H692" s="113"/>
      <c r="I692" s="113"/>
      <c r="J692" s="17"/>
    </row>
    <row r="693" spans="2:10" ht="15.75" customHeight="1">
      <c r="B693" s="109"/>
      <c r="C693" s="110"/>
      <c r="D693" s="111"/>
      <c r="E693" s="112"/>
      <c r="F693" s="112"/>
      <c r="G693" s="113"/>
      <c r="H693" s="113"/>
      <c r="I693" s="113"/>
      <c r="J693" s="17"/>
    </row>
    <row r="694" spans="2:10" ht="15.75" customHeight="1">
      <c r="B694" s="109"/>
      <c r="C694" s="110"/>
      <c r="D694" s="111"/>
      <c r="E694" s="112"/>
      <c r="F694" s="112"/>
      <c r="G694" s="113"/>
      <c r="H694" s="113"/>
      <c r="I694" s="113"/>
      <c r="J694" s="17"/>
    </row>
    <row r="695" spans="2:10" ht="15.75" customHeight="1">
      <c r="B695" s="109"/>
      <c r="C695" s="110"/>
      <c r="D695" s="111"/>
      <c r="E695" s="112"/>
      <c r="F695" s="112"/>
      <c r="G695" s="113"/>
      <c r="H695" s="113"/>
      <c r="I695" s="113"/>
      <c r="J695" s="17"/>
    </row>
    <row r="696" spans="2:10" ht="15.75" customHeight="1">
      <c r="B696" s="109"/>
      <c r="C696" s="110"/>
      <c r="D696" s="111"/>
      <c r="E696" s="112"/>
      <c r="F696" s="112"/>
      <c r="G696" s="113"/>
      <c r="H696" s="113"/>
      <c r="I696" s="113"/>
      <c r="J696" s="17"/>
    </row>
    <row r="697" spans="2:10" ht="15.75" customHeight="1">
      <c r="B697" s="109"/>
      <c r="C697" s="110"/>
      <c r="D697" s="111"/>
      <c r="E697" s="112"/>
      <c r="F697" s="112"/>
      <c r="G697" s="113"/>
      <c r="H697" s="113"/>
      <c r="I697" s="113"/>
      <c r="J697" s="17"/>
    </row>
    <row r="698" spans="2:10" ht="15.75" customHeight="1">
      <c r="B698" s="109"/>
      <c r="C698" s="110"/>
      <c r="D698" s="111"/>
      <c r="E698" s="112"/>
      <c r="F698" s="112"/>
      <c r="G698" s="113"/>
      <c r="H698" s="113"/>
      <c r="I698" s="113"/>
      <c r="J698" s="17"/>
    </row>
    <row r="699" spans="2:10" ht="15.75" customHeight="1">
      <c r="B699" s="109"/>
      <c r="C699" s="110"/>
      <c r="D699" s="111"/>
      <c r="E699" s="112"/>
      <c r="F699" s="112"/>
      <c r="G699" s="113"/>
      <c r="H699" s="113"/>
      <c r="I699" s="113"/>
      <c r="J699" s="17"/>
    </row>
    <row r="700" spans="2:10" ht="15.75" customHeight="1">
      <c r="B700" s="109"/>
      <c r="C700" s="110"/>
      <c r="D700" s="111"/>
      <c r="E700" s="112"/>
      <c r="F700" s="112"/>
      <c r="G700" s="113"/>
      <c r="H700" s="113"/>
      <c r="I700" s="113"/>
      <c r="J700" s="17"/>
    </row>
    <row r="701" spans="2:10" ht="15.75" customHeight="1">
      <c r="B701" s="109"/>
      <c r="C701" s="110"/>
      <c r="D701" s="111"/>
      <c r="E701" s="112"/>
      <c r="F701" s="112"/>
      <c r="G701" s="113"/>
      <c r="H701" s="113"/>
      <c r="I701" s="113"/>
      <c r="J701" s="17"/>
    </row>
    <row r="702" spans="2:10" ht="15.75" customHeight="1">
      <c r="B702" s="109"/>
      <c r="C702" s="110"/>
      <c r="D702" s="111"/>
      <c r="E702" s="112"/>
      <c r="F702" s="112"/>
      <c r="G702" s="113"/>
      <c r="H702" s="113"/>
      <c r="I702" s="113"/>
      <c r="J702" s="17"/>
    </row>
    <row r="703" spans="2:10" ht="15.75" customHeight="1">
      <c r="B703" s="109"/>
      <c r="C703" s="110"/>
      <c r="D703" s="111"/>
      <c r="E703" s="112"/>
      <c r="F703" s="112"/>
      <c r="G703" s="113"/>
      <c r="H703" s="113"/>
      <c r="I703" s="113"/>
      <c r="J703" s="17"/>
    </row>
    <row r="704" spans="2:10" ht="15.75" customHeight="1">
      <c r="B704" s="109"/>
      <c r="C704" s="110"/>
      <c r="D704" s="111"/>
      <c r="E704" s="112"/>
      <c r="F704" s="112"/>
      <c r="G704" s="113"/>
      <c r="H704" s="113"/>
      <c r="I704" s="113"/>
      <c r="J704" s="17"/>
    </row>
    <row r="705" spans="2:10" ht="15.75" customHeight="1">
      <c r="B705" s="109"/>
      <c r="C705" s="110"/>
      <c r="D705" s="111"/>
      <c r="E705" s="112"/>
      <c r="F705" s="112"/>
      <c r="G705" s="113"/>
      <c r="H705" s="113"/>
      <c r="I705" s="113"/>
      <c r="J705" s="17"/>
    </row>
    <row r="706" spans="2:10" ht="15.75" customHeight="1">
      <c r="B706" s="109"/>
      <c r="C706" s="110"/>
      <c r="D706" s="111"/>
      <c r="E706" s="112"/>
      <c r="F706" s="112"/>
      <c r="G706" s="113"/>
      <c r="H706" s="113"/>
      <c r="I706" s="113"/>
      <c r="J706" s="17"/>
    </row>
    <row r="707" spans="2:10" ht="15.75" customHeight="1">
      <c r="B707" s="109"/>
      <c r="C707" s="110"/>
      <c r="D707" s="111"/>
      <c r="E707" s="112"/>
      <c r="F707" s="112"/>
      <c r="G707" s="113"/>
      <c r="H707" s="113"/>
      <c r="I707" s="113"/>
      <c r="J707" s="17"/>
    </row>
    <row r="708" spans="2:10" ht="15.75" customHeight="1">
      <c r="B708" s="109"/>
      <c r="C708" s="110"/>
      <c r="D708" s="111"/>
      <c r="E708" s="112"/>
      <c r="F708" s="112"/>
      <c r="G708" s="113"/>
      <c r="H708" s="113"/>
      <c r="I708" s="113"/>
      <c r="J708" s="17"/>
    </row>
    <row r="709" spans="2:10" ht="15.75" customHeight="1">
      <c r="B709" s="109"/>
      <c r="C709" s="110"/>
      <c r="D709" s="111"/>
      <c r="E709" s="112"/>
      <c r="F709" s="112"/>
      <c r="G709" s="113"/>
      <c r="H709" s="113"/>
      <c r="I709" s="113"/>
      <c r="J709" s="17"/>
    </row>
    <row r="710" spans="2:10" ht="15.75" customHeight="1">
      <c r="B710" s="109"/>
      <c r="C710" s="110"/>
      <c r="D710" s="111"/>
      <c r="E710" s="112"/>
      <c r="F710" s="112"/>
      <c r="G710" s="113"/>
      <c r="H710" s="113"/>
      <c r="I710" s="113"/>
      <c r="J710" s="17"/>
    </row>
    <row r="711" spans="2:10" ht="15.75" customHeight="1">
      <c r="B711" s="109"/>
      <c r="C711" s="110"/>
      <c r="D711" s="111"/>
      <c r="E711" s="112"/>
      <c r="F711" s="112"/>
      <c r="G711" s="113"/>
      <c r="H711" s="113"/>
      <c r="I711" s="113"/>
      <c r="J711" s="17"/>
    </row>
    <row r="712" spans="2:10" ht="15.75" customHeight="1">
      <c r="B712" s="109"/>
      <c r="C712" s="110"/>
      <c r="D712" s="111"/>
      <c r="E712" s="112"/>
      <c r="F712" s="112"/>
      <c r="G712" s="113"/>
      <c r="H712" s="113"/>
      <c r="I712" s="113"/>
      <c r="J712" s="17"/>
    </row>
    <row r="713" spans="2:10" ht="15.75" customHeight="1">
      <c r="B713" s="109"/>
      <c r="C713" s="110"/>
      <c r="D713" s="111"/>
      <c r="E713" s="112"/>
      <c r="F713" s="112"/>
      <c r="G713" s="113"/>
      <c r="H713" s="113"/>
      <c r="I713" s="113"/>
      <c r="J713" s="17"/>
    </row>
    <row r="714" spans="2:10" ht="15.75" customHeight="1">
      <c r="B714" s="109"/>
      <c r="C714" s="110"/>
      <c r="D714" s="111"/>
      <c r="E714" s="112"/>
      <c r="F714" s="112"/>
      <c r="G714" s="113"/>
      <c r="H714" s="113"/>
      <c r="I714" s="113"/>
      <c r="J714" s="17"/>
    </row>
    <row r="715" spans="2:10" ht="15.75" customHeight="1">
      <c r="B715" s="109"/>
      <c r="C715" s="110"/>
      <c r="D715" s="111"/>
      <c r="E715" s="112"/>
      <c r="F715" s="112"/>
      <c r="G715" s="113"/>
      <c r="H715" s="113"/>
      <c r="I715" s="113"/>
      <c r="J715" s="17"/>
    </row>
    <row r="716" spans="2:10" ht="15.75" customHeight="1">
      <c r="B716" s="109"/>
      <c r="C716" s="110"/>
      <c r="D716" s="111"/>
      <c r="E716" s="112"/>
      <c r="F716" s="112"/>
      <c r="G716" s="113"/>
      <c r="H716" s="113"/>
      <c r="I716" s="113"/>
      <c r="J716" s="17"/>
    </row>
    <row r="717" spans="2:10" ht="15.75" customHeight="1">
      <c r="B717" s="109"/>
      <c r="C717" s="110"/>
      <c r="D717" s="111"/>
      <c r="E717" s="112"/>
      <c r="F717" s="112"/>
      <c r="G717" s="113"/>
      <c r="H717" s="113"/>
      <c r="I717" s="113"/>
      <c r="J717" s="17"/>
    </row>
    <row r="718" spans="2:10" ht="15.75" customHeight="1">
      <c r="B718" s="109"/>
      <c r="C718" s="110"/>
      <c r="D718" s="111"/>
      <c r="E718" s="112"/>
      <c r="F718" s="112"/>
      <c r="G718" s="113"/>
      <c r="H718" s="113"/>
      <c r="I718" s="113"/>
      <c r="J718" s="17"/>
    </row>
    <row r="719" spans="2:10" ht="15.75" customHeight="1">
      <c r="B719" s="109"/>
      <c r="C719" s="110"/>
      <c r="D719" s="111"/>
      <c r="E719" s="112"/>
      <c r="F719" s="112"/>
      <c r="G719" s="113"/>
      <c r="H719" s="113"/>
      <c r="I719" s="113"/>
      <c r="J719" s="17"/>
    </row>
    <row r="720" spans="2:10" ht="15.75" customHeight="1">
      <c r="B720" s="109"/>
      <c r="C720" s="110"/>
      <c r="D720" s="111"/>
      <c r="E720" s="112"/>
      <c r="F720" s="112"/>
      <c r="G720" s="113"/>
      <c r="H720" s="113"/>
      <c r="I720" s="113"/>
      <c r="J720" s="17"/>
    </row>
    <row r="721" spans="2:10" ht="15.75" customHeight="1">
      <c r="B721" s="109"/>
      <c r="C721" s="110"/>
      <c r="D721" s="111"/>
      <c r="E721" s="112"/>
      <c r="F721" s="112"/>
      <c r="G721" s="113"/>
      <c r="H721" s="113"/>
      <c r="I721" s="113"/>
      <c r="J721" s="17"/>
    </row>
    <row r="722" spans="2:10" ht="15.75" customHeight="1">
      <c r="B722" s="109"/>
      <c r="C722" s="110"/>
      <c r="D722" s="111"/>
      <c r="E722" s="112"/>
      <c r="F722" s="112"/>
      <c r="G722" s="113"/>
      <c r="H722" s="113"/>
      <c r="I722" s="113"/>
      <c r="J722" s="17"/>
    </row>
    <row r="723" spans="2:10" ht="15.75" customHeight="1">
      <c r="B723" s="109"/>
      <c r="C723" s="110"/>
      <c r="D723" s="111"/>
      <c r="E723" s="112"/>
      <c r="F723" s="112"/>
      <c r="G723" s="113"/>
      <c r="H723" s="113"/>
      <c r="I723" s="113"/>
      <c r="J723" s="17"/>
    </row>
    <row r="724" spans="2:10" ht="15.75" customHeight="1">
      <c r="B724" s="109"/>
      <c r="C724" s="110"/>
      <c r="D724" s="111"/>
      <c r="E724" s="112"/>
      <c r="F724" s="112"/>
      <c r="G724" s="113"/>
      <c r="H724" s="113"/>
      <c r="I724" s="113"/>
      <c r="J724" s="17"/>
    </row>
    <row r="725" spans="2:10" ht="15.75" customHeight="1">
      <c r="B725" s="109"/>
      <c r="C725" s="110"/>
      <c r="D725" s="111"/>
      <c r="E725" s="112"/>
      <c r="F725" s="112"/>
      <c r="G725" s="113"/>
      <c r="H725" s="113"/>
      <c r="I725" s="113"/>
      <c r="J725" s="17"/>
    </row>
    <row r="726" spans="2:10" ht="15.75" customHeight="1">
      <c r="B726" s="109"/>
      <c r="C726" s="110"/>
      <c r="D726" s="111"/>
      <c r="E726" s="112"/>
      <c r="F726" s="112"/>
      <c r="G726" s="113"/>
      <c r="H726" s="113"/>
      <c r="I726" s="113"/>
      <c r="J726" s="17"/>
    </row>
    <row r="727" spans="2:10" ht="15.75" customHeight="1">
      <c r="B727" s="109"/>
      <c r="C727" s="110"/>
      <c r="D727" s="111"/>
      <c r="E727" s="112"/>
      <c r="F727" s="112"/>
      <c r="G727" s="113"/>
      <c r="H727" s="113"/>
      <c r="I727" s="113"/>
      <c r="J727" s="17"/>
    </row>
    <row r="728" spans="2:10" ht="15.75" customHeight="1">
      <c r="B728" s="109"/>
      <c r="C728" s="110"/>
      <c r="D728" s="111"/>
      <c r="E728" s="112"/>
      <c r="F728" s="112"/>
      <c r="G728" s="113"/>
      <c r="H728" s="113"/>
      <c r="I728" s="113"/>
      <c r="J728" s="17"/>
    </row>
    <row r="729" spans="2:10" ht="15.75" customHeight="1">
      <c r="B729" s="109"/>
      <c r="C729" s="110"/>
      <c r="D729" s="111"/>
      <c r="E729" s="112"/>
      <c r="F729" s="112"/>
      <c r="G729" s="113"/>
      <c r="H729" s="113"/>
      <c r="I729" s="113"/>
      <c r="J729" s="17"/>
    </row>
    <row r="730" spans="2:10" ht="15.75" customHeight="1">
      <c r="B730" s="109"/>
      <c r="C730" s="110"/>
      <c r="D730" s="111"/>
      <c r="E730" s="112"/>
      <c r="F730" s="112"/>
      <c r="G730" s="113"/>
      <c r="H730" s="113"/>
      <c r="I730" s="113"/>
      <c r="J730" s="17"/>
    </row>
    <row r="731" spans="2:10" ht="15.75" customHeight="1">
      <c r="B731" s="109"/>
      <c r="C731" s="110"/>
      <c r="D731" s="111"/>
      <c r="E731" s="112"/>
      <c r="F731" s="112"/>
      <c r="G731" s="113"/>
      <c r="H731" s="113"/>
      <c r="I731" s="113"/>
      <c r="J731" s="17"/>
    </row>
    <row r="732" spans="2:10" ht="15.75" customHeight="1">
      <c r="B732" s="109"/>
      <c r="C732" s="110"/>
      <c r="D732" s="111"/>
      <c r="E732" s="112"/>
      <c r="F732" s="112"/>
      <c r="G732" s="113"/>
      <c r="H732" s="113"/>
      <c r="I732" s="113"/>
      <c r="J732" s="17"/>
    </row>
    <row r="733" spans="2:10" ht="15.75" customHeight="1">
      <c r="B733" s="109"/>
      <c r="C733" s="110"/>
      <c r="D733" s="111"/>
      <c r="E733" s="112"/>
      <c r="F733" s="112"/>
      <c r="G733" s="113"/>
      <c r="H733" s="113"/>
      <c r="I733" s="113"/>
      <c r="J733" s="17"/>
    </row>
    <row r="734" spans="2:10" ht="15.75" customHeight="1">
      <c r="B734" s="109"/>
      <c r="C734" s="110"/>
      <c r="D734" s="111"/>
      <c r="E734" s="112"/>
      <c r="F734" s="112"/>
      <c r="G734" s="113"/>
      <c r="H734" s="113"/>
      <c r="I734" s="113"/>
      <c r="J734" s="17"/>
    </row>
    <row r="735" spans="2:10" ht="15.75" customHeight="1">
      <c r="B735" s="109"/>
      <c r="C735" s="110"/>
      <c r="D735" s="111"/>
      <c r="E735" s="112"/>
      <c r="F735" s="112"/>
      <c r="G735" s="113"/>
      <c r="H735" s="113"/>
      <c r="I735" s="113"/>
      <c r="J735" s="17"/>
    </row>
    <row r="736" spans="2:10" ht="15.75" customHeight="1">
      <c r="B736" s="109"/>
      <c r="C736" s="110"/>
      <c r="D736" s="111"/>
      <c r="E736" s="112"/>
      <c r="F736" s="112"/>
      <c r="G736" s="113"/>
      <c r="H736" s="113"/>
      <c r="I736" s="113"/>
      <c r="J736" s="17"/>
    </row>
    <row r="737" spans="2:10" ht="15.75" customHeight="1">
      <c r="B737" s="109"/>
      <c r="C737" s="110"/>
      <c r="D737" s="111"/>
      <c r="E737" s="112"/>
      <c r="F737" s="112"/>
      <c r="G737" s="113"/>
      <c r="H737" s="113"/>
      <c r="I737" s="113"/>
      <c r="J737" s="17"/>
    </row>
    <row r="738" spans="2:10" ht="15.75" customHeight="1">
      <c r="B738" s="109"/>
      <c r="C738" s="110"/>
      <c r="D738" s="111"/>
      <c r="E738" s="112"/>
      <c r="F738" s="112"/>
      <c r="G738" s="113"/>
      <c r="H738" s="113"/>
      <c r="I738" s="113"/>
      <c r="J738" s="17"/>
    </row>
    <row r="739" spans="2:10" ht="15.75" customHeight="1">
      <c r="B739" s="109"/>
      <c r="C739" s="110"/>
      <c r="D739" s="111"/>
      <c r="E739" s="112"/>
      <c r="F739" s="112"/>
      <c r="G739" s="113"/>
      <c r="H739" s="113"/>
      <c r="I739" s="113"/>
      <c r="J739" s="17"/>
    </row>
    <row r="740" spans="2:10" ht="15.75" customHeight="1">
      <c r="B740" s="109"/>
      <c r="C740" s="110"/>
      <c r="D740" s="111"/>
      <c r="E740" s="112"/>
      <c r="F740" s="112"/>
      <c r="G740" s="113"/>
      <c r="H740" s="113"/>
      <c r="I740" s="113"/>
      <c r="J740" s="17"/>
    </row>
    <row r="741" spans="2:10" ht="15.75" customHeight="1">
      <c r="B741" s="109"/>
      <c r="C741" s="110"/>
      <c r="D741" s="111"/>
      <c r="E741" s="112"/>
      <c r="F741" s="112"/>
      <c r="G741" s="113"/>
      <c r="H741" s="113"/>
      <c r="I741" s="113"/>
      <c r="J741" s="17"/>
    </row>
    <row r="742" spans="2:10" ht="15.75" customHeight="1">
      <c r="B742" s="109"/>
      <c r="C742" s="110"/>
      <c r="D742" s="111"/>
      <c r="E742" s="112"/>
      <c r="F742" s="112"/>
      <c r="G742" s="113"/>
      <c r="H742" s="113"/>
      <c r="I742" s="113"/>
      <c r="J742" s="17"/>
    </row>
    <row r="743" spans="2:10" ht="15.75" customHeight="1">
      <c r="B743" s="109"/>
      <c r="C743" s="110"/>
      <c r="D743" s="111"/>
      <c r="E743" s="112"/>
      <c r="F743" s="112"/>
      <c r="G743" s="113"/>
      <c r="H743" s="113"/>
      <c r="I743" s="113"/>
      <c r="J743" s="17"/>
    </row>
    <row r="744" spans="2:10" ht="15.75" customHeight="1">
      <c r="B744" s="109"/>
      <c r="C744" s="110"/>
      <c r="D744" s="111"/>
      <c r="E744" s="112"/>
      <c r="F744" s="112"/>
      <c r="G744" s="113"/>
      <c r="H744" s="113"/>
      <c r="I744" s="113"/>
      <c r="J744" s="17"/>
    </row>
    <row r="745" spans="2:10" ht="15.75" customHeight="1">
      <c r="B745" s="109"/>
      <c r="C745" s="110"/>
      <c r="D745" s="111"/>
      <c r="E745" s="112"/>
      <c r="F745" s="112"/>
      <c r="G745" s="113"/>
      <c r="H745" s="113"/>
      <c r="I745" s="113"/>
      <c r="J745" s="17"/>
    </row>
    <row r="746" spans="2:10" ht="15.75" customHeight="1">
      <c r="B746" s="109"/>
      <c r="C746" s="110"/>
      <c r="D746" s="111"/>
      <c r="E746" s="112"/>
      <c r="F746" s="112"/>
      <c r="G746" s="113"/>
      <c r="H746" s="113"/>
      <c r="I746" s="113"/>
      <c r="J746" s="17"/>
    </row>
    <row r="747" spans="2:10" ht="15.75" customHeight="1">
      <c r="B747" s="109"/>
      <c r="C747" s="110"/>
      <c r="D747" s="111"/>
      <c r="E747" s="112"/>
      <c r="F747" s="112"/>
      <c r="G747" s="113"/>
      <c r="H747" s="113"/>
      <c r="I747" s="113"/>
      <c r="J747" s="17"/>
    </row>
    <row r="748" spans="2:10" ht="15.75" customHeight="1">
      <c r="B748" s="109"/>
      <c r="C748" s="110"/>
      <c r="D748" s="111"/>
      <c r="E748" s="112"/>
      <c r="F748" s="112"/>
      <c r="G748" s="113"/>
      <c r="H748" s="113"/>
      <c r="I748" s="113"/>
      <c r="J748" s="17"/>
    </row>
    <row r="749" spans="2:10" ht="15.75" customHeight="1">
      <c r="B749" s="109"/>
      <c r="C749" s="110"/>
      <c r="D749" s="111"/>
      <c r="E749" s="112"/>
      <c r="F749" s="112"/>
      <c r="G749" s="113"/>
      <c r="H749" s="113"/>
      <c r="I749" s="113"/>
      <c r="J749" s="17"/>
    </row>
    <row r="750" spans="2:10" ht="15.75" customHeight="1">
      <c r="B750" s="109"/>
      <c r="C750" s="110"/>
      <c r="D750" s="111"/>
      <c r="E750" s="112"/>
      <c r="F750" s="112"/>
      <c r="G750" s="113"/>
      <c r="H750" s="113"/>
      <c r="I750" s="113"/>
      <c r="J750" s="17"/>
    </row>
    <row r="751" spans="2:10" ht="15.75" customHeight="1">
      <c r="B751" s="109"/>
      <c r="C751" s="110"/>
      <c r="D751" s="111"/>
      <c r="E751" s="112"/>
      <c r="F751" s="112"/>
      <c r="G751" s="113"/>
      <c r="H751" s="113"/>
      <c r="I751" s="113"/>
      <c r="J751" s="17"/>
    </row>
    <row r="752" spans="2:10" ht="15.75" customHeight="1">
      <c r="B752" s="109"/>
      <c r="C752" s="110"/>
      <c r="D752" s="111"/>
      <c r="E752" s="112"/>
      <c r="F752" s="112"/>
      <c r="G752" s="113"/>
      <c r="H752" s="113"/>
      <c r="I752" s="113"/>
      <c r="J752" s="17"/>
    </row>
    <row r="753" spans="2:10" ht="15.75" customHeight="1">
      <c r="B753" s="109"/>
      <c r="C753" s="110"/>
      <c r="D753" s="111"/>
      <c r="E753" s="112"/>
      <c r="F753" s="112"/>
      <c r="G753" s="113"/>
      <c r="H753" s="113"/>
      <c r="I753" s="113"/>
      <c r="J753" s="17"/>
    </row>
    <row r="754" spans="2:10" ht="15.75" customHeight="1">
      <c r="B754" s="109"/>
      <c r="C754" s="110"/>
      <c r="D754" s="111"/>
      <c r="E754" s="112"/>
      <c r="F754" s="112"/>
      <c r="G754" s="113"/>
      <c r="H754" s="113"/>
      <c r="I754" s="113"/>
      <c r="J754" s="17"/>
    </row>
    <row r="755" spans="2:10" ht="15.75" customHeight="1">
      <c r="B755" s="109"/>
      <c r="C755" s="110"/>
      <c r="D755" s="111"/>
      <c r="E755" s="112"/>
      <c r="F755" s="112"/>
      <c r="G755" s="113"/>
      <c r="H755" s="113"/>
      <c r="I755" s="113"/>
      <c r="J755" s="17"/>
    </row>
    <row r="756" spans="2:10" ht="15.75" customHeight="1">
      <c r="B756" s="109"/>
      <c r="C756" s="110"/>
      <c r="D756" s="111"/>
      <c r="E756" s="112"/>
      <c r="F756" s="112"/>
      <c r="G756" s="113"/>
      <c r="H756" s="113"/>
      <c r="I756" s="113"/>
      <c r="J756" s="17"/>
    </row>
    <row r="757" spans="2:10" ht="15.75" customHeight="1">
      <c r="B757" s="109"/>
      <c r="C757" s="110"/>
      <c r="D757" s="111"/>
      <c r="E757" s="112"/>
      <c r="F757" s="112"/>
      <c r="G757" s="113"/>
      <c r="H757" s="113"/>
      <c r="I757" s="113"/>
      <c r="J757" s="17"/>
    </row>
    <row r="758" spans="2:10" ht="15.75" customHeight="1">
      <c r="B758" s="109"/>
      <c r="C758" s="110"/>
      <c r="D758" s="111"/>
      <c r="E758" s="112"/>
      <c r="F758" s="112"/>
      <c r="G758" s="113"/>
      <c r="H758" s="113"/>
      <c r="I758" s="113"/>
      <c r="J758" s="17"/>
    </row>
    <row r="759" spans="2:10" ht="15.75" customHeight="1">
      <c r="B759" s="109"/>
      <c r="C759" s="110"/>
      <c r="D759" s="111"/>
      <c r="E759" s="112"/>
      <c r="F759" s="112"/>
      <c r="G759" s="113"/>
      <c r="H759" s="113"/>
      <c r="I759" s="113"/>
      <c r="J759" s="17"/>
    </row>
    <row r="760" spans="2:10" ht="15.75" customHeight="1">
      <c r="B760" s="109"/>
      <c r="C760" s="110"/>
      <c r="D760" s="111"/>
      <c r="E760" s="112"/>
      <c r="F760" s="112"/>
      <c r="G760" s="113"/>
      <c r="H760" s="113"/>
      <c r="I760" s="113"/>
      <c r="J760" s="17"/>
    </row>
    <row r="761" spans="2:10" ht="15.75" customHeight="1">
      <c r="B761" s="109"/>
      <c r="C761" s="110"/>
      <c r="D761" s="111"/>
      <c r="E761" s="112"/>
      <c r="F761" s="112"/>
      <c r="G761" s="113"/>
      <c r="H761" s="113"/>
      <c r="I761" s="113"/>
      <c r="J761" s="17"/>
    </row>
    <row r="762" spans="2:10" ht="15.75" customHeight="1">
      <c r="B762" s="109"/>
      <c r="C762" s="110"/>
      <c r="D762" s="111"/>
      <c r="E762" s="112"/>
      <c r="F762" s="112"/>
      <c r="G762" s="113"/>
      <c r="H762" s="113"/>
      <c r="I762" s="113"/>
      <c r="J762" s="17"/>
    </row>
    <row r="763" spans="2:10" ht="15.75" customHeight="1">
      <c r="B763" s="109"/>
      <c r="C763" s="110"/>
      <c r="D763" s="111"/>
      <c r="E763" s="112"/>
      <c r="F763" s="112"/>
      <c r="G763" s="113"/>
      <c r="H763" s="113"/>
      <c r="I763" s="113"/>
      <c r="J763" s="17"/>
    </row>
    <row r="764" spans="2:10" ht="15.75" customHeight="1">
      <c r="B764" s="109"/>
      <c r="C764" s="110"/>
      <c r="D764" s="111"/>
      <c r="E764" s="112"/>
      <c r="F764" s="112"/>
      <c r="G764" s="113"/>
      <c r="H764" s="113"/>
      <c r="I764" s="113"/>
      <c r="J764" s="17"/>
    </row>
    <row r="765" spans="2:10" ht="15.75" customHeight="1">
      <c r="B765" s="109"/>
      <c r="C765" s="110"/>
      <c r="D765" s="111"/>
      <c r="E765" s="112"/>
      <c r="F765" s="112"/>
      <c r="G765" s="113"/>
      <c r="H765" s="113"/>
      <c r="I765" s="113"/>
      <c r="J765" s="17"/>
    </row>
    <row r="766" spans="2:10" ht="15.75" customHeight="1">
      <c r="B766" s="109"/>
      <c r="C766" s="110"/>
      <c r="D766" s="111"/>
      <c r="E766" s="112"/>
      <c r="F766" s="112"/>
      <c r="G766" s="113"/>
      <c r="H766" s="113"/>
      <c r="I766" s="113"/>
      <c r="J766" s="17"/>
    </row>
    <row r="767" spans="2:10" ht="15.75" customHeight="1">
      <c r="B767" s="109"/>
      <c r="C767" s="110"/>
      <c r="D767" s="111"/>
      <c r="E767" s="112"/>
      <c r="F767" s="112"/>
      <c r="G767" s="113"/>
      <c r="H767" s="113"/>
      <c r="I767" s="113"/>
      <c r="J767" s="17"/>
    </row>
    <row r="768" spans="2:10" ht="15.75" customHeight="1">
      <c r="B768" s="109"/>
      <c r="C768" s="110"/>
      <c r="D768" s="111"/>
      <c r="E768" s="112"/>
      <c r="F768" s="112"/>
      <c r="G768" s="113"/>
      <c r="H768" s="113"/>
      <c r="I768" s="113"/>
      <c r="J768" s="17"/>
    </row>
    <row r="769" spans="2:10" ht="15.75" customHeight="1">
      <c r="B769" s="109"/>
      <c r="C769" s="110"/>
      <c r="D769" s="111"/>
      <c r="E769" s="112"/>
      <c r="F769" s="112"/>
      <c r="G769" s="113"/>
      <c r="H769" s="113"/>
      <c r="I769" s="113"/>
      <c r="J769" s="17"/>
    </row>
    <row r="770" spans="2:10" ht="15.75" customHeight="1">
      <c r="B770" s="109"/>
      <c r="C770" s="110"/>
      <c r="D770" s="111"/>
      <c r="E770" s="112"/>
      <c r="F770" s="112"/>
      <c r="G770" s="113"/>
      <c r="H770" s="113"/>
      <c r="I770" s="113"/>
      <c r="J770" s="17"/>
    </row>
    <row r="771" spans="2:10" ht="15.75" customHeight="1">
      <c r="B771" s="109"/>
      <c r="C771" s="110"/>
      <c r="D771" s="111"/>
      <c r="E771" s="112"/>
      <c r="F771" s="112"/>
      <c r="G771" s="113"/>
      <c r="H771" s="113"/>
      <c r="I771" s="113"/>
      <c r="J771" s="17"/>
    </row>
    <row r="772" spans="2:10" ht="15.75" customHeight="1">
      <c r="B772" s="109"/>
      <c r="C772" s="110"/>
      <c r="D772" s="111"/>
      <c r="E772" s="112"/>
      <c r="F772" s="112"/>
      <c r="G772" s="113"/>
      <c r="H772" s="113"/>
      <c r="I772" s="113"/>
      <c r="J772" s="17"/>
    </row>
    <row r="773" spans="2:10" ht="15.75" customHeight="1">
      <c r="B773" s="109"/>
      <c r="C773" s="110"/>
      <c r="D773" s="111"/>
      <c r="E773" s="112"/>
      <c r="F773" s="112"/>
      <c r="G773" s="113"/>
      <c r="H773" s="113"/>
      <c r="I773" s="113"/>
      <c r="J773" s="17"/>
    </row>
    <row r="774" spans="2:10" ht="15.75" customHeight="1">
      <c r="B774" s="109"/>
      <c r="C774" s="110"/>
      <c r="D774" s="111"/>
      <c r="E774" s="112"/>
      <c r="F774" s="112"/>
      <c r="G774" s="113"/>
      <c r="H774" s="113"/>
      <c r="I774" s="113"/>
      <c r="J774" s="17"/>
    </row>
    <row r="775" spans="2:10" ht="15.75" customHeight="1">
      <c r="B775" s="109"/>
      <c r="C775" s="110"/>
      <c r="D775" s="111"/>
      <c r="E775" s="112"/>
      <c r="F775" s="112"/>
      <c r="G775" s="113"/>
      <c r="H775" s="113"/>
      <c r="I775" s="113"/>
      <c r="J775" s="17"/>
    </row>
    <row r="776" spans="2:10" ht="15.75" customHeight="1">
      <c r="B776" s="109"/>
      <c r="C776" s="110"/>
      <c r="D776" s="111"/>
      <c r="E776" s="112"/>
      <c r="F776" s="112"/>
      <c r="G776" s="113"/>
      <c r="H776" s="113"/>
      <c r="I776" s="113"/>
      <c r="J776" s="17"/>
    </row>
    <row r="777" spans="2:10" ht="15.75" customHeight="1">
      <c r="B777" s="109"/>
      <c r="C777" s="110"/>
      <c r="D777" s="111"/>
      <c r="E777" s="112"/>
      <c r="F777" s="112"/>
      <c r="G777" s="113"/>
      <c r="H777" s="113"/>
      <c r="I777" s="113"/>
      <c r="J777" s="17"/>
    </row>
    <row r="778" spans="2:10" ht="15.75" customHeight="1">
      <c r="B778" s="109"/>
      <c r="C778" s="110"/>
      <c r="D778" s="111"/>
      <c r="E778" s="112"/>
      <c r="F778" s="112"/>
      <c r="G778" s="113"/>
      <c r="H778" s="113"/>
      <c r="I778" s="113"/>
      <c r="J778" s="17"/>
    </row>
    <row r="779" spans="2:10" ht="15.75" customHeight="1">
      <c r="B779" s="109"/>
      <c r="C779" s="110"/>
      <c r="D779" s="111"/>
      <c r="E779" s="112"/>
      <c r="F779" s="112"/>
      <c r="G779" s="113"/>
      <c r="H779" s="113"/>
      <c r="I779" s="113"/>
      <c r="J779" s="17"/>
    </row>
    <row r="780" spans="2:10" ht="15.75" customHeight="1">
      <c r="B780" s="109"/>
      <c r="C780" s="110"/>
      <c r="D780" s="111"/>
      <c r="E780" s="112"/>
      <c r="F780" s="112"/>
      <c r="G780" s="113"/>
      <c r="H780" s="113"/>
      <c r="I780" s="113"/>
      <c r="J780" s="17"/>
    </row>
    <row r="781" spans="2:10" ht="15.75" customHeight="1">
      <c r="B781" s="109"/>
      <c r="C781" s="110"/>
      <c r="D781" s="111"/>
      <c r="E781" s="112"/>
      <c r="F781" s="112"/>
      <c r="G781" s="113"/>
      <c r="H781" s="113"/>
      <c r="I781" s="113"/>
      <c r="J781" s="17"/>
    </row>
    <row r="782" spans="2:10" ht="15.75" customHeight="1">
      <c r="B782" s="109"/>
      <c r="C782" s="110"/>
      <c r="D782" s="111"/>
      <c r="E782" s="112"/>
      <c r="F782" s="112"/>
      <c r="G782" s="113"/>
      <c r="H782" s="113"/>
      <c r="I782" s="113"/>
      <c r="J782" s="17"/>
    </row>
    <row r="783" spans="2:10" ht="15.75" customHeight="1">
      <c r="B783" s="109"/>
      <c r="C783" s="110"/>
      <c r="D783" s="111"/>
      <c r="E783" s="112"/>
      <c r="F783" s="112"/>
      <c r="G783" s="113"/>
      <c r="H783" s="113"/>
      <c r="I783" s="113"/>
      <c r="J783" s="17"/>
    </row>
    <row r="784" spans="2:10" ht="15.75" customHeight="1">
      <c r="B784" s="109"/>
      <c r="C784" s="110"/>
      <c r="D784" s="111"/>
      <c r="E784" s="112"/>
      <c r="F784" s="112"/>
      <c r="G784" s="113"/>
      <c r="H784" s="113"/>
      <c r="I784" s="113"/>
      <c r="J784" s="17"/>
    </row>
    <row r="785" spans="2:10" ht="15.75" customHeight="1">
      <c r="B785" s="109"/>
      <c r="C785" s="110"/>
      <c r="D785" s="111"/>
      <c r="E785" s="112"/>
      <c r="F785" s="112"/>
      <c r="G785" s="113"/>
      <c r="H785" s="113"/>
      <c r="I785" s="113"/>
      <c r="J785" s="17"/>
    </row>
    <row r="786" spans="2:10" ht="15.75" customHeight="1">
      <c r="B786" s="109"/>
      <c r="C786" s="110"/>
      <c r="D786" s="111"/>
      <c r="E786" s="112"/>
      <c r="F786" s="112"/>
      <c r="G786" s="113"/>
      <c r="H786" s="113"/>
      <c r="I786" s="113"/>
      <c r="J786" s="17"/>
    </row>
    <row r="787" spans="2:10" ht="15.75" customHeight="1">
      <c r="B787" s="109"/>
      <c r="C787" s="110"/>
      <c r="D787" s="111"/>
      <c r="E787" s="112"/>
      <c r="F787" s="112"/>
      <c r="G787" s="113"/>
      <c r="H787" s="113"/>
      <c r="I787" s="113"/>
      <c r="J787" s="17"/>
    </row>
    <row r="788" spans="2:10" ht="15.75" customHeight="1">
      <c r="B788" s="109"/>
      <c r="C788" s="110"/>
      <c r="D788" s="111"/>
      <c r="E788" s="112"/>
      <c r="F788" s="112"/>
      <c r="G788" s="113"/>
      <c r="H788" s="113"/>
      <c r="I788" s="113"/>
      <c r="J788" s="17"/>
    </row>
    <row r="789" spans="2:10" ht="15.75" customHeight="1">
      <c r="B789" s="109"/>
      <c r="C789" s="110"/>
      <c r="D789" s="111"/>
      <c r="E789" s="112"/>
      <c r="F789" s="112"/>
      <c r="G789" s="113"/>
      <c r="H789" s="113"/>
      <c r="I789" s="113"/>
      <c r="J789" s="17"/>
    </row>
    <row r="790" spans="2:10" ht="15.75" customHeight="1">
      <c r="B790" s="109"/>
      <c r="C790" s="110"/>
      <c r="D790" s="111"/>
      <c r="E790" s="112"/>
      <c r="F790" s="112"/>
      <c r="G790" s="113"/>
      <c r="H790" s="113"/>
      <c r="I790" s="113"/>
      <c r="J790" s="17"/>
    </row>
    <row r="791" spans="2:10" ht="15.75" customHeight="1">
      <c r="B791" s="109"/>
      <c r="C791" s="110"/>
      <c r="D791" s="111"/>
      <c r="E791" s="112"/>
      <c r="F791" s="112"/>
      <c r="G791" s="113"/>
      <c r="H791" s="113"/>
      <c r="I791" s="113"/>
      <c r="J791" s="17"/>
    </row>
    <row r="792" spans="2:10" ht="15.75" customHeight="1">
      <c r="B792" s="109"/>
      <c r="C792" s="110"/>
      <c r="D792" s="111"/>
      <c r="E792" s="112"/>
      <c r="F792" s="112"/>
      <c r="G792" s="113"/>
      <c r="H792" s="113"/>
      <c r="I792" s="113"/>
      <c r="J792" s="17"/>
    </row>
    <row r="793" spans="2:10" ht="15.75" customHeight="1">
      <c r="B793" s="109"/>
      <c r="C793" s="110"/>
      <c r="D793" s="111"/>
      <c r="E793" s="112"/>
      <c r="F793" s="112"/>
      <c r="G793" s="113"/>
      <c r="H793" s="113"/>
      <c r="I793" s="113"/>
      <c r="J793" s="17"/>
    </row>
    <row r="794" spans="2:10" ht="15.75" customHeight="1">
      <c r="B794" s="109"/>
      <c r="C794" s="110"/>
      <c r="D794" s="111"/>
      <c r="E794" s="112"/>
      <c r="F794" s="112"/>
      <c r="G794" s="113"/>
      <c r="H794" s="113"/>
      <c r="I794" s="113"/>
      <c r="J794" s="17"/>
    </row>
    <row r="795" spans="2:10" ht="15.75" customHeight="1">
      <c r="B795" s="109"/>
      <c r="C795" s="110"/>
      <c r="D795" s="111"/>
      <c r="E795" s="112"/>
      <c r="F795" s="112"/>
      <c r="G795" s="113"/>
      <c r="H795" s="113"/>
      <c r="I795" s="113"/>
      <c r="J795" s="17"/>
    </row>
    <row r="796" spans="2:10" ht="15.75" customHeight="1">
      <c r="B796" s="109"/>
      <c r="C796" s="110"/>
      <c r="D796" s="111"/>
      <c r="E796" s="112"/>
      <c r="F796" s="112"/>
      <c r="G796" s="113"/>
      <c r="H796" s="113"/>
      <c r="I796" s="113"/>
      <c r="J796" s="17"/>
    </row>
    <row r="797" spans="2:10" ht="15.75" customHeight="1">
      <c r="B797" s="109"/>
      <c r="C797" s="110"/>
      <c r="D797" s="111"/>
      <c r="E797" s="112"/>
      <c r="F797" s="112"/>
      <c r="G797" s="113"/>
      <c r="H797" s="113"/>
      <c r="I797" s="113"/>
      <c r="J797" s="17"/>
    </row>
    <row r="798" spans="2:10" ht="15.75" customHeight="1">
      <c r="B798" s="109"/>
      <c r="C798" s="110"/>
      <c r="D798" s="111"/>
      <c r="E798" s="112"/>
      <c r="F798" s="112"/>
      <c r="G798" s="113"/>
      <c r="H798" s="113"/>
      <c r="I798" s="113"/>
      <c r="J798" s="17"/>
    </row>
    <row r="799" spans="2:10" ht="15.75" customHeight="1">
      <c r="B799" s="109"/>
      <c r="C799" s="110"/>
      <c r="D799" s="111"/>
      <c r="E799" s="112"/>
      <c r="F799" s="112"/>
      <c r="G799" s="113"/>
      <c r="H799" s="113"/>
      <c r="I799" s="113"/>
      <c r="J799" s="17"/>
    </row>
    <row r="800" spans="2:10" ht="15.75" customHeight="1">
      <c r="B800" s="109"/>
      <c r="C800" s="110"/>
      <c r="D800" s="111"/>
      <c r="E800" s="112"/>
      <c r="F800" s="112"/>
      <c r="G800" s="113"/>
      <c r="H800" s="113"/>
      <c r="I800" s="113"/>
      <c r="J800" s="17"/>
    </row>
    <row r="801" spans="2:10" ht="15.75" customHeight="1">
      <c r="B801" s="109"/>
      <c r="C801" s="110"/>
      <c r="D801" s="111"/>
      <c r="E801" s="112"/>
      <c r="F801" s="112"/>
      <c r="G801" s="113"/>
      <c r="H801" s="113"/>
      <c r="I801" s="113"/>
      <c r="J801" s="17"/>
    </row>
    <row r="802" spans="2:10" ht="15.75" customHeight="1">
      <c r="B802" s="109"/>
      <c r="C802" s="110"/>
      <c r="D802" s="111"/>
      <c r="E802" s="112"/>
      <c r="F802" s="112"/>
      <c r="G802" s="113"/>
      <c r="H802" s="113"/>
      <c r="I802" s="113"/>
      <c r="J802" s="17"/>
    </row>
    <row r="803" spans="2:10" ht="15.75" customHeight="1">
      <c r="B803" s="109"/>
      <c r="C803" s="110"/>
      <c r="D803" s="111"/>
      <c r="E803" s="112"/>
      <c r="F803" s="112"/>
      <c r="G803" s="113"/>
      <c r="H803" s="113"/>
      <c r="I803" s="113"/>
      <c r="J803" s="17"/>
    </row>
    <row r="804" spans="2:10" ht="15.75" customHeight="1">
      <c r="B804" s="109"/>
      <c r="C804" s="110"/>
      <c r="D804" s="111"/>
      <c r="E804" s="112"/>
      <c r="F804" s="112"/>
      <c r="G804" s="113"/>
      <c r="H804" s="113"/>
      <c r="I804" s="113"/>
      <c r="J804" s="17"/>
    </row>
    <row r="805" spans="2:10" ht="15.75" customHeight="1">
      <c r="B805" s="109"/>
      <c r="C805" s="110"/>
      <c r="D805" s="111"/>
      <c r="E805" s="112"/>
      <c r="F805" s="112"/>
      <c r="G805" s="113"/>
      <c r="H805" s="113"/>
      <c r="I805" s="113"/>
      <c r="J805" s="17"/>
    </row>
    <row r="806" spans="2:10" ht="15.75" customHeight="1">
      <c r="B806" s="109"/>
      <c r="C806" s="110"/>
      <c r="D806" s="111"/>
      <c r="E806" s="112"/>
      <c r="F806" s="112"/>
      <c r="G806" s="113"/>
      <c r="H806" s="113"/>
      <c r="I806" s="113"/>
      <c r="J806" s="17"/>
    </row>
    <row r="807" spans="2:10" ht="15.75" customHeight="1">
      <c r="B807" s="109"/>
      <c r="C807" s="110"/>
      <c r="D807" s="111"/>
      <c r="E807" s="112"/>
      <c r="F807" s="112"/>
      <c r="G807" s="113"/>
      <c r="H807" s="113"/>
      <c r="I807" s="113"/>
      <c r="J807" s="17"/>
    </row>
    <row r="808" spans="2:10" ht="15.75" customHeight="1">
      <c r="B808" s="109"/>
      <c r="C808" s="110"/>
      <c r="D808" s="111"/>
      <c r="E808" s="112"/>
      <c r="F808" s="112"/>
      <c r="G808" s="113"/>
      <c r="H808" s="113"/>
      <c r="I808" s="113"/>
      <c r="J808" s="17"/>
    </row>
    <row r="809" spans="2:10" ht="15.75" customHeight="1">
      <c r="B809" s="109"/>
      <c r="C809" s="110"/>
      <c r="D809" s="111"/>
      <c r="E809" s="112"/>
      <c r="F809" s="112"/>
      <c r="G809" s="113"/>
      <c r="H809" s="113"/>
      <c r="I809" s="113"/>
      <c r="J809" s="17"/>
    </row>
    <row r="810" spans="2:10" ht="15.75" customHeight="1">
      <c r="B810" s="109"/>
      <c r="C810" s="110"/>
      <c r="D810" s="111"/>
      <c r="E810" s="112"/>
      <c r="F810" s="112"/>
      <c r="G810" s="113"/>
      <c r="H810" s="113"/>
      <c r="I810" s="113"/>
      <c r="J810" s="17"/>
    </row>
    <row r="811" spans="2:10" ht="15.75" customHeight="1">
      <c r="B811" s="109"/>
      <c r="C811" s="110"/>
      <c r="D811" s="111"/>
      <c r="E811" s="112"/>
      <c r="F811" s="112"/>
      <c r="G811" s="113"/>
      <c r="H811" s="113"/>
      <c r="I811" s="113"/>
      <c r="J811" s="17"/>
    </row>
    <row r="812" spans="2:10" ht="15.75" customHeight="1">
      <c r="B812" s="109"/>
      <c r="C812" s="110"/>
      <c r="D812" s="111"/>
      <c r="E812" s="112"/>
      <c r="F812" s="112"/>
      <c r="G812" s="113"/>
      <c r="H812" s="113"/>
      <c r="I812" s="113"/>
      <c r="J812" s="17"/>
    </row>
    <row r="813" spans="2:10" ht="15.75" customHeight="1">
      <c r="B813" s="109"/>
      <c r="C813" s="110"/>
      <c r="D813" s="111"/>
      <c r="E813" s="112"/>
      <c r="F813" s="112"/>
      <c r="G813" s="113"/>
      <c r="H813" s="113"/>
      <c r="I813" s="113"/>
      <c r="J813" s="17"/>
    </row>
    <row r="814" spans="2:10" ht="15.75" customHeight="1">
      <c r="B814" s="109"/>
      <c r="C814" s="110"/>
      <c r="D814" s="111"/>
      <c r="E814" s="112"/>
      <c r="F814" s="112"/>
      <c r="G814" s="113"/>
      <c r="H814" s="113"/>
      <c r="I814" s="113"/>
      <c r="J814" s="17"/>
    </row>
    <row r="815" spans="2:10" ht="15.75" customHeight="1">
      <c r="B815" s="109"/>
      <c r="C815" s="110"/>
      <c r="D815" s="111"/>
      <c r="E815" s="112"/>
      <c r="F815" s="112"/>
      <c r="G815" s="113"/>
      <c r="H815" s="113"/>
      <c r="I815" s="113"/>
      <c r="J815" s="17"/>
    </row>
    <row r="816" spans="2:10" ht="15.75" customHeight="1">
      <c r="B816" s="109"/>
      <c r="C816" s="110"/>
      <c r="D816" s="111"/>
      <c r="E816" s="112"/>
      <c r="F816" s="112"/>
      <c r="G816" s="113"/>
      <c r="H816" s="113"/>
      <c r="I816" s="113"/>
      <c r="J816" s="17"/>
    </row>
    <row r="817" spans="2:10" ht="15.75" customHeight="1">
      <c r="B817" s="109"/>
      <c r="C817" s="110"/>
      <c r="D817" s="111"/>
      <c r="E817" s="112"/>
      <c r="F817" s="112"/>
      <c r="G817" s="113"/>
      <c r="H817" s="113"/>
      <c r="I817" s="113"/>
      <c r="J817" s="17"/>
    </row>
    <row r="818" spans="2:10" ht="15.75" customHeight="1">
      <c r="B818" s="109"/>
      <c r="C818" s="110"/>
      <c r="D818" s="111"/>
      <c r="E818" s="112"/>
      <c r="F818" s="112"/>
      <c r="G818" s="113"/>
      <c r="H818" s="113"/>
      <c r="I818" s="113"/>
      <c r="J818" s="17"/>
    </row>
    <row r="819" spans="2:10" ht="15.75" customHeight="1">
      <c r="B819" s="109"/>
      <c r="C819" s="110"/>
      <c r="D819" s="111"/>
      <c r="E819" s="112"/>
      <c r="F819" s="112"/>
      <c r="G819" s="113"/>
      <c r="H819" s="113"/>
      <c r="I819" s="113"/>
      <c r="J819" s="17"/>
    </row>
    <row r="820" spans="2:10" ht="15.75" customHeight="1">
      <c r="B820" s="109"/>
      <c r="C820" s="110"/>
      <c r="D820" s="111"/>
      <c r="E820" s="112"/>
      <c r="F820" s="112"/>
      <c r="G820" s="113"/>
      <c r="H820" s="113"/>
      <c r="I820" s="113"/>
      <c r="J820" s="17"/>
    </row>
    <row r="821" spans="2:10" ht="15.75" customHeight="1">
      <c r="B821" s="109"/>
      <c r="C821" s="110"/>
      <c r="D821" s="111"/>
      <c r="E821" s="112"/>
      <c r="F821" s="112"/>
      <c r="G821" s="113"/>
      <c r="H821" s="113"/>
      <c r="I821" s="113"/>
      <c r="J821" s="17"/>
    </row>
    <row r="822" spans="2:10" ht="15.75" customHeight="1">
      <c r="B822" s="109"/>
      <c r="C822" s="110"/>
      <c r="D822" s="111"/>
      <c r="E822" s="112"/>
      <c r="F822" s="112"/>
      <c r="G822" s="113"/>
      <c r="H822" s="113"/>
      <c r="I822" s="113"/>
      <c r="J822" s="17"/>
    </row>
    <row r="823" spans="2:10" ht="15.75" customHeight="1">
      <c r="B823" s="109"/>
      <c r="C823" s="110"/>
      <c r="D823" s="111"/>
      <c r="E823" s="112"/>
      <c r="F823" s="112"/>
      <c r="G823" s="113"/>
      <c r="H823" s="113"/>
      <c r="I823" s="113"/>
      <c r="J823" s="17"/>
    </row>
    <row r="824" spans="2:10" ht="15.75" customHeight="1">
      <c r="B824" s="109"/>
      <c r="C824" s="110"/>
      <c r="D824" s="111"/>
      <c r="E824" s="112"/>
      <c r="F824" s="112"/>
      <c r="G824" s="113"/>
      <c r="H824" s="113"/>
      <c r="I824" s="113"/>
      <c r="J824" s="17"/>
    </row>
    <row r="825" spans="2:10" ht="15.75" customHeight="1">
      <c r="B825" s="109"/>
      <c r="C825" s="110"/>
      <c r="D825" s="111"/>
      <c r="E825" s="112"/>
      <c r="F825" s="112"/>
      <c r="G825" s="113"/>
      <c r="H825" s="113"/>
      <c r="I825" s="113"/>
      <c r="J825" s="17"/>
    </row>
    <row r="826" spans="2:10" ht="15.75" customHeight="1">
      <c r="B826" s="109"/>
      <c r="C826" s="110"/>
      <c r="D826" s="111"/>
      <c r="E826" s="112"/>
      <c r="F826" s="112"/>
      <c r="G826" s="113"/>
      <c r="H826" s="113"/>
      <c r="I826" s="113"/>
      <c r="J826" s="17"/>
    </row>
    <row r="827" spans="2:10" ht="15.75" customHeight="1">
      <c r="B827" s="109"/>
      <c r="C827" s="110"/>
      <c r="D827" s="111"/>
      <c r="E827" s="112"/>
      <c r="F827" s="112"/>
      <c r="G827" s="113"/>
      <c r="H827" s="113"/>
      <c r="I827" s="113"/>
      <c r="J827" s="17"/>
    </row>
    <row r="828" spans="2:10" ht="15.75" customHeight="1">
      <c r="B828" s="109"/>
      <c r="C828" s="110"/>
      <c r="D828" s="111"/>
      <c r="E828" s="112"/>
      <c r="F828" s="112"/>
      <c r="G828" s="113"/>
      <c r="H828" s="113"/>
      <c r="I828" s="113"/>
      <c r="J828" s="17"/>
    </row>
    <row r="829" spans="2:10" ht="15.75" customHeight="1">
      <c r="B829" s="109"/>
      <c r="C829" s="110"/>
      <c r="D829" s="111"/>
      <c r="E829" s="112"/>
      <c r="F829" s="112"/>
      <c r="G829" s="113"/>
      <c r="H829" s="113"/>
      <c r="I829" s="113"/>
      <c r="J829" s="17"/>
    </row>
    <row r="830" spans="2:10" ht="15.75" customHeight="1">
      <c r="B830" s="109"/>
      <c r="C830" s="110"/>
      <c r="D830" s="111"/>
      <c r="E830" s="112"/>
      <c r="F830" s="112"/>
      <c r="G830" s="113"/>
      <c r="H830" s="113"/>
      <c r="I830" s="113"/>
      <c r="J830" s="17"/>
    </row>
    <row r="831" spans="2:10" ht="15.75" customHeight="1">
      <c r="B831" s="109"/>
      <c r="C831" s="110"/>
      <c r="D831" s="111"/>
      <c r="E831" s="112"/>
      <c r="F831" s="112"/>
      <c r="G831" s="113"/>
      <c r="H831" s="113"/>
      <c r="I831" s="113"/>
      <c r="J831" s="17"/>
    </row>
    <row r="832" spans="2:10" ht="15.75" customHeight="1">
      <c r="B832" s="109"/>
      <c r="C832" s="110"/>
      <c r="D832" s="111"/>
      <c r="E832" s="112"/>
      <c r="F832" s="112"/>
      <c r="G832" s="113"/>
      <c r="H832" s="113"/>
      <c r="I832" s="113"/>
      <c r="J832" s="17"/>
    </row>
    <row r="833" spans="2:10" ht="15.75" customHeight="1">
      <c r="B833" s="109"/>
      <c r="C833" s="110"/>
      <c r="D833" s="111"/>
      <c r="E833" s="112"/>
      <c r="F833" s="112"/>
      <c r="G833" s="113"/>
      <c r="H833" s="113"/>
      <c r="I833" s="113"/>
      <c r="J833" s="17"/>
    </row>
    <row r="834" spans="2:10" ht="15.75" customHeight="1">
      <c r="B834" s="109"/>
      <c r="C834" s="110"/>
      <c r="D834" s="111"/>
      <c r="E834" s="112"/>
      <c r="F834" s="112"/>
      <c r="G834" s="113"/>
      <c r="H834" s="113"/>
      <c r="I834" s="113"/>
      <c r="J834" s="17"/>
    </row>
    <row r="835" spans="2:10" ht="15.75" customHeight="1">
      <c r="B835" s="109"/>
      <c r="C835" s="110"/>
      <c r="D835" s="111"/>
      <c r="E835" s="112"/>
      <c r="F835" s="112"/>
      <c r="G835" s="113"/>
      <c r="H835" s="113"/>
      <c r="I835" s="113"/>
      <c r="J835" s="17"/>
    </row>
    <row r="836" spans="2:10" ht="15.75" customHeight="1">
      <c r="B836" s="109"/>
      <c r="C836" s="110"/>
      <c r="D836" s="111"/>
      <c r="E836" s="112"/>
      <c r="F836" s="112"/>
      <c r="G836" s="113"/>
      <c r="H836" s="113"/>
      <c r="I836" s="113"/>
      <c r="J836" s="17"/>
    </row>
    <row r="837" spans="2:10" ht="15.75" customHeight="1">
      <c r="B837" s="109"/>
      <c r="C837" s="110"/>
      <c r="D837" s="111"/>
      <c r="E837" s="112"/>
      <c r="F837" s="112"/>
      <c r="G837" s="113"/>
      <c r="H837" s="113"/>
      <c r="I837" s="113"/>
      <c r="J837" s="17"/>
    </row>
    <row r="838" spans="2:10" ht="15.75" customHeight="1">
      <c r="B838" s="109"/>
      <c r="C838" s="110"/>
      <c r="D838" s="111"/>
      <c r="E838" s="112"/>
      <c r="F838" s="112"/>
      <c r="G838" s="113"/>
      <c r="H838" s="113"/>
      <c r="I838" s="113"/>
      <c r="J838" s="17"/>
    </row>
    <row r="839" spans="2:10" ht="15.75" customHeight="1">
      <c r="B839" s="109"/>
      <c r="C839" s="110"/>
      <c r="D839" s="111"/>
      <c r="E839" s="112"/>
      <c r="F839" s="112"/>
      <c r="G839" s="113"/>
      <c r="H839" s="113"/>
      <c r="I839" s="113"/>
      <c r="J839" s="17"/>
    </row>
    <row r="840" spans="2:10" ht="15.75" customHeight="1">
      <c r="B840" s="109"/>
      <c r="C840" s="110"/>
      <c r="D840" s="111"/>
      <c r="E840" s="112"/>
      <c r="F840" s="112"/>
      <c r="G840" s="113"/>
      <c r="H840" s="113"/>
      <c r="I840" s="113"/>
      <c r="J840" s="17"/>
    </row>
    <row r="841" spans="2:10" ht="15.75" customHeight="1">
      <c r="B841" s="109"/>
      <c r="C841" s="110"/>
      <c r="D841" s="111"/>
      <c r="E841" s="112"/>
      <c r="F841" s="112"/>
      <c r="G841" s="113"/>
      <c r="H841" s="113"/>
      <c r="I841" s="113"/>
      <c r="J841" s="17"/>
    </row>
    <row r="842" spans="2:10" ht="15.75" customHeight="1">
      <c r="B842" s="109"/>
      <c r="C842" s="110"/>
      <c r="D842" s="111"/>
      <c r="E842" s="112"/>
      <c r="F842" s="112"/>
      <c r="G842" s="113"/>
      <c r="H842" s="113"/>
      <c r="I842" s="113"/>
      <c r="J842" s="17"/>
    </row>
    <row r="843" spans="2:10" ht="15.75" customHeight="1">
      <c r="B843" s="109"/>
      <c r="C843" s="110"/>
      <c r="D843" s="111"/>
      <c r="E843" s="112"/>
      <c r="F843" s="112"/>
      <c r="G843" s="113"/>
      <c r="H843" s="113"/>
      <c r="I843" s="113"/>
      <c r="J843" s="17"/>
    </row>
    <row r="844" spans="2:10" ht="15.75" customHeight="1">
      <c r="B844" s="109"/>
      <c r="C844" s="110"/>
      <c r="D844" s="111"/>
      <c r="E844" s="112"/>
      <c r="F844" s="112"/>
      <c r="G844" s="113"/>
      <c r="H844" s="113"/>
      <c r="I844" s="113"/>
      <c r="J844" s="17"/>
    </row>
    <row r="845" spans="2:10" ht="15.75" customHeight="1">
      <c r="B845" s="109"/>
      <c r="C845" s="110"/>
      <c r="D845" s="111"/>
      <c r="E845" s="112"/>
      <c r="F845" s="112"/>
      <c r="G845" s="113"/>
      <c r="H845" s="113"/>
      <c r="I845" s="113"/>
      <c r="J845" s="17"/>
    </row>
    <row r="846" spans="2:10" ht="15.75" customHeight="1">
      <c r="B846" s="109"/>
      <c r="C846" s="110"/>
      <c r="D846" s="111"/>
      <c r="E846" s="112"/>
      <c r="F846" s="112"/>
      <c r="G846" s="113"/>
      <c r="H846" s="113"/>
      <c r="I846" s="113"/>
      <c r="J846" s="17"/>
    </row>
    <row r="847" spans="2:10" ht="15.75" customHeight="1">
      <c r="B847" s="109"/>
      <c r="C847" s="110"/>
      <c r="D847" s="111"/>
      <c r="E847" s="112"/>
      <c r="F847" s="112"/>
      <c r="G847" s="113"/>
      <c r="H847" s="113"/>
      <c r="I847" s="113"/>
      <c r="J847" s="17"/>
    </row>
    <row r="848" spans="2:10" ht="15.75" customHeight="1">
      <c r="B848" s="109"/>
      <c r="C848" s="110"/>
      <c r="D848" s="111"/>
      <c r="E848" s="112"/>
      <c r="F848" s="112"/>
      <c r="G848" s="113"/>
      <c r="H848" s="113"/>
      <c r="I848" s="113"/>
      <c r="J848" s="17"/>
    </row>
    <row r="849" spans="2:10" ht="15.75" customHeight="1">
      <c r="B849" s="109"/>
      <c r="C849" s="110"/>
      <c r="D849" s="111"/>
      <c r="E849" s="112"/>
      <c r="F849" s="112"/>
      <c r="G849" s="113"/>
      <c r="H849" s="113"/>
      <c r="I849" s="113"/>
      <c r="J849" s="17"/>
    </row>
    <row r="850" spans="2:10" ht="15.75" customHeight="1">
      <c r="B850" s="109"/>
      <c r="C850" s="110"/>
      <c r="D850" s="111"/>
      <c r="E850" s="112"/>
      <c r="F850" s="112"/>
      <c r="G850" s="113"/>
      <c r="H850" s="113"/>
      <c r="I850" s="113"/>
      <c r="J850" s="17"/>
    </row>
    <row r="851" spans="2:10" ht="15.75" customHeight="1">
      <c r="B851" s="109"/>
      <c r="C851" s="110"/>
      <c r="D851" s="111"/>
      <c r="E851" s="112"/>
      <c r="F851" s="112"/>
      <c r="G851" s="113"/>
      <c r="H851" s="113"/>
      <c r="I851" s="113"/>
      <c r="J851" s="17"/>
    </row>
    <row r="852" spans="2:10" ht="15.75" customHeight="1">
      <c r="B852" s="109"/>
      <c r="C852" s="110"/>
      <c r="D852" s="111"/>
      <c r="E852" s="112"/>
      <c r="F852" s="112"/>
      <c r="G852" s="113"/>
      <c r="H852" s="113"/>
      <c r="I852" s="113"/>
      <c r="J852" s="17"/>
    </row>
    <row r="853" spans="2:10" ht="15.75" customHeight="1">
      <c r="B853" s="109"/>
      <c r="C853" s="110"/>
      <c r="D853" s="111"/>
      <c r="E853" s="112"/>
      <c r="F853" s="112"/>
      <c r="G853" s="113"/>
      <c r="H853" s="113"/>
      <c r="I853" s="113"/>
      <c r="J853" s="17"/>
    </row>
    <row r="854" spans="2:10" ht="15.75" customHeight="1">
      <c r="B854" s="109"/>
      <c r="C854" s="110"/>
      <c r="D854" s="111"/>
      <c r="E854" s="112"/>
      <c r="F854" s="112"/>
      <c r="G854" s="113"/>
      <c r="H854" s="113"/>
      <c r="I854" s="113"/>
      <c r="J854" s="17"/>
    </row>
    <row r="855" spans="2:10" ht="15.75" customHeight="1">
      <c r="B855" s="109"/>
      <c r="C855" s="110"/>
      <c r="D855" s="111"/>
      <c r="E855" s="112"/>
      <c r="F855" s="112"/>
      <c r="G855" s="113"/>
      <c r="H855" s="113"/>
      <c r="I855" s="113"/>
      <c r="J855" s="17"/>
    </row>
    <row r="856" spans="2:10" ht="15.75" customHeight="1">
      <c r="B856" s="109"/>
      <c r="C856" s="110"/>
      <c r="D856" s="111"/>
      <c r="E856" s="112"/>
      <c r="F856" s="112"/>
      <c r="G856" s="113"/>
      <c r="H856" s="113"/>
      <c r="I856" s="113"/>
      <c r="J856" s="17"/>
    </row>
    <row r="857" spans="2:10" ht="15.75" customHeight="1">
      <c r="B857" s="109"/>
      <c r="C857" s="110"/>
      <c r="D857" s="111"/>
      <c r="E857" s="112"/>
      <c r="F857" s="112"/>
      <c r="G857" s="113"/>
      <c r="H857" s="113"/>
      <c r="I857" s="113"/>
      <c r="J857" s="17"/>
    </row>
    <row r="858" spans="2:10" ht="15.75" customHeight="1">
      <c r="B858" s="109"/>
      <c r="C858" s="110"/>
      <c r="D858" s="111"/>
      <c r="E858" s="112"/>
      <c r="F858" s="112"/>
      <c r="G858" s="113"/>
      <c r="H858" s="113"/>
      <c r="I858" s="113"/>
      <c r="J858" s="17"/>
    </row>
    <row r="859" spans="2:10" ht="15.75" customHeight="1">
      <c r="B859" s="109"/>
      <c r="C859" s="110"/>
      <c r="D859" s="111"/>
      <c r="E859" s="112"/>
      <c r="F859" s="112"/>
      <c r="G859" s="113"/>
      <c r="H859" s="113"/>
      <c r="I859" s="113"/>
      <c r="J859" s="17"/>
    </row>
    <row r="860" spans="2:10" ht="15.75" customHeight="1">
      <c r="B860" s="109"/>
      <c r="C860" s="110"/>
      <c r="D860" s="111"/>
      <c r="E860" s="112"/>
      <c r="F860" s="112"/>
      <c r="G860" s="113"/>
      <c r="H860" s="113"/>
      <c r="I860" s="113"/>
      <c r="J860" s="17"/>
    </row>
    <row r="861" spans="2:10" ht="15.75" customHeight="1">
      <c r="B861" s="109"/>
      <c r="C861" s="110"/>
      <c r="D861" s="111"/>
      <c r="E861" s="112"/>
      <c r="F861" s="112"/>
      <c r="G861" s="113"/>
      <c r="H861" s="113"/>
      <c r="I861" s="113"/>
      <c r="J861" s="17"/>
    </row>
    <row r="862" spans="2:10" ht="15.75" customHeight="1">
      <c r="B862" s="109"/>
      <c r="C862" s="110"/>
      <c r="D862" s="111"/>
      <c r="E862" s="112"/>
      <c r="F862" s="112"/>
      <c r="G862" s="113"/>
      <c r="H862" s="113"/>
      <c r="I862" s="113"/>
      <c r="J862" s="17"/>
    </row>
    <row r="863" spans="2:10" ht="15.75" customHeight="1">
      <c r="B863" s="109"/>
      <c r="C863" s="110"/>
      <c r="D863" s="111"/>
      <c r="E863" s="112"/>
      <c r="F863" s="112"/>
      <c r="G863" s="113"/>
      <c r="H863" s="113"/>
      <c r="I863" s="113"/>
      <c r="J863" s="17"/>
    </row>
    <row r="864" spans="2:10" ht="15.75" customHeight="1">
      <c r="B864" s="109"/>
      <c r="C864" s="110"/>
      <c r="D864" s="111"/>
      <c r="E864" s="112"/>
      <c r="F864" s="112"/>
      <c r="G864" s="113"/>
      <c r="H864" s="113"/>
      <c r="I864" s="113"/>
      <c r="J864" s="17"/>
    </row>
    <row r="865" spans="2:10" ht="15.75" customHeight="1">
      <c r="B865" s="109"/>
      <c r="C865" s="110"/>
      <c r="D865" s="111"/>
      <c r="E865" s="112"/>
      <c r="F865" s="112"/>
      <c r="G865" s="113"/>
      <c r="H865" s="113"/>
      <c r="I865" s="113"/>
      <c r="J865" s="17"/>
    </row>
    <row r="866" spans="2:10" ht="15.75" customHeight="1">
      <c r="B866" s="109"/>
      <c r="C866" s="110"/>
      <c r="D866" s="111"/>
      <c r="E866" s="112"/>
      <c r="F866" s="112"/>
      <c r="G866" s="113"/>
      <c r="H866" s="113"/>
      <c r="I866" s="113"/>
      <c r="J866" s="17"/>
    </row>
    <row r="867" spans="2:10" ht="15.75" customHeight="1">
      <c r="B867" s="109"/>
      <c r="C867" s="110"/>
      <c r="D867" s="111"/>
      <c r="E867" s="112"/>
      <c r="F867" s="112"/>
      <c r="G867" s="113"/>
      <c r="H867" s="113"/>
      <c r="I867" s="113"/>
      <c r="J867" s="17"/>
    </row>
    <row r="868" spans="2:10" ht="15.75" customHeight="1">
      <c r="B868" s="109"/>
      <c r="C868" s="110"/>
      <c r="D868" s="111"/>
      <c r="E868" s="112"/>
      <c r="F868" s="112"/>
      <c r="G868" s="113"/>
      <c r="H868" s="113"/>
      <c r="I868" s="113"/>
      <c r="J868" s="17"/>
    </row>
    <row r="869" spans="2:10" ht="15.75" customHeight="1">
      <c r="B869" s="109"/>
      <c r="C869" s="110"/>
      <c r="D869" s="111"/>
      <c r="E869" s="112"/>
      <c r="F869" s="112"/>
      <c r="G869" s="113"/>
      <c r="H869" s="113"/>
      <c r="I869" s="113"/>
      <c r="J869" s="17"/>
    </row>
    <row r="870" spans="2:10" ht="15.75" customHeight="1">
      <c r="B870" s="109"/>
      <c r="C870" s="110"/>
      <c r="D870" s="111"/>
      <c r="E870" s="112"/>
      <c r="F870" s="112"/>
      <c r="G870" s="113"/>
      <c r="H870" s="113"/>
      <c r="I870" s="113"/>
      <c r="J870" s="17"/>
    </row>
    <row r="871" spans="2:10" ht="15.75" customHeight="1">
      <c r="B871" s="109"/>
      <c r="C871" s="110"/>
      <c r="D871" s="111"/>
      <c r="E871" s="112"/>
      <c r="F871" s="112"/>
      <c r="G871" s="113"/>
      <c r="H871" s="113"/>
      <c r="I871" s="113"/>
      <c r="J871" s="17"/>
    </row>
    <row r="872" spans="2:10" ht="15.75" customHeight="1">
      <c r="B872" s="109"/>
      <c r="C872" s="110"/>
      <c r="D872" s="111"/>
      <c r="E872" s="112"/>
      <c r="F872" s="112"/>
      <c r="G872" s="113"/>
      <c r="H872" s="113"/>
      <c r="I872" s="113"/>
      <c r="J872" s="17"/>
    </row>
    <row r="873" spans="2:10" ht="15.75" customHeight="1">
      <c r="B873" s="109"/>
      <c r="C873" s="110"/>
      <c r="D873" s="111"/>
      <c r="E873" s="112"/>
      <c r="F873" s="112"/>
      <c r="G873" s="113"/>
      <c r="H873" s="113"/>
      <c r="I873" s="113"/>
      <c r="J873" s="17"/>
    </row>
    <row r="874" spans="2:10" ht="15.75" customHeight="1">
      <c r="B874" s="109"/>
      <c r="C874" s="110"/>
      <c r="D874" s="111"/>
      <c r="E874" s="112"/>
      <c r="F874" s="112"/>
      <c r="G874" s="113"/>
      <c r="H874" s="113"/>
      <c r="I874" s="113"/>
      <c r="J874" s="17"/>
    </row>
    <row r="875" spans="2:10" ht="15.75" customHeight="1">
      <c r="B875" s="109"/>
      <c r="C875" s="110"/>
      <c r="D875" s="111"/>
      <c r="E875" s="112"/>
      <c r="F875" s="112"/>
      <c r="G875" s="113"/>
      <c r="H875" s="113"/>
      <c r="I875" s="113"/>
      <c r="J875" s="17"/>
    </row>
    <row r="876" spans="2:10" ht="15.75" customHeight="1">
      <c r="B876" s="109"/>
      <c r="C876" s="110"/>
      <c r="D876" s="111"/>
      <c r="E876" s="112"/>
      <c r="F876" s="112"/>
      <c r="G876" s="113"/>
      <c r="H876" s="113"/>
      <c r="I876" s="113"/>
      <c r="J876" s="17"/>
    </row>
    <row r="877" spans="2:10" ht="15.75" customHeight="1">
      <c r="B877" s="109"/>
      <c r="C877" s="110"/>
      <c r="D877" s="111"/>
      <c r="E877" s="112"/>
      <c r="F877" s="112"/>
      <c r="G877" s="113"/>
      <c r="H877" s="113"/>
      <c r="I877" s="113"/>
      <c r="J877" s="17"/>
    </row>
    <row r="878" spans="2:10" ht="15.75" customHeight="1">
      <c r="B878" s="109"/>
      <c r="C878" s="110"/>
      <c r="D878" s="111"/>
      <c r="E878" s="112"/>
      <c r="F878" s="112"/>
      <c r="G878" s="113"/>
      <c r="H878" s="113"/>
      <c r="I878" s="113"/>
      <c r="J878" s="17"/>
    </row>
    <row r="879" spans="2:10" ht="15.75" customHeight="1">
      <c r="B879" s="109"/>
      <c r="C879" s="110"/>
      <c r="D879" s="111"/>
      <c r="E879" s="112"/>
      <c r="F879" s="112"/>
      <c r="G879" s="113"/>
      <c r="H879" s="113"/>
      <c r="I879" s="113"/>
      <c r="J879" s="17"/>
    </row>
    <row r="880" spans="2:10" ht="15.75" customHeight="1">
      <c r="B880" s="109"/>
      <c r="C880" s="110"/>
      <c r="D880" s="111"/>
      <c r="E880" s="112"/>
      <c r="F880" s="112"/>
      <c r="G880" s="113"/>
      <c r="H880" s="113"/>
      <c r="I880" s="113"/>
      <c r="J880" s="17"/>
    </row>
    <row r="881" spans="2:10" ht="15.75" customHeight="1">
      <c r="B881" s="109"/>
      <c r="C881" s="110"/>
      <c r="D881" s="111"/>
      <c r="E881" s="112"/>
      <c r="F881" s="112"/>
      <c r="G881" s="113"/>
      <c r="H881" s="113"/>
      <c r="I881" s="113"/>
      <c r="J881" s="17"/>
    </row>
    <row r="882" spans="2:10" ht="15.75" customHeight="1">
      <c r="B882" s="109"/>
      <c r="C882" s="110"/>
      <c r="D882" s="111"/>
      <c r="E882" s="112"/>
      <c r="F882" s="112"/>
      <c r="G882" s="113"/>
      <c r="H882" s="113"/>
      <c r="I882" s="113"/>
      <c r="J882" s="17"/>
    </row>
    <row r="883" spans="2:10" ht="15.75" customHeight="1">
      <c r="B883" s="109"/>
      <c r="C883" s="110"/>
      <c r="D883" s="111"/>
      <c r="E883" s="112"/>
      <c r="F883" s="112"/>
      <c r="G883" s="113"/>
      <c r="H883" s="113"/>
      <c r="I883" s="113"/>
      <c r="J883" s="17"/>
    </row>
    <row r="884" spans="2:10" ht="15.75" customHeight="1">
      <c r="B884" s="109"/>
      <c r="C884" s="110"/>
      <c r="D884" s="111"/>
      <c r="E884" s="112"/>
      <c r="F884" s="112"/>
      <c r="G884" s="113"/>
      <c r="H884" s="113"/>
      <c r="I884" s="113"/>
      <c r="J884" s="17"/>
    </row>
    <row r="885" spans="2:10" ht="15.75" customHeight="1">
      <c r="B885" s="109"/>
      <c r="C885" s="110"/>
      <c r="D885" s="111"/>
      <c r="E885" s="112"/>
      <c r="F885" s="112"/>
      <c r="G885" s="113"/>
      <c r="H885" s="113"/>
      <c r="I885" s="113"/>
      <c r="J885" s="17"/>
    </row>
    <row r="886" spans="2:10" ht="15.75" customHeight="1">
      <c r="B886" s="109"/>
      <c r="C886" s="110"/>
      <c r="D886" s="111"/>
      <c r="E886" s="112"/>
      <c r="F886" s="112"/>
      <c r="G886" s="113"/>
      <c r="H886" s="113"/>
      <c r="I886" s="113"/>
      <c r="J886" s="17"/>
    </row>
    <row r="887" spans="2:10" ht="15.75" customHeight="1">
      <c r="B887" s="109"/>
      <c r="C887" s="110"/>
      <c r="D887" s="111"/>
      <c r="E887" s="112"/>
      <c r="F887" s="112"/>
      <c r="G887" s="113"/>
      <c r="H887" s="113"/>
      <c r="I887" s="113"/>
      <c r="J887" s="17"/>
    </row>
    <row r="888" spans="2:10" ht="15.75" customHeight="1">
      <c r="B888" s="109"/>
      <c r="C888" s="110"/>
      <c r="D888" s="111"/>
      <c r="E888" s="112"/>
      <c r="F888" s="112"/>
      <c r="G888" s="113"/>
      <c r="H888" s="113"/>
      <c r="I888" s="113"/>
      <c r="J888" s="17"/>
    </row>
    <row r="889" spans="2:10" ht="15.75" customHeight="1">
      <c r="B889" s="109"/>
      <c r="C889" s="110"/>
      <c r="D889" s="111"/>
      <c r="E889" s="112"/>
      <c r="F889" s="112"/>
      <c r="G889" s="113"/>
      <c r="H889" s="113"/>
      <c r="I889" s="113"/>
      <c r="J889" s="17"/>
    </row>
    <row r="890" spans="2:10" ht="15.75" customHeight="1">
      <c r="B890" s="109"/>
      <c r="C890" s="110"/>
      <c r="D890" s="111"/>
      <c r="E890" s="112"/>
      <c r="F890" s="112"/>
      <c r="G890" s="113"/>
      <c r="H890" s="113"/>
      <c r="I890" s="113"/>
      <c r="J890" s="17"/>
    </row>
    <row r="891" spans="2:10" ht="15.75" customHeight="1">
      <c r="B891" s="109"/>
      <c r="C891" s="110"/>
      <c r="D891" s="111"/>
      <c r="E891" s="112"/>
      <c r="F891" s="112"/>
      <c r="G891" s="113"/>
      <c r="H891" s="113"/>
      <c r="I891" s="113"/>
      <c r="J891" s="17"/>
    </row>
    <row r="892" spans="2:10" ht="15.75" customHeight="1">
      <c r="B892" s="109"/>
      <c r="C892" s="110"/>
      <c r="D892" s="111"/>
      <c r="E892" s="112"/>
      <c r="F892" s="112"/>
      <c r="G892" s="113"/>
      <c r="H892" s="113"/>
      <c r="I892" s="113"/>
      <c r="J892" s="17"/>
    </row>
    <row r="893" spans="2:10" ht="15.75" customHeight="1">
      <c r="B893" s="109"/>
      <c r="C893" s="110"/>
      <c r="D893" s="111"/>
      <c r="E893" s="112"/>
      <c r="F893" s="112"/>
      <c r="G893" s="113"/>
      <c r="H893" s="113"/>
      <c r="I893" s="113"/>
      <c r="J893" s="17"/>
    </row>
    <row r="894" spans="2:10" ht="15.75" customHeight="1">
      <c r="B894" s="109"/>
      <c r="C894" s="110"/>
      <c r="D894" s="111"/>
      <c r="E894" s="112"/>
      <c r="F894" s="112"/>
      <c r="G894" s="113"/>
      <c r="H894" s="113"/>
      <c r="I894" s="113"/>
      <c r="J894" s="17"/>
    </row>
    <row r="895" spans="2:10" ht="15.75" customHeight="1">
      <c r="B895" s="109"/>
      <c r="C895" s="110"/>
      <c r="D895" s="111"/>
      <c r="E895" s="112"/>
      <c r="F895" s="112"/>
      <c r="G895" s="113"/>
      <c r="H895" s="113"/>
      <c r="I895" s="113"/>
      <c r="J895" s="17"/>
    </row>
    <row r="896" spans="2:10" ht="15.75" customHeight="1">
      <c r="B896" s="109"/>
      <c r="C896" s="110"/>
      <c r="D896" s="111"/>
      <c r="E896" s="112"/>
      <c r="F896" s="112"/>
      <c r="G896" s="113"/>
      <c r="H896" s="113"/>
      <c r="I896" s="113"/>
      <c r="J896" s="17"/>
    </row>
    <row r="897" spans="2:10" ht="15.75" customHeight="1">
      <c r="B897" s="109"/>
      <c r="C897" s="110"/>
      <c r="D897" s="111"/>
      <c r="E897" s="112"/>
      <c r="F897" s="112"/>
      <c r="G897" s="113"/>
      <c r="H897" s="113"/>
      <c r="I897" s="113"/>
      <c r="J897" s="17"/>
    </row>
    <row r="898" spans="2:10" ht="15.75" customHeight="1">
      <c r="B898" s="109"/>
      <c r="C898" s="110"/>
      <c r="D898" s="111"/>
      <c r="E898" s="112"/>
      <c r="F898" s="112"/>
      <c r="G898" s="113"/>
      <c r="H898" s="113"/>
      <c r="I898" s="113"/>
      <c r="J898" s="17"/>
    </row>
    <row r="899" spans="2:10" ht="15.75" customHeight="1">
      <c r="B899" s="109"/>
      <c r="C899" s="110"/>
      <c r="D899" s="111"/>
      <c r="E899" s="112"/>
      <c r="F899" s="112"/>
      <c r="G899" s="113"/>
      <c r="H899" s="113"/>
      <c r="I899" s="113"/>
      <c r="J899" s="17"/>
    </row>
    <row r="900" spans="2:10" ht="15.75" customHeight="1">
      <c r="B900" s="109"/>
      <c r="C900" s="110"/>
      <c r="D900" s="111"/>
      <c r="E900" s="112"/>
      <c r="F900" s="112"/>
      <c r="G900" s="113"/>
      <c r="H900" s="113"/>
      <c r="I900" s="113"/>
      <c r="J900" s="17"/>
    </row>
    <row r="901" spans="2:10" ht="15.75" customHeight="1">
      <c r="B901" s="109"/>
      <c r="C901" s="110"/>
      <c r="D901" s="111"/>
      <c r="E901" s="112"/>
      <c r="F901" s="112"/>
      <c r="G901" s="113"/>
      <c r="H901" s="113"/>
      <c r="I901" s="113"/>
      <c r="J901" s="17"/>
    </row>
    <row r="902" spans="2:10" ht="15.75" customHeight="1">
      <c r="B902" s="109"/>
      <c r="C902" s="110"/>
      <c r="D902" s="111"/>
      <c r="E902" s="112"/>
      <c r="F902" s="112"/>
      <c r="G902" s="113"/>
      <c r="H902" s="113"/>
      <c r="I902" s="113"/>
      <c r="J902" s="17"/>
    </row>
    <row r="903" spans="2:10" ht="15.75" customHeight="1">
      <c r="B903" s="109"/>
      <c r="C903" s="110"/>
      <c r="D903" s="111"/>
      <c r="E903" s="112"/>
      <c r="F903" s="112"/>
      <c r="G903" s="113"/>
      <c r="H903" s="113"/>
      <c r="I903" s="113"/>
      <c r="J903" s="17"/>
    </row>
    <row r="904" spans="2:10" ht="15.75" customHeight="1">
      <c r="B904" s="109"/>
      <c r="C904" s="110"/>
      <c r="D904" s="111"/>
      <c r="E904" s="112"/>
      <c r="F904" s="112"/>
      <c r="G904" s="113"/>
      <c r="H904" s="113"/>
      <c r="I904" s="113"/>
      <c r="J904" s="17"/>
    </row>
    <row r="905" spans="2:10" ht="15.75" customHeight="1">
      <c r="B905" s="109"/>
      <c r="C905" s="110"/>
      <c r="D905" s="111"/>
      <c r="E905" s="112"/>
      <c r="F905" s="112"/>
      <c r="G905" s="113"/>
      <c r="H905" s="113"/>
      <c r="I905" s="113"/>
      <c r="J905" s="17"/>
    </row>
    <row r="906" spans="2:10" ht="15.75" customHeight="1">
      <c r="B906" s="109"/>
      <c r="C906" s="110"/>
      <c r="D906" s="111"/>
      <c r="E906" s="112"/>
      <c r="F906" s="112"/>
      <c r="G906" s="113"/>
      <c r="H906" s="113"/>
      <c r="I906" s="113"/>
      <c r="J906" s="17"/>
    </row>
    <row r="907" spans="2:10" ht="15.75" customHeight="1">
      <c r="B907" s="109"/>
      <c r="C907" s="110"/>
      <c r="D907" s="111"/>
      <c r="E907" s="112"/>
      <c r="F907" s="112"/>
      <c r="G907" s="113"/>
      <c r="H907" s="113"/>
      <c r="I907" s="113"/>
      <c r="J907" s="17"/>
    </row>
    <row r="908" spans="2:10" ht="15.75" customHeight="1">
      <c r="B908" s="109"/>
      <c r="C908" s="110"/>
      <c r="D908" s="111"/>
      <c r="E908" s="112"/>
      <c r="F908" s="112"/>
      <c r="G908" s="113"/>
      <c r="H908" s="113"/>
      <c r="I908" s="113"/>
      <c r="J908" s="17"/>
    </row>
    <row r="909" spans="2:10" ht="15.75" customHeight="1">
      <c r="B909" s="109"/>
      <c r="C909" s="110"/>
      <c r="D909" s="111"/>
      <c r="E909" s="112"/>
      <c r="F909" s="112"/>
      <c r="G909" s="113"/>
      <c r="H909" s="113"/>
      <c r="I909" s="113"/>
      <c r="J909" s="17"/>
    </row>
    <row r="910" spans="2:10" ht="15.75" customHeight="1">
      <c r="B910" s="109"/>
      <c r="C910" s="110"/>
      <c r="D910" s="111"/>
      <c r="E910" s="112"/>
      <c r="F910" s="112"/>
      <c r="G910" s="113"/>
      <c r="H910" s="113"/>
      <c r="I910" s="113"/>
      <c r="J910" s="17"/>
    </row>
    <row r="911" spans="2:10" ht="15.75" customHeight="1">
      <c r="B911" s="109"/>
      <c r="C911" s="110"/>
      <c r="D911" s="111"/>
      <c r="E911" s="112"/>
      <c r="F911" s="112"/>
      <c r="G911" s="113"/>
      <c r="H911" s="113"/>
      <c r="I911" s="113"/>
      <c r="J911" s="17"/>
    </row>
    <row r="912" spans="2:10" ht="15.75" customHeight="1">
      <c r="B912" s="109"/>
      <c r="C912" s="110"/>
      <c r="D912" s="111"/>
      <c r="E912" s="112"/>
      <c r="F912" s="112"/>
      <c r="G912" s="113"/>
      <c r="H912" s="113"/>
      <c r="I912" s="113"/>
      <c r="J912" s="17"/>
    </row>
    <row r="913" spans="2:10" ht="15.75" customHeight="1">
      <c r="B913" s="109"/>
      <c r="C913" s="110"/>
      <c r="D913" s="111"/>
      <c r="E913" s="112"/>
      <c r="F913" s="112"/>
      <c r="G913" s="113"/>
      <c r="H913" s="113"/>
      <c r="I913" s="113"/>
      <c r="J913" s="17"/>
    </row>
    <row r="914" spans="2:10" ht="15.75" customHeight="1">
      <c r="B914" s="109"/>
      <c r="C914" s="110"/>
      <c r="D914" s="111"/>
      <c r="E914" s="112"/>
      <c r="F914" s="112"/>
      <c r="G914" s="113"/>
      <c r="H914" s="113"/>
      <c r="I914" s="113"/>
      <c r="J914" s="17"/>
    </row>
    <row r="915" spans="2:10" ht="15.75" customHeight="1">
      <c r="B915" s="109"/>
      <c r="C915" s="110"/>
      <c r="D915" s="111"/>
      <c r="E915" s="112"/>
      <c r="F915" s="112"/>
      <c r="G915" s="113"/>
      <c r="H915" s="113"/>
      <c r="I915" s="113"/>
      <c r="J915" s="17"/>
    </row>
    <row r="916" spans="2:10" ht="15.75" customHeight="1">
      <c r="B916" s="109"/>
      <c r="C916" s="110"/>
      <c r="D916" s="111"/>
      <c r="E916" s="112"/>
      <c r="F916" s="112"/>
      <c r="G916" s="113"/>
      <c r="H916" s="113"/>
      <c r="I916" s="113"/>
      <c r="J916" s="17"/>
    </row>
    <row r="917" spans="2:10" ht="15.75" customHeight="1">
      <c r="B917" s="109"/>
      <c r="C917" s="110"/>
      <c r="D917" s="111"/>
      <c r="E917" s="112"/>
      <c r="F917" s="112"/>
      <c r="G917" s="113"/>
      <c r="H917" s="113"/>
      <c r="I917" s="113"/>
      <c r="J917" s="17"/>
    </row>
    <row r="918" spans="2:10" ht="15.75" customHeight="1">
      <c r="B918" s="109"/>
      <c r="C918" s="110"/>
      <c r="D918" s="111"/>
      <c r="E918" s="112"/>
      <c r="F918" s="112"/>
      <c r="G918" s="113"/>
      <c r="H918" s="113"/>
      <c r="I918" s="113"/>
      <c r="J918" s="17"/>
    </row>
    <row r="919" spans="2:10" ht="15.75" customHeight="1">
      <c r="B919" s="109"/>
      <c r="C919" s="110"/>
      <c r="D919" s="111"/>
      <c r="E919" s="112"/>
      <c r="F919" s="112"/>
      <c r="G919" s="113"/>
      <c r="H919" s="113"/>
      <c r="I919" s="113"/>
      <c r="J919" s="17"/>
    </row>
    <row r="920" spans="2:10" ht="15.75" customHeight="1">
      <c r="B920" s="109"/>
      <c r="C920" s="110"/>
      <c r="D920" s="111"/>
      <c r="E920" s="112"/>
      <c r="F920" s="112"/>
      <c r="G920" s="113"/>
      <c r="H920" s="113"/>
      <c r="I920" s="113"/>
      <c r="J920" s="17"/>
    </row>
    <row r="921" spans="2:10" ht="15.75" customHeight="1">
      <c r="B921" s="109"/>
      <c r="C921" s="110"/>
      <c r="D921" s="111"/>
      <c r="E921" s="112"/>
      <c r="F921" s="112"/>
      <c r="G921" s="113"/>
      <c r="H921" s="113"/>
      <c r="I921" s="113"/>
      <c r="J921" s="17"/>
    </row>
    <row r="922" spans="2:10" ht="15.75" customHeight="1">
      <c r="B922" s="109"/>
      <c r="C922" s="110"/>
      <c r="D922" s="111"/>
      <c r="E922" s="112"/>
      <c r="F922" s="112"/>
      <c r="G922" s="113"/>
      <c r="H922" s="113"/>
      <c r="I922" s="113"/>
      <c r="J922" s="17"/>
    </row>
    <row r="923" spans="2:10" ht="15.75" customHeight="1">
      <c r="B923" s="109"/>
      <c r="C923" s="110"/>
      <c r="D923" s="111"/>
      <c r="E923" s="112"/>
      <c r="F923" s="112"/>
      <c r="G923" s="113"/>
      <c r="H923" s="113"/>
      <c r="I923" s="113"/>
      <c r="J923" s="17"/>
    </row>
    <row r="924" spans="2:10" ht="15.75" customHeight="1">
      <c r="B924" s="109"/>
      <c r="C924" s="110"/>
      <c r="D924" s="111"/>
      <c r="E924" s="112"/>
      <c r="F924" s="112"/>
      <c r="G924" s="113"/>
      <c r="H924" s="113"/>
      <c r="I924" s="113"/>
      <c r="J924" s="17"/>
    </row>
    <row r="925" spans="2:10" ht="15.75" customHeight="1">
      <c r="B925" s="109"/>
      <c r="C925" s="110"/>
      <c r="D925" s="111"/>
      <c r="E925" s="112"/>
      <c r="F925" s="112"/>
      <c r="G925" s="113"/>
      <c r="H925" s="113"/>
      <c r="I925" s="113"/>
      <c r="J925" s="17"/>
    </row>
    <row r="926" spans="2:10" ht="15.75" customHeight="1">
      <c r="B926" s="109"/>
      <c r="C926" s="110"/>
      <c r="D926" s="111"/>
      <c r="E926" s="112"/>
      <c r="F926" s="112"/>
      <c r="G926" s="113"/>
      <c r="H926" s="113"/>
      <c r="I926" s="113"/>
      <c r="J926" s="17"/>
    </row>
    <row r="927" spans="2:10" ht="15.75" customHeight="1">
      <c r="B927" s="109"/>
      <c r="C927" s="110"/>
      <c r="D927" s="111"/>
      <c r="E927" s="112"/>
      <c r="F927" s="112"/>
      <c r="G927" s="113"/>
      <c r="H927" s="113"/>
      <c r="I927" s="113"/>
      <c r="J927" s="17"/>
    </row>
    <row r="928" spans="2:10" ht="15.75" customHeight="1">
      <c r="B928" s="109"/>
      <c r="C928" s="110"/>
      <c r="D928" s="111"/>
      <c r="E928" s="112"/>
      <c r="F928" s="112"/>
      <c r="G928" s="113"/>
      <c r="H928" s="113"/>
      <c r="I928" s="113"/>
      <c r="J928" s="17"/>
    </row>
    <row r="929" spans="2:10" ht="15.75" customHeight="1">
      <c r="B929" s="109"/>
      <c r="C929" s="110"/>
      <c r="D929" s="111"/>
      <c r="E929" s="112"/>
      <c r="F929" s="112"/>
      <c r="G929" s="113"/>
      <c r="H929" s="113"/>
      <c r="I929" s="113"/>
      <c r="J929" s="17"/>
    </row>
    <row r="930" spans="2:10" ht="15.75" customHeight="1">
      <c r="B930" s="109"/>
      <c r="C930" s="110"/>
      <c r="D930" s="111"/>
      <c r="E930" s="112"/>
      <c r="F930" s="112"/>
      <c r="G930" s="113"/>
      <c r="H930" s="113"/>
      <c r="I930" s="113"/>
      <c r="J930" s="17"/>
    </row>
    <row r="931" spans="2:10" ht="15.75" customHeight="1">
      <c r="B931" s="109"/>
      <c r="C931" s="110"/>
      <c r="D931" s="111"/>
      <c r="E931" s="112"/>
      <c r="F931" s="112"/>
      <c r="G931" s="113"/>
      <c r="H931" s="113"/>
      <c r="I931" s="113"/>
      <c r="J931" s="17"/>
    </row>
    <row r="932" spans="2:10" ht="15.75" customHeight="1">
      <c r="B932" s="109"/>
      <c r="C932" s="110"/>
      <c r="D932" s="111"/>
      <c r="E932" s="112"/>
      <c r="F932" s="112"/>
      <c r="G932" s="113"/>
      <c r="H932" s="113"/>
      <c r="I932" s="113"/>
      <c r="J932" s="17"/>
    </row>
    <row r="933" spans="2:10" ht="15.75" customHeight="1">
      <c r="B933" s="109"/>
      <c r="C933" s="110"/>
      <c r="D933" s="111"/>
      <c r="E933" s="112"/>
      <c r="F933" s="112"/>
      <c r="G933" s="113"/>
      <c r="H933" s="113"/>
      <c r="I933" s="113"/>
      <c r="J933" s="17"/>
    </row>
    <row r="934" spans="2:10" ht="15.75" customHeight="1">
      <c r="B934" s="109"/>
      <c r="C934" s="110"/>
      <c r="D934" s="111"/>
      <c r="E934" s="112"/>
      <c r="F934" s="112"/>
      <c r="G934" s="113"/>
      <c r="H934" s="113"/>
      <c r="I934" s="113"/>
      <c r="J934" s="17"/>
    </row>
    <row r="935" spans="2:10" ht="15.75" customHeight="1">
      <c r="B935" s="109"/>
      <c r="C935" s="110"/>
      <c r="D935" s="111"/>
      <c r="E935" s="112"/>
      <c r="F935" s="112"/>
      <c r="G935" s="113"/>
      <c r="H935" s="113"/>
      <c r="I935" s="113"/>
      <c r="J935" s="17"/>
    </row>
    <row r="936" spans="2:10" ht="15.75" customHeight="1">
      <c r="B936" s="109"/>
      <c r="C936" s="110"/>
      <c r="D936" s="111"/>
      <c r="E936" s="112"/>
      <c r="F936" s="112"/>
      <c r="G936" s="113"/>
      <c r="H936" s="113"/>
      <c r="I936" s="113"/>
      <c r="J936" s="17"/>
    </row>
    <row r="937" spans="2:10" ht="15.75" customHeight="1">
      <c r="B937" s="109"/>
      <c r="C937" s="110"/>
      <c r="D937" s="111"/>
      <c r="E937" s="112"/>
      <c r="F937" s="112"/>
      <c r="G937" s="113"/>
      <c r="H937" s="113"/>
      <c r="I937" s="113"/>
      <c r="J937" s="17"/>
    </row>
    <row r="938" spans="2:10" ht="15.75" customHeight="1">
      <c r="B938" s="109"/>
      <c r="C938" s="110"/>
      <c r="D938" s="111"/>
      <c r="E938" s="112"/>
      <c r="F938" s="112"/>
      <c r="G938" s="113"/>
      <c r="H938" s="113"/>
      <c r="I938" s="113"/>
      <c r="J938" s="17"/>
    </row>
    <row r="939" spans="2:10" ht="15.75" customHeight="1">
      <c r="B939" s="109"/>
      <c r="C939" s="110"/>
      <c r="D939" s="111"/>
      <c r="E939" s="112"/>
      <c r="F939" s="112"/>
      <c r="G939" s="113"/>
      <c r="H939" s="113"/>
      <c r="I939" s="113"/>
      <c r="J939" s="17"/>
    </row>
    <row r="940" spans="2:10" ht="15.75" customHeight="1">
      <c r="B940" s="109"/>
      <c r="C940" s="110"/>
      <c r="D940" s="111"/>
      <c r="E940" s="112"/>
      <c r="F940" s="112"/>
      <c r="G940" s="113"/>
      <c r="H940" s="113"/>
      <c r="I940" s="113"/>
      <c r="J940" s="17"/>
    </row>
    <row r="941" spans="2:10" ht="15.75" customHeight="1">
      <c r="B941" s="109"/>
      <c r="C941" s="110"/>
      <c r="D941" s="111"/>
      <c r="E941" s="112"/>
      <c r="F941" s="112"/>
      <c r="G941" s="113"/>
      <c r="H941" s="113"/>
      <c r="I941" s="113"/>
      <c r="J941" s="17"/>
    </row>
    <row r="942" spans="2:10" ht="15.75" customHeight="1">
      <c r="B942" s="109"/>
      <c r="C942" s="110"/>
      <c r="D942" s="111"/>
      <c r="E942" s="112"/>
      <c r="F942" s="112"/>
      <c r="G942" s="113"/>
      <c r="H942" s="113"/>
      <c r="I942" s="113"/>
      <c r="J942" s="17"/>
    </row>
    <row r="943" spans="2:10" ht="15.75" customHeight="1">
      <c r="B943" s="109"/>
      <c r="C943" s="110"/>
      <c r="D943" s="111"/>
      <c r="E943" s="112"/>
      <c r="F943" s="112"/>
      <c r="G943" s="113"/>
      <c r="H943" s="113"/>
      <c r="I943" s="113"/>
      <c r="J943" s="17"/>
    </row>
    <row r="944" spans="2:10" ht="15.75" customHeight="1">
      <c r="B944" s="109"/>
      <c r="C944" s="110"/>
      <c r="D944" s="111"/>
      <c r="E944" s="112"/>
      <c r="F944" s="112"/>
      <c r="G944" s="113"/>
      <c r="H944" s="113"/>
      <c r="I944" s="113"/>
      <c r="J944" s="17"/>
    </row>
    <row r="945" spans="2:10" ht="15.75" customHeight="1">
      <c r="B945" s="109"/>
      <c r="C945" s="110"/>
      <c r="D945" s="111"/>
      <c r="E945" s="112"/>
      <c r="F945" s="112"/>
      <c r="G945" s="113"/>
      <c r="H945" s="113"/>
      <c r="I945" s="113"/>
      <c r="J945" s="17"/>
    </row>
    <row r="946" spans="2:10" ht="15.75" customHeight="1">
      <c r="B946" s="109"/>
      <c r="C946" s="110"/>
      <c r="D946" s="111"/>
      <c r="E946" s="112"/>
      <c r="F946" s="112"/>
      <c r="G946" s="113"/>
      <c r="H946" s="113"/>
      <c r="I946" s="113"/>
      <c r="J946" s="17"/>
    </row>
    <row r="947" spans="2:10" ht="15.75" customHeight="1">
      <c r="B947" s="109"/>
      <c r="C947" s="110"/>
      <c r="D947" s="111"/>
      <c r="E947" s="112"/>
      <c r="F947" s="112"/>
      <c r="G947" s="113"/>
      <c r="H947" s="113"/>
      <c r="I947" s="113"/>
      <c r="J947" s="17"/>
    </row>
    <row r="948" spans="2:10" ht="15.75" customHeight="1">
      <c r="B948" s="109"/>
      <c r="C948" s="110"/>
      <c r="D948" s="111"/>
      <c r="E948" s="112"/>
      <c r="F948" s="112"/>
      <c r="G948" s="113"/>
      <c r="H948" s="113"/>
      <c r="I948" s="113"/>
      <c r="J948" s="17"/>
    </row>
    <row r="949" spans="2:10" ht="15.75" customHeight="1">
      <c r="B949" s="109"/>
      <c r="C949" s="110"/>
      <c r="D949" s="111"/>
      <c r="E949" s="112"/>
      <c r="F949" s="112"/>
      <c r="G949" s="113"/>
      <c r="H949" s="113"/>
      <c r="I949" s="113"/>
      <c r="J949" s="17"/>
    </row>
    <row r="950" spans="2:10" ht="15.75" customHeight="1">
      <c r="B950" s="109"/>
      <c r="C950" s="110"/>
      <c r="D950" s="111"/>
      <c r="E950" s="112"/>
      <c r="F950" s="112"/>
      <c r="G950" s="113"/>
      <c r="H950" s="113"/>
      <c r="I950" s="113"/>
      <c r="J950" s="17"/>
    </row>
    <row r="951" spans="2:10" ht="15.75" customHeight="1">
      <c r="B951" s="109"/>
      <c r="C951" s="110"/>
      <c r="D951" s="111"/>
      <c r="E951" s="112"/>
      <c r="F951" s="112"/>
      <c r="G951" s="113"/>
      <c r="H951" s="113"/>
      <c r="I951" s="113"/>
      <c r="J951" s="17"/>
    </row>
    <row r="952" spans="2:10" ht="15.75" customHeight="1">
      <c r="B952" s="109"/>
      <c r="C952" s="110"/>
      <c r="D952" s="111"/>
      <c r="E952" s="112"/>
      <c r="F952" s="112"/>
      <c r="G952" s="113"/>
      <c r="H952" s="113"/>
      <c r="I952" s="113"/>
      <c r="J952" s="17"/>
    </row>
    <row r="953" spans="2:10" ht="15.75" customHeight="1">
      <c r="B953" s="109"/>
      <c r="C953" s="110"/>
      <c r="D953" s="111"/>
      <c r="E953" s="112"/>
      <c r="F953" s="112"/>
      <c r="G953" s="113"/>
      <c r="H953" s="113"/>
      <c r="I953" s="113"/>
      <c r="J953" s="17"/>
    </row>
    <row r="954" spans="2:10" ht="15.75" customHeight="1">
      <c r="B954" s="109"/>
      <c r="C954" s="110"/>
      <c r="D954" s="111"/>
      <c r="E954" s="112"/>
      <c r="F954" s="112"/>
      <c r="G954" s="113"/>
      <c r="H954" s="113"/>
      <c r="I954" s="113"/>
      <c r="J954" s="17"/>
    </row>
    <row r="955" spans="2:10" ht="15.75" customHeight="1">
      <c r="B955" s="109"/>
      <c r="C955" s="110"/>
      <c r="D955" s="111"/>
      <c r="E955" s="112"/>
      <c r="F955" s="112"/>
      <c r="G955" s="113"/>
      <c r="H955" s="113"/>
      <c r="I955" s="113"/>
      <c r="J955" s="17"/>
    </row>
    <row r="956" spans="2:10" ht="15.75" customHeight="1">
      <c r="B956" s="109"/>
      <c r="C956" s="110"/>
      <c r="D956" s="111"/>
      <c r="E956" s="112"/>
      <c r="F956" s="112"/>
      <c r="G956" s="113"/>
      <c r="H956" s="113"/>
      <c r="I956" s="113"/>
      <c r="J956" s="17"/>
    </row>
    <row r="957" spans="2:10" ht="15.75" customHeight="1">
      <c r="B957" s="109"/>
      <c r="C957" s="110"/>
      <c r="D957" s="111"/>
      <c r="E957" s="112"/>
      <c r="F957" s="112"/>
      <c r="G957" s="113"/>
      <c r="H957" s="113"/>
      <c r="I957" s="113"/>
      <c r="J957" s="17"/>
    </row>
    <row r="958" spans="2:10" ht="15.75" customHeight="1">
      <c r="B958" s="109"/>
      <c r="C958" s="110"/>
      <c r="D958" s="111"/>
      <c r="E958" s="112"/>
      <c r="F958" s="112"/>
      <c r="G958" s="113"/>
      <c r="H958" s="113"/>
      <c r="I958" s="113"/>
      <c r="J958" s="17"/>
    </row>
    <row r="959" spans="2:10" ht="15.75" customHeight="1">
      <c r="B959" s="109"/>
      <c r="C959" s="110"/>
      <c r="D959" s="111"/>
      <c r="E959" s="112"/>
      <c r="F959" s="112"/>
      <c r="G959" s="113"/>
      <c r="H959" s="113"/>
      <c r="I959" s="113"/>
      <c r="J959" s="17"/>
    </row>
    <row r="960" spans="2:10" ht="15.75" customHeight="1">
      <c r="B960" s="109"/>
      <c r="C960" s="110"/>
      <c r="D960" s="111"/>
      <c r="E960" s="112"/>
      <c r="F960" s="112"/>
      <c r="G960" s="113"/>
      <c r="H960" s="113"/>
      <c r="I960" s="113"/>
      <c r="J960" s="17"/>
    </row>
    <row r="961" spans="2:10" ht="15.75" customHeight="1">
      <c r="B961" s="109"/>
      <c r="C961" s="110"/>
      <c r="D961" s="111"/>
      <c r="E961" s="112"/>
      <c r="F961" s="112"/>
      <c r="G961" s="113"/>
      <c r="H961" s="113"/>
      <c r="I961" s="113"/>
      <c r="J961" s="17"/>
    </row>
    <row r="962" spans="2:10" ht="15.75" customHeight="1">
      <c r="B962" s="109"/>
      <c r="C962" s="110"/>
      <c r="D962" s="111"/>
      <c r="E962" s="112"/>
      <c r="F962" s="112"/>
      <c r="G962" s="113"/>
      <c r="H962" s="113"/>
      <c r="I962" s="113"/>
      <c r="J962" s="17"/>
    </row>
    <row r="963" spans="2:10" ht="15.75" customHeight="1">
      <c r="B963" s="109"/>
      <c r="C963" s="110"/>
      <c r="D963" s="111"/>
      <c r="E963" s="112"/>
      <c r="F963" s="112"/>
      <c r="G963" s="113"/>
      <c r="H963" s="113"/>
      <c r="I963" s="113"/>
      <c r="J963" s="17"/>
    </row>
    <row r="964" spans="2:10" ht="15.75" customHeight="1">
      <c r="B964" s="109"/>
      <c r="C964" s="110"/>
      <c r="D964" s="111"/>
      <c r="E964" s="112"/>
      <c r="F964" s="112"/>
      <c r="G964" s="113"/>
      <c r="H964" s="113"/>
      <c r="I964" s="113"/>
      <c r="J964" s="17"/>
    </row>
    <row r="965" spans="2:10" ht="15.75" customHeight="1">
      <c r="B965" s="109"/>
      <c r="C965" s="110"/>
      <c r="D965" s="111"/>
      <c r="E965" s="112"/>
      <c r="F965" s="112"/>
      <c r="G965" s="113"/>
      <c r="H965" s="113"/>
      <c r="I965" s="113"/>
      <c r="J965" s="17"/>
    </row>
    <row r="966" spans="2:10" ht="15.75" customHeight="1">
      <c r="B966" s="109"/>
      <c r="C966" s="110"/>
      <c r="D966" s="111"/>
      <c r="E966" s="112"/>
      <c r="F966" s="112"/>
      <c r="G966" s="113"/>
      <c r="H966" s="113"/>
      <c r="I966" s="113"/>
      <c r="J966" s="17"/>
    </row>
    <row r="967" spans="2:10" ht="15.75" customHeight="1">
      <c r="B967" s="109"/>
      <c r="C967" s="110"/>
      <c r="D967" s="111"/>
      <c r="E967" s="112"/>
      <c r="F967" s="112"/>
      <c r="G967" s="113"/>
      <c r="H967" s="113"/>
      <c r="I967" s="113"/>
      <c r="J967" s="17"/>
    </row>
    <row r="968" spans="2:10" ht="15.75" customHeight="1">
      <c r="B968" s="109"/>
      <c r="C968" s="110"/>
      <c r="D968" s="111"/>
      <c r="E968" s="112"/>
      <c r="F968" s="112"/>
      <c r="G968" s="113"/>
      <c r="H968" s="113"/>
      <c r="I968" s="113"/>
      <c r="J968" s="17"/>
    </row>
    <row r="969" spans="2:10" ht="15.75" customHeight="1">
      <c r="B969" s="109"/>
      <c r="C969" s="110"/>
      <c r="D969" s="111"/>
      <c r="E969" s="112"/>
      <c r="F969" s="112"/>
      <c r="G969" s="113"/>
      <c r="H969" s="113"/>
      <c r="I969" s="113"/>
      <c r="J969" s="17"/>
    </row>
    <row r="970" spans="2:10" ht="15.75" customHeight="1">
      <c r="B970" s="109"/>
      <c r="C970" s="110"/>
      <c r="D970" s="111"/>
      <c r="E970" s="112"/>
      <c r="F970" s="112"/>
      <c r="G970" s="113"/>
      <c r="H970" s="113"/>
      <c r="I970" s="113"/>
      <c r="J970" s="17"/>
    </row>
    <row r="971" spans="2:10" ht="15.75" customHeight="1">
      <c r="B971" s="109"/>
      <c r="C971" s="110"/>
      <c r="D971" s="111"/>
      <c r="E971" s="112"/>
      <c r="F971" s="112"/>
      <c r="G971" s="113"/>
      <c r="H971" s="113"/>
      <c r="I971" s="113"/>
      <c r="J971" s="17"/>
    </row>
    <row r="972" spans="2:10" ht="15.75" customHeight="1">
      <c r="B972" s="109"/>
      <c r="C972" s="110"/>
      <c r="D972" s="111"/>
      <c r="E972" s="112"/>
      <c r="F972" s="112"/>
      <c r="G972" s="113"/>
      <c r="H972" s="113"/>
      <c r="I972" s="113"/>
      <c r="J972" s="17"/>
    </row>
    <row r="973" spans="2:10" ht="15.75" customHeight="1">
      <c r="B973" s="109"/>
      <c r="C973" s="110"/>
      <c r="D973" s="111"/>
      <c r="E973" s="112"/>
      <c r="F973" s="112"/>
      <c r="G973" s="113"/>
      <c r="H973" s="113"/>
      <c r="I973" s="113"/>
      <c r="J973" s="17"/>
    </row>
    <row r="974" spans="2:10" ht="15.75" customHeight="1">
      <c r="B974" s="109"/>
      <c r="C974" s="110"/>
      <c r="D974" s="111"/>
      <c r="E974" s="112"/>
      <c r="F974" s="112"/>
      <c r="G974" s="113"/>
      <c r="H974" s="113"/>
      <c r="I974" s="113"/>
      <c r="J974" s="17"/>
    </row>
    <row r="975" spans="2:10" ht="15.75" customHeight="1">
      <c r="B975" s="109"/>
      <c r="C975" s="110"/>
      <c r="D975" s="111"/>
      <c r="E975" s="112"/>
      <c r="F975" s="112"/>
      <c r="G975" s="113"/>
      <c r="H975" s="113"/>
      <c r="I975" s="113"/>
      <c r="J975" s="17"/>
    </row>
    <row r="976" spans="2:10" ht="15.75" customHeight="1">
      <c r="B976" s="109"/>
      <c r="C976" s="110"/>
      <c r="D976" s="111"/>
      <c r="E976" s="112"/>
      <c r="F976" s="112"/>
      <c r="G976" s="113"/>
      <c r="H976" s="113"/>
      <c r="I976" s="113"/>
      <c r="J976" s="17"/>
    </row>
    <row r="977" spans="2:10" ht="15.75" customHeight="1">
      <c r="B977" s="109"/>
      <c r="C977" s="110"/>
      <c r="D977" s="111"/>
      <c r="E977" s="112"/>
      <c r="F977" s="112"/>
      <c r="G977" s="113"/>
      <c r="H977" s="113"/>
      <c r="I977" s="113"/>
      <c r="J977" s="17"/>
    </row>
    <row r="978" spans="2:10" ht="15.75" customHeight="1">
      <c r="B978" s="109"/>
      <c r="C978" s="110"/>
      <c r="D978" s="111"/>
      <c r="E978" s="112"/>
      <c r="F978" s="112"/>
      <c r="G978" s="113"/>
      <c r="H978" s="113"/>
      <c r="I978" s="113"/>
      <c r="J978" s="17"/>
    </row>
    <row r="979" spans="2:10" ht="15.75" customHeight="1">
      <c r="B979" s="109"/>
      <c r="C979" s="110"/>
      <c r="D979" s="111"/>
      <c r="E979" s="112"/>
      <c r="F979" s="112"/>
      <c r="G979" s="113"/>
      <c r="H979" s="113"/>
      <c r="I979" s="113"/>
      <c r="J979" s="17"/>
    </row>
    <row r="980" spans="2:10" ht="15.75" customHeight="1">
      <c r="B980" s="109"/>
      <c r="C980" s="110"/>
      <c r="D980" s="111"/>
      <c r="E980" s="112"/>
      <c r="F980" s="112"/>
      <c r="G980" s="113"/>
      <c r="H980" s="113"/>
      <c r="I980" s="113"/>
      <c r="J980" s="17"/>
    </row>
    <row r="981" spans="2:10" ht="15.75" customHeight="1">
      <c r="B981" s="109"/>
      <c r="C981" s="110"/>
      <c r="D981" s="111"/>
      <c r="E981" s="112"/>
      <c r="F981" s="112"/>
      <c r="G981" s="113"/>
      <c r="H981" s="113"/>
      <c r="I981" s="113"/>
      <c r="J981" s="17"/>
    </row>
    <row r="982" spans="2:10" ht="15.75" customHeight="1">
      <c r="B982" s="109"/>
      <c r="C982" s="110"/>
      <c r="D982" s="111"/>
      <c r="E982" s="112"/>
      <c r="F982" s="112"/>
      <c r="G982" s="113"/>
      <c r="H982" s="113"/>
      <c r="I982" s="113"/>
      <c r="J982" s="17"/>
    </row>
    <row r="983" spans="2:10" ht="15.75" customHeight="1">
      <c r="B983" s="109"/>
      <c r="C983" s="110"/>
      <c r="D983" s="111"/>
      <c r="E983" s="112"/>
      <c r="F983" s="112"/>
      <c r="G983" s="113"/>
      <c r="H983" s="113"/>
      <c r="I983" s="113"/>
      <c r="J983" s="17"/>
    </row>
    <row r="984" spans="2:10" ht="15.75" customHeight="1">
      <c r="B984" s="109"/>
      <c r="C984" s="110"/>
      <c r="D984" s="111"/>
      <c r="E984" s="112"/>
      <c r="F984" s="112"/>
      <c r="G984" s="113"/>
      <c r="H984" s="113"/>
      <c r="I984" s="113"/>
      <c r="J984" s="17"/>
    </row>
    <row r="985" spans="2:10" ht="15.75" customHeight="1">
      <c r="B985" s="109"/>
      <c r="C985" s="110"/>
      <c r="D985" s="111"/>
      <c r="E985" s="112"/>
      <c r="F985" s="112"/>
      <c r="G985" s="113"/>
      <c r="H985" s="113"/>
      <c r="I985" s="113"/>
      <c r="J985" s="17"/>
    </row>
    <row r="986" spans="2:10" ht="15.75" customHeight="1">
      <c r="B986" s="109"/>
      <c r="C986" s="110"/>
      <c r="D986" s="111"/>
      <c r="E986" s="112"/>
      <c r="F986" s="112"/>
      <c r="G986" s="113"/>
      <c r="H986" s="113"/>
      <c r="I986" s="113"/>
      <c r="J986" s="17"/>
    </row>
    <row r="987" spans="2:10" ht="15.75" customHeight="1">
      <c r="B987" s="109"/>
      <c r="C987" s="110"/>
      <c r="D987" s="111"/>
      <c r="E987" s="112"/>
      <c r="F987" s="112"/>
      <c r="G987" s="113"/>
      <c r="H987" s="113"/>
      <c r="I987" s="113"/>
      <c r="J987" s="17"/>
    </row>
    <row r="988" spans="2:10" ht="15.75" customHeight="1">
      <c r="B988" s="109"/>
      <c r="C988" s="110"/>
      <c r="D988" s="111"/>
      <c r="E988" s="112"/>
      <c r="F988" s="112"/>
      <c r="G988" s="113"/>
      <c r="H988" s="113"/>
      <c r="I988" s="113"/>
      <c r="J988" s="17"/>
    </row>
    <row r="989" spans="2:10" ht="15.75" customHeight="1">
      <c r="B989" s="109"/>
      <c r="C989" s="110"/>
      <c r="D989" s="111"/>
      <c r="E989" s="112"/>
      <c r="F989" s="112"/>
      <c r="G989" s="113"/>
      <c r="H989" s="113"/>
      <c r="I989" s="113"/>
      <c r="J989" s="17"/>
    </row>
    <row r="990" spans="2:10" ht="15.75" customHeight="1">
      <c r="B990" s="109"/>
      <c r="C990" s="110"/>
      <c r="D990" s="111"/>
      <c r="E990" s="112"/>
      <c r="F990" s="112"/>
      <c r="G990" s="113"/>
      <c r="H990" s="113"/>
      <c r="I990" s="113"/>
      <c r="J990" s="17"/>
    </row>
    <row r="991" spans="2:10" ht="15.75" customHeight="1">
      <c r="B991" s="109"/>
      <c r="C991" s="110"/>
      <c r="D991" s="111"/>
      <c r="E991" s="112"/>
      <c r="F991" s="112"/>
      <c r="G991" s="113"/>
      <c r="H991" s="113"/>
      <c r="I991" s="113"/>
      <c r="J991" s="17"/>
    </row>
    <row r="992" spans="2:10" ht="15.75" customHeight="1">
      <c r="B992" s="109"/>
      <c r="C992" s="110"/>
      <c r="D992" s="111"/>
      <c r="E992" s="112"/>
      <c r="F992" s="112"/>
      <c r="G992" s="113"/>
      <c r="H992" s="113"/>
      <c r="I992" s="113"/>
      <c r="J992" s="17"/>
    </row>
    <row r="993" spans="2:10" ht="15.75" customHeight="1">
      <c r="B993" s="109"/>
      <c r="C993" s="110"/>
      <c r="D993" s="111"/>
      <c r="E993" s="112"/>
      <c r="F993" s="112"/>
      <c r="G993" s="113"/>
      <c r="H993" s="113"/>
      <c r="I993" s="113"/>
      <c r="J993" s="17"/>
    </row>
  </sheetData>
  <mergeCells count="3">
    <mergeCell ref="J2:J5"/>
    <mergeCell ref="J6:J8"/>
    <mergeCell ref="J9:J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13"/>
  <sheetViews>
    <sheetView topLeftCell="A7" zoomScale="150" zoomScaleNormal="150" workbookViewId="0">
      <selection activeCell="O5" sqref="O5"/>
    </sheetView>
  </sheetViews>
  <sheetFormatPr defaultColWidth="11.125" defaultRowHeight="15" customHeight="1"/>
  <cols>
    <col min="1" max="1" width="16.375" customWidth="1"/>
    <col min="2" max="2" width="9.625" customWidth="1"/>
    <col min="3" max="3" width="9.875" customWidth="1"/>
    <col min="4" max="5" width="10.125" customWidth="1"/>
    <col min="6" max="6" width="8.375" customWidth="1"/>
    <col min="7" max="7" width="9.5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35.125" customWidth="1"/>
    <col min="16" max="16" width="30.125" customWidth="1"/>
    <col min="17" max="29" width="10.5" customWidth="1"/>
  </cols>
  <sheetData>
    <row r="1" spans="1:29" ht="27" customHeight="1">
      <c r="A1" s="115" t="s">
        <v>0</v>
      </c>
      <c r="B1" s="116" t="s">
        <v>129</v>
      </c>
      <c r="C1" s="117" t="s">
        <v>3</v>
      </c>
      <c r="D1" s="118" t="s">
        <v>249</v>
      </c>
      <c r="E1" s="117" t="s">
        <v>250</v>
      </c>
      <c r="F1" s="119" t="s">
        <v>251</v>
      </c>
      <c r="G1" s="119" t="s">
        <v>252</v>
      </c>
      <c r="H1" s="118" t="s">
        <v>133</v>
      </c>
      <c r="I1" s="117" t="s">
        <v>253</v>
      </c>
      <c r="J1" s="120" t="s">
        <v>254</v>
      </c>
      <c r="K1" s="121" t="s">
        <v>255</v>
      </c>
      <c r="L1" s="121" t="s">
        <v>256</v>
      </c>
      <c r="M1" s="122" t="s">
        <v>14</v>
      </c>
      <c r="N1" s="123" t="s">
        <v>12</v>
      </c>
      <c r="O1" s="124" t="s">
        <v>140</v>
      </c>
      <c r="P1" s="125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21" customHeight="1">
      <c r="A2" s="126" t="s">
        <v>257</v>
      </c>
      <c r="B2" s="127" t="s">
        <v>17</v>
      </c>
      <c r="C2" s="128" t="s">
        <v>17</v>
      </c>
      <c r="D2" s="129">
        <v>45189</v>
      </c>
      <c r="E2" s="130">
        <v>0.61111111111111116</v>
      </c>
      <c r="F2" s="131">
        <v>7.46</v>
      </c>
      <c r="G2" s="131">
        <v>22.9</v>
      </c>
      <c r="H2" s="132">
        <v>45194</v>
      </c>
      <c r="I2" s="127" t="s">
        <v>258</v>
      </c>
      <c r="J2" s="133">
        <v>8.59</v>
      </c>
      <c r="K2" s="133">
        <v>23.7</v>
      </c>
      <c r="L2" s="131" t="s">
        <v>17</v>
      </c>
      <c r="M2" s="134" t="s">
        <v>21</v>
      </c>
      <c r="N2" s="135" t="s">
        <v>25</v>
      </c>
      <c r="O2" s="125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24" customHeight="1">
      <c r="A3" s="136" t="s">
        <v>1061</v>
      </c>
      <c r="B3" s="137">
        <v>45188</v>
      </c>
      <c r="C3" s="138">
        <v>0.42986111111111114</v>
      </c>
      <c r="D3" s="137">
        <v>45189</v>
      </c>
      <c r="E3" s="139">
        <v>0.61527777777777781</v>
      </c>
      <c r="F3" s="140">
        <v>4.92</v>
      </c>
      <c r="G3" s="140">
        <v>20.5</v>
      </c>
      <c r="H3" s="141">
        <v>45194</v>
      </c>
      <c r="I3" s="138">
        <v>0.43125000000000002</v>
      </c>
      <c r="J3" s="140">
        <v>6.97</v>
      </c>
      <c r="K3" s="140">
        <v>19.100000000000001</v>
      </c>
      <c r="L3" s="140">
        <f t="shared" ref="L3:L23" si="0">F3-J3</f>
        <v>-2.0499999999999998</v>
      </c>
      <c r="M3" s="142" t="s">
        <v>259</v>
      </c>
      <c r="N3" s="143" t="s">
        <v>25</v>
      </c>
      <c r="O3" s="125" t="s">
        <v>260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15.75" customHeight="1">
      <c r="A4" s="136" t="s">
        <v>1062</v>
      </c>
      <c r="B4" s="137">
        <v>45188</v>
      </c>
      <c r="C4" s="138">
        <v>0.42986111111111114</v>
      </c>
      <c r="D4" s="137">
        <v>45189</v>
      </c>
      <c r="E4" s="139">
        <v>0.62013888888888891</v>
      </c>
      <c r="F4" s="140">
        <v>8.14</v>
      </c>
      <c r="G4" s="140">
        <v>19.3</v>
      </c>
      <c r="H4" s="141">
        <v>45194</v>
      </c>
      <c r="I4" s="138">
        <v>0.42708333333333331</v>
      </c>
      <c r="J4" s="140">
        <v>8.08</v>
      </c>
      <c r="K4" s="140">
        <v>19.3</v>
      </c>
      <c r="L4" s="140">
        <f t="shared" si="0"/>
        <v>6.0000000000000497E-2</v>
      </c>
      <c r="M4" s="142" t="s">
        <v>21</v>
      </c>
      <c r="N4" s="143" t="s">
        <v>25</v>
      </c>
      <c r="O4" s="144"/>
    </row>
    <row r="5" spans="1:29" ht="38.25">
      <c r="A5" s="145" t="s">
        <v>1180</v>
      </c>
      <c r="B5" s="129">
        <v>45189</v>
      </c>
      <c r="C5" s="128">
        <v>0.43402777777777779</v>
      </c>
      <c r="D5" s="129">
        <v>45189</v>
      </c>
      <c r="E5" s="130">
        <v>0.66736111111111107</v>
      </c>
      <c r="F5" s="131">
        <v>7.76</v>
      </c>
      <c r="G5" s="131">
        <v>20.5</v>
      </c>
      <c r="H5" s="132">
        <v>45194</v>
      </c>
      <c r="I5" s="128">
        <v>0.45902777777777776</v>
      </c>
      <c r="J5" s="131">
        <v>6.54</v>
      </c>
      <c r="K5" s="131">
        <v>21</v>
      </c>
      <c r="L5" s="131">
        <f t="shared" si="0"/>
        <v>1.2199999999999998</v>
      </c>
      <c r="M5" s="134" t="s">
        <v>259</v>
      </c>
      <c r="N5" s="146" t="s">
        <v>25</v>
      </c>
      <c r="O5" s="144" t="s">
        <v>1182</v>
      </c>
    </row>
    <row r="6" spans="1:29" ht="15" customHeight="1">
      <c r="A6" s="145" t="s">
        <v>1064</v>
      </c>
      <c r="B6" s="129">
        <v>45189</v>
      </c>
      <c r="C6" s="128">
        <v>0.43402777777777779</v>
      </c>
      <c r="D6" s="129">
        <v>45189</v>
      </c>
      <c r="E6" s="130">
        <v>0.67152777777777772</v>
      </c>
      <c r="F6" s="131">
        <v>7.97</v>
      </c>
      <c r="G6" s="131">
        <v>20.7</v>
      </c>
      <c r="H6" s="132">
        <v>45194</v>
      </c>
      <c r="I6" s="128">
        <v>0.46805555555555556</v>
      </c>
      <c r="J6" s="131">
        <v>7.74</v>
      </c>
      <c r="K6" s="131">
        <v>21.1</v>
      </c>
      <c r="L6" s="131">
        <f t="shared" si="0"/>
        <v>0.22999999999999954</v>
      </c>
      <c r="M6" s="134" t="s">
        <v>21</v>
      </c>
      <c r="N6" s="146" t="s">
        <v>25</v>
      </c>
      <c r="O6" s="144" t="s">
        <v>1181</v>
      </c>
    </row>
    <row r="7" spans="1:29" ht="15.75" customHeight="1">
      <c r="A7" s="145" t="s">
        <v>1061</v>
      </c>
      <c r="B7" s="129">
        <v>45188</v>
      </c>
      <c r="C7" s="128">
        <v>0.42986111111111114</v>
      </c>
      <c r="D7" s="129">
        <v>45189</v>
      </c>
      <c r="E7" s="130">
        <v>0.62361111111111112</v>
      </c>
      <c r="F7" s="131">
        <v>8.24</v>
      </c>
      <c r="G7" s="131">
        <v>19.3</v>
      </c>
      <c r="H7" s="132">
        <v>45194</v>
      </c>
      <c r="I7" s="128">
        <v>0.41736111111111113</v>
      </c>
      <c r="J7" s="131">
        <v>7.88</v>
      </c>
      <c r="K7" s="131">
        <v>19.2</v>
      </c>
      <c r="L7" s="131">
        <f t="shared" si="0"/>
        <v>0.36000000000000032</v>
      </c>
      <c r="M7" s="134" t="s">
        <v>21</v>
      </c>
      <c r="N7" s="146" t="s">
        <v>25</v>
      </c>
      <c r="O7" s="144"/>
    </row>
    <row r="8" spans="1:29" ht="15.75" customHeight="1">
      <c r="A8" s="126" t="s">
        <v>1065</v>
      </c>
      <c r="B8" s="147">
        <v>45188</v>
      </c>
      <c r="C8" s="128">
        <v>0.42986111111111114</v>
      </c>
      <c r="D8" s="129">
        <v>45189</v>
      </c>
      <c r="E8" s="130">
        <v>0.62847222222222221</v>
      </c>
      <c r="F8" s="131">
        <v>8.1199999999999992</v>
      </c>
      <c r="G8" s="131">
        <v>19.2</v>
      </c>
      <c r="H8" s="132">
        <v>45194</v>
      </c>
      <c r="I8" s="128">
        <v>0.44722222222222224</v>
      </c>
      <c r="J8" s="148">
        <v>8.07</v>
      </c>
      <c r="K8" s="133">
        <v>19.899999999999999</v>
      </c>
      <c r="L8" s="131">
        <f t="shared" si="0"/>
        <v>4.9999999999998934E-2</v>
      </c>
      <c r="M8" s="134" t="s">
        <v>21</v>
      </c>
      <c r="N8" s="135" t="s">
        <v>25</v>
      </c>
      <c r="O8" s="144"/>
    </row>
    <row r="9" spans="1:29" ht="15.75" customHeight="1">
      <c r="A9" s="126" t="s">
        <v>1066</v>
      </c>
      <c r="B9" s="147">
        <v>45188</v>
      </c>
      <c r="C9" s="128">
        <v>0.375</v>
      </c>
      <c r="D9" s="129">
        <v>45189</v>
      </c>
      <c r="E9" s="130">
        <v>0.63263888888888886</v>
      </c>
      <c r="F9" s="131">
        <v>8.25</v>
      </c>
      <c r="G9" s="131">
        <v>18.7</v>
      </c>
      <c r="H9" s="132">
        <v>45194</v>
      </c>
      <c r="I9" s="128">
        <v>0.4152777777777778</v>
      </c>
      <c r="J9" s="133">
        <v>8.17</v>
      </c>
      <c r="K9" s="133">
        <v>20</v>
      </c>
      <c r="L9" s="131">
        <f t="shared" si="0"/>
        <v>8.0000000000000071E-2</v>
      </c>
      <c r="M9" s="134" t="s">
        <v>21</v>
      </c>
      <c r="N9" s="135" t="s">
        <v>25</v>
      </c>
      <c r="O9" s="144"/>
    </row>
    <row r="10" spans="1:29" ht="15.75" customHeight="1">
      <c r="A10" s="126" t="s">
        <v>1125</v>
      </c>
      <c r="B10" s="147">
        <v>45188</v>
      </c>
      <c r="C10" s="128">
        <v>0.375</v>
      </c>
      <c r="D10" s="129">
        <v>45189</v>
      </c>
      <c r="E10" s="130">
        <v>0.64236111111111116</v>
      </c>
      <c r="F10" s="131">
        <v>8.39</v>
      </c>
      <c r="G10" s="131">
        <v>19</v>
      </c>
      <c r="H10" s="132">
        <v>45194</v>
      </c>
      <c r="I10" s="128">
        <v>0.44930555555555557</v>
      </c>
      <c r="J10" s="133">
        <v>8.19</v>
      </c>
      <c r="K10" s="133">
        <v>19.8</v>
      </c>
      <c r="L10" s="131">
        <f t="shared" si="0"/>
        <v>0.20000000000000107</v>
      </c>
      <c r="M10" s="134" t="s">
        <v>21</v>
      </c>
      <c r="N10" s="135" t="s">
        <v>25</v>
      </c>
      <c r="O10" s="144"/>
    </row>
    <row r="11" spans="1:29" ht="15.75" customHeight="1">
      <c r="A11" s="126" t="s">
        <v>1067</v>
      </c>
      <c r="B11" s="147">
        <v>45188</v>
      </c>
      <c r="C11" s="128">
        <v>0.40763888888888888</v>
      </c>
      <c r="D11" s="129">
        <v>45189</v>
      </c>
      <c r="E11" s="130">
        <v>0.64583333333333337</v>
      </c>
      <c r="F11" s="131">
        <v>8.3000000000000007</v>
      </c>
      <c r="G11" s="131">
        <v>19.3</v>
      </c>
      <c r="H11" s="132">
        <v>45194</v>
      </c>
      <c r="I11" s="128">
        <v>0.45277777777777778</v>
      </c>
      <c r="J11" s="133">
        <v>7.78</v>
      </c>
      <c r="K11" s="133">
        <v>19.7</v>
      </c>
      <c r="L11" s="131">
        <f t="shared" si="0"/>
        <v>0.52000000000000046</v>
      </c>
      <c r="M11" s="134" t="s">
        <v>21</v>
      </c>
      <c r="N11" s="135" t="s">
        <v>25</v>
      </c>
      <c r="O11" s="144"/>
    </row>
    <row r="12" spans="1:29" ht="15.75" customHeight="1">
      <c r="A12" s="126" t="s">
        <v>1068</v>
      </c>
      <c r="B12" s="147">
        <v>45188</v>
      </c>
      <c r="C12" s="128">
        <v>0.40763888888888888</v>
      </c>
      <c r="D12" s="129">
        <v>45189</v>
      </c>
      <c r="E12" s="130">
        <v>0.64930555555555558</v>
      </c>
      <c r="F12" s="131">
        <v>8.19</v>
      </c>
      <c r="G12" s="131">
        <v>19.399999999999999</v>
      </c>
      <c r="H12" s="132">
        <v>45194</v>
      </c>
      <c r="I12" s="128">
        <v>0.4548611111111111</v>
      </c>
      <c r="J12" s="133">
        <v>8.0399999999999991</v>
      </c>
      <c r="K12" s="133">
        <v>19.5</v>
      </c>
      <c r="L12" s="131">
        <f t="shared" si="0"/>
        <v>0.15000000000000036</v>
      </c>
      <c r="M12" s="134" t="s">
        <v>21</v>
      </c>
      <c r="N12" s="135" t="s">
        <v>25</v>
      </c>
      <c r="O12" s="144"/>
    </row>
    <row r="13" spans="1:29" ht="15.75" customHeight="1">
      <c r="A13" s="126" t="s">
        <v>1177</v>
      </c>
      <c r="B13" s="147">
        <v>45188</v>
      </c>
      <c r="C13" s="149">
        <v>0.33333333333333331</v>
      </c>
      <c r="D13" s="129">
        <v>45189</v>
      </c>
      <c r="E13" s="130">
        <v>0.65208333333333335</v>
      </c>
      <c r="F13" s="131">
        <v>8.7799999999999994</v>
      </c>
      <c r="G13" s="131">
        <v>20.100000000000001</v>
      </c>
      <c r="H13" s="132">
        <v>45194</v>
      </c>
      <c r="I13" s="128">
        <v>0.45069444444444445</v>
      </c>
      <c r="J13" s="133">
        <v>8.1300000000000008</v>
      </c>
      <c r="K13" s="133">
        <v>20</v>
      </c>
      <c r="L13" s="131">
        <f t="shared" si="0"/>
        <v>0.64999999999999858</v>
      </c>
      <c r="M13" s="134" t="s">
        <v>21</v>
      </c>
      <c r="N13" s="135" t="s">
        <v>25</v>
      </c>
      <c r="O13" s="144"/>
    </row>
    <row r="14" spans="1:29" ht="15.75" customHeight="1">
      <c r="A14" s="150" t="s">
        <v>1178</v>
      </c>
      <c r="B14" s="147">
        <v>45188</v>
      </c>
      <c r="C14" s="149">
        <v>0.33333333333333331</v>
      </c>
      <c r="D14" s="129">
        <v>45189</v>
      </c>
      <c r="E14" s="130">
        <v>0.65486111111111112</v>
      </c>
      <c r="F14" s="131">
        <v>8.23</v>
      </c>
      <c r="G14" s="131">
        <v>20.6</v>
      </c>
      <c r="H14" s="132">
        <v>45194</v>
      </c>
      <c r="I14" s="128">
        <v>0.4548611111111111</v>
      </c>
      <c r="J14" s="133">
        <v>7.95</v>
      </c>
      <c r="K14" s="133">
        <v>19.399999999999999</v>
      </c>
      <c r="L14" s="131">
        <f t="shared" si="0"/>
        <v>0.28000000000000025</v>
      </c>
      <c r="M14" s="134" t="s">
        <v>21</v>
      </c>
      <c r="N14" s="135" t="s">
        <v>25</v>
      </c>
      <c r="O14" s="144"/>
    </row>
    <row r="15" spans="1:29" ht="15.75" customHeight="1">
      <c r="A15" s="145" t="s">
        <v>1126</v>
      </c>
      <c r="B15" s="129">
        <v>45188</v>
      </c>
      <c r="C15" s="128">
        <v>0.37152777777777779</v>
      </c>
      <c r="D15" s="129">
        <v>45189</v>
      </c>
      <c r="E15" s="130">
        <v>0.65763888888888888</v>
      </c>
      <c r="F15" s="131">
        <v>7.33</v>
      </c>
      <c r="G15" s="131">
        <v>20</v>
      </c>
      <c r="H15" s="132">
        <v>45194</v>
      </c>
      <c r="I15" s="130">
        <v>0.47013888888888888</v>
      </c>
      <c r="J15" s="133">
        <v>7.2</v>
      </c>
      <c r="K15" s="133">
        <v>21.1</v>
      </c>
      <c r="L15" s="131">
        <f t="shared" si="0"/>
        <v>0.12999999999999989</v>
      </c>
      <c r="M15" s="134" t="s">
        <v>21</v>
      </c>
      <c r="N15" s="135" t="s">
        <v>25</v>
      </c>
      <c r="O15" s="144"/>
    </row>
    <row r="16" spans="1:29" ht="15.75" customHeight="1">
      <c r="A16" s="136" t="s">
        <v>1069</v>
      </c>
      <c r="B16" s="137">
        <v>45188</v>
      </c>
      <c r="C16" s="138">
        <v>0.42986111111111114</v>
      </c>
      <c r="D16" s="137">
        <v>45189</v>
      </c>
      <c r="E16" s="139">
        <v>0.69305555555555554</v>
      </c>
      <c r="F16" s="140">
        <v>8.23</v>
      </c>
      <c r="G16" s="140">
        <v>21</v>
      </c>
      <c r="H16" s="141">
        <v>45194</v>
      </c>
      <c r="I16" s="138">
        <v>0.48680555555555555</v>
      </c>
      <c r="J16" s="140">
        <v>6.35</v>
      </c>
      <c r="K16" s="140">
        <v>21.5</v>
      </c>
      <c r="L16" s="140">
        <f t="shared" si="0"/>
        <v>1.8800000000000008</v>
      </c>
      <c r="M16" s="142" t="s">
        <v>21</v>
      </c>
      <c r="N16" s="135" t="s">
        <v>261</v>
      </c>
      <c r="O16" s="151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 spans="1:29" ht="15.75" customHeight="1">
      <c r="A17" s="136" t="s">
        <v>1070</v>
      </c>
      <c r="B17" s="137">
        <v>45188</v>
      </c>
      <c r="C17" s="138">
        <v>0.42986111111111114</v>
      </c>
      <c r="D17" s="137">
        <v>45189</v>
      </c>
      <c r="E17" s="139">
        <v>0.6958333333333333</v>
      </c>
      <c r="F17" s="140">
        <v>8.18</v>
      </c>
      <c r="G17" s="140">
        <v>21.2</v>
      </c>
      <c r="H17" s="141">
        <v>45194</v>
      </c>
      <c r="I17" s="138">
        <v>0.48472222222222222</v>
      </c>
      <c r="J17" s="140">
        <v>7.91</v>
      </c>
      <c r="K17" s="140">
        <v>21.4</v>
      </c>
      <c r="L17" s="140">
        <f t="shared" si="0"/>
        <v>0.26999999999999957</v>
      </c>
      <c r="M17" s="142" t="s">
        <v>21</v>
      </c>
      <c r="N17" s="135" t="s">
        <v>261</v>
      </c>
      <c r="O17" s="151" t="s">
        <v>262</v>
      </c>
      <c r="P17" s="153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 spans="1:29" ht="15.75" customHeight="1">
      <c r="A18" s="145" t="s">
        <v>1176</v>
      </c>
      <c r="B18" s="129">
        <v>45189</v>
      </c>
      <c r="C18" s="128">
        <v>0.37152777777777779</v>
      </c>
      <c r="D18" s="129">
        <v>45189</v>
      </c>
      <c r="E18" s="130">
        <v>0.66249999999999998</v>
      </c>
      <c r="F18" s="131">
        <v>7.11</v>
      </c>
      <c r="G18" s="131">
        <v>20</v>
      </c>
      <c r="H18" s="132">
        <v>45194</v>
      </c>
      <c r="I18" s="130">
        <v>0.47361111111111109</v>
      </c>
      <c r="J18" s="133">
        <v>7.09</v>
      </c>
      <c r="K18" s="133">
        <v>21.1</v>
      </c>
      <c r="L18" s="131">
        <f t="shared" si="0"/>
        <v>2.0000000000000462E-2</v>
      </c>
      <c r="M18" s="134" t="s">
        <v>21</v>
      </c>
      <c r="N18" s="135" t="s">
        <v>25</v>
      </c>
      <c r="O18" s="144"/>
    </row>
    <row r="19" spans="1:29" ht="15.75" customHeight="1">
      <c r="A19" s="145" t="s">
        <v>1063</v>
      </c>
      <c r="B19" s="129">
        <v>45189</v>
      </c>
      <c r="C19" s="128">
        <v>0.43402777777777779</v>
      </c>
      <c r="D19" s="129">
        <v>45189</v>
      </c>
      <c r="E19" s="130">
        <v>0.67500000000000004</v>
      </c>
      <c r="F19" s="131">
        <v>8.32</v>
      </c>
      <c r="G19" s="131">
        <v>20.3</v>
      </c>
      <c r="H19" s="132">
        <v>45194</v>
      </c>
      <c r="I19" s="128">
        <v>0.4777777777777778</v>
      </c>
      <c r="J19" s="131">
        <v>7.98</v>
      </c>
      <c r="K19" s="131">
        <v>21.1</v>
      </c>
      <c r="L19" s="131">
        <f t="shared" si="0"/>
        <v>0.33999999999999986</v>
      </c>
      <c r="M19" s="134" t="s">
        <v>21</v>
      </c>
      <c r="N19" s="146" t="s">
        <v>25</v>
      </c>
      <c r="O19" s="154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 spans="1:29" ht="15" customHeight="1">
      <c r="A20" s="145" t="s">
        <v>1127</v>
      </c>
      <c r="B20" s="129">
        <v>45189</v>
      </c>
      <c r="C20" s="128">
        <v>0.40972222222222221</v>
      </c>
      <c r="D20" s="129">
        <v>45189</v>
      </c>
      <c r="E20" s="130">
        <v>0.67847222222222225</v>
      </c>
      <c r="F20" s="131">
        <v>7.53</v>
      </c>
      <c r="G20" s="131">
        <v>20.3</v>
      </c>
      <c r="H20" s="132">
        <v>45194</v>
      </c>
      <c r="I20" s="128">
        <v>0.47569444444444442</v>
      </c>
      <c r="J20" s="131">
        <v>7.35</v>
      </c>
      <c r="K20" s="131">
        <v>21.3</v>
      </c>
      <c r="L20" s="131">
        <f t="shared" si="0"/>
        <v>0.1800000000000006</v>
      </c>
      <c r="M20" s="134" t="s">
        <v>21</v>
      </c>
      <c r="N20" s="135" t="s">
        <v>261</v>
      </c>
      <c r="O20" s="155" t="s">
        <v>263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</row>
    <row r="21" spans="1:29" ht="15" customHeight="1">
      <c r="A21" s="145" t="s">
        <v>1128</v>
      </c>
      <c r="B21" s="129">
        <v>45189</v>
      </c>
      <c r="C21" s="128">
        <v>0.40972222222222221</v>
      </c>
      <c r="D21" s="129">
        <v>45189</v>
      </c>
      <c r="E21" s="130">
        <v>0.68194444444444446</v>
      </c>
      <c r="F21" s="131">
        <v>7.82</v>
      </c>
      <c r="G21" s="131">
        <v>20</v>
      </c>
      <c r="H21" s="132">
        <v>45194</v>
      </c>
      <c r="I21" s="128">
        <v>0.4826388888888889</v>
      </c>
      <c r="J21" s="131">
        <v>7.52</v>
      </c>
      <c r="K21" s="131">
        <v>21.3</v>
      </c>
      <c r="L21" s="131">
        <f t="shared" si="0"/>
        <v>0.30000000000000071</v>
      </c>
      <c r="M21" s="134" t="s">
        <v>21</v>
      </c>
      <c r="N21" s="135" t="s">
        <v>261</v>
      </c>
      <c r="O21" s="156" t="s">
        <v>264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</row>
    <row r="22" spans="1:29" ht="15.75" customHeight="1">
      <c r="A22" s="145" t="s">
        <v>1071</v>
      </c>
      <c r="B22" s="129">
        <v>45189</v>
      </c>
      <c r="C22" s="128">
        <v>0.40972222222222221</v>
      </c>
      <c r="D22" s="129">
        <v>45189</v>
      </c>
      <c r="E22" s="130">
        <v>0.68472222222222223</v>
      </c>
      <c r="F22" s="131">
        <v>7.89</v>
      </c>
      <c r="G22" s="131">
        <v>20</v>
      </c>
      <c r="H22" s="132">
        <v>45194</v>
      </c>
      <c r="I22" s="128">
        <v>0.48055555555555557</v>
      </c>
      <c r="J22" s="131">
        <v>7.16</v>
      </c>
      <c r="K22" s="131">
        <v>21.2</v>
      </c>
      <c r="L22" s="131">
        <f t="shared" si="0"/>
        <v>0.72999999999999954</v>
      </c>
      <c r="M22" s="134" t="s">
        <v>21</v>
      </c>
      <c r="N22" s="135" t="s">
        <v>261</v>
      </c>
      <c r="O22" s="151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</row>
    <row r="23" spans="1:29" ht="15.75" customHeight="1">
      <c r="A23" s="145" t="s">
        <v>1072</v>
      </c>
      <c r="B23" s="129">
        <v>45189</v>
      </c>
      <c r="C23" s="128">
        <v>0.43402777777777779</v>
      </c>
      <c r="D23" s="129">
        <v>45189</v>
      </c>
      <c r="E23" s="130">
        <v>0.68819444444444444</v>
      </c>
      <c r="F23" s="131">
        <v>7.68</v>
      </c>
      <c r="G23" s="131">
        <v>20.7</v>
      </c>
      <c r="H23" s="132">
        <v>45194</v>
      </c>
      <c r="I23" s="128">
        <v>0.48958333333333331</v>
      </c>
      <c r="J23" s="131">
        <v>7.37</v>
      </c>
      <c r="K23" s="131">
        <v>21.4</v>
      </c>
      <c r="L23" s="131">
        <f t="shared" si="0"/>
        <v>0.30999999999999961</v>
      </c>
      <c r="M23" s="134" t="s">
        <v>21</v>
      </c>
      <c r="N23" s="135" t="s">
        <v>261</v>
      </c>
      <c r="O23" s="151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ht="15.75" customHeight="1">
      <c r="A24" s="126" t="s">
        <v>257</v>
      </c>
      <c r="B24" s="127" t="s">
        <v>17</v>
      </c>
      <c r="C24" s="128" t="s">
        <v>17</v>
      </c>
      <c r="D24" s="129">
        <v>45191</v>
      </c>
      <c r="E24" s="130">
        <v>0.38472222222222224</v>
      </c>
      <c r="F24" s="131">
        <v>7.56</v>
      </c>
      <c r="G24" s="131">
        <v>22.4</v>
      </c>
      <c r="H24" s="132">
        <v>45196</v>
      </c>
      <c r="I24" s="127" t="s">
        <v>265</v>
      </c>
      <c r="J24" s="131">
        <v>7.37</v>
      </c>
      <c r="K24" s="131">
        <v>21.4</v>
      </c>
      <c r="L24" s="127" t="s">
        <v>17</v>
      </c>
      <c r="M24" s="134" t="s">
        <v>21</v>
      </c>
      <c r="N24" s="135" t="s">
        <v>25</v>
      </c>
      <c r="O24" s="151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</row>
    <row r="25" spans="1:29" ht="15.75" customHeight="1">
      <c r="A25" s="145" t="s">
        <v>1129</v>
      </c>
      <c r="B25" s="129">
        <v>45190</v>
      </c>
      <c r="C25" s="128">
        <v>0.36805555555555558</v>
      </c>
      <c r="D25" s="129">
        <v>45191</v>
      </c>
      <c r="E25" s="128">
        <v>0.38611111111111113</v>
      </c>
      <c r="F25" s="131">
        <v>8.5299999999999994</v>
      </c>
      <c r="G25" s="131">
        <v>21.6</v>
      </c>
      <c r="H25" s="132">
        <v>45196</v>
      </c>
      <c r="I25" s="127" t="s">
        <v>266</v>
      </c>
      <c r="J25" s="131">
        <v>8.0399999999999991</v>
      </c>
      <c r="K25" s="131">
        <v>22.6</v>
      </c>
      <c r="L25" s="131">
        <f t="shared" ref="L25:L34" si="1">F25-J25</f>
        <v>0.49000000000000021</v>
      </c>
      <c r="M25" s="134" t="s">
        <v>21</v>
      </c>
      <c r="N25" s="135" t="s">
        <v>25</v>
      </c>
      <c r="O25" s="151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</row>
    <row r="26" spans="1:29" ht="15.75" customHeight="1">
      <c r="A26" s="145" t="s">
        <v>1073</v>
      </c>
      <c r="B26" s="129">
        <v>45190</v>
      </c>
      <c r="C26" s="128">
        <v>0.36805555555555558</v>
      </c>
      <c r="D26" s="129">
        <v>45191</v>
      </c>
      <c r="E26" s="128">
        <v>0.39097222222222222</v>
      </c>
      <c r="F26" s="131">
        <v>8.25</v>
      </c>
      <c r="G26" s="131">
        <v>21.7</v>
      </c>
      <c r="H26" s="132">
        <v>45196</v>
      </c>
      <c r="I26" s="127" t="s">
        <v>258</v>
      </c>
      <c r="J26" s="131">
        <v>7.61</v>
      </c>
      <c r="K26" s="131">
        <v>22.6</v>
      </c>
      <c r="L26" s="131">
        <f t="shared" si="1"/>
        <v>0.63999999999999968</v>
      </c>
      <c r="M26" s="134" t="s">
        <v>21</v>
      </c>
      <c r="N26" s="135" t="s">
        <v>25</v>
      </c>
      <c r="O26" s="151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</row>
    <row r="27" spans="1:29" ht="15.75" customHeight="1">
      <c r="A27" s="145" t="s">
        <v>1130</v>
      </c>
      <c r="B27" s="129">
        <v>45190</v>
      </c>
      <c r="C27" s="128">
        <v>0.40555555555555556</v>
      </c>
      <c r="D27" s="129">
        <v>45191</v>
      </c>
      <c r="E27" s="128">
        <v>0.39374999999999999</v>
      </c>
      <c r="F27" s="131">
        <v>7.75</v>
      </c>
      <c r="G27" s="131">
        <v>22.5</v>
      </c>
      <c r="H27" s="132">
        <v>45196</v>
      </c>
      <c r="I27" s="127" t="s">
        <v>267</v>
      </c>
      <c r="J27" s="131">
        <v>6.48</v>
      </c>
      <c r="K27" s="131">
        <v>22.3</v>
      </c>
      <c r="L27" s="131">
        <f t="shared" si="1"/>
        <v>1.2699999999999996</v>
      </c>
      <c r="M27" s="134" t="s">
        <v>21</v>
      </c>
      <c r="N27" s="135" t="s">
        <v>25</v>
      </c>
      <c r="O27" s="151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</row>
    <row r="28" spans="1:29" ht="15.75" customHeight="1">
      <c r="A28" s="145" t="s">
        <v>1074</v>
      </c>
      <c r="B28" s="129">
        <v>45190</v>
      </c>
      <c r="C28" s="128">
        <v>0.40555555555555556</v>
      </c>
      <c r="D28" s="129">
        <v>45191</v>
      </c>
      <c r="E28" s="128">
        <v>0.3972222222222222</v>
      </c>
      <c r="F28" s="131">
        <v>7.3</v>
      </c>
      <c r="G28" s="131">
        <v>22.9</v>
      </c>
      <c r="H28" s="132">
        <v>45196</v>
      </c>
      <c r="I28" s="130">
        <v>0.41875000000000001</v>
      </c>
      <c r="J28" s="131">
        <v>6.87</v>
      </c>
      <c r="K28" s="131">
        <v>21.8</v>
      </c>
      <c r="L28" s="131">
        <f t="shared" si="1"/>
        <v>0.42999999999999972</v>
      </c>
      <c r="M28" s="134" t="s">
        <v>21</v>
      </c>
      <c r="N28" s="135" t="s">
        <v>25</v>
      </c>
      <c r="O28" s="151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</row>
    <row r="29" spans="1:29" ht="15.75">
      <c r="A29" s="136" t="s">
        <v>1131</v>
      </c>
      <c r="B29" s="137">
        <v>45190</v>
      </c>
      <c r="C29" s="138">
        <v>0.47569444444444442</v>
      </c>
      <c r="D29" s="137">
        <v>45191</v>
      </c>
      <c r="E29" s="138">
        <v>0.40694444444444444</v>
      </c>
      <c r="F29" s="140">
        <v>8.23</v>
      </c>
      <c r="G29" s="140">
        <v>20.6</v>
      </c>
      <c r="H29" s="141">
        <v>45196</v>
      </c>
      <c r="I29" s="139">
        <v>0.4236111111111111</v>
      </c>
      <c r="J29" s="140">
        <v>5.63</v>
      </c>
      <c r="K29" s="140">
        <v>21.9</v>
      </c>
      <c r="L29" s="140">
        <f t="shared" si="1"/>
        <v>2.6000000000000005</v>
      </c>
      <c r="M29" s="142" t="s">
        <v>21</v>
      </c>
      <c r="N29" s="146" t="s">
        <v>25</v>
      </c>
      <c r="O29" s="151"/>
    </row>
    <row r="30" spans="1:29" ht="15.75">
      <c r="A30" s="136" t="s">
        <v>1132</v>
      </c>
      <c r="B30" s="137">
        <v>45190</v>
      </c>
      <c r="C30" s="138">
        <v>0.47569444444444442</v>
      </c>
      <c r="D30" s="137">
        <v>45191</v>
      </c>
      <c r="E30" s="138">
        <v>0.41180555555555554</v>
      </c>
      <c r="F30" s="140">
        <v>8.41</v>
      </c>
      <c r="G30" s="140">
        <v>20.8</v>
      </c>
      <c r="H30" s="141">
        <v>45196</v>
      </c>
      <c r="I30" s="139">
        <v>0.42708333333333331</v>
      </c>
      <c r="J30" s="140">
        <v>7.71</v>
      </c>
      <c r="K30" s="140">
        <v>22</v>
      </c>
      <c r="L30" s="140">
        <f t="shared" si="1"/>
        <v>0.70000000000000018</v>
      </c>
      <c r="M30" s="142" t="s">
        <v>21</v>
      </c>
      <c r="N30" s="146" t="s">
        <v>25</v>
      </c>
      <c r="O30" s="151"/>
      <c r="P30" s="153"/>
    </row>
    <row r="31" spans="1:29" ht="15.75" customHeight="1">
      <c r="A31" s="145" t="s">
        <v>1133</v>
      </c>
      <c r="B31" s="129">
        <v>45190</v>
      </c>
      <c r="C31" s="128">
        <v>0.44722222222222224</v>
      </c>
      <c r="D31" s="129">
        <v>45191</v>
      </c>
      <c r="E31" s="128">
        <v>0.40069444444444446</v>
      </c>
      <c r="F31" s="131">
        <v>8.02</v>
      </c>
      <c r="G31" s="131">
        <v>22.6</v>
      </c>
      <c r="H31" s="132">
        <v>45196</v>
      </c>
      <c r="I31" s="130">
        <v>0.4201388888888889</v>
      </c>
      <c r="J31" s="131">
        <v>6.69</v>
      </c>
      <c r="K31" s="131">
        <v>22.2</v>
      </c>
      <c r="L31" s="131">
        <f t="shared" si="1"/>
        <v>1.3299999999999992</v>
      </c>
      <c r="M31" s="134" t="s">
        <v>21</v>
      </c>
      <c r="N31" s="135" t="s">
        <v>25</v>
      </c>
      <c r="O31" s="151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</row>
    <row r="32" spans="1:29" ht="15.75" customHeight="1">
      <c r="A32" s="145" t="s">
        <v>1075</v>
      </c>
      <c r="B32" s="129">
        <v>45190</v>
      </c>
      <c r="C32" s="128">
        <v>0.44722222222222224</v>
      </c>
      <c r="D32" s="129">
        <v>45191</v>
      </c>
      <c r="E32" s="128">
        <v>0.40347222222222223</v>
      </c>
      <c r="F32" s="131">
        <v>7.83</v>
      </c>
      <c r="G32" s="131">
        <v>22.5</v>
      </c>
      <c r="H32" s="132">
        <v>45196</v>
      </c>
      <c r="I32" s="130">
        <v>0.42222222222222222</v>
      </c>
      <c r="J32" s="131">
        <v>7.44</v>
      </c>
      <c r="K32" s="131">
        <v>22.7</v>
      </c>
      <c r="L32" s="131">
        <f t="shared" si="1"/>
        <v>0.38999999999999968</v>
      </c>
      <c r="M32" s="134" t="s">
        <v>21</v>
      </c>
      <c r="N32" s="135" t="s">
        <v>25</v>
      </c>
      <c r="O32" s="151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</row>
    <row r="33" spans="1:29" ht="15.75">
      <c r="A33" s="145" t="s">
        <v>1134</v>
      </c>
      <c r="B33" s="129">
        <v>45190</v>
      </c>
      <c r="C33" s="128">
        <v>0.47569444444444442</v>
      </c>
      <c r="D33" s="129">
        <v>45191</v>
      </c>
      <c r="E33" s="128">
        <v>0.41458333333333336</v>
      </c>
      <c r="F33" s="131">
        <v>8.4499999999999993</v>
      </c>
      <c r="G33" s="131">
        <v>21.1</v>
      </c>
      <c r="H33" s="132">
        <v>45196</v>
      </c>
      <c r="I33" s="130">
        <v>0.42916666666666664</v>
      </c>
      <c r="J33" s="131">
        <v>7.94</v>
      </c>
      <c r="K33" s="131">
        <v>22</v>
      </c>
      <c r="L33" s="131">
        <f t="shared" si="1"/>
        <v>0.5099999999999989</v>
      </c>
      <c r="M33" s="134" t="s">
        <v>21</v>
      </c>
      <c r="N33" s="135" t="s">
        <v>25</v>
      </c>
      <c r="O33" s="151"/>
    </row>
    <row r="34" spans="1:29" ht="15.75" customHeight="1">
      <c r="A34" s="145" t="s">
        <v>1076</v>
      </c>
      <c r="B34" s="129">
        <v>45190</v>
      </c>
      <c r="C34" s="128">
        <v>0.47569444444444442</v>
      </c>
      <c r="D34" s="129">
        <v>45191</v>
      </c>
      <c r="E34" s="128">
        <v>0.41805555555555557</v>
      </c>
      <c r="F34" s="131">
        <v>7.91</v>
      </c>
      <c r="G34" s="131">
        <v>19.8</v>
      </c>
      <c r="H34" s="132">
        <v>45196</v>
      </c>
      <c r="I34" s="130">
        <v>0.43194444444444446</v>
      </c>
      <c r="J34" s="131">
        <v>7.74</v>
      </c>
      <c r="K34" s="131">
        <v>22.4</v>
      </c>
      <c r="L34" s="131">
        <f t="shared" si="1"/>
        <v>0.16999999999999993</v>
      </c>
      <c r="M34" s="134" t="s">
        <v>21</v>
      </c>
      <c r="N34" s="135" t="s">
        <v>25</v>
      </c>
      <c r="O34" s="151"/>
    </row>
    <row r="35" spans="1:29" ht="15.75" customHeight="1">
      <c r="A35" s="126" t="s">
        <v>257</v>
      </c>
      <c r="B35" s="127" t="s">
        <v>17</v>
      </c>
      <c r="C35" s="128" t="s">
        <v>17</v>
      </c>
      <c r="D35" s="129">
        <v>45203</v>
      </c>
      <c r="E35" s="130">
        <v>0.61875000000000002</v>
      </c>
      <c r="F35" s="131">
        <v>8.4499999999999993</v>
      </c>
      <c r="G35" s="131">
        <v>24.1</v>
      </c>
      <c r="H35" s="132">
        <v>45208</v>
      </c>
      <c r="I35" s="130">
        <v>0.40347222222222223</v>
      </c>
      <c r="J35" s="131">
        <v>8.61</v>
      </c>
      <c r="K35" s="131">
        <v>23.6</v>
      </c>
      <c r="L35" s="127" t="s">
        <v>17</v>
      </c>
      <c r="M35" s="134" t="s">
        <v>21</v>
      </c>
      <c r="N35" s="135" t="s">
        <v>25</v>
      </c>
      <c r="O35" s="151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ht="15.75" customHeight="1">
      <c r="A36" s="145" t="s">
        <v>1135</v>
      </c>
      <c r="B36" s="129">
        <v>45203</v>
      </c>
      <c r="C36" s="128">
        <v>0.41944444444444445</v>
      </c>
      <c r="D36" s="129">
        <v>45203</v>
      </c>
      <c r="E36" s="128">
        <v>0.62638888888888888</v>
      </c>
      <c r="F36" s="131">
        <v>7.78</v>
      </c>
      <c r="G36" s="131">
        <v>19.8</v>
      </c>
      <c r="H36" s="132">
        <v>45208</v>
      </c>
      <c r="I36" s="130">
        <v>0.40625</v>
      </c>
      <c r="J36" s="131">
        <v>7.39</v>
      </c>
      <c r="K36" s="131">
        <v>19.3</v>
      </c>
      <c r="L36" s="131">
        <f t="shared" ref="L36:L50" si="2">F36-J36</f>
        <v>0.39000000000000057</v>
      </c>
      <c r="M36" s="134" t="s">
        <v>21</v>
      </c>
      <c r="N36" s="135" t="s">
        <v>25</v>
      </c>
      <c r="O36" s="151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</row>
    <row r="37" spans="1:29" ht="15.75" customHeight="1">
      <c r="A37" s="145" t="s">
        <v>1077</v>
      </c>
      <c r="B37" s="129">
        <v>45203</v>
      </c>
      <c r="C37" s="128">
        <v>0.30555555555555558</v>
      </c>
      <c r="D37" s="129">
        <v>45203</v>
      </c>
      <c r="E37" s="128">
        <v>0.63124999999999998</v>
      </c>
      <c r="F37" s="131">
        <v>8.36</v>
      </c>
      <c r="G37" s="131">
        <v>18.2</v>
      </c>
      <c r="H37" s="132">
        <v>45208</v>
      </c>
      <c r="I37" s="130">
        <v>0.40833333333333333</v>
      </c>
      <c r="J37" s="131">
        <v>8.14</v>
      </c>
      <c r="K37" s="131">
        <v>19.399999999999999</v>
      </c>
      <c r="L37" s="131">
        <f t="shared" si="2"/>
        <v>0.21999999999999886</v>
      </c>
      <c r="M37" s="134" t="s">
        <v>21</v>
      </c>
      <c r="N37" s="135" t="s">
        <v>25</v>
      </c>
      <c r="O37" s="151"/>
    </row>
    <row r="38" spans="1:29" ht="15.75" customHeight="1">
      <c r="A38" s="145" t="s">
        <v>1078</v>
      </c>
      <c r="B38" s="129">
        <v>45203</v>
      </c>
      <c r="C38" s="128">
        <v>0.34236111111111112</v>
      </c>
      <c r="D38" s="129">
        <v>45203</v>
      </c>
      <c r="E38" s="128">
        <v>0.63611111111111107</v>
      </c>
      <c r="F38" s="131">
        <v>7.23</v>
      </c>
      <c r="G38" s="131">
        <v>19.600000000000001</v>
      </c>
      <c r="H38" s="132">
        <v>45208</v>
      </c>
      <c r="I38" s="130">
        <v>0.40972222222222221</v>
      </c>
      <c r="J38" s="131">
        <v>6.94</v>
      </c>
      <c r="K38" s="131">
        <v>19.2</v>
      </c>
      <c r="L38" s="131">
        <f t="shared" si="2"/>
        <v>0.29000000000000004</v>
      </c>
      <c r="M38" s="134" t="s">
        <v>21</v>
      </c>
      <c r="N38" s="135" t="s">
        <v>25</v>
      </c>
      <c r="O38" s="151"/>
      <c r="P38" s="125"/>
    </row>
    <row r="39" spans="1:29" ht="15.75" customHeight="1">
      <c r="A39" s="145" t="s">
        <v>1136</v>
      </c>
      <c r="B39" s="129">
        <v>45203</v>
      </c>
      <c r="C39" s="128">
        <v>0.36736111111111114</v>
      </c>
      <c r="D39" s="129">
        <v>45203</v>
      </c>
      <c r="E39" s="128">
        <v>0.63958333333333328</v>
      </c>
      <c r="F39" s="131">
        <v>7.36</v>
      </c>
      <c r="G39" s="131">
        <v>19.100000000000001</v>
      </c>
      <c r="H39" s="132">
        <v>45208</v>
      </c>
      <c r="I39" s="130">
        <v>0.41111111111111109</v>
      </c>
      <c r="J39" s="131">
        <v>6.89</v>
      </c>
      <c r="K39" s="131">
        <v>19.7</v>
      </c>
      <c r="L39" s="131">
        <f t="shared" si="2"/>
        <v>0.47000000000000064</v>
      </c>
      <c r="M39" s="134" t="s">
        <v>21</v>
      </c>
      <c r="N39" s="135" t="s">
        <v>25</v>
      </c>
      <c r="O39" s="151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</row>
    <row r="40" spans="1:29" ht="15.75" customHeight="1">
      <c r="A40" s="145" t="s">
        <v>1079</v>
      </c>
      <c r="B40" s="129">
        <v>45203</v>
      </c>
      <c r="C40" s="128">
        <v>0.36736111111111114</v>
      </c>
      <c r="D40" s="129">
        <v>45203</v>
      </c>
      <c r="E40" s="128">
        <v>0.64444444444444449</v>
      </c>
      <c r="F40" s="131">
        <v>6.92</v>
      </c>
      <c r="G40" s="131">
        <v>20.7</v>
      </c>
      <c r="H40" s="132">
        <v>45208</v>
      </c>
      <c r="I40" s="130">
        <v>0.4152777777777778</v>
      </c>
      <c r="J40" s="131">
        <v>6.53</v>
      </c>
      <c r="K40" s="131">
        <v>20.2</v>
      </c>
      <c r="L40" s="131">
        <f t="shared" si="2"/>
        <v>0.38999999999999968</v>
      </c>
      <c r="M40" s="134" t="s">
        <v>21</v>
      </c>
      <c r="N40" s="135" t="s">
        <v>25</v>
      </c>
      <c r="O40" s="151"/>
    </row>
    <row r="41" spans="1:29" ht="15.75" customHeight="1">
      <c r="A41" s="145" t="s">
        <v>1137</v>
      </c>
      <c r="B41" s="129">
        <v>45203</v>
      </c>
      <c r="C41" s="128">
        <v>0.3840277777777778</v>
      </c>
      <c r="D41" s="129">
        <v>45203</v>
      </c>
      <c r="E41" s="128">
        <v>0.65902777777777777</v>
      </c>
      <c r="F41" s="131">
        <v>6.66</v>
      </c>
      <c r="G41" s="131">
        <v>20.3</v>
      </c>
      <c r="H41" s="132">
        <v>45208</v>
      </c>
      <c r="I41" s="130">
        <v>0.41736111111111113</v>
      </c>
      <c r="J41" s="131">
        <v>6.31</v>
      </c>
      <c r="K41" s="131">
        <v>19.8</v>
      </c>
      <c r="L41" s="131">
        <f t="shared" si="2"/>
        <v>0.35000000000000053</v>
      </c>
      <c r="M41" s="134" t="s">
        <v>21</v>
      </c>
      <c r="N41" s="135" t="s">
        <v>25</v>
      </c>
      <c r="O41" s="151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</row>
    <row r="42" spans="1:29" ht="15.75">
      <c r="A42" s="136" t="s">
        <v>1080</v>
      </c>
      <c r="B42" s="137">
        <v>45203</v>
      </c>
      <c r="C42" s="138">
        <v>0.36736111111111114</v>
      </c>
      <c r="D42" s="137">
        <v>45203</v>
      </c>
      <c r="E42" s="138">
        <v>0.66666666666666663</v>
      </c>
      <c r="F42" s="140">
        <v>7.55</v>
      </c>
      <c r="G42" s="140">
        <v>21.6</v>
      </c>
      <c r="H42" s="141">
        <v>45208</v>
      </c>
      <c r="I42" s="139">
        <v>0.41944444444444445</v>
      </c>
      <c r="J42" s="140">
        <v>4.7699999999999996</v>
      </c>
      <c r="K42" s="140">
        <v>20.100000000000001</v>
      </c>
      <c r="L42" s="140">
        <f t="shared" si="2"/>
        <v>2.7800000000000002</v>
      </c>
      <c r="M42" s="142" t="s">
        <v>21</v>
      </c>
      <c r="N42" s="143" t="s">
        <v>25</v>
      </c>
      <c r="O42" s="151"/>
    </row>
    <row r="43" spans="1:29" ht="15.75">
      <c r="A43" s="136" t="s">
        <v>1081</v>
      </c>
      <c r="B43" s="137">
        <v>45203</v>
      </c>
      <c r="C43" s="138">
        <v>0.36736111111111114</v>
      </c>
      <c r="D43" s="137">
        <v>45203</v>
      </c>
      <c r="E43" s="138">
        <v>0.6694444444444444</v>
      </c>
      <c r="F43" s="140">
        <v>7.92</v>
      </c>
      <c r="G43" s="140">
        <v>21.7</v>
      </c>
      <c r="H43" s="141">
        <v>45208</v>
      </c>
      <c r="I43" s="139">
        <v>0.4201388888888889</v>
      </c>
      <c r="J43" s="140">
        <v>7.09</v>
      </c>
      <c r="K43" s="140">
        <v>20.100000000000001</v>
      </c>
      <c r="L43" s="140">
        <f t="shared" si="2"/>
        <v>0.83000000000000007</v>
      </c>
      <c r="M43" s="142" t="s">
        <v>21</v>
      </c>
      <c r="N43" s="143" t="s">
        <v>25</v>
      </c>
      <c r="O43" s="151"/>
      <c r="P43" s="153"/>
    </row>
    <row r="44" spans="1:29" ht="15.75" customHeight="1">
      <c r="A44" s="145" t="s">
        <v>1082</v>
      </c>
      <c r="B44" s="129">
        <v>45203</v>
      </c>
      <c r="C44" s="128">
        <v>0.39097222222222222</v>
      </c>
      <c r="D44" s="129">
        <v>45203</v>
      </c>
      <c r="E44" s="128">
        <v>0.68055555555555558</v>
      </c>
      <c r="F44" s="131">
        <v>7.03</v>
      </c>
      <c r="G44" s="131">
        <v>20.2</v>
      </c>
      <c r="H44" s="132">
        <v>45208</v>
      </c>
      <c r="I44" s="130">
        <v>0.42291666666666666</v>
      </c>
      <c r="J44" s="131">
        <v>6.64</v>
      </c>
      <c r="K44" s="131">
        <v>19</v>
      </c>
      <c r="L44" s="131">
        <f t="shared" si="2"/>
        <v>0.39000000000000057</v>
      </c>
      <c r="M44" s="134" t="s">
        <v>21</v>
      </c>
      <c r="N44" s="135" t="s">
        <v>25</v>
      </c>
      <c r="O44" s="144"/>
      <c r="P44" s="15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1:29" ht="15.75" customHeight="1">
      <c r="A45" s="145" t="s">
        <v>1138</v>
      </c>
      <c r="B45" s="129">
        <v>45203</v>
      </c>
      <c r="C45" s="128">
        <v>0.41666666666666669</v>
      </c>
      <c r="D45" s="129">
        <v>45203</v>
      </c>
      <c r="E45" s="128">
        <v>0.68402777777777779</v>
      </c>
      <c r="F45" s="131">
        <v>6.9</v>
      </c>
      <c r="G45" s="131">
        <v>20.2</v>
      </c>
      <c r="H45" s="132">
        <v>45208</v>
      </c>
      <c r="I45" s="130">
        <v>0.42430555555555555</v>
      </c>
      <c r="J45" s="131">
        <v>6.59</v>
      </c>
      <c r="K45" s="131">
        <v>19.2</v>
      </c>
      <c r="L45" s="131">
        <f t="shared" si="2"/>
        <v>0.3100000000000005</v>
      </c>
      <c r="M45" s="134" t="s">
        <v>21</v>
      </c>
      <c r="N45" s="135" t="s">
        <v>25</v>
      </c>
      <c r="O45" s="151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</row>
    <row r="46" spans="1:29" ht="15.75" customHeight="1">
      <c r="A46" s="145" t="s">
        <v>1083</v>
      </c>
      <c r="B46" s="129">
        <v>45203</v>
      </c>
      <c r="C46" s="128">
        <v>0.41666666666666669</v>
      </c>
      <c r="D46" s="129">
        <v>45203</v>
      </c>
      <c r="E46" s="128">
        <v>0.68611111111111112</v>
      </c>
      <c r="F46" s="131">
        <v>7.3</v>
      </c>
      <c r="G46" s="131">
        <v>21</v>
      </c>
      <c r="H46" s="132">
        <v>45208</v>
      </c>
      <c r="I46" s="130">
        <v>0.42569444444444443</v>
      </c>
      <c r="J46" s="131">
        <v>6.78</v>
      </c>
      <c r="K46" s="131">
        <v>19</v>
      </c>
      <c r="L46" s="131">
        <f t="shared" si="2"/>
        <v>0.51999999999999957</v>
      </c>
      <c r="M46" s="134" t="s">
        <v>21</v>
      </c>
      <c r="N46" s="135" t="s">
        <v>25</v>
      </c>
      <c r="O46" s="144"/>
      <c r="P46" s="15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1:29" ht="15.75" customHeight="1">
      <c r="A47" s="145" t="s">
        <v>1139</v>
      </c>
      <c r="B47" s="129">
        <v>45203</v>
      </c>
      <c r="C47" s="128">
        <v>0.43472222222222223</v>
      </c>
      <c r="D47" s="129">
        <v>45203</v>
      </c>
      <c r="E47" s="128">
        <v>0.68819444444444444</v>
      </c>
      <c r="F47" s="131">
        <v>7.53</v>
      </c>
      <c r="G47" s="131">
        <v>20.6</v>
      </c>
      <c r="H47" s="132">
        <v>45208</v>
      </c>
      <c r="I47" s="130">
        <v>0.4284722222222222</v>
      </c>
      <c r="J47" s="131">
        <v>7.13</v>
      </c>
      <c r="K47" s="131">
        <v>19.899999999999999</v>
      </c>
      <c r="L47" s="131">
        <f t="shared" si="2"/>
        <v>0.40000000000000036</v>
      </c>
      <c r="M47" s="134" t="s">
        <v>21</v>
      </c>
      <c r="N47" s="135" t="s">
        <v>25</v>
      </c>
      <c r="O47" s="151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ht="15.75" customHeight="1">
      <c r="A48" s="145" t="s">
        <v>1084</v>
      </c>
      <c r="B48" s="129">
        <v>45203</v>
      </c>
      <c r="C48" s="128">
        <v>0.43472222222222223</v>
      </c>
      <c r="D48" s="129">
        <v>45203</v>
      </c>
      <c r="E48" s="128">
        <v>0.69097222222222221</v>
      </c>
      <c r="F48" s="131">
        <v>7.29</v>
      </c>
      <c r="G48" s="131">
        <v>22.2</v>
      </c>
      <c r="H48" s="132">
        <v>45208</v>
      </c>
      <c r="I48" s="130">
        <v>0.43055555555555558</v>
      </c>
      <c r="J48" s="131">
        <v>7.23</v>
      </c>
      <c r="K48" s="131">
        <v>19.8</v>
      </c>
      <c r="L48" s="131">
        <f t="shared" si="2"/>
        <v>5.9999999999999609E-2</v>
      </c>
      <c r="M48" s="134" t="s">
        <v>21</v>
      </c>
      <c r="N48" s="135" t="s">
        <v>25</v>
      </c>
      <c r="O48" s="144"/>
      <c r="P48" s="15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ht="15.75" customHeight="1">
      <c r="A49" s="145" t="s">
        <v>1140</v>
      </c>
      <c r="B49" s="129">
        <v>45203</v>
      </c>
      <c r="C49" s="128">
        <v>0.34236111111111112</v>
      </c>
      <c r="D49" s="129">
        <v>45203</v>
      </c>
      <c r="E49" s="128">
        <v>0.6958333333333333</v>
      </c>
      <c r="F49" s="131">
        <v>8.09</v>
      </c>
      <c r="G49" s="131">
        <v>19.7</v>
      </c>
      <c r="H49" s="132">
        <v>45208</v>
      </c>
      <c r="I49" s="130">
        <v>0.43541666666666667</v>
      </c>
      <c r="J49" s="131">
        <v>7.58</v>
      </c>
      <c r="K49" s="131">
        <v>19.2</v>
      </c>
      <c r="L49" s="131">
        <f t="shared" si="2"/>
        <v>0.50999999999999979</v>
      </c>
      <c r="M49" s="134" t="s">
        <v>21</v>
      </c>
      <c r="N49" s="135" t="s">
        <v>25</v>
      </c>
      <c r="O49" s="151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</row>
    <row r="50" spans="1:29" ht="15.75" customHeight="1">
      <c r="A50" s="145" t="s">
        <v>1141</v>
      </c>
      <c r="B50" s="129">
        <v>45204</v>
      </c>
      <c r="C50" s="128">
        <v>0.33958333333333335</v>
      </c>
      <c r="D50" s="129">
        <v>45204</v>
      </c>
      <c r="E50" s="128">
        <v>0.70138888888888884</v>
      </c>
      <c r="F50" s="131">
        <v>8.08</v>
      </c>
      <c r="G50" s="131">
        <v>21.08</v>
      </c>
      <c r="H50" s="132">
        <v>45209</v>
      </c>
      <c r="I50" s="130">
        <v>0.47499999999999998</v>
      </c>
      <c r="J50" s="131">
        <v>7.84</v>
      </c>
      <c r="K50" s="131">
        <v>21.5</v>
      </c>
      <c r="L50" s="131">
        <f t="shared" si="2"/>
        <v>0.24000000000000021</v>
      </c>
      <c r="M50" s="134" t="s">
        <v>21</v>
      </c>
      <c r="N50" s="135" t="s">
        <v>25</v>
      </c>
      <c r="O50" s="151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</row>
    <row r="51" spans="1:29" ht="15.75" customHeight="1">
      <c r="A51" s="126" t="s">
        <v>257</v>
      </c>
      <c r="B51" s="127" t="s">
        <v>17</v>
      </c>
      <c r="C51" s="128" t="s">
        <v>17</v>
      </c>
      <c r="D51" s="129">
        <v>45204</v>
      </c>
      <c r="E51" s="130">
        <v>0.69513888888888886</v>
      </c>
      <c r="F51" s="131">
        <v>8.5500000000000007</v>
      </c>
      <c r="G51" s="131">
        <v>24.1</v>
      </c>
      <c r="H51" s="132">
        <v>45209</v>
      </c>
      <c r="I51" s="130">
        <v>0.47361111111111109</v>
      </c>
      <c r="J51" s="131">
        <v>8.5500000000000007</v>
      </c>
      <c r="K51" s="131">
        <v>23.8</v>
      </c>
      <c r="L51" s="127" t="s">
        <v>17</v>
      </c>
      <c r="M51" s="134" t="s">
        <v>21</v>
      </c>
      <c r="N51" s="135" t="s">
        <v>25</v>
      </c>
      <c r="O51" s="151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</row>
    <row r="52" spans="1:29" ht="15.75" customHeight="1">
      <c r="A52" s="145" t="s">
        <v>1085</v>
      </c>
      <c r="B52" s="129">
        <v>45204</v>
      </c>
      <c r="C52" s="128">
        <v>0.33958333333333335</v>
      </c>
      <c r="D52" s="129">
        <v>45204</v>
      </c>
      <c r="E52" s="128">
        <v>0.70625000000000004</v>
      </c>
      <c r="F52" s="131">
        <v>8.08</v>
      </c>
      <c r="G52" s="131">
        <v>20.9</v>
      </c>
      <c r="H52" s="132">
        <v>45209</v>
      </c>
      <c r="I52" s="130">
        <v>0.48055555555555557</v>
      </c>
      <c r="J52" s="131">
        <v>7.89</v>
      </c>
      <c r="K52" s="131">
        <v>21.6</v>
      </c>
      <c r="L52" s="131">
        <f t="shared" ref="L52:L59" si="3">F52-J52</f>
        <v>0.19000000000000039</v>
      </c>
      <c r="M52" s="134" t="s">
        <v>21</v>
      </c>
      <c r="N52" s="135" t="s">
        <v>25</v>
      </c>
      <c r="O52" s="144"/>
      <c r="P52" s="15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1:29" ht="15.75" customHeight="1">
      <c r="A53" s="145" t="s">
        <v>1142</v>
      </c>
      <c r="B53" s="129">
        <v>45204</v>
      </c>
      <c r="C53" s="128">
        <v>0.39583333333333331</v>
      </c>
      <c r="D53" s="129">
        <v>45204</v>
      </c>
      <c r="E53" s="128">
        <v>0.71180555555555558</v>
      </c>
      <c r="F53" s="131">
        <v>8.02</v>
      </c>
      <c r="G53" s="131">
        <v>21.6</v>
      </c>
      <c r="H53" s="132">
        <v>45209</v>
      </c>
      <c r="I53" s="130">
        <v>0.48402777777777778</v>
      </c>
      <c r="J53" s="131">
        <v>7.97</v>
      </c>
      <c r="K53" s="131">
        <v>21.6</v>
      </c>
      <c r="L53" s="131">
        <f t="shared" si="3"/>
        <v>4.9999999999999822E-2</v>
      </c>
      <c r="M53" s="134" t="s">
        <v>21</v>
      </c>
      <c r="N53" s="135" t="s">
        <v>25</v>
      </c>
      <c r="O53" s="151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</row>
    <row r="54" spans="1:29" ht="15.75" customHeight="1">
      <c r="A54" s="145" t="s">
        <v>1086</v>
      </c>
      <c r="B54" s="129">
        <v>45204</v>
      </c>
      <c r="C54" s="128">
        <v>0.39583333333333331</v>
      </c>
      <c r="D54" s="129">
        <v>45204</v>
      </c>
      <c r="E54" s="128">
        <v>0.71666666666666667</v>
      </c>
      <c r="F54" s="131">
        <v>7.91</v>
      </c>
      <c r="G54" s="131">
        <v>20.8</v>
      </c>
      <c r="H54" s="132">
        <v>45209</v>
      </c>
      <c r="I54" s="130">
        <v>0.48680555555555555</v>
      </c>
      <c r="J54" s="131">
        <v>7.89</v>
      </c>
      <c r="K54" s="131">
        <v>21.6</v>
      </c>
      <c r="L54" s="131">
        <f t="shared" si="3"/>
        <v>2.0000000000000462E-2</v>
      </c>
      <c r="M54" s="134" t="s">
        <v>21</v>
      </c>
      <c r="N54" s="135" t="s">
        <v>25</v>
      </c>
      <c r="O54" s="144"/>
      <c r="P54" s="15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1:29" ht="15.75" customHeight="1">
      <c r="A55" s="136" t="s">
        <v>1087</v>
      </c>
      <c r="B55" s="137">
        <v>45204</v>
      </c>
      <c r="C55" s="138">
        <v>0.41736111111111113</v>
      </c>
      <c r="D55" s="137">
        <v>45204</v>
      </c>
      <c r="E55" s="138">
        <v>0.72916666666666663</v>
      </c>
      <c r="F55" s="140">
        <v>7.61</v>
      </c>
      <c r="G55" s="140">
        <v>21.6</v>
      </c>
      <c r="H55" s="141">
        <v>45209</v>
      </c>
      <c r="I55" s="139">
        <v>0.49444444444444446</v>
      </c>
      <c r="J55" s="140">
        <v>7.58</v>
      </c>
      <c r="K55" s="140">
        <v>21.4</v>
      </c>
      <c r="L55" s="140">
        <f t="shared" si="3"/>
        <v>3.0000000000000249E-2</v>
      </c>
      <c r="M55" s="142" t="s">
        <v>21</v>
      </c>
      <c r="N55" s="143" t="s">
        <v>25</v>
      </c>
      <c r="O55" s="144"/>
      <c r="P55" s="15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1:29" ht="15.75" customHeight="1">
      <c r="A56" s="136" t="s">
        <v>1088</v>
      </c>
      <c r="B56" s="137">
        <v>45204</v>
      </c>
      <c r="C56" s="138">
        <v>0.41736111111111113</v>
      </c>
      <c r="D56" s="137">
        <v>45204</v>
      </c>
      <c r="E56" s="138">
        <v>0.73055555555555551</v>
      </c>
      <c r="F56" s="140">
        <v>7.47</v>
      </c>
      <c r="G56" s="140">
        <v>21.6</v>
      </c>
      <c r="H56" s="141">
        <v>45209</v>
      </c>
      <c r="I56" s="139">
        <v>0.49652777777777779</v>
      </c>
      <c r="J56" s="140">
        <v>5.78</v>
      </c>
      <c r="K56" s="140">
        <v>21.3</v>
      </c>
      <c r="L56" s="140">
        <f t="shared" si="3"/>
        <v>1.6899999999999995</v>
      </c>
      <c r="M56" s="142" t="s">
        <v>21</v>
      </c>
      <c r="N56" s="143" t="s">
        <v>25</v>
      </c>
      <c r="O56" s="144"/>
      <c r="P56" s="153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1:29" ht="15.75" customHeight="1">
      <c r="A57" s="145" t="s">
        <v>1143</v>
      </c>
      <c r="B57" s="129">
        <v>45204</v>
      </c>
      <c r="C57" s="128">
        <v>0.41736111111111113</v>
      </c>
      <c r="D57" s="129">
        <v>45204</v>
      </c>
      <c r="E57" s="128">
        <v>0.72083333333333333</v>
      </c>
      <c r="F57" s="131">
        <v>7.68</v>
      </c>
      <c r="G57" s="131">
        <v>21.1</v>
      </c>
      <c r="H57" s="132">
        <v>45209</v>
      </c>
      <c r="I57" s="130">
        <v>0.48888888888888887</v>
      </c>
      <c r="J57" s="131">
        <v>7.67</v>
      </c>
      <c r="K57" s="131">
        <v>21.4</v>
      </c>
      <c r="L57" s="131">
        <f t="shared" si="3"/>
        <v>9.9999999999997868E-3</v>
      </c>
      <c r="M57" s="134" t="s">
        <v>21</v>
      </c>
      <c r="N57" s="135" t="s">
        <v>25</v>
      </c>
      <c r="O57" s="151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</row>
    <row r="58" spans="1:29" ht="15.75" customHeight="1">
      <c r="A58" s="145" t="s">
        <v>1089</v>
      </c>
      <c r="B58" s="129">
        <v>45204</v>
      </c>
      <c r="C58" s="128">
        <v>0.41736111111111113</v>
      </c>
      <c r="D58" s="129">
        <v>45204</v>
      </c>
      <c r="E58" s="128">
        <v>0.72777777777777775</v>
      </c>
      <c r="F58" s="131">
        <v>7.54</v>
      </c>
      <c r="G58" s="131">
        <v>21.5</v>
      </c>
      <c r="H58" s="132">
        <v>45209</v>
      </c>
      <c r="I58" s="130">
        <v>0.49236111111111114</v>
      </c>
      <c r="J58" s="131">
        <v>7.53</v>
      </c>
      <c r="K58" s="131">
        <v>21.3</v>
      </c>
      <c r="L58" s="131">
        <f t="shared" si="3"/>
        <v>9.9999999999997868E-3</v>
      </c>
      <c r="M58" s="134" t="s">
        <v>21</v>
      </c>
      <c r="N58" s="135" t="s">
        <v>25</v>
      </c>
      <c r="O58" s="144"/>
      <c r="P58" s="15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1:29" ht="15.75" customHeight="1">
      <c r="A59" s="126" t="s">
        <v>257</v>
      </c>
      <c r="B59" s="127" t="s">
        <v>17</v>
      </c>
      <c r="C59" s="128" t="s">
        <v>17</v>
      </c>
      <c r="D59" s="129">
        <v>45205</v>
      </c>
      <c r="E59" s="130">
        <v>0.73472222222222228</v>
      </c>
      <c r="F59" s="131">
        <v>8.6300000000000008</v>
      </c>
      <c r="G59" s="131">
        <v>23.8</v>
      </c>
      <c r="H59" s="132">
        <v>45210</v>
      </c>
      <c r="I59" s="130">
        <v>0.56319444444444444</v>
      </c>
      <c r="J59" s="131">
        <v>8.48</v>
      </c>
      <c r="K59" s="131">
        <v>24.1</v>
      </c>
      <c r="L59" s="131">
        <f t="shared" si="3"/>
        <v>0.15000000000000036</v>
      </c>
      <c r="M59" s="134" t="s">
        <v>21</v>
      </c>
      <c r="N59" s="135" t="s">
        <v>25</v>
      </c>
      <c r="O59" s="151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</row>
    <row r="60" spans="1:29" ht="15.75" customHeight="1">
      <c r="A60" s="145" t="s">
        <v>1144</v>
      </c>
      <c r="B60" s="129">
        <v>45205</v>
      </c>
      <c r="C60" s="128">
        <v>0.27847222222222223</v>
      </c>
      <c r="D60" s="129">
        <v>45205</v>
      </c>
      <c r="E60" s="128">
        <v>0.75138888888888888</v>
      </c>
      <c r="F60" s="131">
        <v>7.79</v>
      </c>
      <c r="G60" s="131">
        <v>22.8</v>
      </c>
      <c r="H60" s="132">
        <v>45210</v>
      </c>
      <c r="I60" s="130">
        <v>0.56736111111111109</v>
      </c>
      <c r="J60" s="131">
        <v>7.78</v>
      </c>
      <c r="K60" s="131">
        <v>22</v>
      </c>
      <c r="L60" s="131">
        <f>F60-J60</f>
        <v>9.9999999999997868E-3</v>
      </c>
      <c r="M60" s="134" t="s">
        <v>21</v>
      </c>
      <c r="N60" s="135" t="s">
        <v>25</v>
      </c>
      <c r="O60" s="151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</row>
    <row r="61" spans="1:29" ht="15.75">
      <c r="A61" s="145" t="s">
        <v>1090</v>
      </c>
      <c r="B61" s="129">
        <v>45205</v>
      </c>
      <c r="C61" s="128">
        <v>0.27847222222222223</v>
      </c>
      <c r="D61" s="129">
        <v>45205</v>
      </c>
      <c r="E61" s="128">
        <v>0.74583333333333335</v>
      </c>
      <c r="F61" s="131">
        <v>8.4700000000000006</v>
      </c>
      <c r="G61" s="131">
        <v>22.8</v>
      </c>
      <c r="H61" s="132">
        <v>45210</v>
      </c>
      <c r="I61" s="130">
        <v>6.8750000000000006E-2</v>
      </c>
      <c r="J61" s="131">
        <v>8.09</v>
      </c>
      <c r="K61" s="131">
        <v>22.2</v>
      </c>
      <c r="L61" s="131">
        <f t="shared" ref="L61:L83" si="4">F61-J61</f>
        <v>0.38000000000000078</v>
      </c>
      <c r="M61" s="134" t="s">
        <v>21</v>
      </c>
      <c r="N61" s="135" t="s">
        <v>25</v>
      </c>
    </row>
    <row r="62" spans="1:29" ht="15.75" customHeight="1">
      <c r="A62" s="145" t="s">
        <v>1145</v>
      </c>
      <c r="B62" s="129">
        <v>45205</v>
      </c>
      <c r="C62" s="128">
        <v>0.29722222222222222</v>
      </c>
      <c r="D62" s="129">
        <v>45205</v>
      </c>
      <c r="E62" s="128">
        <v>0.74236111111111114</v>
      </c>
      <c r="F62" s="131">
        <v>8.23</v>
      </c>
      <c r="G62" s="131">
        <v>22.8</v>
      </c>
      <c r="H62" s="132">
        <v>45210</v>
      </c>
      <c r="I62" s="130">
        <v>0.57013888888888886</v>
      </c>
      <c r="J62" s="131">
        <v>7.92</v>
      </c>
      <c r="K62" s="131">
        <v>22.3</v>
      </c>
      <c r="L62" s="131">
        <f t="shared" si="4"/>
        <v>0.3100000000000005</v>
      </c>
      <c r="M62" s="134" t="s">
        <v>21</v>
      </c>
      <c r="N62" s="135" t="s">
        <v>25</v>
      </c>
      <c r="O62" s="144"/>
      <c r="P62" s="157"/>
    </row>
    <row r="63" spans="1:29" ht="15.75" customHeight="1">
      <c r="A63" s="145" t="s">
        <v>1091</v>
      </c>
      <c r="B63" s="129">
        <v>45205</v>
      </c>
      <c r="C63" s="128">
        <v>0.27847222222222223</v>
      </c>
      <c r="D63" s="129">
        <v>45205</v>
      </c>
      <c r="E63" s="128">
        <v>0.74861111111111112</v>
      </c>
      <c r="F63" s="131">
        <v>8.76</v>
      </c>
      <c r="G63" s="131">
        <v>22.8</v>
      </c>
      <c r="H63" s="132">
        <v>45210</v>
      </c>
      <c r="I63" s="130">
        <v>0.57152777777777775</v>
      </c>
      <c r="J63" s="131">
        <v>8.3800000000000008</v>
      </c>
      <c r="K63" s="131">
        <v>21.9</v>
      </c>
      <c r="L63" s="131">
        <f t="shared" si="4"/>
        <v>0.37999999999999901</v>
      </c>
      <c r="M63" s="134" t="s">
        <v>21</v>
      </c>
      <c r="N63" s="135" t="s">
        <v>25</v>
      </c>
      <c r="O63" s="144"/>
      <c r="P63" s="157"/>
    </row>
    <row r="64" spans="1:29" ht="15.75" customHeight="1">
      <c r="A64" s="145" t="s">
        <v>1146</v>
      </c>
      <c r="B64" s="129">
        <v>45205</v>
      </c>
      <c r="C64" s="128">
        <v>0.3972222222222222</v>
      </c>
      <c r="D64" s="129">
        <v>45205</v>
      </c>
      <c r="E64" s="128">
        <v>0.74027777777777781</v>
      </c>
      <c r="F64" s="131">
        <v>7.83</v>
      </c>
      <c r="G64" s="131">
        <v>22.8</v>
      </c>
      <c r="H64" s="132">
        <v>45210</v>
      </c>
      <c r="I64" s="130">
        <v>0.57222222222222219</v>
      </c>
      <c r="J64" s="131">
        <v>7.71</v>
      </c>
      <c r="K64" s="131">
        <v>22.4</v>
      </c>
      <c r="L64" s="131">
        <f t="shared" si="4"/>
        <v>0.12000000000000011</v>
      </c>
      <c r="M64" s="134" t="s">
        <v>21</v>
      </c>
      <c r="N64" s="135" t="s">
        <v>25</v>
      </c>
      <c r="O64" s="144"/>
      <c r="P64" s="157"/>
    </row>
    <row r="65" spans="1:16" ht="15.75" customHeight="1">
      <c r="A65" s="145" t="s">
        <v>1092</v>
      </c>
      <c r="B65" s="129">
        <v>45205</v>
      </c>
      <c r="C65" s="128">
        <v>0.3972222222222222</v>
      </c>
      <c r="D65" s="129">
        <v>45205</v>
      </c>
      <c r="E65" s="128">
        <v>0.73611111111111116</v>
      </c>
      <c r="F65" s="131">
        <v>8.34</v>
      </c>
      <c r="G65" s="131">
        <v>22.8</v>
      </c>
      <c r="H65" s="132">
        <v>45210</v>
      </c>
      <c r="I65" s="130">
        <v>0.57430555555555551</v>
      </c>
      <c r="J65" s="131">
        <v>8.02</v>
      </c>
      <c r="K65" s="131">
        <v>22.2</v>
      </c>
      <c r="L65" s="131">
        <f t="shared" si="4"/>
        <v>0.32000000000000028</v>
      </c>
      <c r="M65" s="134" t="s">
        <v>21</v>
      </c>
      <c r="N65" s="135" t="s">
        <v>25</v>
      </c>
      <c r="O65" s="144"/>
      <c r="P65" s="157"/>
    </row>
    <row r="66" spans="1:16" ht="15.75" customHeight="1">
      <c r="A66" s="136" t="s">
        <v>1147</v>
      </c>
      <c r="B66" s="137">
        <v>45205</v>
      </c>
      <c r="C66" s="138">
        <v>0.27847222222222223</v>
      </c>
      <c r="D66" s="137">
        <v>45205</v>
      </c>
      <c r="E66" s="138">
        <v>0.75138888888888888</v>
      </c>
      <c r="F66" s="140">
        <v>7.92</v>
      </c>
      <c r="G66" s="140">
        <v>22.8</v>
      </c>
      <c r="H66" s="141">
        <v>45210</v>
      </c>
      <c r="I66" s="139">
        <v>0.5756944444444444</v>
      </c>
      <c r="J66" s="140">
        <v>7.86</v>
      </c>
      <c r="K66" s="140">
        <v>21.7</v>
      </c>
      <c r="L66" s="140">
        <f t="shared" si="4"/>
        <v>5.9999999999999609E-2</v>
      </c>
      <c r="M66" s="142" t="s">
        <v>21</v>
      </c>
      <c r="N66" s="143" t="s">
        <v>25</v>
      </c>
      <c r="O66" s="144"/>
      <c r="P66" s="157"/>
    </row>
    <row r="67" spans="1:16" ht="15.75" customHeight="1">
      <c r="A67" s="136" t="s">
        <v>1148</v>
      </c>
      <c r="B67" s="137">
        <v>45205</v>
      </c>
      <c r="C67" s="138">
        <v>0.27847222222222223</v>
      </c>
      <c r="D67" s="137">
        <v>45205</v>
      </c>
      <c r="E67" s="138">
        <v>0.75416666666666665</v>
      </c>
      <c r="F67" s="140">
        <v>7.79</v>
      </c>
      <c r="G67" s="140">
        <v>22.8</v>
      </c>
      <c r="H67" s="141">
        <v>45210</v>
      </c>
      <c r="I67" s="139">
        <v>0.57638888888888884</v>
      </c>
      <c r="J67" s="140">
        <v>6.18</v>
      </c>
      <c r="K67" s="140">
        <v>22</v>
      </c>
      <c r="L67" s="140">
        <f t="shared" si="4"/>
        <v>1.6100000000000003</v>
      </c>
      <c r="M67" s="142" t="s">
        <v>21</v>
      </c>
      <c r="N67" s="143" t="s">
        <v>25</v>
      </c>
      <c r="O67" s="144"/>
      <c r="P67" s="153"/>
    </row>
    <row r="68" spans="1:16" ht="15.75" customHeight="1">
      <c r="A68" s="145" t="s">
        <v>1149</v>
      </c>
      <c r="B68" s="147">
        <v>45212</v>
      </c>
      <c r="C68" s="158">
        <v>0.3</v>
      </c>
      <c r="D68" s="159">
        <v>45214</v>
      </c>
      <c r="E68" s="158">
        <v>0.34166666666666667</v>
      </c>
      <c r="F68" s="131">
        <v>8.8000000000000007</v>
      </c>
      <c r="G68" s="131">
        <v>20.7</v>
      </c>
      <c r="H68" s="129">
        <v>45219</v>
      </c>
      <c r="I68" s="128">
        <v>0.61041666666666672</v>
      </c>
      <c r="J68" s="133">
        <v>8.5299999999999994</v>
      </c>
      <c r="K68" s="133">
        <v>20</v>
      </c>
      <c r="L68" s="131">
        <f t="shared" si="4"/>
        <v>0.27000000000000135</v>
      </c>
      <c r="M68" s="134" t="s">
        <v>21</v>
      </c>
      <c r="N68" s="135" t="s">
        <v>25</v>
      </c>
      <c r="O68" s="160"/>
      <c r="P68" s="157"/>
    </row>
    <row r="69" spans="1:16" ht="15.75" customHeight="1">
      <c r="A69" s="145" t="s">
        <v>1093</v>
      </c>
      <c r="B69" s="147">
        <v>45212</v>
      </c>
      <c r="C69" s="158">
        <v>0.3</v>
      </c>
      <c r="D69" s="159">
        <v>45214</v>
      </c>
      <c r="E69" s="161">
        <v>0.34444444444444444</v>
      </c>
      <c r="F69" s="131">
        <v>8.59</v>
      </c>
      <c r="G69" s="131">
        <v>20.9</v>
      </c>
      <c r="H69" s="129">
        <v>45219</v>
      </c>
      <c r="I69" s="128">
        <v>0.6118055555555556</v>
      </c>
      <c r="J69" s="133">
        <v>8.32</v>
      </c>
      <c r="K69" s="133">
        <v>19.399999999999999</v>
      </c>
      <c r="L69" s="131">
        <f t="shared" si="4"/>
        <v>0.26999999999999957</v>
      </c>
      <c r="M69" s="134" t="s">
        <v>21</v>
      </c>
      <c r="N69" s="135" t="s">
        <v>25</v>
      </c>
      <c r="O69" s="160"/>
      <c r="P69" s="157"/>
    </row>
    <row r="70" spans="1:16" ht="15.75" customHeight="1">
      <c r="A70" s="145" t="s">
        <v>1150</v>
      </c>
      <c r="B70" s="147">
        <v>45212</v>
      </c>
      <c r="C70" s="128">
        <v>0.3263888888888889</v>
      </c>
      <c r="D70" s="129">
        <v>45214</v>
      </c>
      <c r="E70" s="128">
        <v>0.34722222222222221</v>
      </c>
      <c r="F70" s="131">
        <v>8.11</v>
      </c>
      <c r="G70" s="131">
        <v>22.9</v>
      </c>
      <c r="H70" s="129">
        <v>45219</v>
      </c>
      <c r="I70" s="128">
        <v>0.61597222222222225</v>
      </c>
      <c r="J70" s="133">
        <v>7.74</v>
      </c>
      <c r="K70" s="133">
        <v>20.399999999999999</v>
      </c>
      <c r="L70" s="131">
        <f t="shared" si="4"/>
        <v>0.36999999999999922</v>
      </c>
      <c r="M70" s="134" t="s">
        <v>21</v>
      </c>
      <c r="N70" s="135" t="s">
        <v>25</v>
      </c>
      <c r="O70" s="125"/>
      <c r="P70" s="162"/>
    </row>
    <row r="71" spans="1:16" ht="15.75" customHeight="1">
      <c r="A71" s="145" t="s">
        <v>1094</v>
      </c>
      <c r="B71" s="147">
        <v>45212</v>
      </c>
      <c r="C71" s="128">
        <v>0.3263888888888889</v>
      </c>
      <c r="D71" s="129">
        <v>45214</v>
      </c>
      <c r="E71" s="128">
        <v>0.35</v>
      </c>
      <c r="F71" s="131">
        <v>8.48</v>
      </c>
      <c r="G71" s="131">
        <v>21.2</v>
      </c>
      <c r="H71" s="129">
        <v>45219</v>
      </c>
      <c r="I71" s="128">
        <v>0.11736111111111111</v>
      </c>
      <c r="J71" s="133">
        <v>8.19</v>
      </c>
      <c r="K71" s="133">
        <v>19.5</v>
      </c>
      <c r="L71" s="131">
        <f t="shared" si="4"/>
        <v>0.29000000000000092</v>
      </c>
      <c r="M71" s="134" t="s">
        <v>21</v>
      </c>
      <c r="N71" s="135" t="s">
        <v>25</v>
      </c>
      <c r="O71" s="125"/>
      <c r="P71" s="125"/>
    </row>
    <row r="72" spans="1:16" ht="15.75" customHeight="1">
      <c r="A72" s="145" t="s">
        <v>1151</v>
      </c>
      <c r="B72" s="147">
        <v>45212</v>
      </c>
      <c r="C72" s="128">
        <v>0.35625000000000001</v>
      </c>
      <c r="D72" s="129">
        <v>45214</v>
      </c>
      <c r="E72" s="128">
        <v>0.35208333333333336</v>
      </c>
      <c r="F72" s="131">
        <v>8.44</v>
      </c>
      <c r="G72" s="131">
        <v>20.5</v>
      </c>
      <c r="H72" s="129">
        <v>45219</v>
      </c>
      <c r="I72" s="128">
        <v>0.61944444444444446</v>
      </c>
      <c r="J72" s="133">
        <v>8</v>
      </c>
      <c r="K72" s="133">
        <v>20.3</v>
      </c>
      <c r="L72" s="131">
        <f t="shared" si="4"/>
        <v>0.4399999999999995</v>
      </c>
      <c r="M72" s="134" t="s">
        <v>21</v>
      </c>
      <c r="N72" s="135" t="s">
        <v>25</v>
      </c>
      <c r="O72" s="125"/>
      <c r="P72" s="125"/>
    </row>
    <row r="73" spans="1:16" ht="15.75" customHeight="1">
      <c r="A73" s="145" t="s">
        <v>1095</v>
      </c>
      <c r="B73" s="147">
        <v>45212</v>
      </c>
      <c r="C73" s="158">
        <v>0.35625000000000001</v>
      </c>
      <c r="D73" s="159">
        <v>45214</v>
      </c>
      <c r="E73" s="158">
        <v>0.35555555555555557</v>
      </c>
      <c r="F73" s="131">
        <v>8.2100000000000009</v>
      </c>
      <c r="G73" s="131">
        <v>21.1</v>
      </c>
      <c r="H73" s="129">
        <v>45219</v>
      </c>
      <c r="I73" s="128">
        <v>0.62222222222222223</v>
      </c>
      <c r="J73" s="133">
        <v>8.15</v>
      </c>
      <c r="K73" s="133">
        <v>19.7</v>
      </c>
      <c r="L73" s="131">
        <f t="shared" si="4"/>
        <v>6.0000000000000497E-2</v>
      </c>
      <c r="M73" s="134" t="s">
        <v>21</v>
      </c>
      <c r="N73" s="135" t="s">
        <v>25</v>
      </c>
      <c r="O73" s="160"/>
      <c r="P73" s="157"/>
    </row>
    <row r="74" spans="1:16" ht="15.75" customHeight="1">
      <c r="A74" s="145" t="s">
        <v>1152</v>
      </c>
      <c r="B74" s="147">
        <v>45212</v>
      </c>
      <c r="C74" s="128">
        <v>0.39166666666666666</v>
      </c>
      <c r="D74" s="129">
        <v>45214</v>
      </c>
      <c r="E74" s="128">
        <v>0.35833333333333334</v>
      </c>
      <c r="F74" s="131">
        <v>8.41</v>
      </c>
      <c r="G74" s="131">
        <v>21.1</v>
      </c>
      <c r="H74" s="129">
        <v>45219</v>
      </c>
      <c r="I74" s="128">
        <v>0.62361111111111112</v>
      </c>
      <c r="J74" s="133">
        <v>8.25</v>
      </c>
      <c r="K74" s="133">
        <v>20.100000000000001</v>
      </c>
      <c r="L74" s="131">
        <f t="shared" si="4"/>
        <v>0.16000000000000014</v>
      </c>
      <c r="M74" s="134" t="s">
        <v>21</v>
      </c>
      <c r="N74" s="135" t="s">
        <v>25</v>
      </c>
      <c r="O74" s="144"/>
      <c r="P74" s="157"/>
    </row>
    <row r="75" spans="1:16" ht="15.75" customHeight="1">
      <c r="A75" s="145" t="s">
        <v>1096</v>
      </c>
      <c r="B75" s="147">
        <v>45212</v>
      </c>
      <c r="C75" s="128">
        <v>0.39166666666666666</v>
      </c>
      <c r="D75" s="129">
        <v>45214</v>
      </c>
      <c r="E75" s="128">
        <v>0.36249999999999999</v>
      </c>
      <c r="F75" s="131">
        <v>8.5</v>
      </c>
      <c r="G75" s="131">
        <v>21.2</v>
      </c>
      <c r="H75" s="129">
        <v>45219</v>
      </c>
      <c r="I75" s="130">
        <v>0.58333333333333337</v>
      </c>
      <c r="J75" s="148">
        <v>8.34</v>
      </c>
      <c r="K75" s="133">
        <v>19.5</v>
      </c>
      <c r="L75" s="131">
        <f t="shared" si="4"/>
        <v>0.16000000000000014</v>
      </c>
      <c r="M75" s="134" t="s">
        <v>21</v>
      </c>
      <c r="N75" s="135" t="s">
        <v>25</v>
      </c>
      <c r="O75" s="144"/>
      <c r="P75" s="157"/>
    </row>
    <row r="76" spans="1:16" ht="15.75" customHeight="1">
      <c r="A76" s="145" t="s">
        <v>1153</v>
      </c>
      <c r="B76" s="147">
        <v>45213</v>
      </c>
      <c r="C76" s="128">
        <v>0.31805555555555554</v>
      </c>
      <c r="D76" s="129">
        <v>45214</v>
      </c>
      <c r="E76" s="128">
        <v>0.34027777777777779</v>
      </c>
      <c r="F76" s="131">
        <v>8.39</v>
      </c>
      <c r="G76" s="131">
        <v>21.7</v>
      </c>
      <c r="H76" s="129">
        <v>45219</v>
      </c>
      <c r="I76" s="128">
        <v>0.37361111111111112</v>
      </c>
      <c r="J76" s="133">
        <v>8.24</v>
      </c>
      <c r="K76" s="133">
        <v>19.3</v>
      </c>
      <c r="L76" s="131">
        <f t="shared" si="4"/>
        <v>0.15000000000000036</v>
      </c>
      <c r="M76" s="134" t="s">
        <v>21</v>
      </c>
      <c r="N76" s="135" t="s">
        <v>25</v>
      </c>
      <c r="O76" s="144"/>
      <c r="P76" s="157"/>
    </row>
    <row r="77" spans="1:16" ht="15.75" customHeight="1">
      <c r="A77" s="145" t="s">
        <v>1097</v>
      </c>
      <c r="B77" s="147">
        <v>45213</v>
      </c>
      <c r="C77" s="128">
        <v>0.31805555555555554</v>
      </c>
      <c r="D77" s="129">
        <v>45214</v>
      </c>
      <c r="E77" s="128">
        <v>0.34236111111111112</v>
      </c>
      <c r="F77" s="131">
        <v>8.23</v>
      </c>
      <c r="G77" s="131">
        <v>21.8</v>
      </c>
      <c r="H77" s="129">
        <v>45219</v>
      </c>
      <c r="I77" s="128">
        <v>0.37847222222222221</v>
      </c>
      <c r="J77" s="133">
        <v>8.18</v>
      </c>
      <c r="K77" s="133">
        <v>21.3</v>
      </c>
      <c r="L77" s="131">
        <f t="shared" si="4"/>
        <v>5.0000000000000711E-2</v>
      </c>
      <c r="M77" s="134" t="s">
        <v>21</v>
      </c>
      <c r="N77" s="135" t="s">
        <v>25</v>
      </c>
      <c r="O77" s="144"/>
      <c r="P77" s="157"/>
    </row>
    <row r="78" spans="1:16" ht="15.75" customHeight="1">
      <c r="A78" s="136" t="s">
        <v>1098</v>
      </c>
      <c r="B78" s="137">
        <v>45212</v>
      </c>
      <c r="C78" s="138">
        <v>0.39166666666666666</v>
      </c>
      <c r="D78" s="137">
        <v>45214</v>
      </c>
      <c r="E78" s="138">
        <v>0.36319444444444443</v>
      </c>
      <c r="F78" s="140">
        <v>8.2899999999999991</v>
      </c>
      <c r="G78" s="140">
        <v>21.2</v>
      </c>
      <c r="H78" s="141">
        <v>45219</v>
      </c>
      <c r="I78" s="139">
        <v>0.62916666666666665</v>
      </c>
      <c r="J78" s="140">
        <v>8.2799999999999994</v>
      </c>
      <c r="K78" s="140">
        <v>20.2</v>
      </c>
      <c r="L78" s="140">
        <f t="shared" si="4"/>
        <v>9.9999999999997868E-3</v>
      </c>
      <c r="M78" s="134" t="s">
        <v>21</v>
      </c>
      <c r="N78" s="135" t="s">
        <v>25</v>
      </c>
      <c r="O78" s="144"/>
      <c r="P78" s="157"/>
    </row>
    <row r="79" spans="1:16" ht="15.75" customHeight="1">
      <c r="A79" s="136" t="s">
        <v>1099</v>
      </c>
      <c r="B79" s="137">
        <v>45212</v>
      </c>
      <c r="C79" s="138">
        <v>0.39166666666666666</v>
      </c>
      <c r="D79" s="137">
        <v>45214</v>
      </c>
      <c r="E79" s="163">
        <v>0.36458333333333331</v>
      </c>
      <c r="F79" s="140">
        <v>8.2799999999999994</v>
      </c>
      <c r="G79" s="140">
        <v>21.3</v>
      </c>
      <c r="H79" s="141">
        <v>45219</v>
      </c>
      <c r="I79" s="138">
        <v>0.63055555555555554</v>
      </c>
      <c r="J79" s="164">
        <v>6.51</v>
      </c>
      <c r="K79" s="140">
        <v>20.2</v>
      </c>
      <c r="L79" s="140">
        <f t="shared" si="4"/>
        <v>1.7699999999999996</v>
      </c>
      <c r="M79" s="134" t="s">
        <v>21</v>
      </c>
      <c r="N79" s="135" t="s">
        <v>25</v>
      </c>
      <c r="O79" s="144"/>
      <c r="P79" s="153"/>
    </row>
    <row r="80" spans="1:16" ht="15.75" customHeight="1">
      <c r="A80" s="145" t="s">
        <v>1154</v>
      </c>
      <c r="B80" s="147">
        <v>45213</v>
      </c>
      <c r="C80" s="128">
        <v>0.38541666666666669</v>
      </c>
      <c r="D80" s="129">
        <v>45215</v>
      </c>
      <c r="E80" s="128">
        <v>0.34444444444444444</v>
      </c>
      <c r="F80" s="131">
        <v>8.2100000000000009</v>
      </c>
      <c r="G80" s="131">
        <v>21.9</v>
      </c>
      <c r="H80" s="129">
        <v>45220</v>
      </c>
      <c r="I80" s="128">
        <v>0.37708333333333333</v>
      </c>
      <c r="J80" s="133">
        <v>8.18</v>
      </c>
      <c r="K80" s="133">
        <v>21.4</v>
      </c>
      <c r="L80" s="131">
        <f t="shared" si="4"/>
        <v>3.0000000000001137E-2</v>
      </c>
      <c r="M80" s="134" t="s">
        <v>21</v>
      </c>
      <c r="N80" s="135" t="s">
        <v>25</v>
      </c>
      <c r="O80" s="125"/>
      <c r="P80" s="157"/>
    </row>
    <row r="81" spans="1:16" ht="15.75" customHeight="1">
      <c r="A81" s="145" t="s">
        <v>1100</v>
      </c>
      <c r="B81" s="147">
        <v>45213</v>
      </c>
      <c r="C81" s="128">
        <v>0.38541666666666669</v>
      </c>
      <c r="D81" s="129">
        <v>45215</v>
      </c>
      <c r="E81" s="128">
        <v>0.34583333333333333</v>
      </c>
      <c r="F81" s="131">
        <v>8.4</v>
      </c>
      <c r="G81" s="131">
        <v>21.4</v>
      </c>
      <c r="H81" s="129">
        <v>45220</v>
      </c>
      <c r="I81" s="130">
        <v>0.37569444444444444</v>
      </c>
      <c r="J81" s="131">
        <v>7.99</v>
      </c>
      <c r="K81" s="131">
        <v>21.4</v>
      </c>
      <c r="L81" s="131">
        <f t="shared" si="4"/>
        <v>0.41000000000000014</v>
      </c>
      <c r="M81" s="134" t="s">
        <v>21</v>
      </c>
      <c r="N81" s="135" t="s">
        <v>25</v>
      </c>
      <c r="O81" s="125"/>
      <c r="P81" s="157"/>
    </row>
    <row r="82" spans="1:16" ht="15.75" customHeight="1">
      <c r="A82" s="145" t="s">
        <v>1155</v>
      </c>
      <c r="B82" s="147">
        <v>45213</v>
      </c>
      <c r="C82" s="128">
        <v>0.42499999999999999</v>
      </c>
      <c r="D82" s="129">
        <v>45215</v>
      </c>
      <c r="E82" s="128">
        <v>0.34861111111111109</v>
      </c>
      <c r="F82" s="131">
        <v>8.34</v>
      </c>
      <c r="G82" s="131">
        <v>21.4</v>
      </c>
      <c r="H82" s="129">
        <v>45220</v>
      </c>
      <c r="I82" s="128">
        <v>0.38055555555555554</v>
      </c>
      <c r="J82" s="133">
        <v>8.19</v>
      </c>
      <c r="K82" s="133">
        <v>20.9</v>
      </c>
      <c r="L82" s="131">
        <f t="shared" si="4"/>
        <v>0.15000000000000036</v>
      </c>
      <c r="M82" s="134" t="s">
        <v>21</v>
      </c>
      <c r="N82" s="135" t="s">
        <v>25</v>
      </c>
      <c r="O82" s="144"/>
      <c r="P82" s="157"/>
    </row>
    <row r="83" spans="1:16" ht="15.75" customHeight="1">
      <c r="A83" s="145" t="s">
        <v>1101</v>
      </c>
      <c r="B83" s="147">
        <v>45213</v>
      </c>
      <c r="C83" s="128">
        <v>0.42499999999999999</v>
      </c>
      <c r="D83" s="129">
        <v>45215</v>
      </c>
      <c r="E83" s="128">
        <v>0.35069444444444442</v>
      </c>
      <c r="F83" s="131">
        <v>8.01</v>
      </c>
      <c r="G83" s="131">
        <v>21.4</v>
      </c>
      <c r="H83" s="129">
        <v>45220</v>
      </c>
      <c r="I83" s="128">
        <v>0.38194444444444442</v>
      </c>
      <c r="J83" s="133">
        <v>7.7</v>
      </c>
      <c r="K83" s="133">
        <v>21.4</v>
      </c>
      <c r="L83" s="131">
        <f t="shared" si="4"/>
        <v>0.30999999999999961</v>
      </c>
      <c r="M83" s="134" t="s">
        <v>21</v>
      </c>
      <c r="N83" s="135" t="s">
        <v>25</v>
      </c>
      <c r="O83" s="144"/>
      <c r="P83" s="157"/>
    </row>
    <row r="84" spans="1:16" ht="15.75" customHeight="1">
      <c r="A84" s="145" t="s">
        <v>257</v>
      </c>
      <c r="B84" s="147">
        <v>45213</v>
      </c>
      <c r="C84" s="128" t="s">
        <v>17</v>
      </c>
      <c r="D84" s="129">
        <v>45215</v>
      </c>
      <c r="E84" s="128">
        <v>0.33888888888888891</v>
      </c>
      <c r="F84" s="131">
        <v>8.67</v>
      </c>
      <c r="G84" s="131">
        <v>23.1</v>
      </c>
      <c r="H84" s="129">
        <v>45220</v>
      </c>
      <c r="I84" s="128">
        <v>0.36944444444444446</v>
      </c>
      <c r="J84" s="133">
        <v>8.6300000000000008</v>
      </c>
      <c r="K84" s="133">
        <v>23.1</v>
      </c>
      <c r="L84" s="131" t="s">
        <v>17</v>
      </c>
      <c r="M84" s="134" t="s">
        <v>21</v>
      </c>
      <c r="N84" s="135" t="s">
        <v>25</v>
      </c>
      <c r="O84" s="144"/>
      <c r="P84" s="157"/>
    </row>
    <row r="85" spans="1:16" ht="15.75" customHeight="1">
      <c r="A85" s="145" t="s">
        <v>257</v>
      </c>
      <c r="B85" s="147">
        <v>45213</v>
      </c>
      <c r="C85" s="128" t="s">
        <v>17</v>
      </c>
      <c r="D85" s="129">
        <v>45215</v>
      </c>
      <c r="E85" s="128">
        <v>0.36458333333333331</v>
      </c>
      <c r="F85" s="131">
        <v>8.64</v>
      </c>
      <c r="G85" s="131">
        <v>23.2</v>
      </c>
      <c r="H85" s="129">
        <v>45220</v>
      </c>
      <c r="I85" s="128">
        <v>0.36944444444444446</v>
      </c>
      <c r="J85" s="133">
        <v>8.6300000000000008</v>
      </c>
      <c r="K85" s="133">
        <v>23.1</v>
      </c>
      <c r="L85" s="131" t="s">
        <v>17</v>
      </c>
      <c r="M85" s="134" t="s">
        <v>21</v>
      </c>
      <c r="N85" s="135" t="s">
        <v>25</v>
      </c>
      <c r="O85" s="144" t="s">
        <v>268</v>
      </c>
      <c r="P85" s="157"/>
    </row>
    <row r="86" spans="1:16" ht="15.75" customHeight="1">
      <c r="A86" s="145" t="s">
        <v>1156</v>
      </c>
      <c r="B86" s="147">
        <v>45214</v>
      </c>
      <c r="C86" s="128">
        <v>0.28541666666666665</v>
      </c>
      <c r="D86" s="129">
        <v>45215</v>
      </c>
      <c r="E86" s="128">
        <v>0.37152777777777779</v>
      </c>
      <c r="F86" s="131">
        <v>8.4700000000000006</v>
      </c>
      <c r="G86" s="131">
        <v>17.8</v>
      </c>
      <c r="H86" s="129">
        <v>45220</v>
      </c>
      <c r="I86" s="128">
        <v>0.38611111111111113</v>
      </c>
      <c r="J86" s="133">
        <v>7.86</v>
      </c>
      <c r="K86" s="133">
        <v>20.9</v>
      </c>
      <c r="L86" s="131">
        <f t="shared" ref="L86:L97" si="5">F86-J86</f>
        <v>0.61000000000000032</v>
      </c>
      <c r="M86" s="134" t="s">
        <v>21</v>
      </c>
      <c r="N86" s="135" t="s">
        <v>25</v>
      </c>
      <c r="O86" s="144"/>
      <c r="P86" s="157"/>
    </row>
    <row r="87" spans="1:16" ht="15.75" customHeight="1">
      <c r="A87" s="145" t="s">
        <v>1102</v>
      </c>
      <c r="B87" s="147">
        <v>45214</v>
      </c>
      <c r="C87" s="128">
        <v>0.28541666666666665</v>
      </c>
      <c r="D87" s="129">
        <v>45215</v>
      </c>
      <c r="E87" s="128">
        <v>0.37430555555555556</v>
      </c>
      <c r="F87" s="131">
        <v>8.1300000000000008</v>
      </c>
      <c r="G87" s="131">
        <v>21.8</v>
      </c>
      <c r="H87" s="129">
        <v>45220</v>
      </c>
      <c r="I87" s="128">
        <v>0.38750000000000001</v>
      </c>
      <c r="J87" s="133">
        <v>7.73</v>
      </c>
      <c r="K87" s="133">
        <v>20.7</v>
      </c>
      <c r="L87" s="131">
        <f t="shared" si="5"/>
        <v>0.40000000000000036</v>
      </c>
      <c r="M87" s="134" t="s">
        <v>21</v>
      </c>
      <c r="N87" s="135" t="s">
        <v>25</v>
      </c>
      <c r="O87" s="156"/>
      <c r="P87" s="162"/>
    </row>
    <row r="88" spans="1:16" ht="15.75" customHeight="1">
      <c r="A88" s="145" t="s">
        <v>1157</v>
      </c>
      <c r="B88" s="147">
        <v>45214</v>
      </c>
      <c r="C88" s="128">
        <v>0.32291666666666669</v>
      </c>
      <c r="D88" s="129">
        <v>45215</v>
      </c>
      <c r="E88" s="165">
        <v>0.37638888888888888</v>
      </c>
      <c r="F88" s="131">
        <v>8.7100000000000009</v>
      </c>
      <c r="G88" s="131">
        <v>17.8</v>
      </c>
      <c r="H88" s="129">
        <v>45220</v>
      </c>
      <c r="I88" s="128">
        <v>0.3888888888888889</v>
      </c>
      <c r="J88" s="133">
        <v>8.06</v>
      </c>
      <c r="K88" s="133">
        <v>21.4</v>
      </c>
      <c r="L88" s="131">
        <f t="shared" si="5"/>
        <v>0.65000000000000036</v>
      </c>
      <c r="M88" s="134" t="s">
        <v>21</v>
      </c>
      <c r="N88" s="135" t="s">
        <v>25</v>
      </c>
      <c r="O88" s="125"/>
      <c r="P88" s="125"/>
    </row>
    <row r="89" spans="1:16" ht="15.75" customHeight="1">
      <c r="A89" s="145" t="s">
        <v>1103</v>
      </c>
      <c r="B89" s="147">
        <v>45214</v>
      </c>
      <c r="C89" s="128">
        <v>0.32291666666666669</v>
      </c>
      <c r="D89" s="129">
        <v>45215</v>
      </c>
      <c r="E89" s="128">
        <v>0.37847222222222221</v>
      </c>
      <c r="F89" s="131">
        <v>8.39</v>
      </c>
      <c r="G89" s="131">
        <v>23.2</v>
      </c>
      <c r="H89" s="129">
        <v>45220</v>
      </c>
      <c r="I89" s="128">
        <v>0.3972222222222222</v>
      </c>
      <c r="J89" s="133">
        <v>7.77</v>
      </c>
      <c r="K89" s="133">
        <v>21.1</v>
      </c>
      <c r="L89" s="131">
        <f t="shared" si="5"/>
        <v>0.62000000000000099</v>
      </c>
      <c r="M89" s="134" t="s">
        <v>21</v>
      </c>
      <c r="N89" s="135" t="s">
        <v>25</v>
      </c>
      <c r="O89" s="125"/>
      <c r="P89" s="125"/>
    </row>
    <row r="90" spans="1:16" ht="15.75" customHeight="1">
      <c r="A90" s="136" t="s">
        <v>1104</v>
      </c>
      <c r="B90" s="137">
        <v>45213</v>
      </c>
      <c r="C90" s="138">
        <v>0.42499999999999999</v>
      </c>
      <c r="D90" s="137">
        <v>45215</v>
      </c>
      <c r="E90" s="138">
        <v>0.3527777777777778</v>
      </c>
      <c r="F90" s="140">
        <v>8.34</v>
      </c>
      <c r="G90" s="140">
        <v>21.6</v>
      </c>
      <c r="H90" s="141">
        <v>45220</v>
      </c>
      <c r="I90" s="138">
        <v>0.38333333333333336</v>
      </c>
      <c r="J90" s="140">
        <v>7.9</v>
      </c>
      <c r="K90" s="140">
        <v>21</v>
      </c>
      <c r="L90" s="140">
        <f t="shared" si="5"/>
        <v>0.4399999999999995</v>
      </c>
      <c r="M90" s="134" t="s">
        <v>21</v>
      </c>
      <c r="N90" s="135" t="s">
        <v>25</v>
      </c>
      <c r="O90" s="144"/>
      <c r="P90" s="157"/>
    </row>
    <row r="91" spans="1:16" ht="15.75" customHeight="1">
      <c r="A91" s="136" t="s">
        <v>1105</v>
      </c>
      <c r="B91" s="141">
        <v>45213</v>
      </c>
      <c r="C91" s="138">
        <v>0.42499999999999999</v>
      </c>
      <c r="D91" s="137">
        <v>45215</v>
      </c>
      <c r="E91" s="163">
        <v>0.35555555555555557</v>
      </c>
      <c r="F91" s="140">
        <v>8.01</v>
      </c>
      <c r="G91" s="140">
        <v>21.6</v>
      </c>
      <c r="H91" s="141">
        <v>45220</v>
      </c>
      <c r="I91" s="138">
        <v>0.38472222222222224</v>
      </c>
      <c r="J91" s="140">
        <v>6.26</v>
      </c>
      <c r="K91" s="140">
        <v>21.6</v>
      </c>
      <c r="L91" s="140">
        <f t="shared" si="5"/>
        <v>1.75</v>
      </c>
      <c r="M91" s="134" t="s">
        <v>21</v>
      </c>
      <c r="N91" s="135" t="s">
        <v>25</v>
      </c>
      <c r="O91" s="144"/>
      <c r="P91" s="153"/>
    </row>
    <row r="92" spans="1:16" ht="15.75" customHeight="1">
      <c r="A92" s="145" t="s">
        <v>1158</v>
      </c>
      <c r="B92" s="147">
        <v>45214</v>
      </c>
      <c r="C92" s="128">
        <v>0.3527777777777778</v>
      </c>
      <c r="D92" s="129">
        <v>45215</v>
      </c>
      <c r="E92" s="130">
        <v>0.37916666666666665</v>
      </c>
      <c r="F92" s="131">
        <v>8.34</v>
      </c>
      <c r="G92" s="131">
        <v>22.3</v>
      </c>
      <c r="H92" s="129">
        <v>45220</v>
      </c>
      <c r="I92" s="128">
        <v>0.39097222222222222</v>
      </c>
      <c r="J92" s="133">
        <v>7.95</v>
      </c>
      <c r="K92" s="133">
        <v>20.9</v>
      </c>
      <c r="L92" s="131">
        <f t="shared" si="5"/>
        <v>0.38999999999999968</v>
      </c>
      <c r="M92" s="134" t="s">
        <v>21</v>
      </c>
      <c r="N92" s="135" t="s">
        <v>25</v>
      </c>
      <c r="O92" s="144"/>
      <c r="P92" s="157"/>
    </row>
    <row r="93" spans="1:16" ht="15.75" customHeight="1">
      <c r="A93" s="145" t="s">
        <v>1106</v>
      </c>
      <c r="B93" s="147">
        <v>45214</v>
      </c>
      <c r="C93" s="128">
        <v>0.3527777777777778</v>
      </c>
      <c r="D93" s="129">
        <v>45215</v>
      </c>
      <c r="E93" s="130">
        <v>0.38124999999999998</v>
      </c>
      <c r="F93" s="131">
        <v>8.6</v>
      </c>
      <c r="G93" s="131">
        <v>23.3</v>
      </c>
      <c r="H93" s="129">
        <v>45220</v>
      </c>
      <c r="I93" s="128">
        <v>0.3923611111111111</v>
      </c>
      <c r="J93" s="133">
        <v>7.88</v>
      </c>
      <c r="K93" s="133">
        <v>21.4</v>
      </c>
      <c r="L93" s="131">
        <f t="shared" si="5"/>
        <v>0.71999999999999975</v>
      </c>
      <c r="M93" s="134" t="s">
        <v>21</v>
      </c>
      <c r="N93" s="135" t="s">
        <v>25</v>
      </c>
      <c r="O93" s="144"/>
      <c r="P93" s="157"/>
    </row>
    <row r="94" spans="1:16" ht="15.75" customHeight="1">
      <c r="A94" s="145" t="s">
        <v>1159</v>
      </c>
      <c r="B94" s="147">
        <v>45214</v>
      </c>
      <c r="C94" s="128">
        <v>0.39791666666666664</v>
      </c>
      <c r="D94" s="129">
        <v>45215</v>
      </c>
      <c r="E94" s="128">
        <v>0.38333333333333336</v>
      </c>
      <c r="F94" s="131">
        <v>8.75</v>
      </c>
      <c r="G94" s="131">
        <v>17.8</v>
      </c>
      <c r="H94" s="129">
        <v>45220</v>
      </c>
      <c r="I94" s="128">
        <v>0.39374999999999999</v>
      </c>
      <c r="J94" s="133">
        <v>8.15</v>
      </c>
      <c r="K94" s="133">
        <v>21.5</v>
      </c>
      <c r="L94" s="131">
        <f t="shared" si="5"/>
        <v>0.59999999999999964</v>
      </c>
      <c r="M94" s="134" t="s">
        <v>21</v>
      </c>
      <c r="N94" s="135" t="s">
        <v>25</v>
      </c>
      <c r="O94" s="144"/>
      <c r="P94" s="157"/>
    </row>
    <row r="95" spans="1:16" ht="15.75" customHeight="1">
      <c r="A95" s="145" t="s">
        <v>1107</v>
      </c>
      <c r="B95" s="147">
        <v>45214</v>
      </c>
      <c r="C95" s="128">
        <v>0.39791666666666664</v>
      </c>
      <c r="D95" s="129">
        <v>45215</v>
      </c>
      <c r="E95" s="128">
        <v>0.38611111111111113</v>
      </c>
      <c r="F95" s="131">
        <v>8.74</v>
      </c>
      <c r="G95" s="131">
        <v>19</v>
      </c>
      <c r="H95" s="129">
        <v>45220</v>
      </c>
      <c r="I95" s="128">
        <v>0.39513888888888887</v>
      </c>
      <c r="J95" s="133">
        <v>7.94</v>
      </c>
      <c r="K95" s="133">
        <v>21.4</v>
      </c>
      <c r="L95" s="131">
        <f t="shared" si="5"/>
        <v>0.79999999999999982</v>
      </c>
      <c r="M95" s="134" t="s">
        <v>21</v>
      </c>
      <c r="N95" s="135" t="s">
        <v>25</v>
      </c>
      <c r="O95" s="144"/>
      <c r="P95" s="157"/>
    </row>
    <row r="96" spans="1:16" ht="15.75" customHeight="1">
      <c r="A96" s="136" t="s">
        <v>1108</v>
      </c>
      <c r="B96" s="137">
        <v>45213</v>
      </c>
      <c r="C96" s="138">
        <v>0.42499999999999999</v>
      </c>
      <c r="D96" s="137">
        <v>45215</v>
      </c>
      <c r="E96" s="138">
        <v>0.38750000000000001</v>
      </c>
      <c r="F96" s="140">
        <v>8.48</v>
      </c>
      <c r="G96" s="140">
        <v>19</v>
      </c>
      <c r="H96" s="141">
        <v>45220</v>
      </c>
      <c r="I96" s="139">
        <v>0.39791666666666664</v>
      </c>
      <c r="J96" s="140">
        <v>7.82</v>
      </c>
      <c r="K96" s="140">
        <v>21.5</v>
      </c>
      <c r="L96" s="140">
        <f t="shared" si="5"/>
        <v>0.66000000000000014</v>
      </c>
      <c r="M96" s="134" t="s">
        <v>21</v>
      </c>
      <c r="N96" s="135" t="s">
        <v>25</v>
      </c>
      <c r="O96" s="144" t="s">
        <v>269</v>
      </c>
      <c r="P96" s="157"/>
    </row>
    <row r="97" spans="1:16" ht="15.75" customHeight="1">
      <c r="A97" s="136" t="s">
        <v>1109</v>
      </c>
      <c r="B97" s="141">
        <v>45213</v>
      </c>
      <c r="C97" s="138">
        <v>0.42499999999999999</v>
      </c>
      <c r="D97" s="137">
        <v>45215</v>
      </c>
      <c r="E97" s="163">
        <v>0.3888888888888889</v>
      </c>
      <c r="F97" s="140">
        <v>8.6999999999999993</v>
      </c>
      <c r="G97" s="140">
        <v>19.100000000000001</v>
      </c>
      <c r="H97" s="141">
        <v>45220</v>
      </c>
      <c r="I97" s="138">
        <v>0.39652777777777776</v>
      </c>
      <c r="J97" s="140">
        <v>6.06</v>
      </c>
      <c r="K97" s="140">
        <v>20.9</v>
      </c>
      <c r="L97" s="140">
        <f t="shared" si="5"/>
        <v>2.6399999999999997</v>
      </c>
      <c r="M97" s="134" t="s">
        <v>21</v>
      </c>
      <c r="N97" s="135" t="s">
        <v>25</v>
      </c>
      <c r="O97" s="144"/>
      <c r="P97" s="153"/>
    </row>
    <row r="98" spans="1:16" ht="15.75" customHeight="1">
      <c r="A98" s="166" t="s">
        <v>257</v>
      </c>
      <c r="B98" s="129">
        <v>45222</v>
      </c>
      <c r="C98" s="128">
        <v>0.39583333333333331</v>
      </c>
      <c r="D98" s="129">
        <v>45224</v>
      </c>
      <c r="E98" s="127" t="s">
        <v>270</v>
      </c>
      <c r="F98" s="131">
        <v>8.76</v>
      </c>
      <c r="G98" s="131">
        <v>23.3</v>
      </c>
      <c r="H98" s="129">
        <v>45229</v>
      </c>
      <c r="I98" s="127" t="s">
        <v>271</v>
      </c>
      <c r="J98" s="133">
        <v>8.61</v>
      </c>
      <c r="K98" s="133">
        <v>23.3</v>
      </c>
      <c r="L98" s="131" t="s">
        <v>17</v>
      </c>
      <c r="M98" s="134" t="s">
        <v>21</v>
      </c>
      <c r="N98" s="135" t="s">
        <v>25</v>
      </c>
      <c r="O98" s="156"/>
      <c r="P98" s="162"/>
    </row>
    <row r="99" spans="1:16" ht="15.75" customHeight="1">
      <c r="A99" s="166" t="s">
        <v>1160</v>
      </c>
      <c r="B99" s="129">
        <v>45222</v>
      </c>
      <c r="C99" s="128">
        <v>0.3972222222222222</v>
      </c>
      <c r="D99" s="129">
        <v>45224</v>
      </c>
      <c r="E99" s="127" t="s">
        <v>270</v>
      </c>
      <c r="F99" s="131">
        <v>9.1</v>
      </c>
      <c r="G99" s="131">
        <v>20.8</v>
      </c>
      <c r="H99" s="129">
        <v>45229</v>
      </c>
      <c r="I99" s="128">
        <v>0.67847222222222225</v>
      </c>
      <c r="J99" s="133">
        <v>8.18</v>
      </c>
      <c r="K99" s="133">
        <v>20.100000000000001</v>
      </c>
      <c r="L99" s="131">
        <f t="shared" ref="L99:L130" si="6">F99-J99</f>
        <v>0.91999999999999993</v>
      </c>
      <c r="M99" s="134" t="s">
        <v>21</v>
      </c>
      <c r="N99" s="135" t="s">
        <v>25</v>
      </c>
      <c r="O99" s="156"/>
      <c r="P99" s="162"/>
    </row>
    <row r="100" spans="1:16" ht="15.75" customHeight="1">
      <c r="A100" s="166" t="s">
        <v>1110</v>
      </c>
      <c r="B100" s="129">
        <v>45222</v>
      </c>
      <c r="C100" s="128">
        <v>0.3972222222222222</v>
      </c>
      <c r="D100" s="129">
        <v>45224</v>
      </c>
      <c r="E100" s="130">
        <v>0.43472222222222223</v>
      </c>
      <c r="F100" s="131">
        <v>9.1199999999999992</v>
      </c>
      <c r="G100" s="131">
        <v>20.3</v>
      </c>
      <c r="H100" s="129">
        <v>45229</v>
      </c>
      <c r="I100" s="128">
        <v>0.68055555555555558</v>
      </c>
      <c r="J100" s="133">
        <v>8.36</v>
      </c>
      <c r="K100" s="133">
        <v>19.8</v>
      </c>
      <c r="L100" s="131">
        <f t="shared" si="6"/>
        <v>0.75999999999999979</v>
      </c>
      <c r="M100" s="134" t="s">
        <v>21</v>
      </c>
      <c r="N100" s="135" t="s">
        <v>25</v>
      </c>
      <c r="O100" s="125"/>
      <c r="P100" s="125"/>
    </row>
    <row r="101" spans="1:16" ht="15.75" customHeight="1">
      <c r="A101" s="166" t="s">
        <v>1161</v>
      </c>
      <c r="B101" s="129">
        <v>45222</v>
      </c>
      <c r="C101" s="128">
        <v>0.57499999999999996</v>
      </c>
      <c r="D101" s="129">
        <v>45224</v>
      </c>
      <c r="E101" s="167">
        <v>0.49652777777777779</v>
      </c>
      <c r="F101" s="168">
        <v>8.48</v>
      </c>
      <c r="G101" s="168">
        <v>22.5</v>
      </c>
      <c r="H101" s="129">
        <v>45229</v>
      </c>
      <c r="I101" s="128">
        <v>0.67013888888888884</v>
      </c>
      <c r="J101" s="133">
        <v>8</v>
      </c>
      <c r="K101" s="133">
        <v>20.3</v>
      </c>
      <c r="L101" s="131">
        <f t="shared" si="6"/>
        <v>0.48000000000000043</v>
      </c>
      <c r="M101" s="134" t="s">
        <v>21</v>
      </c>
      <c r="N101" s="135" t="s">
        <v>25</v>
      </c>
      <c r="O101" s="144"/>
      <c r="P101" s="157"/>
    </row>
    <row r="102" spans="1:16" ht="15.75" customHeight="1">
      <c r="A102" s="166" t="s">
        <v>1111</v>
      </c>
      <c r="B102" s="129">
        <v>45222</v>
      </c>
      <c r="C102" s="128">
        <v>0.57499999999999996</v>
      </c>
      <c r="D102" s="129">
        <v>45224</v>
      </c>
      <c r="E102" s="130">
        <v>0.49861111111111112</v>
      </c>
      <c r="F102" s="131">
        <v>8.5399999999999991</v>
      </c>
      <c r="G102" s="131">
        <v>22.5</v>
      </c>
      <c r="H102" s="129">
        <v>45229</v>
      </c>
      <c r="I102" s="127" t="s">
        <v>272</v>
      </c>
      <c r="J102" s="133">
        <v>8.2200000000000006</v>
      </c>
      <c r="K102" s="133">
        <v>20.3</v>
      </c>
      <c r="L102" s="131">
        <f t="shared" si="6"/>
        <v>0.31999999999999851</v>
      </c>
      <c r="M102" s="134" t="s">
        <v>21</v>
      </c>
      <c r="N102" s="135" t="s">
        <v>25</v>
      </c>
      <c r="O102" s="144"/>
      <c r="P102" s="157"/>
    </row>
    <row r="103" spans="1:16" ht="15.75" customHeight="1">
      <c r="A103" s="166" t="s">
        <v>1112</v>
      </c>
      <c r="B103" s="129">
        <v>45222</v>
      </c>
      <c r="C103" s="128">
        <v>0.57499999999999996</v>
      </c>
      <c r="D103" s="129">
        <v>45224</v>
      </c>
      <c r="E103" s="130">
        <v>0.5</v>
      </c>
      <c r="F103" s="131">
        <v>8.5299999999999994</v>
      </c>
      <c r="G103" s="131">
        <v>19.899999999999999</v>
      </c>
      <c r="H103" s="129">
        <v>45229</v>
      </c>
      <c r="I103" s="127" t="s">
        <v>273</v>
      </c>
      <c r="J103" s="133">
        <v>8.23</v>
      </c>
      <c r="K103" s="133">
        <v>20.5</v>
      </c>
      <c r="L103" s="131">
        <f t="shared" si="6"/>
        <v>0.29999999999999893</v>
      </c>
      <c r="M103" s="134" t="s">
        <v>21</v>
      </c>
      <c r="N103" s="135" t="s">
        <v>25</v>
      </c>
      <c r="O103" s="144"/>
      <c r="P103" s="157"/>
    </row>
    <row r="104" spans="1:16" ht="15.75" customHeight="1">
      <c r="A104" s="166" t="s">
        <v>1113</v>
      </c>
      <c r="B104" s="129">
        <v>45222</v>
      </c>
      <c r="C104" s="128">
        <v>0.57499999999999996</v>
      </c>
      <c r="D104" s="129">
        <v>45224</v>
      </c>
      <c r="E104" s="130">
        <v>0.50347222222222221</v>
      </c>
      <c r="F104" s="131">
        <v>8.57</v>
      </c>
      <c r="G104" s="131">
        <v>19.899999999999999</v>
      </c>
      <c r="H104" s="129">
        <v>45229</v>
      </c>
      <c r="I104" s="127" t="s">
        <v>274</v>
      </c>
      <c r="J104" s="133">
        <v>6.45</v>
      </c>
      <c r="K104" s="133">
        <v>20</v>
      </c>
      <c r="L104" s="131">
        <f t="shared" si="6"/>
        <v>2.12</v>
      </c>
      <c r="M104" s="134" t="s">
        <v>21</v>
      </c>
      <c r="N104" s="135" t="s">
        <v>25</v>
      </c>
      <c r="O104" s="144"/>
      <c r="P104" s="157"/>
    </row>
    <row r="105" spans="1:16" ht="15.75" customHeight="1">
      <c r="A105" s="166" t="s">
        <v>1162</v>
      </c>
      <c r="B105" s="129">
        <v>45222</v>
      </c>
      <c r="C105" s="128">
        <v>0.48472222222222222</v>
      </c>
      <c r="D105" s="129">
        <v>45224</v>
      </c>
      <c r="E105" s="130">
        <v>0.48055555555555557</v>
      </c>
      <c r="F105" s="131">
        <v>8.75</v>
      </c>
      <c r="G105" s="131">
        <v>22.4</v>
      </c>
      <c r="H105" s="129">
        <v>45229</v>
      </c>
      <c r="I105" s="128">
        <v>0.66319444444444442</v>
      </c>
      <c r="J105" s="133">
        <v>8.39</v>
      </c>
      <c r="K105" s="133">
        <v>21.1</v>
      </c>
      <c r="L105" s="131">
        <f t="shared" si="6"/>
        <v>0.35999999999999943</v>
      </c>
      <c r="M105" s="134" t="s">
        <v>21</v>
      </c>
      <c r="N105" s="135" t="s">
        <v>25</v>
      </c>
      <c r="O105" s="144"/>
      <c r="P105" s="157"/>
    </row>
    <row r="106" spans="1:16" ht="15.75" customHeight="1">
      <c r="A106" s="166" t="s">
        <v>1114</v>
      </c>
      <c r="B106" s="129">
        <v>45222</v>
      </c>
      <c r="C106" s="128">
        <v>0.48472222222222222</v>
      </c>
      <c r="D106" s="129">
        <v>45224</v>
      </c>
      <c r="E106" s="130">
        <v>0.48333333333333334</v>
      </c>
      <c r="F106" s="131">
        <v>8.59</v>
      </c>
      <c r="G106" s="131">
        <v>22.4</v>
      </c>
      <c r="H106" s="129">
        <v>45229</v>
      </c>
      <c r="I106" s="128">
        <v>0.66041666666666665</v>
      </c>
      <c r="J106" s="133">
        <v>8.19</v>
      </c>
      <c r="K106" s="133">
        <v>20.9</v>
      </c>
      <c r="L106" s="131">
        <f t="shared" si="6"/>
        <v>0.40000000000000036</v>
      </c>
      <c r="M106" s="134" t="s">
        <v>21</v>
      </c>
      <c r="N106" s="135" t="s">
        <v>25</v>
      </c>
      <c r="O106" s="144"/>
      <c r="P106" s="157"/>
    </row>
    <row r="107" spans="1:16" ht="15.75" customHeight="1">
      <c r="A107" s="166" t="s">
        <v>1163</v>
      </c>
      <c r="B107" s="129">
        <v>45222</v>
      </c>
      <c r="C107" s="128">
        <v>0.45763888888888887</v>
      </c>
      <c r="D107" s="129">
        <v>45224</v>
      </c>
      <c r="E107" s="130">
        <v>0.47291666666666665</v>
      </c>
      <c r="F107" s="131">
        <v>8.5500000000000007</v>
      </c>
      <c r="G107" s="131">
        <v>22</v>
      </c>
      <c r="H107" s="129">
        <v>45229</v>
      </c>
      <c r="I107" s="128">
        <v>0.66527777777777775</v>
      </c>
      <c r="J107" s="133">
        <v>8.11</v>
      </c>
      <c r="K107" s="133">
        <v>21.1</v>
      </c>
      <c r="L107" s="131">
        <f t="shared" si="6"/>
        <v>0.44000000000000128</v>
      </c>
      <c r="M107" s="134" t="s">
        <v>21</v>
      </c>
      <c r="N107" s="135" t="s">
        <v>25</v>
      </c>
      <c r="O107" s="144"/>
      <c r="P107" s="157"/>
    </row>
    <row r="108" spans="1:16" ht="15.75" customHeight="1">
      <c r="A108" s="166" t="s">
        <v>1115</v>
      </c>
      <c r="B108" s="129">
        <v>45222</v>
      </c>
      <c r="C108" s="128">
        <v>0.45763888888888887</v>
      </c>
      <c r="D108" s="129">
        <v>45224</v>
      </c>
      <c r="E108" s="130">
        <v>0.47708333333333336</v>
      </c>
      <c r="F108" s="131">
        <v>9.02</v>
      </c>
      <c r="G108" s="131">
        <v>22.1</v>
      </c>
      <c r="H108" s="129">
        <v>45229</v>
      </c>
      <c r="I108" s="128">
        <v>0.66736111111111107</v>
      </c>
      <c r="J108" s="133">
        <v>8.5500000000000007</v>
      </c>
      <c r="K108" s="133">
        <v>21.1</v>
      </c>
      <c r="L108" s="131">
        <f t="shared" si="6"/>
        <v>0.46999999999999886</v>
      </c>
      <c r="M108" s="134" t="s">
        <v>21</v>
      </c>
      <c r="N108" s="135" t="s">
        <v>25</v>
      </c>
      <c r="O108" s="144"/>
      <c r="P108" s="157"/>
    </row>
    <row r="109" spans="1:16" ht="15.75" customHeight="1">
      <c r="A109" s="166" t="s">
        <v>1164</v>
      </c>
      <c r="B109" s="129">
        <v>45222</v>
      </c>
      <c r="C109" s="128">
        <v>0.42777777777777776</v>
      </c>
      <c r="D109" s="129">
        <v>45224</v>
      </c>
      <c r="E109" s="130">
        <v>0.46597222222222223</v>
      </c>
      <c r="F109" s="131">
        <v>8.74</v>
      </c>
      <c r="G109" s="131">
        <v>22.2</v>
      </c>
      <c r="H109" s="129">
        <v>45229</v>
      </c>
      <c r="I109" s="128">
        <v>0.67291666666666672</v>
      </c>
      <c r="J109" s="133">
        <v>8.23</v>
      </c>
      <c r="K109" s="133">
        <v>19.899999999999999</v>
      </c>
      <c r="L109" s="131">
        <f t="shared" si="6"/>
        <v>0.50999999999999979</v>
      </c>
      <c r="M109" s="134" t="s">
        <v>21</v>
      </c>
      <c r="N109" s="135" t="s">
        <v>25</v>
      </c>
      <c r="O109" s="144"/>
      <c r="P109" s="157"/>
    </row>
    <row r="110" spans="1:16" ht="15.75" customHeight="1">
      <c r="A110" s="166" t="s">
        <v>1116</v>
      </c>
      <c r="B110" s="129">
        <v>45222</v>
      </c>
      <c r="C110" s="128">
        <v>0.42777777777777776</v>
      </c>
      <c r="D110" s="129">
        <v>45224</v>
      </c>
      <c r="E110" s="130">
        <v>0.46805555555555556</v>
      </c>
      <c r="F110" s="131">
        <v>8.6449999999999996</v>
      </c>
      <c r="G110" s="131">
        <v>22.4</v>
      </c>
      <c r="H110" s="129">
        <v>45229</v>
      </c>
      <c r="I110" s="128">
        <v>0.67152777777777772</v>
      </c>
      <c r="J110" s="133">
        <v>8.2899999999999991</v>
      </c>
      <c r="K110" s="133">
        <v>20.3</v>
      </c>
      <c r="L110" s="131">
        <f t="shared" si="6"/>
        <v>0.35500000000000043</v>
      </c>
      <c r="M110" s="134" t="s">
        <v>21</v>
      </c>
      <c r="N110" s="135" t="s">
        <v>25</v>
      </c>
      <c r="O110" s="144"/>
      <c r="P110" s="157"/>
    </row>
    <row r="111" spans="1:16" ht="15.75" customHeight="1">
      <c r="A111" s="136" t="s">
        <v>1165</v>
      </c>
      <c r="B111" s="137">
        <v>45223</v>
      </c>
      <c r="C111" s="169">
        <v>0.38541666666666669</v>
      </c>
      <c r="D111" s="137">
        <v>45224</v>
      </c>
      <c r="E111" s="139">
        <v>0.63124999999999998</v>
      </c>
      <c r="F111" s="140">
        <v>8.75</v>
      </c>
      <c r="G111" s="140">
        <v>20.2</v>
      </c>
      <c r="H111" s="137">
        <v>45229</v>
      </c>
      <c r="I111" s="138">
        <v>0.68958333333333333</v>
      </c>
      <c r="J111" s="140">
        <v>8.36</v>
      </c>
      <c r="K111" s="140">
        <v>20.9</v>
      </c>
      <c r="L111" s="140">
        <f t="shared" si="6"/>
        <v>0.39000000000000057</v>
      </c>
      <c r="M111" s="134" t="s">
        <v>21</v>
      </c>
      <c r="N111" s="135" t="s">
        <v>25</v>
      </c>
      <c r="O111" s="144"/>
      <c r="P111" s="157"/>
    </row>
    <row r="112" spans="1:16" ht="15.75" customHeight="1">
      <c r="A112" s="136" t="s">
        <v>1166</v>
      </c>
      <c r="B112" s="137">
        <v>45223</v>
      </c>
      <c r="C112" s="169">
        <v>0.38541666666666669</v>
      </c>
      <c r="D112" s="137">
        <v>45224</v>
      </c>
      <c r="E112" s="139">
        <v>0.63194444444444442</v>
      </c>
      <c r="F112" s="140">
        <v>8.74</v>
      </c>
      <c r="G112" s="140">
        <v>20.100000000000001</v>
      </c>
      <c r="H112" s="137">
        <v>45229</v>
      </c>
      <c r="I112" s="138">
        <v>0.68819444444444444</v>
      </c>
      <c r="J112" s="140">
        <v>6.67</v>
      </c>
      <c r="K112" s="140">
        <v>21.1</v>
      </c>
      <c r="L112" s="140">
        <f t="shared" si="6"/>
        <v>2.0700000000000003</v>
      </c>
      <c r="M112" s="134" t="s">
        <v>21</v>
      </c>
      <c r="N112" s="135" t="s">
        <v>25</v>
      </c>
      <c r="O112" s="144"/>
      <c r="P112" s="153"/>
    </row>
    <row r="113" spans="1:29" ht="15.75" customHeight="1">
      <c r="A113" s="145" t="s">
        <v>1167</v>
      </c>
      <c r="B113" s="147">
        <v>45223</v>
      </c>
      <c r="C113" s="170">
        <v>0.38541666666666669</v>
      </c>
      <c r="D113" s="129">
        <v>45224</v>
      </c>
      <c r="E113" s="130">
        <v>0.62916666666666665</v>
      </c>
      <c r="F113" s="131">
        <v>8.8000000000000007</v>
      </c>
      <c r="G113" s="131">
        <v>20.2</v>
      </c>
      <c r="H113" s="129">
        <v>45229</v>
      </c>
      <c r="I113" s="128">
        <v>0.68402777777777779</v>
      </c>
      <c r="J113" s="133">
        <v>8.26</v>
      </c>
      <c r="K113" s="133">
        <v>20.8</v>
      </c>
      <c r="L113" s="131">
        <f t="shared" si="6"/>
        <v>0.54000000000000092</v>
      </c>
      <c r="M113" s="134" t="s">
        <v>21</v>
      </c>
      <c r="N113" s="135" t="s">
        <v>25</v>
      </c>
      <c r="O113" s="144"/>
      <c r="P113" s="157"/>
    </row>
    <row r="114" spans="1:29" ht="15.75" customHeight="1">
      <c r="A114" s="145" t="s">
        <v>1117</v>
      </c>
      <c r="B114" s="147">
        <v>45223</v>
      </c>
      <c r="C114" s="170">
        <v>0.38541666666666669</v>
      </c>
      <c r="D114" s="129">
        <v>45224</v>
      </c>
      <c r="E114" s="130">
        <v>0.64583333333333337</v>
      </c>
      <c r="F114" s="131">
        <v>8.39</v>
      </c>
      <c r="G114" s="131">
        <v>20.5</v>
      </c>
      <c r="H114" s="129">
        <v>45229</v>
      </c>
      <c r="I114" s="128">
        <v>0.72847222222222219</v>
      </c>
      <c r="J114" s="133">
        <v>7.98</v>
      </c>
      <c r="K114" s="133">
        <v>20.9</v>
      </c>
      <c r="L114" s="131">
        <f t="shared" si="6"/>
        <v>0.41000000000000014</v>
      </c>
      <c r="M114" s="134" t="s">
        <v>21</v>
      </c>
      <c r="N114" s="135" t="s">
        <v>25</v>
      </c>
      <c r="O114" s="156"/>
      <c r="P114" s="162"/>
    </row>
    <row r="115" spans="1:29" ht="15.75" customHeight="1">
      <c r="A115" s="145" t="s">
        <v>1168</v>
      </c>
      <c r="B115" s="147">
        <v>45223</v>
      </c>
      <c r="C115" s="149">
        <v>0.40972222222222221</v>
      </c>
      <c r="D115" s="129">
        <v>45224</v>
      </c>
      <c r="E115" s="130">
        <v>0.6479166666666667</v>
      </c>
      <c r="F115" s="131">
        <v>8.58</v>
      </c>
      <c r="G115" s="131">
        <v>20.6</v>
      </c>
      <c r="H115" s="129">
        <v>45229</v>
      </c>
      <c r="I115" s="128">
        <v>0.68541666666666667</v>
      </c>
      <c r="J115" s="133">
        <v>8.17</v>
      </c>
      <c r="K115" s="133">
        <v>20.9</v>
      </c>
      <c r="L115" s="131">
        <f t="shared" si="6"/>
        <v>0.41000000000000014</v>
      </c>
      <c r="M115" s="134" t="s">
        <v>21</v>
      </c>
      <c r="N115" s="135" t="s">
        <v>25</v>
      </c>
      <c r="O115" s="125"/>
      <c r="P115" s="125"/>
    </row>
    <row r="116" spans="1:29" ht="15.75" customHeight="1">
      <c r="A116" s="145" t="s">
        <v>1118</v>
      </c>
      <c r="B116" s="147">
        <v>45223</v>
      </c>
      <c r="C116" s="149">
        <v>0.40972222222222221</v>
      </c>
      <c r="D116" s="129">
        <v>45224</v>
      </c>
      <c r="E116" s="130">
        <v>0.65</v>
      </c>
      <c r="F116" s="131">
        <v>8.27</v>
      </c>
      <c r="G116" s="131">
        <v>20.5</v>
      </c>
      <c r="H116" s="129">
        <v>45229</v>
      </c>
      <c r="I116" s="128">
        <v>0.69166666666666665</v>
      </c>
      <c r="J116" s="133">
        <v>7.83</v>
      </c>
      <c r="K116" s="133">
        <v>21</v>
      </c>
      <c r="L116" s="131">
        <f t="shared" si="6"/>
        <v>0.4399999999999995</v>
      </c>
      <c r="M116" s="134" t="s">
        <v>21</v>
      </c>
      <c r="N116" s="135" t="s">
        <v>25</v>
      </c>
      <c r="O116" s="125"/>
      <c r="P116" s="125"/>
    </row>
    <row r="117" spans="1:29" ht="15.75" customHeight="1">
      <c r="A117" s="145" t="s">
        <v>1169</v>
      </c>
      <c r="B117" s="147">
        <v>45223</v>
      </c>
      <c r="C117" s="149">
        <v>0.43541666666666667</v>
      </c>
      <c r="D117" s="129">
        <v>45224</v>
      </c>
      <c r="E117" s="130">
        <v>0.66041666666666665</v>
      </c>
      <c r="F117" s="131">
        <v>8.6</v>
      </c>
      <c r="G117" s="131">
        <v>20.5</v>
      </c>
      <c r="H117" s="129">
        <v>45229</v>
      </c>
      <c r="I117" s="128">
        <v>0.70972222222222225</v>
      </c>
      <c r="J117" s="133">
        <v>7.38</v>
      </c>
      <c r="K117" s="133">
        <v>21.4</v>
      </c>
      <c r="L117" s="131">
        <f t="shared" si="6"/>
        <v>1.2199999999999998</v>
      </c>
      <c r="M117" s="134" t="s">
        <v>21</v>
      </c>
      <c r="N117" s="135" t="s">
        <v>25</v>
      </c>
      <c r="O117" s="144"/>
      <c r="P117" s="157"/>
    </row>
    <row r="118" spans="1:29" ht="15.75" customHeight="1">
      <c r="A118" s="145" t="s">
        <v>1119</v>
      </c>
      <c r="B118" s="147">
        <v>45223</v>
      </c>
      <c r="C118" s="149">
        <v>0.43541666666666667</v>
      </c>
      <c r="D118" s="129">
        <v>45224</v>
      </c>
      <c r="E118" s="130">
        <v>0.65833333333333333</v>
      </c>
      <c r="F118" s="131">
        <v>8.5</v>
      </c>
      <c r="G118" s="131">
        <v>20.399999999999999</v>
      </c>
      <c r="H118" s="129">
        <v>45229</v>
      </c>
      <c r="I118" s="128">
        <v>0.73055555555555551</v>
      </c>
      <c r="J118" s="133">
        <v>7.98</v>
      </c>
      <c r="K118" s="133">
        <v>21</v>
      </c>
      <c r="L118" s="131">
        <f t="shared" si="6"/>
        <v>0.51999999999999957</v>
      </c>
      <c r="M118" s="134" t="s">
        <v>21</v>
      </c>
      <c r="N118" s="135" t="s">
        <v>25</v>
      </c>
      <c r="O118" s="144"/>
      <c r="P118" s="157"/>
    </row>
    <row r="119" spans="1:29" ht="15.75" customHeight="1">
      <c r="A119" s="145" t="s">
        <v>1170</v>
      </c>
      <c r="B119" s="147">
        <v>45223</v>
      </c>
      <c r="C119" s="149">
        <v>0.48194444444444445</v>
      </c>
      <c r="D119" s="129">
        <v>45224</v>
      </c>
      <c r="E119" s="130">
        <v>0.66249999999999998</v>
      </c>
      <c r="F119" s="127">
        <v>8.48</v>
      </c>
      <c r="G119" s="127">
        <v>20.5</v>
      </c>
      <c r="H119" s="129">
        <v>45229</v>
      </c>
      <c r="I119" s="127" t="s">
        <v>275</v>
      </c>
      <c r="J119" s="127">
        <v>7.22</v>
      </c>
      <c r="K119" s="127">
        <v>20.9</v>
      </c>
      <c r="L119" s="131">
        <f t="shared" si="6"/>
        <v>1.2600000000000007</v>
      </c>
      <c r="M119" s="134" t="s">
        <v>21</v>
      </c>
      <c r="N119" s="135" t="s">
        <v>25</v>
      </c>
      <c r="O119" s="144"/>
      <c r="P119" s="157"/>
    </row>
    <row r="120" spans="1:29" ht="15.75" customHeight="1">
      <c r="A120" s="145" t="s">
        <v>1120</v>
      </c>
      <c r="B120" s="147">
        <v>45223</v>
      </c>
      <c r="C120" s="149">
        <v>0.48194444444444445</v>
      </c>
      <c r="D120" s="129">
        <v>45224</v>
      </c>
      <c r="E120" s="130">
        <v>0.66388888888888886</v>
      </c>
      <c r="F120" s="127">
        <v>8.66</v>
      </c>
      <c r="G120" s="127">
        <v>20.7</v>
      </c>
      <c r="H120" s="129">
        <v>45229</v>
      </c>
      <c r="I120" s="130">
        <v>0.69791666666666663</v>
      </c>
      <c r="J120" s="127">
        <v>7.86</v>
      </c>
      <c r="K120" s="127">
        <v>20.8</v>
      </c>
      <c r="L120" s="131">
        <f t="shared" si="6"/>
        <v>0.79999999999999982</v>
      </c>
      <c r="M120" s="134" t="s">
        <v>21</v>
      </c>
      <c r="N120" s="135" t="s">
        <v>25</v>
      </c>
      <c r="O120" s="144"/>
      <c r="P120" s="157"/>
    </row>
    <row r="121" spans="1:29" ht="15.75" customHeight="1">
      <c r="A121" s="145" t="s">
        <v>1171</v>
      </c>
      <c r="B121" s="129">
        <v>45224</v>
      </c>
      <c r="C121" s="130">
        <v>0.32500000000000001</v>
      </c>
      <c r="D121" s="129">
        <v>45224</v>
      </c>
      <c r="E121" s="130">
        <v>0.67847222222222225</v>
      </c>
      <c r="F121" s="127">
        <v>7.92</v>
      </c>
      <c r="G121" s="127">
        <v>20.5</v>
      </c>
      <c r="H121" s="129">
        <v>45229</v>
      </c>
      <c r="I121" s="130">
        <v>0.70763888888888893</v>
      </c>
      <c r="J121" s="127">
        <v>7.32</v>
      </c>
      <c r="K121" s="127">
        <v>21</v>
      </c>
      <c r="L121" s="131">
        <f t="shared" si="6"/>
        <v>0.59999999999999964</v>
      </c>
      <c r="M121" s="134" t="s">
        <v>21</v>
      </c>
      <c r="N121" s="135" t="s">
        <v>25</v>
      </c>
      <c r="O121" s="144"/>
      <c r="P121" s="157"/>
    </row>
    <row r="122" spans="1:29" ht="15.75" customHeight="1">
      <c r="A122" s="145" t="s">
        <v>1121</v>
      </c>
      <c r="B122" s="129">
        <v>45224</v>
      </c>
      <c r="C122" s="130">
        <v>0.32500000000000001</v>
      </c>
      <c r="D122" s="129">
        <v>45224</v>
      </c>
      <c r="E122" s="130">
        <v>0.68402777777777779</v>
      </c>
      <c r="F122" s="127">
        <v>7.91</v>
      </c>
      <c r="G122" s="127">
        <v>20.5</v>
      </c>
      <c r="H122" s="129">
        <v>45229</v>
      </c>
      <c r="I122" s="130">
        <v>0.72152777777777777</v>
      </c>
      <c r="J122" s="127">
        <v>7.47</v>
      </c>
      <c r="K122" s="127">
        <v>20.3</v>
      </c>
      <c r="L122" s="131">
        <f t="shared" si="6"/>
        <v>0.44000000000000039</v>
      </c>
      <c r="M122" s="134" t="s">
        <v>21</v>
      </c>
      <c r="N122" s="135" t="s">
        <v>25</v>
      </c>
      <c r="O122" s="144"/>
      <c r="P122" s="157"/>
    </row>
    <row r="123" spans="1:29" ht="15.75" customHeight="1">
      <c r="A123" s="145" t="s">
        <v>276</v>
      </c>
      <c r="B123" s="129">
        <v>45224</v>
      </c>
      <c r="C123" s="130">
        <v>0.34722222222222221</v>
      </c>
      <c r="D123" s="129">
        <v>45224</v>
      </c>
      <c r="E123" s="130">
        <v>0.68611111111111112</v>
      </c>
      <c r="F123" s="127">
        <v>8.27</v>
      </c>
      <c r="G123" s="127">
        <v>20.6</v>
      </c>
      <c r="H123" s="129">
        <v>45229</v>
      </c>
      <c r="I123" s="130">
        <v>0.71250000000000002</v>
      </c>
      <c r="J123" s="127">
        <v>7.81</v>
      </c>
      <c r="K123" s="127">
        <v>20</v>
      </c>
      <c r="L123" s="131">
        <f t="shared" si="6"/>
        <v>0.45999999999999996</v>
      </c>
      <c r="M123" s="134" t="s">
        <v>21</v>
      </c>
      <c r="N123" s="135" t="s">
        <v>25</v>
      </c>
      <c r="O123" s="144"/>
      <c r="P123" s="157"/>
    </row>
    <row r="124" spans="1:29" ht="15.75" customHeight="1">
      <c r="A124" s="136" t="s">
        <v>1172</v>
      </c>
      <c r="B124" s="137">
        <v>45224</v>
      </c>
      <c r="C124" s="139">
        <v>0.34722222222222221</v>
      </c>
      <c r="D124" s="137">
        <v>45224</v>
      </c>
      <c r="E124" s="139">
        <v>0.68541666666666667</v>
      </c>
      <c r="F124" s="164">
        <v>8.25</v>
      </c>
      <c r="G124" s="164">
        <v>20.6</v>
      </c>
      <c r="H124" s="137">
        <v>45229</v>
      </c>
      <c r="I124" s="139">
        <v>0.72430555555555554</v>
      </c>
      <c r="J124" s="164">
        <v>7.87</v>
      </c>
      <c r="K124" s="164">
        <v>20.5</v>
      </c>
      <c r="L124" s="140">
        <f t="shared" si="6"/>
        <v>0.37999999999999989</v>
      </c>
      <c r="M124" s="134" t="s">
        <v>21</v>
      </c>
      <c r="N124" s="135" t="s">
        <v>25</v>
      </c>
      <c r="O124" s="144"/>
      <c r="P124" s="157"/>
    </row>
    <row r="125" spans="1:29" ht="24.75" customHeight="1">
      <c r="A125" s="136" t="s">
        <v>1173</v>
      </c>
      <c r="B125" s="137">
        <v>45224</v>
      </c>
      <c r="C125" s="139">
        <v>0.34722222222222221</v>
      </c>
      <c r="D125" s="137">
        <v>45224</v>
      </c>
      <c r="E125" s="139">
        <v>0.68611111111111112</v>
      </c>
      <c r="F125" s="164">
        <v>8.2200000000000006</v>
      </c>
      <c r="G125" s="164">
        <v>20.7</v>
      </c>
      <c r="H125" s="137">
        <v>45229</v>
      </c>
      <c r="I125" s="139">
        <v>0.72291666666666665</v>
      </c>
      <c r="J125" s="164">
        <v>6.24</v>
      </c>
      <c r="K125" s="164">
        <v>20.399999999999999</v>
      </c>
      <c r="L125" s="140">
        <f t="shared" si="6"/>
        <v>1.9800000000000004</v>
      </c>
      <c r="M125" s="134" t="s">
        <v>21</v>
      </c>
      <c r="N125" s="135" t="s">
        <v>25</v>
      </c>
      <c r="O125" s="144"/>
      <c r="P125" s="153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</row>
    <row r="126" spans="1:29" ht="15.75" customHeight="1">
      <c r="A126" s="145" t="s">
        <v>1122</v>
      </c>
      <c r="B126" s="129">
        <v>45224</v>
      </c>
      <c r="C126" s="130">
        <v>0.34722222222222221</v>
      </c>
      <c r="D126" s="129">
        <v>45224</v>
      </c>
      <c r="E126" s="130">
        <v>0.6958333333333333</v>
      </c>
      <c r="F126" s="127">
        <v>8.34</v>
      </c>
      <c r="G126" s="127">
        <v>20.5</v>
      </c>
      <c r="H126" s="129">
        <v>45229</v>
      </c>
      <c r="I126" s="130">
        <v>0.72986111111111107</v>
      </c>
      <c r="J126" s="127">
        <v>7.96</v>
      </c>
      <c r="K126" s="127">
        <v>22.2</v>
      </c>
      <c r="L126" s="131">
        <f t="shared" si="6"/>
        <v>0.37999999999999989</v>
      </c>
      <c r="M126" s="134" t="s">
        <v>21</v>
      </c>
      <c r="N126" s="135" t="s">
        <v>25</v>
      </c>
      <c r="O126" s="144"/>
      <c r="P126" s="157"/>
    </row>
    <row r="127" spans="1:29" ht="15.75" customHeight="1">
      <c r="A127" s="145" t="s">
        <v>1174</v>
      </c>
      <c r="B127" s="129">
        <v>45224</v>
      </c>
      <c r="C127" s="130">
        <v>0.37569444444444444</v>
      </c>
      <c r="D127" s="129">
        <v>45224</v>
      </c>
      <c r="E127" s="130">
        <v>0.69791666666666663</v>
      </c>
      <c r="F127" s="127">
        <v>7.97</v>
      </c>
      <c r="G127" s="127">
        <v>20.7</v>
      </c>
      <c r="H127" s="129">
        <v>45229</v>
      </c>
      <c r="I127" s="130">
        <v>0.71388888888888891</v>
      </c>
      <c r="J127" s="127">
        <v>7.7</v>
      </c>
      <c r="K127" s="127">
        <v>22</v>
      </c>
      <c r="L127" s="131">
        <f t="shared" si="6"/>
        <v>0.26999999999999957</v>
      </c>
      <c r="M127" s="134" t="s">
        <v>21</v>
      </c>
      <c r="N127" s="135" t="s">
        <v>25</v>
      </c>
      <c r="O127" s="144"/>
      <c r="P127" s="157"/>
    </row>
    <row r="128" spans="1:29" ht="15.75" customHeight="1">
      <c r="A128" s="145" t="s">
        <v>1123</v>
      </c>
      <c r="B128" s="129">
        <v>45224</v>
      </c>
      <c r="C128" s="130">
        <v>0.37569444444444444</v>
      </c>
      <c r="D128" s="129">
        <v>45224</v>
      </c>
      <c r="E128" s="130">
        <v>0.69930555555555551</v>
      </c>
      <c r="F128" s="127">
        <v>8.01</v>
      </c>
      <c r="G128" s="127">
        <v>20.9</v>
      </c>
      <c r="H128" s="129">
        <v>45229</v>
      </c>
      <c r="I128" s="130">
        <v>0.71597222222222223</v>
      </c>
      <c r="J128" s="127">
        <v>7.8</v>
      </c>
      <c r="K128" s="127">
        <v>22.4</v>
      </c>
      <c r="L128" s="131">
        <f t="shared" si="6"/>
        <v>0.20999999999999996</v>
      </c>
      <c r="M128" s="134" t="s">
        <v>21</v>
      </c>
      <c r="N128" s="135" t="s">
        <v>25</v>
      </c>
      <c r="O128" s="144"/>
      <c r="P128" s="157"/>
    </row>
    <row r="129" spans="1:16" ht="15.75" customHeight="1">
      <c r="A129" s="145" t="s">
        <v>1175</v>
      </c>
      <c r="B129" s="129">
        <v>45224</v>
      </c>
      <c r="C129" s="130">
        <v>0.41319444444444442</v>
      </c>
      <c r="D129" s="129">
        <v>45224</v>
      </c>
      <c r="E129" s="130">
        <v>0.70347222222222228</v>
      </c>
      <c r="F129" s="127">
        <v>7.44</v>
      </c>
      <c r="G129" s="127">
        <v>21.1</v>
      </c>
      <c r="H129" s="129">
        <v>45229</v>
      </c>
      <c r="I129" s="130">
        <v>0.73611111111111116</v>
      </c>
      <c r="J129" s="127">
        <v>7.27</v>
      </c>
      <c r="K129" s="127">
        <v>22.2</v>
      </c>
      <c r="L129" s="131">
        <f t="shared" si="6"/>
        <v>0.17000000000000082</v>
      </c>
      <c r="M129" s="134" t="s">
        <v>21</v>
      </c>
      <c r="N129" s="135" t="s">
        <v>25</v>
      </c>
      <c r="O129" s="144"/>
      <c r="P129" s="157"/>
    </row>
    <row r="130" spans="1:16" ht="15.75" customHeight="1">
      <c r="A130" s="145" t="s">
        <v>1124</v>
      </c>
      <c r="B130" s="129">
        <v>45224</v>
      </c>
      <c r="C130" s="130">
        <v>0.41319444444444442</v>
      </c>
      <c r="D130" s="129">
        <v>45224</v>
      </c>
      <c r="E130" s="130">
        <v>0.7055555555555556</v>
      </c>
      <c r="F130" s="127">
        <v>7.6</v>
      </c>
      <c r="G130" s="127">
        <v>21.1</v>
      </c>
      <c r="H130" s="129">
        <v>45229</v>
      </c>
      <c r="I130" s="130">
        <v>0.71875</v>
      </c>
      <c r="J130" s="127">
        <v>7.37</v>
      </c>
      <c r="K130" s="127">
        <v>22.1</v>
      </c>
      <c r="L130" s="131">
        <f t="shared" si="6"/>
        <v>0.22999999999999954</v>
      </c>
      <c r="M130" s="134" t="s">
        <v>21</v>
      </c>
      <c r="N130" s="135" t="s">
        <v>25</v>
      </c>
      <c r="O130" s="144"/>
      <c r="P130" s="157"/>
    </row>
    <row r="131" spans="1:16" ht="15.75" customHeight="1">
      <c r="A131" s="172"/>
      <c r="B131" s="173"/>
      <c r="C131" s="174"/>
      <c r="D131" s="173"/>
      <c r="E131" s="174"/>
      <c r="F131" s="175"/>
      <c r="G131" s="175"/>
      <c r="H131" s="176"/>
      <c r="I131" s="174"/>
      <c r="J131" s="177"/>
      <c r="K131" s="177"/>
      <c r="L131" s="177"/>
      <c r="M131" s="178"/>
      <c r="N131" s="178"/>
      <c r="O131" s="156"/>
      <c r="P131" s="162"/>
    </row>
    <row r="132" spans="1:16" ht="15.75" customHeight="1">
      <c r="A132" s="172"/>
      <c r="B132" s="173"/>
      <c r="C132" s="174"/>
      <c r="D132" s="173"/>
      <c r="E132" s="174"/>
      <c r="F132" s="175"/>
      <c r="G132" s="175"/>
      <c r="H132" s="176"/>
      <c r="I132" s="174"/>
      <c r="J132" s="177"/>
      <c r="K132" s="177"/>
      <c r="L132" s="177"/>
      <c r="M132" s="178"/>
      <c r="N132" s="178"/>
      <c r="O132" s="125"/>
      <c r="P132" s="125"/>
    </row>
    <row r="133" spans="1:16" ht="15.75" customHeight="1">
      <c r="A133" s="172"/>
      <c r="B133" s="173"/>
      <c r="C133" s="174"/>
      <c r="D133" s="173"/>
      <c r="E133" s="174"/>
      <c r="F133" s="175"/>
      <c r="G133" s="175"/>
      <c r="H133" s="176"/>
      <c r="I133" s="174"/>
      <c r="J133" s="177"/>
      <c r="K133" s="177"/>
      <c r="L133" s="177"/>
      <c r="M133" s="178"/>
      <c r="N133" s="178"/>
      <c r="O133" s="125"/>
      <c r="P133" s="125"/>
    </row>
    <row r="134" spans="1:16" ht="15.75" customHeight="1">
      <c r="A134" s="172"/>
      <c r="B134" s="173"/>
      <c r="C134" s="174"/>
      <c r="D134" s="173"/>
      <c r="E134" s="174"/>
      <c r="F134" s="175"/>
      <c r="G134" s="175"/>
      <c r="H134" s="176"/>
      <c r="I134" s="174"/>
      <c r="J134" s="177"/>
      <c r="K134" s="177"/>
      <c r="L134" s="177"/>
      <c r="M134" s="178"/>
      <c r="N134" s="178"/>
      <c r="O134" s="144"/>
      <c r="P134" s="157"/>
    </row>
    <row r="135" spans="1:16" ht="15.75" customHeight="1">
      <c r="A135" s="172"/>
      <c r="B135" s="173"/>
      <c r="C135" s="174"/>
      <c r="D135" s="173"/>
      <c r="E135" s="174"/>
      <c r="F135" s="175"/>
      <c r="G135" s="175"/>
      <c r="H135" s="176"/>
      <c r="I135" s="174"/>
      <c r="J135" s="177"/>
      <c r="K135" s="177"/>
      <c r="L135" s="177"/>
      <c r="M135" s="178"/>
      <c r="N135" s="178"/>
      <c r="O135" s="144"/>
      <c r="P135" s="157"/>
    </row>
    <row r="136" spans="1:16" ht="15.75" customHeight="1">
      <c r="A136" s="172"/>
      <c r="B136" s="173"/>
      <c r="C136" s="174"/>
      <c r="D136" s="173"/>
      <c r="E136" s="174"/>
      <c r="F136" s="175"/>
      <c r="G136" s="175"/>
      <c r="H136" s="176"/>
      <c r="I136" s="174"/>
      <c r="J136" s="177"/>
      <c r="K136" s="177"/>
      <c r="L136" s="177"/>
      <c r="M136" s="178"/>
      <c r="N136" s="178"/>
      <c r="O136" s="144"/>
      <c r="P136" s="157"/>
    </row>
    <row r="137" spans="1:16" ht="15.75" customHeight="1">
      <c r="A137" s="172"/>
      <c r="B137" s="173"/>
      <c r="C137" s="179"/>
      <c r="D137" s="173"/>
      <c r="E137" s="180"/>
      <c r="F137" s="181"/>
      <c r="G137" s="181"/>
      <c r="H137" s="176"/>
      <c r="I137" s="174"/>
      <c r="J137" s="177"/>
      <c r="K137" s="177"/>
      <c r="L137" s="177"/>
      <c r="M137" s="178"/>
      <c r="N137" s="178"/>
      <c r="O137" s="144"/>
      <c r="P137" s="157"/>
    </row>
    <row r="138" spans="1:16" ht="15.75" customHeight="1">
      <c r="A138" s="172"/>
      <c r="B138" s="173"/>
      <c r="C138" s="179"/>
      <c r="D138" s="173"/>
      <c r="E138" s="180"/>
      <c r="F138" s="181"/>
      <c r="G138" s="181"/>
      <c r="H138" s="176"/>
      <c r="I138" s="174"/>
      <c r="J138" s="177"/>
      <c r="K138" s="177"/>
      <c r="L138" s="177"/>
      <c r="M138" s="178"/>
      <c r="N138" s="178"/>
      <c r="O138" s="144"/>
      <c r="P138" s="157"/>
    </row>
    <row r="139" spans="1:16" ht="15.75">
      <c r="A139" s="172"/>
      <c r="B139" s="182"/>
      <c r="C139" s="174"/>
      <c r="D139" s="173"/>
      <c r="E139" s="183"/>
      <c r="F139" s="172"/>
      <c r="G139" s="172"/>
      <c r="H139" s="176"/>
      <c r="I139" s="184"/>
      <c r="J139" s="172"/>
      <c r="K139" s="172"/>
      <c r="L139" s="177"/>
      <c r="M139" s="178"/>
      <c r="N139" s="178"/>
      <c r="O139" s="144"/>
      <c r="P139" s="157"/>
    </row>
    <row r="140" spans="1:16" ht="15.75" customHeight="1">
      <c r="A140" s="172"/>
      <c r="B140" s="173"/>
      <c r="C140" s="179"/>
      <c r="D140" s="173"/>
      <c r="E140" s="185"/>
      <c r="F140" s="186"/>
      <c r="G140" s="186"/>
      <c r="H140" s="176"/>
      <c r="I140" s="174"/>
      <c r="J140" s="177"/>
      <c r="K140" s="177"/>
      <c r="L140" s="177"/>
      <c r="M140" s="178"/>
      <c r="N140" s="178"/>
      <c r="O140" s="144"/>
      <c r="P140" s="157"/>
    </row>
    <row r="141" spans="1:16" ht="15.75" customHeight="1">
      <c r="A141" s="172"/>
      <c r="B141" s="173"/>
      <c r="C141" s="179"/>
      <c r="D141" s="173"/>
      <c r="E141" s="185"/>
      <c r="F141" s="187"/>
      <c r="G141" s="187"/>
      <c r="H141" s="176"/>
      <c r="I141" s="174"/>
      <c r="J141" s="177"/>
      <c r="K141" s="177"/>
      <c r="L141" s="177"/>
      <c r="M141" s="178"/>
      <c r="N141" s="178"/>
      <c r="O141" s="144"/>
      <c r="P141" s="157"/>
    </row>
    <row r="142" spans="1:16" ht="15.75" customHeight="1">
      <c r="A142" s="172"/>
      <c r="B142" s="173"/>
      <c r="C142" s="179"/>
      <c r="D142" s="173"/>
      <c r="E142" s="185"/>
      <c r="F142" s="187"/>
      <c r="G142" s="187"/>
      <c r="H142" s="176"/>
      <c r="I142" s="174"/>
      <c r="J142" s="177"/>
      <c r="K142" s="177"/>
      <c r="L142" s="177"/>
      <c r="M142" s="178"/>
      <c r="N142" s="178"/>
      <c r="O142" s="144"/>
      <c r="P142" s="157"/>
    </row>
    <row r="143" spans="1:16" ht="15.75" customHeight="1">
      <c r="A143" s="172"/>
      <c r="B143" s="173"/>
      <c r="C143" s="179"/>
      <c r="D143" s="173"/>
      <c r="E143" s="185"/>
      <c r="F143" s="187"/>
      <c r="G143" s="187"/>
      <c r="H143" s="176"/>
      <c r="I143" s="174"/>
      <c r="J143" s="177"/>
      <c r="K143" s="177"/>
      <c r="L143" s="177"/>
      <c r="M143" s="178"/>
      <c r="N143" s="178"/>
      <c r="O143" s="144"/>
      <c r="P143" s="157"/>
    </row>
    <row r="144" spans="1:16" ht="15.75" customHeight="1">
      <c r="A144" s="172"/>
      <c r="B144" s="188"/>
      <c r="C144" s="179"/>
      <c r="D144" s="173"/>
      <c r="E144" s="185"/>
      <c r="F144" s="187"/>
      <c r="G144" s="187"/>
      <c r="H144" s="176"/>
      <c r="I144" s="174"/>
      <c r="J144" s="177"/>
      <c r="K144" s="177"/>
      <c r="L144" s="177"/>
      <c r="M144" s="178"/>
      <c r="N144" s="178"/>
      <c r="O144" s="144"/>
      <c r="P144" s="157"/>
    </row>
    <row r="145" spans="1:16" ht="15.75" customHeight="1">
      <c r="A145" s="172"/>
      <c r="B145" s="188"/>
      <c r="C145" s="179"/>
      <c r="D145" s="173"/>
      <c r="E145" s="185"/>
      <c r="F145" s="187"/>
      <c r="G145" s="187"/>
      <c r="H145" s="176"/>
      <c r="I145" s="174"/>
      <c r="J145" s="177"/>
      <c r="K145" s="177"/>
      <c r="L145" s="177"/>
      <c r="M145" s="178"/>
      <c r="N145" s="178"/>
      <c r="O145" s="144"/>
      <c r="P145" s="157"/>
    </row>
    <row r="146" spans="1:16" ht="15.75" customHeight="1">
      <c r="A146" s="172"/>
      <c r="B146" s="188"/>
      <c r="C146" s="179"/>
      <c r="D146" s="173"/>
      <c r="E146" s="185"/>
      <c r="F146" s="187"/>
      <c r="G146" s="187"/>
      <c r="H146" s="176"/>
      <c r="I146" s="174"/>
      <c r="J146" s="177"/>
      <c r="K146" s="177"/>
      <c r="L146" s="177"/>
      <c r="M146" s="178"/>
      <c r="N146" s="178"/>
      <c r="O146" s="156"/>
      <c r="P146" s="162"/>
    </row>
    <row r="147" spans="1:16" ht="15.75" customHeight="1">
      <c r="A147" s="172"/>
      <c r="B147" s="188"/>
      <c r="C147" s="179"/>
      <c r="D147" s="173"/>
      <c r="E147" s="185"/>
      <c r="F147" s="187"/>
      <c r="G147" s="187"/>
      <c r="H147" s="176"/>
      <c r="I147" s="174"/>
      <c r="J147" s="177"/>
      <c r="K147" s="177"/>
      <c r="L147" s="177"/>
      <c r="M147" s="178"/>
      <c r="N147" s="178"/>
      <c r="O147" s="189"/>
      <c r="P147" s="182"/>
    </row>
    <row r="148" spans="1:16" ht="15.75" customHeight="1">
      <c r="A148" s="157"/>
      <c r="B148" s="190"/>
      <c r="C148" s="191"/>
      <c r="D148" s="192"/>
      <c r="E148" s="193"/>
      <c r="F148" s="194"/>
      <c r="G148" s="194"/>
      <c r="H148" s="192"/>
      <c r="I148" s="193"/>
      <c r="J148" s="177"/>
      <c r="K148" s="177"/>
      <c r="L148" s="177"/>
      <c r="M148" s="125"/>
      <c r="N148" s="125"/>
      <c r="O148" s="189"/>
      <c r="P148" s="157"/>
    </row>
    <row r="149" spans="1:16" ht="15.75" customHeight="1">
      <c r="A149" s="157"/>
      <c r="B149" s="190"/>
      <c r="C149" s="195"/>
      <c r="D149" s="196"/>
      <c r="E149" s="197"/>
      <c r="F149" s="198"/>
      <c r="G149" s="198"/>
      <c r="H149" s="196"/>
      <c r="I149" s="197"/>
      <c r="J149" s="177"/>
      <c r="K149" s="177"/>
      <c r="L149" s="177"/>
      <c r="M149" s="125"/>
      <c r="N149" s="125"/>
      <c r="O149" s="189"/>
      <c r="P149" s="157"/>
    </row>
    <row r="150" spans="1:16" ht="15.75" customHeight="1">
      <c r="A150" s="157"/>
      <c r="B150" s="190"/>
      <c r="C150" s="195"/>
      <c r="D150" s="196"/>
      <c r="E150" s="197"/>
      <c r="F150" s="198"/>
      <c r="G150" s="198"/>
      <c r="H150" s="196"/>
      <c r="I150" s="197"/>
      <c r="J150" s="177"/>
      <c r="K150" s="177"/>
      <c r="L150" s="177"/>
      <c r="M150" s="125"/>
      <c r="N150" s="125"/>
      <c r="O150" s="189"/>
      <c r="P150" s="157"/>
    </row>
    <row r="151" spans="1:16" ht="15.75" customHeight="1">
      <c r="A151" s="157"/>
      <c r="B151" s="190"/>
      <c r="C151" s="195"/>
      <c r="D151" s="196"/>
      <c r="E151" s="197"/>
      <c r="F151" s="198"/>
      <c r="G151" s="198"/>
      <c r="H151" s="196"/>
      <c r="I151" s="197"/>
      <c r="J151" s="177"/>
      <c r="K151" s="177"/>
      <c r="L151" s="177"/>
      <c r="M151" s="125"/>
      <c r="N151" s="125"/>
      <c r="O151" s="189"/>
      <c r="P151" s="157"/>
    </row>
    <row r="152" spans="1:16" ht="15.75" customHeight="1">
      <c r="A152" s="157"/>
      <c r="B152" s="190"/>
      <c r="C152" s="195"/>
      <c r="D152" s="196"/>
      <c r="E152" s="197"/>
      <c r="F152" s="198"/>
      <c r="G152" s="198"/>
      <c r="H152" s="196"/>
      <c r="I152" s="197"/>
      <c r="J152" s="177"/>
      <c r="K152" s="177"/>
      <c r="L152" s="177"/>
      <c r="M152" s="125"/>
      <c r="N152" s="125"/>
      <c r="O152" s="189"/>
      <c r="P152" s="157"/>
    </row>
    <row r="153" spans="1:16" ht="15.75" customHeight="1">
      <c r="A153" s="157"/>
      <c r="B153" s="190"/>
      <c r="C153" s="195"/>
      <c r="D153" s="196"/>
      <c r="E153" s="197"/>
      <c r="F153" s="198"/>
      <c r="G153" s="198"/>
      <c r="H153" s="196"/>
      <c r="I153" s="197"/>
      <c r="J153" s="177"/>
      <c r="K153" s="177"/>
      <c r="L153" s="177"/>
      <c r="M153" s="125"/>
      <c r="N153" s="125"/>
      <c r="O153" s="189"/>
      <c r="P153" s="157"/>
    </row>
    <row r="154" spans="1:16" ht="15.75" customHeight="1">
      <c r="A154" s="157"/>
      <c r="B154" s="190"/>
      <c r="C154" s="195"/>
      <c r="D154" s="196"/>
      <c r="E154" s="197"/>
      <c r="F154" s="198"/>
      <c r="G154" s="198"/>
      <c r="H154" s="196"/>
      <c r="I154" s="197"/>
      <c r="J154" s="177"/>
      <c r="K154" s="177"/>
      <c r="L154" s="177"/>
      <c r="M154" s="125"/>
      <c r="N154" s="125"/>
      <c r="O154" s="189"/>
      <c r="P154" s="157"/>
    </row>
    <row r="155" spans="1:16" ht="15.75" customHeight="1">
      <c r="A155" s="157"/>
      <c r="B155" s="190"/>
      <c r="C155" s="195"/>
      <c r="D155" s="196"/>
      <c r="E155" s="197"/>
      <c r="F155" s="198"/>
      <c r="G155" s="198"/>
      <c r="H155" s="196"/>
      <c r="I155" s="197"/>
      <c r="J155" s="177"/>
      <c r="K155" s="177"/>
      <c r="L155" s="177"/>
      <c r="M155" s="125"/>
      <c r="N155" s="125"/>
      <c r="O155" s="189"/>
      <c r="P155" s="157"/>
    </row>
    <row r="156" spans="1:16" ht="15.75" customHeight="1">
      <c r="A156" s="157"/>
      <c r="B156" s="190"/>
      <c r="C156" s="195"/>
      <c r="D156" s="196"/>
      <c r="E156" s="197"/>
      <c r="F156" s="198"/>
      <c r="G156" s="198"/>
      <c r="H156" s="196"/>
      <c r="I156" s="197"/>
      <c r="J156" s="177"/>
      <c r="K156" s="177"/>
      <c r="L156" s="177"/>
      <c r="M156" s="125"/>
      <c r="N156" s="125"/>
      <c r="O156" s="189"/>
      <c r="P156" s="157"/>
    </row>
    <row r="157" spans="1:16" ht="15.75" customHeight="1">
      <c r="A157" s="157"/>
      <c r="B157" s="190"/>
      <c r="C157" s="195"/>
      <c r="D157" s="196"/>
      <c r="E157" s="197"/>
      <c r="F157" s="198"/>
      <c r="G157" s="198"/>
      <c r="H157" s="196"/>
      <c r="I157" s="197"/>
      <c r="J157" s="177"/>
      <c r="K157" s="177"/>
      <c r="L157" s="177"/>
      <c r="M157" s="125"/>
      <c r="N157" s="125"/>
      <c r="O157" s="189"/>
      <c r="P157" s="157"/>
    </row>
    <row r="158" spans="1:16" ht="15.75" customHeight="1">
      <c r="A158" s="157"/>
      <c r="B158" s="190"/>
      <c r="C158" s="195"/>
      <c r="D158" s="196"/>
      <c r="E158" s="197"/>
      <c r="F158" s="198"/>
      <c r="G158" s="198"/>
      <c r="H158" s="196"/>
      <c r="I158" s="197"/>
      <c r="J158" s="177"/>
      <c r="K158" s="177"/>
      <c r="L158" s="177"/>
      <c r="M158" s="125"/>
      <c r="N158" s="125"/>
      <c r="O158" s="189"/>
      <c r="P158" s="157"/>
    </row>
    <row r="159" spans="1:16" ht="15.75" customHeight="1">
      <c r="A159" s="157"/>
      <c r="B159" s="190"/>
      <c r="C159" s="195"/>
      <c r="D159" s="196"/>
      <c r="E159" s="197"/>
      <c r="F159" s="198"/>
      <c r="G159" s="198"/>
      <c r="H159" s="196"/>
      <c r="I159" s="197"/>
      <c r="J159" s="177"/>
      <c r="K159" s="177"/>
      <c r="L159" s="177"/>
      <c r="M159" s="125"/>
      <c r="N159" s="125"/>
      <c r="O159" s="189"/>
      <c r="P159" s="157"/>
    </row>
    <row r="160" spans="1:16" ht="15.75" customHeight="1">
      <c r="A160" s="157"/>
      <c r="B160" s="190"/>
      <c r="C160" s="195"/>
      <c r="D160" s="196"/>
      <c r="E160" s="197"/>
      <c r="F160" s="198"/>
      <c r="G160" s="198"/>
      <c r="H160" s="196"/>
      <c r="I160" s="197"/>
      <c r="J160" s="177"/>
      <c r="K160" s="177"/>
      <c r="L160" s="177"/>
      <c r="M160" s="125"/>
      <c r="N160" s="125"/>
      <c r="O160" s="189"/>
      <c r="P160" s="157"/>
    </row>
    <row r="161" spans="1:16" ht="15.75" customHeight="1">
      <c r="A161" s="157"/>
      <c r="B161" s="190"/>
      <c r="C161" s="195"/>
      <c r="D161" s="196"/>
      <c r="E161" s="197"/>
      <c r="F161" s="198"/>
      <c r="G161" s="198"/>
      <c r="H161" s="196"/>
      <c r="I161" s="197"/>
      <c r="J161" s="177"/>
      <c r="K161" s="177"/>
      <c r="L161" s="177"/>
      <c r="M161" s="125"/>
      <c r="N161" s="125"/>
      <c r="O161" s="189"/>
      <c r="P161" s="157"/>
    </row>
    <row r="162" spans="1:16" ht="15.75" customHeight="1">
      <c r="A162" s="157"/>
      <c r="B162" s="190"/>
      <c r="C162" s="195"/>
      <c r="D162" s="196"/>
      <c r="E162" s="197"/>
      <c r="F162" s="198"/>
      <c r="G162" s="198"/>
      <c r="H162" s="196"/>
      <c r="I162" s="197"/>
      <c r="J162" s="177"/>
      <c r="K162" s="177"/>
      <c r="L162" s="177"/>
      <c r="M162" s="125"/>
      <c r="N162" s="125"/>
      <c r="O162" s="189"/>
      <c r="P162" s="157"/>
    </row>
    <row r="163" spans="1:16" ht="15.75" customHeight="1">
      <c r="A163" s="157"/>
      <c r="B163" s="190"/>
      <c r="C163" s="195"/>
      <c r="D163" s="196"/>
      <c r="E163" s="197"/>
      <c r="F163" s="198"/>
      <c r="G163" s="198"/>
      <c r="H163" s="196"/>
      <c r="I163" s="197"/>
      <c r="J163" s="177"/>
      <c r="K163" s="177"/>
      <c r="L163" s="177"/>
      <c r="M163" s="125"/>
      <c r="N163" s="125"/>
      <c r="O163" s="189"/>
      <c r="P163" s="157"/>
    </row>
    <row r="164" spans="1:16" ht="15.75" customHeight="1">
      <c r="A164" s="157"/>
      <c r="B164" s="190"/>
      <c r="C164" s="195"/>
      <c r="D164" s="196"/>
      <c r="E164" s="197"/>
      <c r="F164" s="198"/>
      <c r="G164" s="198"/>
      <c r="H164" s="196"/>
      <c r="I164" s="197"/>
      <c r="J164" s="177"/>
      <c r="K164" s="177"/>
      <c r="L164" s="177"/>
      <c r="M164" s="125"/>
      <c r="N164" s="125"/>
      <c r="O164" s="189"/>
      <c r="P164" s="157"/>
    </row>
    <row r="165" spans="1:16" ht="15.75" customHeight="1">
      <c r="A165" s="157"/>
      <c r="B165" s="190"/>
      <c r="C165" s="195"/>
      <c r="D165" s="196"/>
      <c r="E165" s="197"/>
      <c r="F165" s="198"/>
      <c r="G165" s="198"/>
      <c r="H165" s="196"/>
      <c r="I165" s="197"/>
      <c r="J165" s="177"/>
      <c r="K165" s="177"/>
      <c r="L165" s="177"/>
      <c r="M165" s="125"/>
      <c r="N165" s="125"/>
      <c r="O165" s="189"/>
      <c r="P165" s="157"/>
    </row>
    <row r="166" spans="1:16" ht="15.75" customHeight="1">
      <c r="A166" s="157"/>
      <c r="B166" s="190"/>
      <c r="C166" s="195"/>
      <c r="D166" s="196"/>
      <c r="E166" s="197"/>
      <c r="F166" s="198"/>
      <c r="G166" s="198"/>
      <c r="H166" s="196"/>
      <c r="I166" s="197"/>
      <c r="J166" s="177"/>
      <c r="K166" s="177"/>
      <c r="L166" s="177"/>
      <c r="M166" s="125"/>
      <c r="N166" s="125"/>
      <c r="O166" s="189"/>
      <c r="P166" s="157"/>
    </row>
    <row r="167" spans="1:16" ht="15.75" customHeight="1">
      <c r="A167" s="157"/>
      <c r="B167" s="190"/>
      <c r="C167" s="195"/>
      <c r="D167" s="196"/>
      <c r="E167" s="197"/>
      <c r="F167" s="198"/>
      <c r="G167" s="198"/>
      <c r="H167" s="196"/>
      <c r="I167" s="197"/>
      <c r="J167" s="177"/>
      <c r="K167" s="177"/>
      <c r="L167" s="177"/>
      <c r="M167" s="125"/>
      <c r="N167" s="125"/>
      <c r="O167" s="189"/>
      <c r="P167" s="157"/>
    </row>
    <row r="168" spans="1:16" ht="15.75" customHeight="1">
      <c r="A168" s="157"/>
      <c r="B168" s="190"/>
      <c r="C168" s="195"/>
      <c r="D168" s="196"/>
      <c r="E168" s="197"/>
      <c r="F168" s="198"/>
      <c r="G168" s="198"/>
      <c r="H168" s="196"/>
      <c r="I168" s="197"/>
      <c r="J168" s="177"/>
      <c r="K168" s="177"/>
      <c r="L168" s="177"/>
      <c r="M168" s="125"/>
      <c r="N168" s="125"/>
      <c r="O168" s="189"/>
      <c r="P168" s="157"/>
    </row>
    <row r="169" spans="1:16" ht="15.75" customHeight="1">
      <c r="A169" s="157"/>
      <c r="B169" s="190"/>
      <c r="C169" s="195"/>
      <c r="D169" s="196"/>
      <c r="E169" s="197"/>
      <c r="F169" s="198"/>
      <c r="G169" s="198"/>
      <c r="H169" s="196"/>
      <c r="I169" s="197"/>
      <c r="J169" s="177"/>
      <c r="K169" s="177"/>
      <c r="L169" s="177"/>
      <c r="M169" s="125"/>
      <c r="N169" s="125"/>
      <c r="O169" s="189"/>
      <c r="P169" s="157"/>
    </row>
    <row r="170" spans="1:16" ht="15.75" customHeight="1">
      <c r="A170" s="157"/>
      <c r="B170" s="190"/>
      <c r="C170" s="195"/>
      <c r="D170" s="196"/>
      <c r="E170" s="197"/>
      <c r="F170" s="198"/>
      <c r="G170" s="198"/>
      <c r="H170" s="196"/>
      <c r="I170" s="197"/>
      <c r="J170" s="177"/>
      <c r="K170" s="177"/>
      <c r="L170" s="177"/>
      <c r="M170" s="125"/>
      <c r="N170" s="125"/>
      <c r="O170" s="189"/>
      <c r="P170" s="157"/>
    </row>
    <row r="171" spans="1:16" ht="15.75" customHeight="1">
      <c r="A171" s="157"/>
      <c r="B171" s="190"/>
      <c r="C171" s="195"/>
      <c r="D171" s="196"/>
      <c r="E171" s="197"/>
      <c r="F171" s="198"/>
      <c r="G171" s="198"/>
      <c r="H171" s="196"/>
      <c r="I171" s="197"/>
      <c r="J171" s="177"/>
      <c r="K171" s="177"/>
      <c r="L171" s="177"/>
      <c r="M171" s="125"/>
      <c r="N171" s="125"/>
      <c r="O171" s="189"/>
      <c r="P171" s="157"/>
    </row>
    <row r="172" spans="1:16" ht="15.75" customHeight="1">
      <c r="A172" s="157"/>
      <c r="B172" s="190"/>
      <c r="C172" s="195"/>
      <c r="D172" s="196"/>
      <c r="E172" s="197"/>
      <c r="F172" s="198"/>
      <c r="G172" s="198"/>
      <c r="H172" s="196"/>
      <c r="I172" s="197"/>
      <c r="J172" s="177"/>
      <c r="K172" s="177"/>
      <c r="L172" s="177"/>
      <c r="M172" s="125"/>
      <c r="N172" s="125"/>
      <c r="O172" s="189"/>
      <c r="P172" s="157"/>
    </row>
    <row r="173" spans="1:16" ht="15.75" customHeight="1">
      <c r="A173" s="157"/>
      <c r="B173" s="190"/>
      <c r="C173" s="195"/>
      <c r="D173" s="196"/>
      <c r="E173" s="197"/>
      <c r="F173" s="198"/>
      <c r="G173" s="198"/>
      <c r="H173" s="196"/>
      <c r="I173" s="197"/>
      <c r="J173" s="177"/>
      <c r="K173" s="177"/>
      <c r="L173" s="177"/>
      <c r="M173" s="125"/>
      <c r="N173" s="125"/>
      <c r="O173" s="189"/>
      <c r="P173" s="157"/>
    </row>
    <row r="174" spans="1:16" ht="15.75" customHeight="1">
      <c r="A174" s="157"/>
      <c r="B174" s="190"/>
      <c r="C174" s="195"/>
      <c r="D174" s="196"/>
      <c r="E174" s="197"/>
      <c r="F174" s="198"/>
      <c r="G174" s="198"/>
      <c r="H174" s="196"/>
      <c r="I174" s="197"/>
      <c r="J174" s="177"/>
      <c r="K174" s="177"/>
      <c r="L174" s="177"/>
      <c r="M174" s="125"/>
      <c r="N174" s="125"/>
      <c r="O174" s="189"/>
      <c r="P174" s="157"/>
    </row>
    <row r="175" spans="1:16" ht="15.75" customHeight="1">
      <c r="A175" s="157"/>
      <c r="B175" s="190"/>
      <c r="C175" s="195"/>
      <c r="D175" s="196"/>
      <c r="E175" s="197"/>
      <c r="F175" s="198"/>
      <c r="G175" s="198"/>
      <c r="H175" s="196"/>
      <c r="I175" s="197"/>
      <c r="J175" s="177"/>
      <c r="K175" s="177"/>
      <c r="L175" s="177"/>
      <c r="M175" s="125"/>
      <c r="N175" s="125"/>
      <c r="O175" s="189"/>
      <c r="P175" s="157"/>
    </row>
    <row r="176" spans="1:16" ht="15.75" customHeight="1">
      <c r="A176" s="157"/>
      <c r="B176" s="190"/>
      <c r="C176" s="195"/>
      <c r="D176" s="196"/>
      <c r="E176" s="197"/>
      <c r="F176" s="198"/>
      <c r="G176" s="198"/>
      <c r="H176" s="196"/>
      <c r="I176" s="197"/>
      <c r="J176" s="177"/>
      <c r="K176" s="177"/>
      <c r="L176" s="177"/>
      <c r="M176" s="125"/>
      <c r="N176" s="125"/>
      <c r="O176" s="189"/>
      <c r="P176" s="157"/>
    </row>
    <row r="177" spans="1:16" ht="15.75" customHeight="1">
      <c r="A177" s="157"/>
      <c r="B177" s="190"/>
      <c r="C177" s="195"/>
      <c r="D177" s="196"/>
      <c r="E177" s="197"/>
      <c r="F177" s="198"/>
      <c r="G177" s="198"/>
      <c r="H177" s="196"/>
      <c r="I177" s="197"/>
      <c r="J177" s="177"/>
      <c r="K177" s="177"/>
      <c r="L177" s="177"/>
      <c r="M177" s="125"/>
      <c r="N177" s="125"/>
      <c r="O177" s="189"/>
      <c r="P177" s="157"/>
    </row>
    <row r="178" spans="1:16" ht="15.75" customHeight="1">
      <c r="A178" s="157"/>
      <c r="B178" s="190"/>
      <c r="C178" s="195"/>
      <c r="D178" s="196"/>
      <c r="E178" s="197"/>
      <c r="F178" s="198"/>
      <c r="G178" s="198"/>
      <c r="H178" s="196"/>
      <c r="I178" s="197"/>
      <c r="J178" s="177"/>
      <c r="K178" s="177"/>
      <c r="L178" s="177"/>
      <c r="M178" s="125"/>
      <c r="N178" s="125"/>
      <c r="O178" s="189"/>
      <c r="P178" s="157"/>
    </row>
    <row r="179" spans="1:16" ht="15.75" customHeight="1">
      <c r="A179" s="157"/>
      <c r="B179" s="190"/>
      <c r="C179" s="195"/>
      <c r="D179" s="196"/>
      <c r="E179" s="197"/>
      <c r="F179" s="198"/>
      <c r="G179" s="198"/>
      <c r="H179" s="196"/>
      <c r="I179" s="197"/>
      <c r="J179" s="177"/>
      <c r="K179" s="177"/>
      <c r="L179" s="177"/>
      <c r="M179" s="125"/>
      <c r="N179" s="125"/>
      <c r="O179" s="189"/>
      <c r="P179" s="157"/>
    </row>
    <row r="180" spans="1:16" ht="15.75" customHeight="1">
      <c r="A180" s="157"/>
      <c r="B180" s="190"/>
      <c r="C180" s="195"/>
      <c r="D180" s="196"/>
      <c r="E180" s="197"/>
      <c r="F180" s="198"/>
      <c r="G180" s="198"/>
      <c r="H180" s="196"/>
      <c r="I180" s="197"/>
      <c r="J180" s="177"/>
      <c r="K180" s="177"/>
      <c r="L180" s="177"/>
      <c r="M180" s="125"/>
      <c r="N180" s="125"/>
      <c r="O180" s="189"/>
      <c r="P180" s="157"/>
    </row>
    <row r="181" spans="1:16" ht="15.75" customHeight="1">
      <c r="A181" s="157"/>
      <c r="B181" s="190"/>
      <c r="C181" s="195"/>
      <c r="D181" s="196"/>
      <c r="E181" s="197"/>
      <c r="F181" s="198"/>
      <c r="G181" s="198"/>
      <c r="H181" s="196"/>
      <c r="I181" s="197"/>
      <c r="J181" s="177"/>
      <c r="K181" s="177"/>
      <c r="L181" s="177"/>
      <c r="M181" s="125"/>
      <c r="N181" s="125"/>
      <c r="O181" s="189"/>
      <c r="P181" s="157"/>
    </row>
    <row r="182" spans="1:16" ht="15.75" customHeight="1">
      <c r="A182" s="157"/>
      <c r="B182" s="190"/>
      <c r="C182" s="195"/>
      <c r="D182" s="196"/>
      <c r="E182" s="197"/>
      <c r="F182" s="198"/>
      <c r="G182" s="198"/>
      <c r="H182" s="196"/>
      <c r="I182" s="197"/>
      <c r="J182" s="177"/>
      <c r="K182" s="177"/>
      <c r="L182" s="177"/>
      <c r="M182" s="125"/>
      <c r="N182" s="125"/>
      <c r="O182" s="189"/>
      <c r="P182" s="157"/>
    </row>
    <row r="183" spans="1:16" ht="15.75" customHeight="1">
      <c r="A183" s="157"/>
      <c r="B183" s="190"/>
      <c r="C183" s="195"/>
      <c r="D183" s="196"/>
      <c r="E183" s="197"/>
      <c r="F183" s="198"/>
      <c r="G183" s="198"/>
      <c r="H183" s="196"/>
      <c r="I183" s="197"/>
      <c r="J183" s="177"/>
      <c r="K183" s="177"/>
      <c r="L183" s="177"/>
      <c r="M183" s="125"/>
      <c r="N183" s="125"/>
      <c r="O183" s="189"/>
      <c r="P183" s="157"/>
    </row>
    <row r="184" spans="1:16" ht="15.75" customHeight="1">
      <c r="A184" s="157"/>
      <c r="B184" s="190"/>
      <c r="C184" s="195"/>
      <c r="D184" s="196"/>
      <c r="E184" s="197"/>
      <c r="F184" s="198"/>
      <c r="G184" s="198"/>
      <c r="H184" s="196"/>
      <c r="I184" s="197"/>
      <c r="J184" s="177"/>
      <c r="K184" s="177"/>
      <c r="L184" s="177"/>
      <c r="M184" s="125"/>
      <c r="N184" s="125"/>
      <c r="O184" s="189"/>
      <c r="P184" s="157"/>
    </row>
    <row r="185" spans="1:16" ht="15.75" customHeight="1">
      <c r="A185" s="157"/>
      <c r="B185" s="190"/>
      <c r="C185" s="195"/>
      <c r="D185" s="196"/>
      <c r="E185" s="197"/>
      <c r="F185" s="198"/>
      <c r="G185" s="198"/>
      <c r="H185" s="196"/>
      <c r="I185" s="197"/>
      <c r="J185" s="177"/>
      <c r="K185" s="177"/>
      <c r="L185" s="177"/>
      <c r="M185" s="125"/>
      <c r="N185" s="125"/>
      <c r="O185" s="189"/>
      <c r="P185" s="157"/>
    </row>
    <row r="186" spans="1:16" ht="15.75" customHeight="1">
      <c r="A186" s="157"/>
      <c r="B186" s="190"/>
      <c r="C186" s="195"/>
      <c r="D186" s="196"/>
      <c r="E186" s="197"/>
      <c r="F186" s="198"/>
      <c r="G186" s="198"/>
      <c r="H186" s="196"/>
      <c r="I186" s="197"/>
      <c r="J186" s="177"/>
      <c r="K186" s="177"/>
      <c r="L186" s="177"/>
      <c r="M186" s="125"/>
      <c r="N186" s="125"/>
      <c r="O186" s="189"/>
      <c r="P186" s="157"/>
    </row>
    <row r="187" spans="1:16" ht="15.75" customHeight="1">
      <c r="A187" s="157"/>
      <c r="B187" s="190"/>
      <c r="C187" s="195"/>
      <c r="D187" s="196"/>
      <c r="E187" s="197"/>
      <c r="F187" s="198"/>
      <c r="G187" s="198"/>
      <c r="H187" s="196"/>
      <c r="I187" s="197"/>
      <c r="J187" s="177"/>
      <c r="K187" s="177"/>
      <c r="L187" s="177"/>
      <c r="M187" s="125"/>
      <c r="N187" s="125"/>
      <c r="O187" s="189"/>
      <c r="P187" s="157"/>
    </row>
    <row r="188" spans="1:16" ht="15.75" customHeight="1">
      <c r="A188" s="157"/>
      <c r="B188" s="190"/>
      <c r="C188" s="195"/>
      <c r="D188" s="196"/>
      <c r="E188" s="197"/>
      <c r="F188" s="198"/>
      <c r="G188" s="198"/>
      <c r="H188" s="196"/>
      <c r="I188" s="197"/>
      <c r="J188" s="177"/>
      <c r="K188" s="177"/>
      <c r="L188" s="177"/>
      <c r="M188" s="125"/>
      <c r="N188" s="125"/>
      <c r="O188" s="189"/>
      <c r="P188" s="157"/>
    </row>
    <row r="189" spans="1:16" ht="15.75" customHeight="1">
      <c r="A189" s="157"/>
      <c r="B189" s="190"/>
      <c r="C189" s="195"/>
      <c r="D189" s="196"/>
      <c r="E189" s="197"/>
      <c r="F189" s="198"/>
      <c r="G189" s="198"/>
      <c r="H189" s="196"/>
      <c r="I189" s="197"/>
      <c r="J189" s="177"/>
      <c r="K189" s="177"/>
      <c r="L189" s="177"/>
      <c r="M189" s="125"/>
      <c r="N189" s="125"/>
      <c r="O189" s="189"/>
      <c r="P189" s="157"/>
    </row>
    <row r="190" spans="1:16" ht="15.75" customHeight="1">
      <c r="A190" s="157"/>
      <c r="B190" s="190"/>
      <c r="C190" s="195"/>
      <c r="D190" s="196"/>
      <c r="E190" s="197"/>
      <c r="F190" s="198"/>
      <c r="G190" s="198"/>
      <c r="H190" s="196"/>
      <c r="I190" s="197"/>
      <c r="J190" s="177"/>
      <c r="K190" s="177"/>
      <c r="L190" s="177"/>
      <c r="M190" s="125"/>
      <c r="N190" s="125"/>
      <c r="O190" s="189"/>
      <c r="P190" s="157"/>
    </row>
    <row r="191" spans="1:16" ht="15.75" customHeight="1">
      <c r="A191" s="157"/>
      <c r="B191" s="190"/>
      <c r="C191" s="195"/>
      <c r="D191" s="196"/>
      <c r="E191" s="197"/>
      <c r="F191" s="198"/>
      <c r="G191" s="198"/>
      <c r="H191" s="196"/>
      <c r="I191" s="197"/>
      <c r="J191" s="177"/>
      <c r="K191" s="177"/>
      <c r="L191" s="177"/>
      <c r="M191" s="125"/>
      <c r="N191" s="125"/>
      <c r="O191" s="189"/>
      <c r="P191" s="157"/>
    </row>
    <row r="192" spans="1:16" ht="15.75" customHeight="1">
      <c r="A192" s="157"/>
      <c r="B192" s="190"/>
      <c r="C192" s="195"/>
      <c r="D192" s="196"/>
      <c r="E192" s="197"/>
      <c r="F192" s="198"/>
      <c r="G192" s="198"/>
      <c r="H192" s="196"/>
      <c r="I192" s="197"/>
      <c r="J192" s="177"/>
      <c r="K192" s="177"/>
      <c r="L192" s="177"/>
      <c r="M192" s="125"/>
      <c r="N192" s="125"/>
      <c r="O192" s="189"/>
      <c r="P192" s="157"/>
    </row>
    <row r="193" spans="1:16" ht="15.75" customHeight="1">
      <c r="A193" s="157"/>
      <c r="B193" s="190"/>
      <c r="C193" s="195"/>
      <c r="D193" s="196"/>
      <c r="E193" s="197"/>
      <c r="F193" s="198"/>
      <c r="G193" s="198"/>
      <c r="H193" s="196"/>
      <c r="I193" s="197"/>
      <c r="J193" s="177"/>
      <c r="K193" s="177"/>
      <c r="L193" s="177"/>
      <c r="M193" s="125"/>
      <c r="N193" s="125"/>
      <c r="O193" s="189"/>
      <c r="P193" s="157"/>
    </row>
    <row r="194" spans="1:16" ht="15.75" customHeight="1">
      <c r="A194" s="157"/>
      <c r="B194" s="190"/>
      <c r="C194" s="195"/>
      <c r="D194" s="196"/>
      <c r="E194" s="197"/>
      <c r="F194" s="198"/>
      <c r="G194" s="198"/>
      <c r="H194" s="196"/>
      <c r="I194" s="197"/>
      <c r="J194" s="177"/>
      <c r="K194" s="177"/>
      <c r="L194" s="177"/>
      <c r="M194" s="125"/>
      <c r="N194" s="125"/>
      <c r="O194" s="189"/>
      <c r="P194" s="157"/>
    </row>
    <row r="195" spans="1:16" ht="15.75" customHeight="1">
      <c r="A195" s="157"/>
      <c r="B195" s="190"/>
      <c r="C195" s="195"/>
      <c r="D195" s="196"/>
      <c r="E195" s="197"/>
      <c r="F195" s="198"/>
      <c r="G195" s="198"/>
      <c r="H195" s="196"/>
      <c r="I195" s="197"/>
      <c r="J195" s="177"/>
      <c r="K195" s="177"/>
      <c r="L195" s="177"/>
      <c r="M195" s="125"/>
      <c r="N195" s="125"/>
      <c r="O195" s="189"/>
      <c r="P195" s="157"/>
    </row>
    <row r="196" spans="1:16" ht="15.75" customHeight="1">
      <c r="A196" s="157"/>
      <c r="B196" s="190"/>
      <c r="C196" s="195"/>
      <c r="D196" s="196"/>
      <c r="E196" s="197"/>
      <c r="F196" s="198"/>
      <c r="G196" s="198"/>
      <c r="H196" s="196"/>
      <c r="I196" s="197"/>
      <c r="J196" s="177"/>
      <c r="K196" s="177"/>
      <c r="L196" s="177"/>
      <c r="M196" s="125"/>
      <c r="N196" s="125"/>
      <c r="O196" s="189"/>
      <c r="P196" s="157"/>
    </row>
    <row r="197" spans="1:16" ht="15.75" customHeight="1">
      <c r="A197" s="157"/>
      <c r="B197" s="190"/>
      <c r="C197" s="195"/>
      <c r="D197" s="196"/>
      <c r="E197" s="197"/>
      <c r="F197" s="198"/>
      <c r="G197" s="198"/>
      <c r="H197" s="196"/>
      <c r="I197" s="197"/>
      <c r="J197" s="177"/>
      <c r="K197" s="177"/>
      <c r="L197" s="177"/>
      <c r="M197" s="125"/>
      <c r="N197" s="125"/>
      <c r="O197" s="189"/>
      <c r="P197" s="157"/>
    </row>
    <row r="198" spans="1:16" ht="15.75" customHeight="1">
      <c r="A198" s="157"/>
      <c r="B198" s="190"/>
      <c r="C198" s="195"/>
      <c r="D198" s="196"/>
      <c r="E198" s="197"/>
      <c r="F198" s="198"/>
      <c r="G198" s="198"/>
      <c r="H198" s="196"/>
      <c r="I198" s="197"/>
      <c r="J198" s="177"/>
      <c r="K198" s="177"/>
      <c r="L198" s="177"/>
      <c r="M198" s="125"/>
      <c r="N198" s="125"/>
      <c r="O198" s="189"/>
      <c r="P198" s="157"/>
    </row>
    <row r="199" spans="1:16" ht="15.75" customHeight="1">
      <c r="A199" s="157"/>
      <c r="B199" s="190"/>
      <c r="C199" s="195"/>
      <c r="D199" s="196"/>
      <c r="E199" s="197"/>
      <c r="F199" s="198"/>
      <c r="G199" s="198"/>
      <c r="H199" s="196"/>
      <c r="I199" s="197"/>
      <c r="J199" s="177"/>
      <c r="K199" s="177"/>
      <c r="L199" s="177"/>
      <c r="M199" s="125"/>
      <c r="N199" s="125"/>
      <c r="O199" s="189"/>
      <c r="P199" s="157"/>
    </row>
    <row r="200" spans="1:16" ht="15.75" customHeight="1">
      <c r="A200" s="157"/>
      <c r="B200" s="190"/>
      <c r="C200" s="195"/>
      <c r="D200" s="196"/>
      <c r="E200" s="197"/>
      <c r="F200" s="198"/>
      <c r="G200" s="198"/>
      <c r="H200" s="196"/>
      <c r="I200" s="197"/>
      <c r="J200" s="177"/>
      <c r="K200" s="177"/>
      <c r="L200" s="177"/>
      <c r="M200" s="125"/>
      <c r="N200" s="125"/>
      <c r="O200" s="189"/>
      <c r="P200" s="157"/>
    </row>
    <row r="201" spans="1:16" ht="15.75" customHeight="1">
      <c r="A201" s="157"/>
      <c r="B201" s="190"/>
      <c r="C201" s="195"/>
      <c r="D201" s="196"/>
      <c r="E201" s="197"/>
      <c r="F201" s="198"/>
      <c r="G201" s="198"/>
      <c r="H201" s="196"/>
      <c r="I201" s="197"/>
      <c r="J201" s="177"/>
      <c r="K201" s="177"/>
      <c r="L201" s="177"/>
      <c r="M201" s="125"/>
      <c r="N201" s="125"/>
      <c r="O201" s="189"/>
      <c r="P201" s="157"/>
    </row>
    <row r="202" spans="1:16" ht="15.75" customHeight="1">
      <c r="A202" s="157"/>
      <c r="B202" s="190"/>
      <c r="C202" s="195"/>
      <c r="D202" s="196"/>
      <c r="E202" s="197"/>
      <c r="F202" s="198"/>
      <c r="G202" s="198"/>
      <c r="H202" s="196"/>
      <c r="I202" s="197"/>
      <c r="J202" s="177"/>
      <c r="K202" s="177"/>
      <c r="L202" s="177"/>
      <c r="M202" s="125"/>
      <c r="N202" s="125"/>
      <c r="O202" s="189"/>
      <c r="P202" s="157"/>
    </row>
    <row r="203" spans="1:16" ht="15.75" customHeight="1">
      <c r="A203" s="157"/>
      <c r="B203" s="190"/>
      <c r="C203" s="195"/>
      <c r="D203" s="196"/>
      <c r="E203" s="197"/>
      <c r="F203" s="198"/>
      <c r="G203" s="198"/>
      <c r="H203" s="196"/>
      <c r="I203" s="197"/>
      <c r="J203" s="177"/>
      <c r="K203" s="177"/>
      <c r="L203" s="177"/>
      <c r="M203" s="125"/>
      <c r="N203" s="125"/>
      <c r="O203" s="189"/>
      <c r="P203" s="157"/>
    </row>
    <row r="204" spans="1:16" ht="15.75" customHeight="1">
      <c r="A204" s="157"/>
      <c r="B204" s="190"/>
      <c r="C204" s="195"/>
      <c r="D204" s="196"/>
      <c r="E204" s="197"/>
      <c r="F204" s="198"/>
      <c r="G204" s="198"/>
      <c r="H204" s="196"/>
      <c r="I204" s="197"/>
      <c r="J204" s="177"/>
      <c r="K204" s="177"/>
      <c r="L204" s="177"/>
      <c r="M204" s="125"/>
      <c r="N204" s="125"/>
      <c r="O204" s="189"/>
      <c r="P204" s="157"/>
    </row>
    <row r="205" spans="1:16" ht="15.75" customHeight="1">
      <c r="A205" s="157"/>
      <c r="B205" s="190"/>
      <c r="C205" s="195"/>
      <c r="D205" s="196"/>
      <c r="E205" s="197"/>
      <c r="F205" s="198"/>
      <c r="G205" s="198"/>
      <c r="H205" s="196"/>
      <c r="I205" s="197"/>
      <c r="J205" s="177"/>
      <c r="K205" s="177"/>
      <c r="L205" s="177"/>
      <c r="M205" s="125"/>
      <c r="N205" s="125"/>
      <c r="O205" s="189"/>
      <c r="P205" s="157"/>
    </row>
    <row r="206" spans="1:16" ht="15.75" customHeight="1">
      <c r="A206" s="157"/>
      <c r="B206" s="190"/>
      <c r="C206" s="195"/>
      <c r="D206" s="196"/>
      <c r="E206" s="197"/>
      <c r="F206" s="198"/>
      <c r="G206" s="198"/>
      <c r="H206" s="196"/>
      <c r="I206" s="197"/>
      <c r="J206" s="177"/>
      <c r="K206" s="177"/>
      <c r="L206" s="177"/>
      <c r="M206" s="125"/>
      <c r="N206" s="125"/>
      <c r="O206" s="189"/>
      <c r="P206" s="157"/>
    </row>
    <row r="207" spans="1:16" ht="15.75" customHeight="1">
      <c r="A207" s="157"/>
      <c r="B207" s="190"/>
      <c r="C207" s="195"/>
      <c r="D207" s="196"/>
      <c r="E207" s="197"/>
      <c r="F207" s="198"/>
      <c r="G207" s="198"/>
      <c r="H207" s="196"/>
      <c r="I207" s="197"/>
      <c r="J207" s="177"/>
      <c r="K207" s="177"/>
      <c r="L207" s="177"/>
      <c r="M207" s="125"/>
      <c r="N207" s="125"/>
      <c r="O207" s="189"/>
      <c r="P207" s="157"/>
    </row>
    <row r="208" spans="1:16" ht="15.75" customHeight="1">
      <c r="A208" s="157"/>
      <c r="B208" s="190"/>
      <c r="C208" s="195"/>
      <c r="D208" s="196"/>
      <c r="E208" s="197"/>
      <c r="F208" s="198"/>
      <c r="G208" s="198"/>
      <c r="H208" s="196"/>
      <c r="I208" s="197"/>
      <c r="J208" s="177"/>
      <c r="K208" s="177"/>
      <c r="L208" s="177"/>
      <c r="M208" s="125"/>
      <c r="N208" s="125"/>
      <c r="O208" s="189"/>
      <c r="P208" s="157"/>
    </row>
    <row r="209" spans="1:16" ht="15.75" customHeight="1">
      <c r="A209" s="157"/>
      <c r="B209" s="190"/>
      <c r="C209" s="195"/>
      <c r="D209" s="196"/>
      <c r="E209" s="197"/>
      <c r="F209" s="198"/>
      <c r="G209" s="198"/>
      <c r="H209" s="196"/>
      <c r="I209" s="197"/>
      <c r="J209" s="177"/>
      <c r="K209" s="177"/>
      <c r="L209" s="177"/>
      <c r="M209" s="125"/>
      <c r="N209" s="125"/>
      <c r="O209" s="189"/>
      <c r="P209" s="157"/>
    </row>
    <row r="210" spans="1:16" ht="15.75" customHeight="1">
      <c r="A210" s="157"/>
      <c r="B210" s="190"/>
      <c r="C210" s="195"/>
      <c r="D210" s="196"/>
      <c r="E210" s="197"/>
      <c r="F210" s="198"/>
      <c r="G210" s="198"/>
      <c r="H210" s="196"/>
      <c r="I210" s="197"/>
      <c r="J210" s="177"/>
      <c r="K210" s="177"/>
      <c r="L210" s="177"/>
      <c r="M210" s="125"/>
      <c r="N210" s="125"/>
      <c r="O210" s="189"/>
      <c r="P210" s="157"/>
    </row>
    <row r="211" spans="1:16" ht="15.75" customHeight="1">
      <c r="A211" s="157"/>
      <c r="B211" s="190"/>
      <c r="C211" s="195"/>
      <c r="D211" s="196"/>
      <c r="E211" s="197"/>
      <c r="F211" s="198"/>
      <c r="G211" s="198"/>
      <c r="H211" s="196"/>
      <c r="I211" s="197"/>
      <c r="J211" s="177"/>
      <c r="K211" s="177"/>
      <c r="L211" s="177"/>
      <c r="M211" s="125"/>
      <c r="N211" s="125"/>
      <c r="O211" s="189"/>
      <c r="P211" s="157"/>
    </row>
    <row r="212" spans="1:16" ht="15.75" customHeight="1">
      <c r="A212" s="157"/>
      <c r="B212" s="190"/>
      <c r="C212" s="195"/>
      <c r="D212" s="196"/>
      <c r="E212" s="197"/>
      <c r="F212" s="198"/>
      <c r="G212" s="198"/>
      <c r="H212" s="196"/>
      <c r="I212" s="197"/>
      <c r="J212" s="177"/>
      <c r="K212" s="177"/>
      <c r="L212" s="177"/>
      <c r="M212" s="125"/>
      <c r="N212" s="125"/>
      <c r="O212" s="189"/>
      <c r="P212" s="157"/>
    </row>
    <row r="213" spans="1:16" ht="15.75" customHeight="1">
      <c r="A213" s="157"/>
      <c r="B213" s="190"/>
      <c r="C213" s="195"/>
      <c r="D213" s="196"/>
      <c r="E213" s="197"/>
      <c r="F213" s="198"/>
      <c r="G213" s="198"/>
      <c r="H213" s="196"/>
      <c r="I213" s="197"/>
      <c r="J213" s="177"/>
      <c r="K213" s="177"/>
      <c r="L213" s="177"/>
      <c r="M213" s="125"/>
      <c r="N213" s="125"/>
      <c r="O213" s="189"/>
      <c r="P213" s="157"/>
    </row>
    <row r="214" spans="1:16" ht="15.75" customHeight="1">
      <c r="A214" s="157"/>
      <c r="B214" s="190"/>
      <c r="C214" s="195"/>
      <c r="D214" s="196"/>
      <c r="E214" s="197"/>
      <c r="F214" s="198"/>
      <c r="G214" s="198"/>
      <c r="H214" s="196"/>
      <c r="I214" s="197"/>
      <c r="J214" s="177"/>
      <c r="K214" s="177"/>
      <c r="L214" s="177"/>
      <c r="M214" s="125"/>
      <c r="N214" s="125"/>
      <c r="O214" s="189"/>
      <c r="P214" s="157"/>
    </row>
    <row r="215" spans="1:16" ht="15.75" customHeight="1">
      <c r="A215" s="157"/>
      <c r="B215" s="190"/>
      <c r="C215" s="195"/>
      <c r="D215" s="196"/>
      <c r="E215" s="197"/>
      <c r="F215" s="198"/>
      <c r="G215" s="198"/>
      <c r="H215" s="196"/>
      <c r="I215" s="197"/>
      <c r="J215" s="177"/>
      <c r="K215" s="177"/>
      <c r="L215" s="177"/>
      <c r="M215" s="125"/>
      <c r="N215" s="125"/>
      <c r="O215" s="189"/>
      <c r="P215" s="157"/>
    </row>
    <row r="216" spans="1:16" ht="15.75" customHeight="1">
      <c r="A216" s="157"/>
      <c r="B216" s="190"/>
      <c r="C216" s="195"/>
      <c r="D216" s="196"/>
      <c r="E216" s="197"/>
      <c r="F216" s="198"/>
      <c r="G216" s="198"/>
      <c r="H216" s="196"/>
      <c r="I216" s="197"/>
      <c r="J216" s="177"/>
      <c r="K216" s="177"/>
      <c r="L216" s="177"/>
      <c r="M216" s="125"/>
      <c r="N216" s="125"/>
      <c r="O216" s="189"/>
      <c r="P216" s="157"/>
    </row>
    <row r="217" spans="1:16" ht="15.75" customHeight="1">
      <c r="A217" s="157"/>
      <c r="B217" s="190"/>
      <c r="C217" s="195"/>
      <c r="D217" s="196"/>
      <c r="E217" s="197"/>
      <c r="F217" s="198"/>
      <c r="G217" s="198"/>
      <c r="H217" s="196"/>
      <c r="I217" s="197"/>
      <c r="J217" s="177"/>
      <c r="K217" s="177"/>
      <c r="L217" s="177"/>
      <c r="M217" s="125"/>
      <c r="N217" s="125"/>
      <c r="O217" s="189"/>
      <c r="P217" s="157"/>
    </row>
    <row r="218" spans="1:16" ht="15.75" customHeight="1">
      <c r="A218" s="157"/>
      <c r="B218" s="190"/>
      <c r="C218" s="195"/>
      <c r="D218" s="196"/>
      <c r="E218" s="197"/>
      <c r="F218" s="198"/>
      <c r="G218" s="198"/>
      <c r="H218" s="196"/>
      <c r="I218" s="197"/>
      <c r="J218" s="177"/>
      <c r="K218" s="177"/>
      <c r="L218" s="177"/>
      <c r="M218" s="125"/>
      <c r="N218" s="125"/>
      <c r="O218" s="189"/>
      <c r="P218" s="157"/>
    </row>
    <row r="219" spans="1:16" ht="15.75" customHeight="1">
      <c r="A219" s="157"/>
      <c r="B219" s="190"/>
      <c r="C219" s="195"/>
      <c r="D219" s="196"/>
      <c r="E219" s="197"/>
      <c r="F219" s="198"/>
      <c r="G219" s="198"/>
      <c r="H219" s="196"/>
      <c r="I219" s="197"/>
      <c r="J219" s="177"/>
      <c r="K219" s="177"/>
      <c r="L219" s="177"/>
      <c r="M219" s="125"/>
      <c r="N219" s="125"/>
      <c r="O219" s="189"/>
      <c r="P219" s="157"/>
    </row>
    <row r="220" spans="1:16" ht="15.75" customHeight="1">
      <c r="A220" s="157"/>
      <c r="B220" s="190"/>
      <c r="C220" s="195"/>
      <c r="D220" s="196"/>
      <c r="E220" s="197"/>
      <c r="F220" s="198"/>
      <c r="G220" s="198"/>
      <c r="H220" s="196"/>
      <c r="I220" s="197"/>
      <c r="J220" s="177"/>
      <c r="K220" s="177"/>
      <c r="L220" s="177"/>
      <c r="M220" s="125"/>
      <c r="N220" s="125"/>
      <c r="O220" s="189"/>
      <c r="P220" s="157"/>
    </row>
    <row r="221" spans="1:16" ht="15.75" customHeight="1">
      <c r="A221" s="157"/>
      <c r="B221" s="190"/>
      <c r="C221" s="195"/>
      <c r="D221" s="196"/>
      <c r="E221" s="197"/>
      <c r="F221" s="198"/>
      <c r="G221" s="198"/>
      <c r="H221" s="196"/>
      <c r="I221" s="197"/>
      <c r="J221" s="177"/>
      <c r="K221" s="177"/>
      <c r="L221" s="177"/>
      <c r="M221" s="125"/>
      <c r="N221" s="125"/>
      <c r="O221" s="189"/>
      <c r="P221" s="157"/>
    </row>
    <row r="222" spans="1:16" ht="15.75" customHeight="1">
      <c r="A222" s="157"/>
      <c r="B222" s="190"/>
      <c r="C222" s="195"/>
      <c r="D222" s="196"/>
      <c r="E222" s="197"/>
      <c r="F222" s="198"/>
      <c r="G222" s="198"/>
      <c r="H222" s="196"/>
      <c r="I222" s="197"/>
      <c r="J222" s="177"/>
      <c r="K222" s="177"/>
      <c r="L222" s="177"/>
      <c r="M222" s="125"/>
      <c r="N222" s="125"/>
      <c r="O222" s="189"/>
      <c r="P222" s="157"/>
    </row>
    <row r="223" spans="1:16" ht="15.75" customHeight="1">
      <c r="A223" s="157"/>
      <c r="B223" s="190"/>
      <c r="C223" s="195"/>
      <c r="D223" s="196"/>
      <c r="E223" s="197"/>
      <c r="F223" s="198"/>
      <c r="G223" s="198"/>
      <c r="H223" s="196"/>
      <c r="I223" s="197"/>
      <c r="J223" s="177"/>
      <c r="K223" s="177"/>
      <c r="L223" s="177"/>
      <c r="M223" s="125"/>
      <c r="N223" s="125"/>
      <c r="O223" s="189"/>
      <c r="P223" s="157"/>
    </row>
    <row r="224" spans="1:16" ht="15.75" customHeight="1">
      <c r="A224" s="157"/>
      <c r="B224" s="190"/>
      <c r="C224" s="195"/>
      <c r="D224" s="196"/>
      <c r="E224" s="197"/>
      <c r="F224" s="198"/>
      <c r="G224" s="198"/>
      <c r="H224" s="196"/>
      <c r="I224" s="197"/>
      <c r="J224" s="177"/>
      <c r="K224" s="177"/>
      <c r="L224" s="177"/>
      <c r="M224" s="125"/>
      <c r="N224" s="125"/>
      <c r="O224" s="189"/>
      <c r="P224" s="157"/>
    </row>
    <row r="225" spans="1:16" ht="15.75" customHeight="1">
      <c r="A225" s="157"/>
      <c r="B225" s="190"/>
      <c r="C225" s="195"/>
      <c r="D225" s="196"/>
      <c r="E225" s="197"/>
      <c r="F225" s="198"/>
      <c r="G225" s="198"/>
      <c r="H225" s="196"/>
      <c r="I225" s="197"/>
      <c r="J225" s="177"/>
      <c r="K225" s="177"/>
      <c r="L225" s="177"/>
      <c r="M225" s="125"/>
      <c r="N225" s="125"/>
      <c r="O225" s="189"/>
      <c r="P225" s="157"/>
    </row>
    <row r="226" spans="1:16" ht="15.75" customHeight="1">
      <c r="A226" s="157"/>
      <c r="B226" s="190"/>
      <c r="C226" s="195"/>
      <c r="D226" s="196"/>
      <c r="E226" s="197"/>
      <c r="F226" s="198"/>
      <c r="G226" s="198"/>
      <c r="H226" s="196"/>
      <c r="I226" s="197"/>
      <c r="J226" s="177"/>
      <c r="K226" s="177"/>
      <c r="L226" s="177"/>
      <c r="M226" s="125"/>
      <c r="N226" s="125"/>
      <c r="O226" s="189"/>
      <c r="P226" s="157"/>
    </row>
    <row r="227" spans="1:16" ht="15.75" customHeight="1">
      <c r="A227" s="157"/>
      <c r="B227" s="190"/>
      <c r="C227" s="195"/>
      <c r="D227" s="196"/>
      <c r="E227" s="197"/>
      <c r="F227" s="198"/>
      <c r="G227" s="198"/>
      <c r="H227" s="196"/>
      <c r="I227" s="197"/>
      <c r="J227" s="177"/>
      <c r="K227" s="177"/>
      <c r="L227" s="177"/>
      <c r="M227" s="125"/>
      <c r="N227" s="125"/>
      <c r="O227" s="189"/>
      <c r="P227" s="157"/>
    </row>
    <row r="228" spans="1:16" ht="15.75" customHeight="1">
      <c r="A228" s="157"/>
      <c r="B228" s="190"/>
      <c r="C228" s="195"/>
      <c r="D228" s="196"/>
      <c r="E228" s="197"/>
      <c r="F228" s="198"/>
      <c r="G228" s="198"/>
      <c r="H228" s="196"/>
      <c r="I228" s="197"/>
      <c r="J228" s="177"/>
      <c r="K228" s="177"/>
      <c r="L228" s="177"/>
      <c r="M228" s="125"/>
      <c r="N228" s="125"/>
      <c r="O228" s="189"/>
      <c r="P228" s="157"/>
    </row>
    <row r="229" spans="1:16" ht="15.75" customHeight="1">
      <c r="A229" s="157"/>
      <c r="B229" s="190"/>
      <c r="C229" s="195"/>
      <c r="D229" s="196"/>
      <c r="E229" s="197"/>
      <c r="F229" s="198"/>
      <c r="G229" s="198"/>
      <c r="H229" s="196"/>
      <c r="I229" s="197"/>
      <c r="J229" s="177"/>
      <c r="K229" s="177"/>
      <c r="L229" s="177"/>
      <c r="M229" s="125"/>
      <c r="N229" s="125"/>
      <c r="O229" s="189"/>
      <c r="P229" s="157"/>
    </row>
    <row r="230" spans="1:16" ht="15.75" customHeight="1">
      <c r="A230" s="157"/>
      <c r="B230" s="190"/>
      <c r="C230" s="195"/>
      <c r="D230" s="196"/>
      <c r="E230" s="197"/>
      <c r="F230" s="198"/>
      <c r="G230" s="198"/>
      <c r="H230" s="196"/>
      <c r="I230" s="197"/>
      <c r="J230" s="177"/>
      <c r="K230" s="177"/>
      <c r="L230" s="177"/>
      <c r="M230" s="125"/>
      <c r="N230" s="125"/>
      <c r="O230" s="189"/>
      <c r="P230" s="157"/>
    </row>
    <row r="231" spans="1:16" ht="15.75" customHeight="1">
      <c r="A231" s="157"/>
      <c r="B231" s="190"/>
      <c r="C231" s="195"/>
      <c r="D231" s="196"/>
      <c r="E231" s="197"/>
      <c r="F231" s="198"/>
      <c r="G231" s="198"/>
      <c r="H231" s="196"/>
      <c r="I231" s="197"/>
      <c r="J231" s="177"/>
      <c r="K231" s="177"/>
      <c r="L231" s="177"/>
      <c r="M231" s="125"/>
      <c r="N231" s="125"/>
      <c r="O231" s="189"/>
      <c r="P231" s="157"/>
    </row>
    <row r="232" spans="1:16" ht="15.75" customHeight="1">
      <c r="A232" s="157"/>
      <c r="B232" s="190"/>
      <c r="C232" s="195"/>
      <c r="D232" s="196"/>
      <c r="E232" s="197"/>
      <c r="F232" s="198"/>
      <c r="G232" s="198"/>
      <c r="H232" s="196"/>
      <c r="I232" s="197"/>
      <c r="J232" s="177"/>
      <c r="K232" s="177"/>
      <c r="L232" s="177"/>
      <c r="M232" s="125"/>
      <c r="N232" s="125"/>
      <c r="O232" s="189"/>
      <c r="P232" s="157"/>
    </row>
    <row r="233" spans="1:16" ht="15.75" customHeight="1">
      <c r="A233" s="157"/>
      <c r="B233" s="190"/>
      <c r="C233" s="195"/>
      <c r="D233" s="196"/>
      <c r="E233" s="197"/>
      <c r="F233" s="198"/>
      <c r="G233" s="198"/>
      <c r="H233" s="196"/>
      <c r="I233" s="197"/>
      <c r="J233" s="177"/>
      <c r="K233" s="177"/>
      <c r="L233" s="177"/>
      <c r="M233" s="125"/>
      <c r="N233" s="125"/>
      <c r="O233" s="189"/>
      <c r="P233" s="157"/>
    </row>
    <row r="234" spans="1:16" ht="15.75" customHeight="1">
      <c r="A234" s="157"/>
      <c r="B234" s="190"/>
      <c r="C234" s="195"/>
      <c r="D234" s="196"/>
      <c r="E234" s="197"/>
      <c r="F234" s="198"/>
      <c r="G234" s="198"/>
      <c r="H234" s="196"/>
      <c r="I234" s="197"/>
      <c r="J234" s="177"/>
      <c r="K234" s="177"/>
      <c r="L234" s="177"/>
      <c r="M234" s="125"/>
      <c r="N234" s="125"/>
      <c r="O234" s="189"/>
      <c r="P234" s="157"/>
    </row>
    <row r="235" spans="1:16" ht="15.75" customHeight="1">
      <c r="A235" s="157"/>
      <c r="B235" s="190"/>
      <c r="C235" s="195"/>
      <c r="D235" s="196"/>
      <c r="E235" s="197"/>
      <c r="F235" s="198"/>
      <c r="G235" s="198"/>
      <c r="H235" s="196"/>
      <c r="I235" s="197"/>
      <c r="J235" s="177"/>
      <c r="K235" s="177"/>
      <c r="L235" s="177"/>
      <c r="M235" s="125"/>
      <c r="N235" s="125"/>
      <c r="O235" s="189"/>
      <c r="P235" s="157"/>
    </row>
    <row r="236" spans="1:16" ht="15.75" customHeight="1">
      <c r="A236" s="157"/>
      <c r="B236" s="190"/>
      <c r="C236" s="195"/>
      <c r="D236" s="196"/>
      <c r="E236" s="197"/>
      <c r="F236" s="198"/>
      <c r="G236" s="198"/>
      <c r="H236" s="196"/>
      <c r="I236" s="197"/>
      <c r="J236" s="177"/>
      <c r="K236" s="177"/>
      <c r="L236" s="177"/>
      <c r="M236" s="125"/>
      <c r="N236" s="125"/>
      <c r="O236" s="189"/>
      <c r="P236" s="157"/>
    </row>
    <row r="237" spans="1:16" ht="15.75" customHeight="1">
      <c r="A237" s="157"/>
      <c r="B237" s="190"/>
      <c r="C237" s="195"/>
      <c r="D237" s="196"/>
      <c r="E237" s="197"/>
      <c r="F237" s="198"/>
      <c r="G237" s="198"/>
      <c r="H237" s="196"/>
      <c r="I237" s="197"/>
      <c r="J237" s="177"/>
      <c r="K237" s="177"/>
      <c r="L237" s="177"/>
      <c r="M237" s="125"/>
      <c r="N237" s="125"/>
      <c r="O237" s="189"/>
      <c r="P237" s="157"/>
    </row>
    <row r="238" spans="1:16" ht="15.75" customHeight="1">
      <c r="A238" s="157"/>
      <c r="B238" s="190"/>
      <c r="C238" s="195"/>
      <c r="D238" s="196"/>
      <c r="E238" s="197"/>
      <c r="F238" s="198"/>
      <c r="G238" s="198"/>
      <c r="H238" s="196"/>
      <c r="I238" s="197"/>
      <c r="J238" s="177"/>
      <c r="K238" s="177"/>
      <c r="L238" s="177"/>
      <c r="M238" s="125"/>
      <c r="N238" s="125"/>
      <c r="O238" s="189"/>
      <c r="P238" s="157"/>
    </row>
    <row r="239" spans="1:16" ht="15.75" customHeight="1">
      <c r="A239" s="157"/>
      <c r="B239" s="190"/>
      <c r="C239" s="195"/>
      <c r="D239" s="196"/>
      <c r="E239" s="197"/>
      <c r="F239" s="198"/>
      <c r="G239" s="198"/>
      <c r="H239" s="196"/>
      <c r="I239" s="197"/>
      <c r="J239" s="177"/>
      <c r="K239" s="177"/>
      <c r="L239" s="177"/>
      <c r="M239" s="125"/>
      <c r="N239" s="125"/>
      <c r="O239" s="189"/>
      <c r="P239" s="157"/>
    </row>
    <row r="240" spans="1:16" ht="15.75" customHeight="1">
      <c r="A240" s="157"/>
      <c r="B240" s="190"/>
      <c r="C240" s="195"/>
      <c r="D240" s="196"/>
      <c r="E240" s="197"/>
      <c r="F240" s="198"/>
      <c r="G240" s="198"/>
      <c r="H240" s="196"/>
      <c r="I240" s="197"/>
      <c r="J240" s="177"/>
      <c r="K240" s="177"/>
      <c r="L240" s="177"/>
      <c r="M240" s="125"/>
      <c r="N240" s="125"/>
      <c r="O240" s="189"/>
      <c r="P240" s="157"/>
    </row>
    <row r="241" spans="1:16" ht="15.75" customHeight="1">
      <c r="A241" s="157"/>
      <c r="B241" s="190"/>
      <c r="C241" s="195"/>
      <c r="D241" s="196"/>
      <c r="E241" s="197"/>
      <c r="F241" s="198"/>
      <c r="G241" s="198"/>
      <c r="H241" s="196"/>
      <c r="I241" s="197"/>
      <c r="J241" s="177"/>
      <c r="K241" s="177"/>
      <c r="L241" s="177"/>
      <c r="M241" s="125"/>
      <c r="N241" s="125"/>
      <c r="O241" s="189"/>
      <c r="P241" s="157"/>
    </row>
    <row r="242" spans="1:16" ht="15.75" customHeight="1">
      <c r="A242" s="157"/>
      <c r="B242" s="190"/>
      <c r="C242" s="195"/>
      <c r="D242" s="196"/>
      <c r="E242" s="197"/>
      <c r="F242" s="198"/>
      <c r="G242" s="198"/>
      <c r="H242" s="196"/>
      <c r="I242" s="197"/>
      <c r="J242" s="177"/>
      <c r="K242" s="177"/>
      <c r="L242" s="177"/>
      <c r="M242" s="125"/>
      <c r="N242" s="125"/>
      <c r="O242" s="189"/>
      <c r="P242" s="157"/>
    </row>
    <row r="243" spans="1:16" ht="15.75" customHeight="1">
      <c r="A243" s="157"/>
      <c r="B243" s="190"/>
      <c r="C243" s="195"/>
      <c r="D243" s="196"/>
      <c r="E243" s="197"/>
      <c r="F243" s="198"/>
      <c r="G243" s="198"/>
      <c r="H243" s="196"/>
      <c r="I243" s="197"/>
      <c r="J243" s="177"/>
      <c r="K243" s="177"/>
      <c r="L243" s="177"/>
      <c r="M243" s="125"/>
      <c r="N243" s="125"/>
      <c r="O243" s="189"/>
      <c r="P243" s="157"/>
    </row>
    <row r="244" spans="1:16" ht="15.75" customHeight="1">
      <c r="A244" s="157"/>
      <c r="B244" s="190"/>
      <c r="C244" s="195"/>
      <c r="D244" s="196"/>
      <c r="E244" s="197"/>
      <c r="F244" s="198"/>
      <c r="G244" s="198"/>
      <c r="H244" s="196"/>
      <c r="I244" s="197"/>
      <c r="J244" s="177"/>
      <c r="K244" s="177"/>
      <c r="L244" s="177"/>
      <c r="M244" s="125"/>
      <c r="N244" s="125"/>
      <c r="O244" s="189"/>
      <c r="P244" s="157"/>
    </row>
    <row r="245" spans="1:16" ht="15.75" customHeight="1">
      <c r="A245" s="157"/>
      <c r="B245" s="190"/>
      <c r="C245" s="195"/>
      <c r="D245" s="196"/>
      <c r="E245" s="197"/>
      <c r="F245" s="198"/>
      <c r="G245" s="198"/>
      <c r="H245" s="196"/>
      <c r="I245" s="197"/>
      <c r="J245" s="177"/>
      <c r="K245" s="177"/>
      <c r="L245" s="177"/>
      <c r="M245" s="125"/>
      <c r="N245" s="125"/>
      <c r="O245" s="189"/>
      <c r="P245" s="157"/>
    </row>
    <row r="246" spans="1:16" ht="15.75" customHeight="1">
      <c r="A246" s="157"/>
      <c r="B246" s="190"/>
      <c r="C246" s="195"/>
      <c r="D246" s="196"/>
      <c r="E246" s="197"/>
      <c r="F246" s="198"/>
      <c r="G246" s="198"/>
      <c r="H246" s="196"/>
      <c r="I246" s="197"/>
      <c r="J246" s="177"/>
      <c r="K246" s="177"/>
      <c r="L246" s="177"/>
      <c r="M246" s="125"/>
      <c r="N246" s="125"/>
      <c r="O246" s="189"/>
      <c r="P246" s="157"/>
    </row>
    <row r="247" spans="1:16" ht="15.75" customHeight="1">
      <c r="A247" s="157"/>
      <c r="B247" s="190"/>
      <c r="C247" s="195"/>
      <c r="D247" s="196"/>
      <c r="E247" s="197"/>
      <c r="F247" s="198"/>
      <c r="G247" s="198"/>
      <c r="H247" s="196"/>
      <c r="I247" s="197"/>
      <c r="J247" s="177"/>
      <c r="K247" s="177"/>
      <c r="L247" s="177"/>
      <c r="M247" s="125"/>
      <c r="N247" s="125"/>
      <c r="O247" s="189"/>
      <c r="P247" s="157"/>
    </row>
    <row r="248" spans="1:16" ht="15.75" customHeight="1">
      <c r="A248" s="157"/>
      <c r="B248" s="190"/>
      <c r="C248" s="195"/>
      <c r="D248" s="196"/>
      <c r="E248" s="197"/>
      <c r="F248" s="198"/>
      <c r="G248" s="198"/>
      <c r="H248" s="196"/>
      <c r="I248" s="197"/>
      <c r="J248" s="177"/>
      <c r="K248" s="177"/>
      <c r="L248" s="177"/>
      <c r="M248" s="125"/>
      <c r="N248" s="125"/>
      <c r="O248" s="189"/>
      <c r="P248" s="157"/>
    </row>
    <row r="249" spans="1:16" ht="15.75" customHeight="1">
      <c r="A249" s="157"/>
      <c r="B249" s="190"/>
      <c r="C249" s="195"/>
      <c r="D249" s="196"/>
      <c r="E249" s="197"/>
      <c r="F249" s="198"/>
      <c r="G249" s="198"/>
      <c r="H249" s="196"/>
      <c r="I249" s="197"/>
      <c r="J249" s="177"/>
      <c r="K249" s="177"/>
      <c r="L249" s="177"/>
      <c r="M249" s="125"/>
      <c r="N249" s="125"/>
      <c r="O249" s="189"/>
      <c r="P249" s="157"/>
    </row>
    <row r="250" spans="1:16" ht="15.75" customHeight="1">
      <c r="A250" s="157"/>
      <c r="B250" s="190"/>
      <c r="C250" s="195"/>
      <c r="D250" s="196"/>
      <c r="E250" s="197"/>
      <c r="F250" s="198"/>
      <c r="G250" s="198"/>
      <c r="H250" s="196"/>
      <c r="I250" s="197"/>
      <c r="J250" s="177"/>
      <c r="K250" s="177"/>
      <c r="L250" s="177"/>
      <c r="M250" s="125"/>
      <c r="N250" s="125"/>
      <c r="O250" s="189"/>
      <c r="P250" s="157"/>
    </row>
    <row r="251" spans="1:16" ht="15.75" customHeight="1">
      <c r="A251" s="157"/>
      <c r="B251" s="190"/>
      <c r="C251" s="195"/>
      <c r="D251" s="196"/>
      <c r="E251" s="197"/>
      <c r="F251" s="198"/>
      <c r="G251" s="198"/>
      <c r="H251" s="196"/>
      <c r="I251" s="197"/>
      <c r="J251" s="177"/>
      <c r="K251" s="177"/>
      <c r="L251" s="177"/>
      <c r="M251" s="125"/>
      <c r="N251" s="125"/>
      <c r="O251" s="189"/>
      <c r="P251" s="157"/>
    </row>
    <row r="252" spans="1:16" ht="15.75" customHeight="1">
      <c r="A252" s="157"/>
      <c r="B252" s="190"/>
      <c r="C252" s="195"/>
      <c r="D252" s="196"/>
      <c r="E252" s="197"/>
      <c r="F252" s="198"/>
      <c r="G252" s="198"/>
      <c r="H252" s="196"/>
      <c r="I252" s="197"/>
      <c r="J252" s="177"/>
      <c r="K252" s="177"/>
      <c r="L252" s="177"/>
      <c r="M252" s="125"/>
      <c r="N252" s="125"/>
      <c r="O252" s="189"/>
      <c r="P252" s="157"/>
    </row>
    <row r="253" spans="1:16" ht="15.75" customHeight="1">
      <c r="A253" s="157"/>
      <c r="B253" s="190"/>
      <c r="C253" s="195"/>
      <c r="D253" s="196"/>
      <c r="E253" s="197"/>
      <c r="F253" s="198"/>
      <c r="G253" s="198"/>
      <c r="H253" s="196"/>
      <c r="I253" s="197"/>
      <c r="J253" s="177"/>
      <c r="K253" s="177"/>
      <c r="L253" s="177"/>
      <c r="M253" s="125"/>
      <c r="N253" s="125"/>
      <c r="O253" s="189"/>
      <c r="P253" s="157"/>
    </row>
    <row r="254" spans="1:16" ht="15.75" customHeight="1">
      <c r="A254" s="157"/>
      <c r="B254" s="190"/>
      <c r="C254" s="195"/>
      <c r="D254" s="196"/>
      <c r="E254" s="197"/>
      <c r="F254" s="198"/>
      <c r="G254" s="198"/>
      <c r="H254" s="196"/>
      <c r="I254" s="197"/>
      <c r="J254" s="177"/>
      <c r="K254" s="177"/>
      <c r="L254" s="177"/>
      <c r="M254" s="125"/>
      <c r="N254" s="125"/>
      <c r="O254" s="189"/>
      <c r="P254" s="157"/>
    </row>
    <row r="255" spans="1:16" ht="15.75" customHeight="1">
      <c r="A255" s="157"/>
      <c r="B255" s="190"/>
      <c r="C255" s="195"/>
      <c r="D255" s="196"/>
      <c r="E255" s="197"/>
      <c r="F255" s="198"/>
      <c r="G255" s="198"/>
      <c r="H255" s="196"/>
      <c r="I255" s="197"/>
      <c r="J255" s="177"/>
      <c r="K255" s="177"/>
      <c r="L255" s="177"/>
      <c r="M255" s="125"/>
      <c r="N255" s="125"/>
      <c r="O255" s="189"/>
      <c r="P255" s="157"/>
    </row>
    <row r="256" spans="1:16" ht="15.75" customHeight="1">
      <c r="A256" s="157"/>
      <c r="B256" s="190"/>
      <c r="C256" s="195"/>
      <c r="D256" s="196"/>
      <c r="E256" s="197"/>
      <c r="F256" s="198"/>
      <c r="G256" s="198"/>
      <c r="H256" s="196"/>
      <c r="I256" s="197"/>
      <c r="J256" s="177"/>
      <c r="K256" s="177"/>
      <c r="L256" s="177"/>
      <c r="M256" s="125"/>
      <c r="N256" s="125"/>
      <c r="O256" s="189"/>
      <c r="P256" s="157"/>
    </row>
    <row r="257" spans="1:16" ht="15.75" customHeight="1">
      <c r="A257" s="157"/>
      <c r="B257" s="190"/>
      <c r="C257" s="195"/>
      <c r="D257" s="196"/>
      <c r="E257" s="197"/>
      <c r="F257" s="198"/>
      <c r="G257" s="198"/>
      <c r="H257" s="196"/>
      <c r="I257" s="197"/>
      <c r="J257" s="177"/>
      <c r="K257" s="177"/>
      <c r="L257" s="177"/>
      <c r="M257" s="125"/>
      <c r="N257" s="125"/>
      <c r="O257" s="189"/>
      <c r="P257" s="157"/>
    </row>
    <row r="258" spans="1:16" ht="15.75" customHeight="1">
      <c r="A258" s="157"/>
      <c r="B258" s="190"/>
      <c r="C258" s="195"/>
      <c r="D258" s="196"/>
      <c r="E258" s="197"/>
      <c r="F258" s="198"/>
      <c r="G258" s="198"/>
      <c r="H258" s="196"/>
      <c r="I258" s="197"/>
      <c r="J258" s="177"/>
      <c r="K258" s="177"/>
      <c r="L258" s="177"/>
      <c r="M258" s="125"/>
      <c r="N258" s="125"/>
      <c r="O258" s="189"/>
      <c r="P258" s="157"/>
    </row>
    <row r="259" spans="1:16" ht="15.75" customHeight="1">
      <c r="A259" s="157"/>
      <c r="B259" s="190"/>
      <c r="C259" s="195"/>
      <c r="D259" s="196"/>
      <c r="E259" s="197"/>
      <c r="F259" s="198"/>
      <c r="G259" s="198"/>
      <c r="H259" s="196"/>
      <c r="I259" s="197"/>
      <c r="J259" s="177"/>
      <c r="K259" s="177"/>
      <c r="L259" s="177"/>
      <c r="M259" s="125"/>
      <c r="N259" s="125"/>
      <c r="O259" s="189"/>
      <c r="P259" s="157"/>
    </row>
    <row r="260" spans="1:16" ht="15.75" customHeight="1">
      <c r="A260" s="157"/>
      <c r="B260" s="190"/>
      <c r="C260" s="195"/>
      <c r="D260" s="196"/>
      <c r="E260" s="197"/>
      <c r="F260" s="198"/>
      <c r="G260" s="198"/>
      <c r="H260" s="196"/>
      <c r="I260" s="197"/>
      <c r="J260" s="177"/>
      <c r="K260" s="177"/>
      <c r="L260" s="177"/>
      <c r="M260" s="125"/>
      <c r="N260" s="125"/>
      <c r="O260" s="189"/>
      <c r="P260" s="157"/>
    </row>
    <row r="261" spans="1:16" ht="15.75" customHeight="1">
      <c r="A261" s="157"/>
      <c r="B261" s="190"/>
      <c r="C261" s="195"/>
      <c r="D261" s="196"/>
      <c r="E261" s="197"/>
      <c r="F261" s="198"/>
      <c r="G261" s="198"/>
      <c r="H261" s="196"/>
      <c r="I261" s="197"/>
      <c r="J261" s="177"/>
      <c r="K261" s="177"/>
      <c r="L261" s="177"/>
      <c r="M261" s="125"/>
      <c r="N261" s="125"/>
      <c r="O261" s="189"/>
      <c r="P261" s="157"/>
    </row>
    <row r="262" spans="1:16" ht="15.75" customHeight="1">
      <c r="A262" s="157"/>
      <c r="B262" s="190"/>
      <c r="C262" s="195"/>
      <c r="D262" s="196"/>
      <c r="E262" s="197"/>
      <c r="F262" s="198"/>
      <c r="G262" s="198"/>
      <c r="H262" s="196"/>
      <c r="I262" s="197"/>
      <c r="J262" s="177"/>
      <c r="K262" s="177"/>
      <c r="L262" s="177"/>
      <c r="M262" s="125"/>
      <c r="N262" s="125"/>
      <c r="O262" s="189"/>
      <c r="P262" s="157"/>
    </row>
    <row r="263" spans="1:16" ht="15.75" customHeight="1">
      <c r="A263" s="157"/>
      <c r="B263" s="190"/>
      <c r="C263" s="195"/>
      <c r="D263" s="196"/>
      <c r="E263" s="197"/>
      <c r="F263" s="198"/>
      <c r="G263" s="198"/>
      <c r="H263" s="196"/>
      <c r="I263" s="197"/>
      <c r="J263" s="177"/>
      <c r="K263" s="177"/>
      <c r="L263" s="177"/>
      <c r="M263" s="125"/>
      <c r="N263" s="125"/>
      <c r="O263" s="189"/>
      <c r="P263" s="157"/>
    </row>
    <row r="264" spans="1:16" ht="15.75" customHeight="1">
      <c r="A264" s="157"/>
      <c r="B264" s="190"/>
      <c r="C264" s="195"/>
      <c r="D264" s="196"/>
      <c r="E264" s="197"/>
      <c r="F264" s="198"/>
      <c r="G264" s="198"/>
      <c r="H264" s="196"/>
      <c r="I264" s="197"/>
      <c r="J264" s="177"/>
      <c r="K264" s="177"/>
      <c r="L264" s="177"/>
      <c r="M264" s="125"/>
      <c r="N264" s="125"/>
      <c r="O264" s="189"/>
      <c r="P264" s="157"/>
    </row>
    <row r="265" spans="1:16" ht="15.75" customHeight="1">
      <c r="A265" s="157"/>
      <c r="B265" s="190"/>
      <c r="C265" s="195"/>
      <c r="D265" s="196"/>
      <c r="E265" s="197"/>
      <c r="F265" s="198"/>
      <c r="G265" s="198"/>
      <c r="H265" s="196"/>
      <c r="I265" s="197"/>
      <c r="J265" s="177"/>
      <c r="K265" s="177"/>
      <c r="L265" s="177"/>
      <c r="M265" s="125"/>
      <c r="N265" s="125"/>
      <c r="O265" s="189"/>
      <c r="P265" s="157"/>
    </row>
    <row r="266" spans="1:16" ht="15.75" customHeight="1">
      <c r="A266" s="157"/>
      <c r="B266" s="190"/>
      <c r="C266" s="195"/>
      <c r="D266" s="196"/>
      <c r="E266" s="197"/>
      <c r="F266" s="198"/>
      <c r="G266" s="198"/>
      <c r="H266" s="196"/>
      <c r="I266" s="197"/>
      <c r="J266" s="177"/>
      <c r="K266" s="177"/>
      <c r="L266" s="177"/>
      <c r="M266" s="125"/>
      <c r="N266" s="125"/>
      <c r="O266" s="189"/>
      <c r="P266" s="157"/>
    </row>
    <row r="267" spans="1:16" ht="15.75" customHeight="1">
      <c r="A267" s="157"/>
      <c r="B267" s="190"/>
      <c r="C267" s="195"/>
      <c r="D267" s="196"/>
      <c r="E267" s="197"/>
      <c r="F267" s="198"/>
      <c r="G267" s="198"/>
      <c r="H267" s="196"/>
      <c r="I267" s="197"/>
      <c r="J267" s="177"/>
      <c r="K267" s="177"/>
      <c r="L267" s="177"/>
      <c r="M267" s="125"/>
      <c r="N267" s="125"/>
      <c r="O267" s="189"/>
      <c r="P267" s="157"/>
    </row>
    <row r="268" spans="1:16" ht="15.75" customHeight="1">
      <c r="A268" s="157"/>
      <c r="B268" s="190"/>
      <c r="C268" s="195"/>
      <c r="D268" s="196"/>
      <c r="E268" s="197"/>
      <c r="F268" s="198"/>
      <c r="G268" s="198"/>
      <c r="H268" s="196"/>
      <c r="I268" s="197"/>
      <c r="J268" s="177"/>
      <c r="K268" s="177"/>
      <c r="L268" s="177"/>
      <c r="M268" s="125"/>
      <c r="N268" s="125"/>
      <c r="O268" s="189"/>
      <c r="P268" s="157"/>
    </row>
    <row r="269" spans="1:16" ht="15.75" customHeight="1">
      <c r="A269" s="157"/>
      <c r="B269" s="190"/>
      <c r="C269" s="195"/>
      <c r="D269" s="196"/>
      <c r="E269" s="197"/>
      <c r="F269" s="198"/>
      <c r="G269" s="198"/>
      <c r="H269" s="196"/>
      <c r="I269" s="197"/>
      <c r="J269" s="177"/>
      <c r="K269" s="177"/>
      <c r="L269" s="177"/>
      <c r="M269" s="125"/>
      <c r="N269" s="125"/>
      <c r="O269" s="189"/>
      <c r="P269" s="157"/>
    </row>
    <row r="270" spans="1:16" ht="15.75" customHeight="1">
      <c r="A270" s="157"/>
      <c r="B270" s="190"/>
      <c r="C270" s="195"/>
      <c r="D270" s="196"/>
      <c r="E270" s="197"/>
      <c r="F270" s="198"/>
      <c r="G270" s="198"/>
      <c r="H270" s="196"/>
      <c r="I270" s="197"/>
      <c r="J270" s="177"/>
      <c r="K270" s="177"/>
      <c r="L270" s="177"/>
      <c r="M270" s="125"/>
      <c r="N270" s="125"/>
      <c r="O270" s="189"/>
      <c r="P270" s="157"/>
    </row>
    <row r="271" spans="1:16" ht="15.75" customHeight="1">
      <c r="A271" s="157"/>
      <c r="B271" s="190"/>
      <c r="C271" s="195"/>
      <c r="D271" s="196"/>
      <c r="E271" s="197"/>
      <c r="F271" s="198"/>
      <c r="G271" s="198"/>
      <c r="H271" s="196"/>
      <c r="I271" s="197"/>
      <c r="J271" s="177"/>
      <c r="K271" s="177"/>
      <c r="L271" s="177"/>
      <c r="M271" s="125"/>
      <c r="N271" s="125"/>
      <c r="O271" s="189"/>
      <c r="P271" s="157"/>
    </row>
    <row r="272" spans="1:16" ht="15.75" customHeight="1">
      <c r="A272" s="157"/>
      <c r="B272" s="190"/>
      <c r="C272" s="195"/>
      <c r="D272" s="196"/>
      <c r="E272" s="197"/>
      <c r="F272" s="198"/>
      <c r="G272" s="198"/>
      <c r="H272" s="196"/>
      <c r="I272" s="197"/>
      <c r="J272" s="177"/>
      <c r="K272" s="177"/>
      <c r="L272" s="177"/>
      <c r="M272" s="125"/>
      <c r="N272" s="125"/>
      <c r="O272" s="189"/>
      <c r="P272" s="157"/>
    </row>
    <row r="273" spans="1:16" ht="15.75" customHeight="1">
      <c r="A273" s="157"/>
      <c r="B273" s="190"/>
      <c r="C273" s="195"/>
      <c r="D273" s="196"/>
      <c r="E273" s="197"/>
      <c r="F273" s="198"/>
      <c r="G273" s="198"/>
      <c r="H273" s="196"/>
      <c r="I273" s="197"/>
      <c r="J273" s="177"/>
      <c r="K273" s="177"/>
      <c r="L273" s="177"/>
      <c r="M273" s="125"/>
      <c r="N273" s="125"/>
      <c r="O273" s="189"/>
      <c r="P273" s="157"/>
    </row>
    <row r="274" spans="1:16" ht="15.75" customHeight="1">
      <c r="A274" s="157"/>
      <c r="B274" s="190"/>
      <c r="C274" s="195"/>
      <c r="D274" s="196"/>
      <c r="E274" s="197"/>
      <c r="F274" s="198"/>
      <c r="G274" s="198"/>
      <c r="H274" s="196"/>
      <c r="I274" s="197"/>
      <c r="J274" s="177"/>
      <c r="K274" s="177"/>
      <c r="L274" s="177"/>
      <c r="M274" s="125"/>
      <c r="N274" s="125"/>
      <c r="O274" s="189"/>
      <c r="P274" s="157"/>
    </row>
    <row r="275" spans="1:16" ht="15.75" customHeight="1">
      <c r="A275" s="157"/>
      <c r="B275" s="190"/>
      <c r="C275" s="195"/>
      <c r="D275" s="196"/>
      <c r="E275" s="197"/>
      <c r="F275" s="198"/>
      <c r="G275" s="198"/>
      <c r="H275" s="196"/>
      <c r="I275" s="197"/>
      <c r="J275" s="177"/>
      <c r="K275" s="177"/>
      <c r="L275" s="177"/>
      <c r="M275" s="125"/>
      <c r="N275" s="125"/>
      <c r="O275" s="189"/>
      <c r="P275" s="157"/>
    </row>
    <row r="276" spans="1:16" ht="15.75" customHeight="1">
      <c r="A276" s="157"/>
      <c r="B276" s="190"/>
      <c r="C276" s="195"/>
      <c r="D276" s="196"/>
      <c r="E276" s="197"/>
      <c r="F276" s="198"/>
      <c r="G276" s="198"/>
      <c r="H276" s="196"/>
      <c r="I276" s="197"/>
      <c r="J276" s="177"/>
      <c r="K276" s="177"/>
      <c r="L276" s="177"/>
      <c r="M276" s="125"/>
      <c r="N276" s="125"/>
      <c r="O276" s="189"/>
      <c r="P276" s="157"/>
    </row>
    <row r="277" spans="1:16" ht="15.75" customHeight="1">
      <c r="A277" s="157"/>
      <c r="B277" s="190"/>
      <c r="C277" s="195"/>
      <c r="D277" s="196"/>
      <c r="E277" s="197"/>
      <c r="F277" s="198"/>
      <c r="G277" s="198"/>
      <c r="H277" s="196"/>
      <c r="I277" s="197"/>
      <c r="J277" s="177"/>
      <c r="K277" s="177"/>
      <c r="L277" s="177"/>
      <c r="M277" s="125"/>
      <c r="N277" s="125"/>
      <c r="O277" s="189"/>
      <c r="P277" s="157"/>
    </row>
    <row r="278" spans="1:16" ht="15.75" customHeight="1">
      <c r="A278" s="157"/>
      <c r="B278" s="190"/>
      <c r="C278" s="195"/>
      <c r="D278" s="196"/>
      <c r="E278" s="197"/>
      <c r="F278" s="198"/>
      <c r="G278" s="198"/>
      <c r="H278" s="196"/>
      <c r="I278" s="197"/>
      <c r="J278" s="177"/>
      <c r="K278" s="177"/>
      <c r="L278" s="177"/>
      <c r="M278" s="125"/>
      <c r="N278" s="125"/>
      <c r="O278" s="189"/>
      <c r="P278" s="157"/>
    </row>
    <row r="279" spans="1:16" ht="15.75" customHeight="1">
      <c r="A279" s="157"/>
      <c r="B279" s="190"/>
      <c r="C279" s="195"/>
      <c r="D279" s="196"/>
      <c r="E279" s="197"/>
      <c r="F279" s="198"/>
      <c r="G279" s="198"/>
      <c r="H279" s="196"/>
      <c r="I279" s="197"/>
      <c r="J279" s="177"/>
      <c r="K279" s="177"/>
      <c r="L279" s="177"/>
      <c r="M279" s="125"/>
      <c r="N279" s="125"/>
      <c r="O279" s="189"/>
      <c r="P279" s="157"/>
    </row>
    <row r="280" spans="1:16" ht="15.75" customHeight="1">
      <c r="A280" s="157"/>
      <c r="B280" s="190"/>
      <c r="C280" s="195"/>
      <c r="D280" s="196"/>
      <c r="E280" s="197"/>
      <c r="F280" s="198"/>
      <c r="G280" s="198"/>
      <c r="H280" s="196"/>
      <c r="I280" s="197"/>
      <c r="J280" s="177"/>
      <c r="K280" s="177"/>
      <c r="L280" s="177"/>
      <c r="M280" s="125"/>
      <c r="N280" s="125"/>
      <c r="O280" s="189"/>
      <c r="P280" s="157"/>
    </row>
    <row r="281" spans="1:16" ht="15.75" customHeight="1">
      <c r="A281" s="157"/>
      <c r="B281" s="190"/>
      <c r="C281" s="195"/>
      <c r="D281" s="196"/>
      <c r="E281" s="197"/>
      <c r="F281" s="198"/>
      <c r="G281" s="198"/>
      <c r="H281" s="196"/>
      <c r="I281" s="197"/>
      <c r="J281" s="177"/>
      <c r="K281" s="177"/>
      <c r="L281" s="177"/>
      <c r="M281" s="125"/>
      <c r="N281" s="125"/>
      <c r="O281" s="189"/>
      <c r="P281" s="157"/>
    </row>
    <row r="282" spans="1:16" ht="15.75" customHeight="1">
      <c r="A282" s="157"/>
      <c r="B282" s="190"/>
      <c r="C282" s="195"/>
      <c r="D282" s="196"/>
      <c r="E282" s="197"/>
      <c r="F282" s="198"/>
      <c r="G282" s="198"/>
      <c r="H282" s="196"/>
      <c r="I282" s="197"/>
      <c r="J282" s="177"/>
      <c r="K282" s="177"/>
      <c r="L282" s="177"/>
      <c r="M282" s="125"/>
      <c r="N282" s="125"/>
      <c r="O282" s="189"/>
      <c r="P282" s="157"/>
    </row>
    <row r="283" spans="1:16" ht="15.75" customHeight="1">
      <c r="A283" s="157"/>
      <c r="B283" s="190"/>
      <c r="C283" s="195"/>
      <c r="D283" s="196"/>
      <c r="E283" s="197"/>
      <c r="F283" s="198"/>
      <c r="G283" s="198"/>
      <c r="H283" s="196"/>
      <c r="I283" s="197"/>
      <c r="J283" s="177"/>
      <c r="K283" s="177"/>
      <c r="L283" s="177"/>
      <c r="M283" s="125"/>
      <c r="N283" s="125"/>
      <c r="O283" s="189"/>
      <c r="P283" s="157"/>
    </row>
    <row r="284" spans="1:16" ht="15.75" customHeight="1">
      <c r="A284" s="157"/>
      <c r="B284" s="190"/>
      <c r="C284" s="195"/>
      <c r="D284" s="196"/>
      <c r="E284" s="197"/>
      <c r="F284" s="198"/>
      <c r="G284" s="198"/>
      <c r="H284" s="196"/>
      <c r="I284" s="197"/>
      <c r="J284" s="177"/>
      <c r="K284" s="177"/>
      <c r="L284" s="177"/>
      <c r="M284" s="125"/>
      <c r="N284" s="125"/>
      <c r="O284" s="189"/>
      <c r="P284" s="157"/>
    </row>
    <row r="285" spans="1:16" ht="15.75" customHeight="1">
      <c r="A285" s="157"/>
      <c r="B285" s="190"/>
      <c r="C285" s="195"/>
      <c r="D285" s="196"/>
      <c r="E285" s="197"/>
      <c r="F285" s="198"/>
      <c r="G285" s="198"/>
      <c r="H285" s="196"/>
      <c r="I285" s="197"/>
      <c r="J285" s="177"/>
      <c r="K285" s="177"/>
      <c r="L285" s="177"/>
      <c r="M285" s="125"/>
      <c r="N285" s="125"/>
      <c r="O285" s="189"/>
      <c r="P285" s="157"/>
    </row>
    <row r="286" spans="1:16" ht="15.75" customHeight="1">
      <c r="A286" s="157"/>
      <c r="B286" s="190"/>
      <c r="C286" s="195"/>
      <c r="D286" s="196"/>
      <c r="E286" s="197"/>
      <c r="F286" s="198"/>
      <c r="G286" s="198"/>
      <c r="H286" s="196"/>
      <c r="I286" s="197"/>
      <c r="J286" s="177"/>
      <c r="K286" s="177"/>
      <c r="L286" s="177"/>
      <c r="M286" s="125"/>
      <c r="N286" s="125"/>
      <c r="O286" s="189"/>
      <c r="P286" s="157"/>
    </row>
    <row r="287" spans="1:16" ht="15.75" customHeight="1">
      <c r="A287" s="157"/>
      <c r="B287" s="190"/>
      <c r="C287" s="195"/>
      <c r="D287" s="196"/>
      <c r="E287" s="197"/>
      <c r="F287" s="198"/>
      <c r="G287" s="198"/>
      <c r="H287" s="196"/>
      <c r="I287" s="197"/>
      <c r="J287" s="177"/>
      <c r="K287" s="177"/>
      <c r="L287" s="177"/>
      <c r="M287" s="125"/>
      <c r="N287" s="125"/>
      <c r="O287" s="189"/>
      <c r="P287" s="157"/>
    </row>
    <row r="288" spans="1:16" ht="15.75" customHeight="1">
      <c r="A288" s="157"/>
      <c r="B288" s="190"/>
      <c r="C288" s="195"/>
      <c r="D288" s="196"/>
      <c r="E288" s="197"/>
      <c r="F288" s="198"/>
      <c r="G288" s="198"/>
      <c r="H288" s="196"/>
      <c r="I288" s="197"/>
      <c r="J288" s="177"/>
      <c r="K288" s="177"/>
      <c r="L288" s="177"/>
      <c r="M288" s="125"/>
      <c r="N288" s="125"/>
      <c r="O288" s="189"/>
      <c r="P288" s="157"/>
    </row>
    <row r="289" spans="1:16" ht="15.75" customHeight="1">
      <c r="A289" s="157"/>
      <c r="B289" s="190"/>
      <c r="C289" s="195"/>
      <c r="D289" s="196"/>
      <c r="E289" s="197"/>
      <c r="F289" s="198"/>
      <c r="G289" s="198"/>
      <c r="H289" s="196"/>
      <c r="I289" s="197"/>
      <c r="J289" s="177"/>
      <c r="K289" s="177"/>
      <c r="L289" s="177"/>
      <c r="M289" s="125"/>
      <c r="N289" s="125"/>
      <c r="O289" s="189"/>
      <c r="P289" s="157"/>
    </row>
    <row r="290" spans="1:16" ht="15.75" customHeight="1">
      <c r="A290" s="157"/>
      <c r="B290" s="190"/>
      <c r="C290" s="195"/>
      <c r="D290" s="196"/>
      <c r="E290" s="197"/>
      <c r="F290" s="198"/>
      <c r="G290" s="198"/>
      <c r="H290" s="196"/>
      <c r="I290" s="197"/>
      <c r="J290" s="177"/>
      <c r="K290" s="177"/>
      <c r="L290" s="177"/>
      <c r="M290" s="125"/>
      <c r="N290" s="125"/>
      <c r="O290" s="189"/>
      <c r="P290" s="157"/>
    </row>
    <row r="291" spans="1:16" ht="15.75" customHeight="1">
      <c r="A291" s="157"/>
      <c r="B291" s="190"/>
      <c r="C291" s="195"/>
      <c r="D291" s="196"/>
      <c r="E291" s="197"/>
      <c r="F291" s="198"/>
      <c r="G291" s="198"/>
      <c r="H291" s="196"/>
      <c r="I291" s="197"/>
      <c r="J291" s="177"/>
      <c r="K291" s="177"/>
      <c r="L291" s="177"/>
      <c r="M291" s="125"/>
      <c r="N291" s="125"/>
      <c r="O291" s="189"/>
      <c r="P291" s="157"/>
    </row>
    <row r="292" spans="1:16" ht="15.75" customHeight="1">
      <c r="A292" s="157"/>
      <c r="B292" s="190"/>
      <c r="C292" s="195"/>
      <c r="D292" s="196"/>
      <c r="E292" s="197"/>
      <c r="F292" s="198"/>
      <c r="G292" s="198"/>
      <c r="H292" s="196"/>
      <c r="I292" s="197"/>
      <c r="J292" s="177"/>
      <c r="K292" s="177"/>
      <c r="L292" s="177"/>
      <c r="M292" s="125"/>
      <c r="N292" s="125"/>
      <c r="O292" s="189"/>
      <c r="P292" s="157"/>
    </row>
    <row r="293" spans="1:16" ht="15.75" customHeight="1">
      <c r="A293" s="157"/>
      <c r="B293" s="190"/>
      <c r="C293" s="195"/>
      <c r="D293" s="196"/>
      <c r="E293" s="197"/>
      <c r="F293" s="198"/>
      <c r="G293" s="198"/>
      <c r="H293" s="196"/>
      <c r="I293" s="197"/>
      <c r="J293" s="177"/>
      <c r="K293" s="177"/>
      <c r="L293" s="177"/>
      <c r="M293" s="125"/>
      <c r="N293" s="125"/>
      <c r="O293" s="189"/>
      <c r="P293" s="157"/>
    </row>
    <row r="294" spans="1:16" ht="15.75" customHeight="1">
      <c r="A294" s="157"/>
      <c r="B294" s="190"/>
      <c r="C294" s="195"/>
      <c r="D294" s="196"/>
      <c r="E294" s="197"/>
      <c r="F294" s="198"/>
      <c r="G294" s="198"/>
      <c r="H294" s="196"/>
      <c r="I294" s="197"/>
      <c r="J294" s="177"/>
      <c r="K294" s="177"/>
      <c r="L294" s="177"/>
      <c r="M294" s="125"/>
      <c r="N294" s="125"/>
      <c r="O294" s="189"/>
      <c r="P294" s="157"/>
    </row>
    <row r="295" spans="1:16" ht="15.75" customHeight="1">
      <c r="A295" s="157"/>
      <c r="B295" s="190"/>
      <c r="C295" s="195"/>
      <c r="D295" s="196"/>
      <c r="E295" s="197"/>
      <c r="F295" s="198"/>
      <c r="G295" s="198"/>
      <c r="H295" s="196"/>
      <c r="I295" s="197"/>
      <c r="J295" s="177"/>
      <c r="K295" s="177"/>
      <c r="L295" s="177"/>
      <c r="M295" s="125"/>
      <c r="N295" s="125"/>
      <c r="O295" s="189"/>
      <c r="P295" s="157"/>
    </row>
    <row r="296" spans="1:16" ht="15.75" customHeight="1">
      <c r="A296" s="157"/>
      <c r="B296" s="190"/>
      <c r="C296" s="195"/>
      <c r="D296" s="196"/>
      <c r="E296" s="197"/>
      <c r="F296" s="198"/>
      <c r="G296" s="198"/>
      <c r="H296" s="196"/>
      <c r="I296" s="197"/>
      <c r="J296" s="177"/>
      <c r="K296" s="177"/>
      <c r="L296" s="177"/>
      <c r="M296" s="125"/>
      <c r="N296" s="125"/>
      <c r="O296" s="189"/>
      <c r="P296" s="157"/>
    </row>
    <row r="297" spans="1:16" ht="15.75" customHeight="1">
      <c r="A297" s="157"/>
      <c r="B297" s="190"/>
      <c r="C297" s="195"/>
      <c r="D297" s="196"/>
      <c r="E297" s="197"/>
      <c r="F297" s="198"/>
      <c r="G297" s="198"/>
      <c r="H297" s="196"/>
      <c r="I297" s="197"/>
      <c r="J297" s="177"/>
      <c r="K297" s="177"/>
      <c r="L297" s="177"/>
      <c r="M297" s="125"/>
      <c r="N297" s="125"/>
      <c r="O297" s="189"/>
      <c r="P297" s="157"/>
    </row>
    <row r="298" spans="1:16" ht="15.75" customHeight="1">
      <c r="A298" s="157"/>
      <c r="B298" s="190"/>
      <c r="C298" s="195"/>
      <c r="D298" s="196"/>
      <c r="E298" s="197"/>
      <c r="F298" s="198"/>
      <c r="G298" s="198"/>
      <c r="H298" s="196"/>
      <c r="I298" s="197"/>
      <c r="J298" s="177"/>
      <c r="K298" s="177"/>
      <c r="L298" s="177"/>
      <c r="M298" s="125"/>
      <c r="N298" s="125"/>
      <c r="O298" s="189"/>
      <c r="P298" s="157"/>
    </row>
    <row r="299" spans="1:16" ht="15.75" customHeight="1">
      <c r="A299" s="157"/>
      <c r="B299" s="190"/>
      <c r="C299" s="195"/>
      <c r="D299" s="196"/>
      <c r="E299" s="197"/>
      <c r="F299" s="198"/>
      <c r="G299" s="198"/>
      <c r="H299" s="196"/>
      <c r="I299" s="197"/>
      <c r="J299" s="177"/>
      <c r="K299" s="177"/>
      <c r="L299" s="177"/>
      <c r="M299" s="125"/>
      <c r="N299" s="125"/>
      <c r="O299" s="189"/>
      <c r="P299" s="157"/>
    </row>
    <row r="300" spans="1:16" ht="15.75" customHeight="1">
      <c r="A300" s="157"/>
      <c r="B300" s="190"/>
      <c r="C300" s="195"/>
      <c r="D300" s="196"/>
      <c r="E300" s="197"/>
      <c r="F300" s="198"/>
      <c r="G300" s="198"/>
      <c r="H300" s="196"/>
      <c r="I300" s="197"/>
      <c r="J300" s="177"/>
      <c r="K300" s="177"/>
      <c r="L300" s="177"/>
      <c r="M300" s="125"/>
      <c r="N300" s="125"/>
      <c r="O300" s="189"/>
      <c r="P300" s="157"/>
    </row>
    <row r="301" spans="1:16" ht="15.75" customHeight="1">
      <c r="A301" s="157"/>
      <c r="B301" s="190"/>
      <c r="C301" s="195"/>
      <c r="D301" s="196"/>
      <c r="E301" s="197"/>
      <c r="F301" s="198"/>
      <c r="G301" s="198"/>
      <c r="H301" s="196"/>
      <c r="I301" s="197"/>
      <c r="J301" s="177"/>
      <c r="K301" s="177"/>
      <c r="L301" s="177"/>
      <c r="M301" s="125"/>
      <c r="N301" s="125"/>
      <c r="O301" s="189"/>
      <c r="P301" s="157"/>
    </row>
    <row r="302" spans="1:16" ht="15.75" customHeight="1">
      <c r="A302" s="157"/>
      <c r="B302" s="190"/>
      <c r="C302" s="195"/>
      <c r="D302" s="196"/>
      <c r="E302" s="197"/>
      <c r="F302" s="198"/>
      <c r="G302" s="198"/>
      <c r="H302" s="196"/>
      <c r="I302" s="197"/>
      <c r="J302" s="177"/>
      <c r="K302" s="177"/>
      <c r="L302" s="177"/>
      <c r="M302" s="125"/>
      <c r="N302" s="125"/>
      <c r="O302" s="189"/>
      <c r="P302" s="157"/>
    </row>
    <row r="303" spans="1:16" ht="15.75" customHeight="1">
      <c r="A303" s="157"/>
      <c r="B303" s="190"/>
      <c r="C303" s="195"/>
      <c r="D303" s="196"/>
      <c r="E303" s="197"/>
      <c r="F303" s="198"/>
      <c r="G303" s="198"/>
      <c r="H303" s="196"/>
      <c r="I303" s="197"/>
      <c r="J303" s="177"/>
      <c r="K303" s="177"/>
      <c r="L303" s="177"/>
      <c r="M303" s="125"/>
      <c r="N303" s="125"/>
      <c r="O303" s="189"/>
      <c r="P303" s="157"/>
    </row>
    <row r="304" spans="1:16" ht="15.75" customHeight="1">
      <c r="A304" s="157"/>
      <c r="B304" s="190"/>
      <c r="C304" s="195"/>
      <c r="D304" s="196"/>
      <c r="E304" s="197"/>
      <c r="F304" s="198"/>
      <c r="G304" s="198"/>
      <c r="H304" s="196"/>
      <c r="I304" s="197"/>
      <c r="J304" s="177"/>
      <c r="K304" s="177"/>
      <c r="L304" s="177"/>
      <c r="M304" s="125"/>
      <c r="N304" s="125"/>
      <c r="O304" s="189"/>
      <c r="P304" s="157"/>
    </row>
    <row r="305" spans="1:16" ht="15.75" customHeight="1">
      <c r="A305" s="157"/>
      <c r="B305" s="190"/>
      <c r="C305" s="195"/>
      <c r="D305" s="196"/>
      <c r="E305" s="197"/>
      <c r="F305" s="198"/>
      <c r="G305" s="198"/>
      <c r="H305" s="196"/>
      <c r="I305" s="197"/>
      <c r="J305" s="177"/>
      <c r="K305" s="177"/>
      <c r="L305" s="177"/>
      <c r="M305" s="125"/>
      <c r="N305" s="125"/>
      <c r="O305" s="189"/>
      <c r="P305" s="157"/>
    </row>
    <row r="306" spans="1:16" ht="15.75" customHeight="1">
      <c r="A306" s="157"/>
      <c r="B306" s="190"/>
      <c r="C306" s="195"/>
      <c r="D306" s="196"/>
      <c r="E306" s="197"/>
      <c r="F306" s="198"/>
      <c r="G306" s="198"/>
      <c r="H306" s="196"/>
      <c r="I306" s="197"/>
      <c r="J306" s="177"/>
      <c r="K306" s="177"/>
      <c r="L306" s="177"/>
      <c r="M306" s="125"/>
      <c r="N306" s="125"/>
      <c r="O306" s="189"/>
      <c r="P306" s="157"/>
    </row>
    <row r="307" spans="1:16" ht="15.75" customHeight="1">
      <c r="A307" s="157"/>
      <c r="B307" s="190"/>
      <c r="C307" s="195"/>
      <c r="D307" s="196"/>
      <c r="E307" s="197"/>
      <c r="F307" s="198"/>
      <c r="G307" s="198"/>
      <c r="H307" s="196"/>
      <c r="I307" s="197"/>
      <c r="J307" s="177"/>
      <c r="K307" s="177"/>
      <c r="L307" s="177"/>
      <c r="M307" s="125"/>
      <c r="N307" s="125"/>
      <c r="O307" s="189"/>
      <c r="P307" s="157"/>
    </row>
    <row r="308" spans="1:16" ht="15.75" customHeight="1">
      <c r="A308" s="157"/>
      <c r="B308" s="190"/>
      <c r="C308" s="195"/>
      <c r="D308" s="196"/>
      <c r="E308" s="197"/>
      <c r="F308" s="198"/>
      <c r="G308" s="198"/>
      <c r="H308" s="196"/>
      <c r="I308" s="197"/>
      <c r="J308" s="177"/>
      <c r="K308" s="177"/>
      <c r="L308" s="177"/>
      <c r="M308" s="125"/>
      <c r="N308" s="125"/>
      <c r="O308" s="189"/>
      <c r="P308" s="157"/>
    </row>
    <row r="309" spans="1:16" ht="15.75" customHeight="1">
      <c r="A309" s="157"/>
      <c r="B309" s="190"/>
      <c r="C309" s="195"/>
      <c r="D309" s="196"/>
      <c r="E309" s="197"/>
      <c r="F309" s="198"/>
      <c r="G309" s="198"/>
      <c r="H309" s="196"/>
      <c r="I309" s="197"/>
      <c r="J309" s="177"/>
      <c r="K309" s="177"/>
      <c r="L309" s="177"/>
      <c r="M309" s="125"/>
      <c r="N309" s="125"/>
      <c r="O309" s="189"/>
      <c r="P309" s="157"/>
    </row>
    <row r="310" spans="1:16" ht="15.75" customHeight="1">
      <c r="A310" s="157"/>
      <c r="B310" s="190"/>
      <c r="C310" s="195"/>
      <c r="D310" s="196"/>
      <c r="E310" s="197"/>
      <c r="F310" s="198"/>
      <c r="G310" s="198"/>
      <c r="H310" s="196"/>
      <c r="I310" s="197"/>
      <c r="J310" s="177"/>
      <c r="K310" s="177"/>
      <c r="L310" s="177"/>
      <c r="M310" s="125"/>
      <c r="N310" s="125"/>
      <c r="O310" s="189"/>
      <c r="P310" s="157"/>
    </row>
    <row r="311" spans="1:16" ht="15.75" customHeight="1">
      <c r="A311" s="157"/>
      <c r="B311" s="190"/>
      <c r="C311" s="195"/>
      <c r="D311" s="196"/>
      <c r="E311" s="197"/>
      <c r="F311" s="198"/>
      <c r="G311" s="198"/>
      <c r="H311" s="196"/>
      <c r="I311" s="197"/>
      <c r="J311" s="177"/>
      <c r="K311" s="177"/>
      <c r="L311" s="177"/>
      <c r="M311" s="125"/>
      <c r="N311" s="125"/>
      <c r="O311" s="189"/>
      <c r="P311" s="157"/>
    </row>
    <row r="312" spans="1:16" ht="15.75" customHeight="1">
      <c r="A312" s="157"/>
      <c r="B312" s="190"/>
      <c r="C312" s="195"/>
      <c r="D312" s="196"/>
      <c r="E312" s="197"/>
      <c r="F312" s="198"/>
      <c r="G312" s="198"/>
      <c r="H312" s="196"/>
      <c r="I312" s="197"/>
      <c r="J312" s="177"/>
      <c r="K312" s="177"/>
      <c r="L312" s="177"/>
      <c r="M312" s="125"/>
      <c r="N312" s="125"/>
      <c r="O312" s="189"/>
      <c r="P312" s="157"/>
    </row>
    <row r="313" spans="1:16" ht="15.75" customHeight="1">
      <c r="A313" s="157"/>
      <c r="B313" s="190"/>
      <c r="C313" s="195"/>
      <c r="D313" s="196"/>
      <c r="E313" s="197"/>
      <c r="F313" s="198"/>
      <c r="G313" s="198"/>
      <c r="H313" s="196"/>
      <c r="I313" s="197"/>
      <c r="J313" s="177"/>
      <c r="K313" s="177"/>
      <c r="L313" s="177"/>
      <c r="M313" s="125"/>
      <c r="N313" s="125"/>
      <c r="O313" s="189"/>
      <c r="P313" s="157"/>
    </row>
    <row r="314" spans="1:16" ht="15.75" customHeight="1">
      <c r="A314" s="157"/>
      <c r="B314" s="190"/>
      <c r="C314" s="195"/>
      <c r="D314" s="196"/>
      <c r="E314" s="197"/>
      <c r="F314" s="198"/>
      <c r="G314" s="198"/>
      <c r="H314" s="196"/>
      <c r="I314" s="197"/>
      <c r="J314" s="177"/>
      <c r="K314" s="177"/>
      <c r="L314" s="177"/>
      <c r="M314" s="125"/>
      <c r="N314" s="125"/>
      <c r="O314" s="189"/>
      <c r="P314" s="157"/>
    </row>
    <row r="315" spans="1:16" ht="15.75" customHeight="1">
      <c r="A315" s="157"/>
      <c r="B315" s="190"/>
      <c r="C315" s="195"/>
      <c r="D315" s="196"/>
      <c r="E315" s="197"/>
      <c r="F315" s="198"/>
      <c r="G315" s="198"/>
      <c r="H315" s="196"/>
      <c r="I315" s="197"/>
      <c r="J315" s="177"/>
      <c r="K315" s="177"/>
      <c r="L315" s="177"/>
      <c r="M315" s="125"/>
      <c r="N315" s="125"/>
      <c r="O315" s="189"/>
      <c r="P315" s="157"/>
    </row>
    <row r="316" spans="1:16" ht="15.75" customHeight="1">
      <c r="A316" s="157"/>
      <c r="B316" s="190"/>
      <c r="C316" s="195"/>
      <c r="D316" s="196"/>
      <c r="E316" s="197"/>
      <c r="F316" s="198"/>
      <c r="G316" s="198"/>
      <c r="H316" s="196"/>
      <c r="I316" s="197"/>
      <c r="J316" s="177"/>
      <c r="K316" s="177"/>
      <c r="L316" s="177"/>
      <c r="M316" s="125"/>
      <c r="N316" s="125"/>
      <c r="O316" s="189"/>
      <c r="P316" s="157"/>
    </row>
    <row r="317" spans="1:16" ht="15.75" customHeight="1">
      <c r="A317" s="157"/>
      <c r="B317" s="190"/>
      <c r="C317" s="195"/>
      <c r="D317" s="196"/>
      <c r="E317" s="197"/>
      <c r="F317" s="198"/>
      <c r="G317" s="198"/>
      <c r="H317" s="196"/>
      <c r="I317" s="197"/>
      <c r="J317" s="177"/>
      <c r="K317" s="177"/>
      <c r="L317" s="177"/>
      <c r="M317" s="125"/>
      <c r="N317" s="125"/>
      <c r="O317" s="189"/>
      <c r="P317" s="157"/>
    </row>
    <row r="318" spans="1:16" ht="15.75" customHeight="1">
      <c r="A318" s="157"/>
      <c r="B318" s="190"/>
      <c r="C318" s="195"/>
      <c r="D318" s="196"/>
      <c r="E318" s="197"/>
      <c r="F318" s="198"/>
      <c r="G318" s="198"/>
      <c r="H318" s="196"/>
      <c r="I318" s="197"/>
      <c r="J318" s="177"/>
      <c r="K318" s="177"/>
      <c r="L318" s="177"/>
      <c r="M318" s="125"/>
      <c r="N318" s="125"/>
      <c r="O318" s="189"/>
      <c r="P318" s="157"/>
    </row>
    <row r="319" spans="1:16" ht="15.75" customHeight="1">
      <c r="A319" s="157"/>
      <c r="B319" s="190"/>
      <c r="C319" s="195"/>
      <c r="D319" s="196"/>
      <c r="E319" s="197"/>
      <c r="F319" s="198"/>
      <c r="G319" s="198"/>
      <c r="H319" s="196"/>
      <c r="I319" s="197"/>
      <c r="J319" s="177"/>
      <c r="K319" s="177"/>
      <c r="L319" s="177"/>
      <c r="M319" s="125"/>
      <c r="N319" s="125"/>
      <c r="O319" s="189"/>
      <c r="P319" s="157"/>
    </row>
    <row r="320" spans="1:16" ht="15.75" customHeight="1">
      <c r="A320" s="157"/>
      <c r="B320" s="190"/>
      <c r="C320" s="195"/>
      <c r="D320" s="196"/>
      <c r="E320" s="197"/>
      <c r="F320" s="198"/>
      <c r="G320" s="198"/>
      <c r="H320" s="196"/>
      <c r="I320" s="197"/>
      <c r="J320" s="177"/>
      <c r="K320" s="177"/>
      <c r="L320" s="177"/>
      <c r="M320" s="125"/>
      <c r="N320" s="125"/>
      <c r="O320" s="189"/>
      <c r="P320" s="157"/>
    </row>
    <row r="321" spans="1:16" ht="15.75" customHeight="1">
      <c r="A321" s="157"/>
      <c r="B321" s="190"/>
      <c r="C321" s="195"/>
      <c r="D321" s="196"/>
      <c r="E321" s="197"/>
      <c r="F321" s="198"/>
      <c r="G321" s="198"/>
      <c r="H321" s="196"/>
      <c r="I321" s="197"/>
      <c r="J321" s="177"/>
      <c r="K321" s="177"/>
      <c r="L321" s="177"/>
      <c r="M321" s="125"/>
      <c r="N321" s="125"/>
      <c r="O321" s="189"/>
      <c r="P321" s="157"/>
    </row>
    <row r="322" spans="1:16" ht="15.75" customHeight="1">
      <c r="A322" s="157"/>
      <c r="B322" s="190"/>
      <c r="C322" s="195"/>
      <c r="D322" s="196"/>
      <c r="E322" s="197"/>
      <c r="F322" s="198"/>
      <c r="G322" s="198"/>
      <c r="H322" s="196"/>
      <c r="I322" s="197"/>
      <c r="J322" s="177"/>
      <c r="K322" s="177"/>
      <c r="L322" s="177"/>
      <c r="M322" s="125"/>
      <c r="N322" s="125"/>
      <c r="O322" s="189"/>
      <c r="P322" s="157"/>
    </row>
    <row r="323" spans="1:16" ht="15.75" customHeight="1">
      <c r="A323" s="157"/>
      <c r="B323" s="190"/>
      <c r="C323" s="195"/>
      <c r="D323" s="196"/>
      <c r="E323" s="197"/>
      <c r="F323" s="198"/>
      <c r="G323" s="198"/>
      <c r="H323" s="196"/>
      <c r="I323" s="197"/>
      <c r="J323" s="177"/>
      <c r="K323" s="177"/>
      <c r="L323" s="177"/>
      <c r="M323" s="125"/>
      <c r="N323" s="125"/>
      <c r="O323" s="189"/>
      <c r="P323" s="157"/>
    </row>
    <row r="324" spans="1:16" ht="15.75" customHeight="1">
      <c r="A324" s="157"/>
      <c r="B324" s="190"/>
      <c r="C324" s="195"/>
      <c r="D324" s="196"/>
      <c r="E324" s="197"/>
      <c r="F324" s="198"/>
      <c r="G324" s="198"/>
      <c r="H324" s="196"/>
      <c r="I324" s="197"/>
      <c r="J324" s="177"/>
      <c r="K324" s="177"/>
      <c r="L324" s="177"/>
      <c r="M324" s="125"/>
      <c r="N324" s="125"/>
      <c r="O324" s="189"/>
      <c r="P324" s="157"/>
    </row>
    <row r="325" spans="1:16" ht="15.75" customHeight="1">
      <c r="A325" s="157"/>
      <c r="B325" s="190"/>
      <c r="C325" s="195"/>
      <c r="D325" s="196"/>
      <c r="E325" s="197"/>
      <c r="F325" s="198"/>
      <c r="G325" s="198"/>
      <c r="H325" s="196"/>
      <c r="I325" s="197"/>
      <c r="J325" s="177"/>
      <c r="K325" s="177"/>
      <c r="L325" s="177"/>
      <c r="M325" s="125"/>
      <c r="N325" s="125"/>
      <c r="O325" s="189"/>
      <c r="P325" s="157"/>
    </row>
    <row r="326" spans="1:16" ht="15.75" customHeight="1">
      <c r="A326" s="157"/>
      <c r="B326" s="190"/>
      <c r="C326" s="195"/>
      <c r="D326" s="196"/>
      <c r="E326" s="197"/>
      <c r="F326" s="198"/>
      <c r="G326" s="198"/>
      <c r="H326" s="196"/>
      <c r="I326" s="197"/>
      <c r="J326" s="177"/>
      <c r="K326" s="177"/>
      <c r="L326" s="177"/>
      <c r="M326" s="125"/>
      <c r="N326" s="125"/>
      <c r="O326" s="189"/>
      <c r="P326" s="157"/>
    </row>
    <row r="327" spans="1:16" ht="15.75" customHeight="1">
      <c r="A327" s="157"/>
      <c r="B327" s="190"/>
      <c r="C327" s="195"/>
      <c r="D327" s="196"/>
      <c r="E327" s="197"/>
      <c r="F327" s="198"/>
      <c r="G327" s="198"/>
      <c r="H327" s="196"/>
      <c r="I327" s="197"/>
      <c r="J327" s="177"/>
      <c r="K327" s="177"/>
      <c r="L327" s="177"/>
      <c r="M327" s="125"/>
      <c r="N327" s="125"/>
      <c r="O327" s="189"/>
      <c r="P327" s="157"/>
    </row>
    <row r="328" spans="1:16" ht="15.75" customHeight="1">
      <c r="A328" s="157"/>
      <c r="B328" s="190"/>
      <c r="C328" s="195"/>
      <c r="D328" s="196"/>
      <c r="E328" s="197"/>
      <c r="F328" s="198"/>
      <c r="G328" s="198"/>
      <c r="H328" s="196"/>
      <c r="I328" s="197"/>
      <c r="J328" s="177"/>
      <c r="K328" s="177"/>
      <c r="L328" s="177"/>
      <c r="M328" s="125"/>
      <c r="N328" s="125"/>
      <c r="O328" s="189"/>
      <c r="P328" s="157"/>
    </row>
    <row r="329" spans="1:16" ht="15.75" customHeight="1">
      <c r="A329" s="157"/>
      <c r="B329" s="190"/>
      <c r="C329" s="195"/>
      <c r="D329" s="196"/>
      <c r="E329" s="197"/>
      <c r="F329" s="198"/>
      <c r="G329" s="198"/>
      <c r="H329" s="196"/>
      <c r="I329" s="197"/>
      <c r="J329" s="177"/>
      <c r="K329" s="177"/>
      <c r="L329" s="177"/>
      <c r="M329" s="125"/>
      <c r="N329" s="125"/>
      <c r="O329" s="189"/>
      <c r="P329" s="157"/>
    </row>
    <row r="330" spans="1:16" ht="15.75" customHeight="1">
      <c r="A330" s="157"/>
      <c r="B330" s="190"/>
      <c r="C330" s="195"/>
      <c r="D330" s="196"/>
      <c r="E330" s="197"/>
      <c r="F330" s="198"/>
      <c r="G330" s="198"/>
      <c r="H330" s="196"/>
      <c r="I330" s="197"/>
      <c r="J330" s="177"/>
      <c r="K330" s="177"/>
      <c r="L330" s="177"/>
      <c r="M330" s="125"/>
      <c r="N330" s="125"/>
      <c r="O330" s="189"/>
      <c r="P330" s="157"/>
    </row>
    <row r="331" spans="1:16" ht="15.75" customHeight="1">
      <c r="A331" s="157"/>
      <c r="B331" s="190"/>
      <c r="C331" s="195"/>
      <c r="D331" s="196"/>
      <c r="E331" s="197"/>
      <c r="F331" s="198"/>
      <c r="G331" s="198"/>
      <c r="H331" s="196"/>
      <c r="I331" s="197"/>
      <c r="J331" s="177"/>
      <c r="K331" s="177"/>
      <c r="L331" s="177"/>
      <c r="M331" s="125"/>
      <c r="N331" s="125"/>
      <c r="O331" s="189"/>
      <c r="P331" s="157"/>
    </row>
    <row r="332" spans="1:16" ht="15.75" customHeight="1">
      <c r="A332" s="157"/>
      <c r="B332" s="190"/>
      <c r="C332" s="195"/>
      <c r="D332" s="196"/>
      <c r="E332" s="197"/>
      <c r="F332" s="198"/>
      <c r="G332" s="198"/>
      <c r="H332" s="196"/>
      <c r="I332" s="197"/>
      <c r="J332" s="177"/>
      <c r="K332" s="177"/>
      <c r="L332" s="177"/>
      <c r="M332" s="125"/>
      <c r="N332" s="125"/>
      <c r="O332" s="189"/>
      <c r="P332" s="157"/>
    </row>
    <row r="333" spans="1:16" ht="15.75" customHeight="1">
      <c r="A333" s="157"/>
      <c r="B333" s="190"/>
      <c r="C333" s="195"/>
      <c r="D333" s="196"/>
      <c r="E333" s="197"/>
      <c r="F333" s="198"/>
      <c r="G333" s="198"/>
      <c r="H333" s="196"/>
      <c r="I333" s="197"/>
      <c r="J333" s="177"/>
      <c r="K333" s="177"/>
      <c r="L333" s="177"/>
      <c r="M333" s="125"/>
      <c r="N333" s="125"/>
      <c r="O333" s="189"/>
      <c r="P333" s="157"/>
    </row>
    <row r="334" spans="1:16" ht="15.75" customHeight="1">
      <c r="A334" s="157"/>
      <c r="B334" s="190"/>
      <c r="C334" s="195"/>
      <c r="D334" s="196"/>
      <c r="E334" s="197"/>
      <c r="F334" s="198"/>
      <c r="G334" s="198"/>
      <c r="H334" s="196"/>
      <c r="I334" s="197"/>
      <c r="J334" s="177"/>
      <c r="K334" s="177"/>
      <c r="L334" s="177"/>
      <c r="M334" s="125"/>
      <c r="N334" s="125"/>
      <c r="O334" s="189"/>
      <c r="P334" s="157"/>
    </row>
    <row r="335" spans="1:16" ht="15.75" customHeight="1">
      <c r="A335" s="157"/>
      <c r="B335" s="190"/>
      <c r="C335" s="195"/>
      <c r="D335" s="196"/>
      <c r="E335" s="197"/>
      <c r="F335" s="198"/>
      <c r="G335" s="198"/>
      <c r="H335" s="196"/>
      <c r="I335" s="197"/>
      <c r="J335" s="177"/>
      <c r="K335" s="177"/>
      <c r="L335" s="177"/>
      <c r="M335" s="125"/>
      <c r="N335" s="125"/>
      <c r="O335" s="189"/>
      <c r="P335" s="157"/>
    </row>
    <row r="336" spans="1:16" ht="15.75" customHeight="1">
      <c r="A336" s="157"/>
      <c r="B336" s="190"/>
      <c r="C336" s="195"/>
      <c r="D336" s="196"/>
      <c r="E336" s="197"/>
      <c r="F336" s="198"/>
      <c r="G336" s="198"/>
      <c r="H336" s="196"/>
      <c r="I336" s="197"/>
      <c r="J336" s="177"/>
      <c r="K336" s="177"/>
      <c r="L336" s="177"/>
      <c r="M336" s="125"/>
      <c r="N336" s="125"/>
      <c r="O336" s="189"/>
      <c r="P336" s="157"/>
    </row>
    <row r="337" spans="1:16" ht="15.75" customHeight="1">
      <c r="A337" s="157"/>
      <c r="B337" s="190"/>
      <c r="C337" s="195"/>
      <c r="D337" s="196"/>
      <c r="E337" s="197"/>
      <c r="F337" s="198"/>
      <c r="G337" s="198"/>
      <c r="H337" s="196"/>
      <c r="I337" s="197"/>
      <c r="J337" s="177"/>
      <c r="K337" s="177"/>
      <c r="L337" s="177"/>
      <c r="M337" s="125"/>
      <c r="N337" s="125"/>
      <c r="O337" s="189"/>
      <c r="P337" s="157"/>
    </row>
    <row r="338" spans="1:16" ht="15.75" customHeight="1">
      <c r="A338" s="157"/>
      <c r="B338" s="190"/>
      <c r="C338" s="195"/>
      <c r="D338" s="196"/>
      <c r="E338" s="197"/>
      <c r="F338" s="198"/>
      <c r="G338" s="198"/>
      <c r="H338" s="196"/>
      <c r="I338" s="197"/>
      <c r="J338" s="177"/>
      <c r="K338" s="177"/>
      <c r="L338" s="177"/>
      <c r="M338" s="125"/>
      <c r="N338" s="125"/>
      <c r="O338" s="189"/>
      <c r="P338" s="157"/>
    </row>
    <row r="339" spans="1:16" ht="15.75" customHeight="1">
      <c r="A339" s="157"/>
      <c r="B339" s="190"/>
      <c r="C339" s="195"/>
      <c r="D339" s="196"/>
      <c r="E339" s="197"/>
      <c r="F339" s="198"/>
      <c r="G339" s="198"/>
      <c r="H339" s="196"/>
      <c r="I339" s="197"/>
      <c r="J339" s="177"/>
      <c r="K339" s="177"/>
      <c r="L339" s="177"/>
      <c r="M339" s="125"/>
      <c r="N339" s="125"/>
      <c r="O339" s="189"/>
      <c r="P339" s="157"/>
    </row>
    <row r="340" spans="1:16" ht="15.75" customHeight="1">
      <c r="A340" s="157"/>
      <c r="B340" s="190"/>
      <c r="C340" s="195"/>
      <c r="D340" s="196"/>
      <c r="E340" s="197"/>
      <c r="F340" s="198"/>
      <c r="G340" s="198"/>
      <c r="H340" s="196"/>
      <c r="I340" s="197"/>
      <c r="J340" s="177"/>
      <c r="K340" s="177"/>
      <c r="L340" s="177"/>
      <c r="M340" s="125"/>
      <c r="N340" s="125"/>
      <c r="O340" s="189"/>
      <c r="P340" s="157"/>
    </row>
    <row r="341" spans="1:16" ht="15.75" customHeight="1">
      <c r="A341" s="157"/>
      <c r="B341" s="190"/>
      <c r="C341" s="195"/>
      <c r="D341" s="196"/>
      <c r="E341" s="197"/>
      <c r="F341" s="198"/>
      <c r="G341" s="198"/>
      <c r="H341" s="196"/>
      <c r="I341" s="197"/>
      <c r="J341" s="177"/>
      <c r="K341" s="177"/>
      <c r="L341" s="177"/>
      <c r="M341" s="125"/>
      <c r="N341" s="125"/>
      <c r="O341" s="189"/>
      <c r="P341" s="157"/>
    </row>
    <row r="342" spans="1:16" ht="15.75" customHeight="1">
      <c r="A342" s="157"/>
      <c r="B342" s="190"/>
      <c r="C342" s="195"/>
      <c r="D342" s="196"/>
      <c r="E342" s="197"/>
      <c r="F342" s="198"/>
      <c r="G342" s="198"/>
      <c r="H342" s="196"/>
      <c r="I342" s="197"/>
      <c r="J342" s="177"/>
      <c r="K342" s="177"/>
      <c r="L342" s="177"/>
      <c r="M342" s="125"/>
      <c r="N342" s="125"/>
      <c r="O342" s="189"/>
      <c r="P342" s="157"/>
    </row>
    <row r="343" spans="1:16" ht="15.75" customHeight="1">
      <c r="A343" s="157"/>
      <c r="B343" s="190"/>
      <c r="C343" s="195"/>
      <c r="D343" s="196"/>
      <c r="E343" s="197"/>
      <c r="F343" s="198"/>
      <c r="G343" s="198"/>
      <c r="H343" s="196"/>
      <c r="I343" s="197"/>
      <c r="J343" s="177"/>
      <c r="K343" s="177"/>
      <c r="L343" s="177"/>
      <c r="M343" s="125"/>
      <c r="N343" s="125"/>
      <c r="O343" s="189"/>
      <c r="P343" s="157"/>
    </row>
    <row r="344" spans="1:16" ht="15.75" customHeight="1">
      <c r="A344" s="157"/>
      <c r="B344" s="190"/>
      <c r="C344" s="195"/>
      <c r="D344" s="196"/>
      <c r="E344" s="197"/>
      <c r="F344" s="198"/>
      <c r="G344" s="198"/>
      <c r="H344" s="196"/>
      <c r="I344" s="197"/>
      <c r="J344" s="177"/>
      <c r="K344" s="177"/>
      <c r="L344" s="177"/>
      <c r="M344" s="125"/>
      <c r="N344" s="125"/>
      <c r="O344" s="189"/>
      <c r="P344" s="157"/>
    </row>
    <row r="345" spans="1:16" ht="15.75" customHeight="1">
      <c r="A345" s="157"/>
      <c r="B345" s="190"/>
      <c r="C345" s="195"/>
      <c r="D345" s="196"/>
      <c r="E345" s="197"/>
      <c r="F345" s="198"/>
      <c r="G345" s="198"/>
      <c r="H345" s="196"/>
      <c r="I345" s="197"/>
      <c r="J345" s="177"/>
      <c r="K345" s="177"/>
      <c r="L345" s="177"/>
      <c r="M345" s="125"/>
      <c r="N345" s="125"/>
      <c r="O345" s="189"/>
      <c r="P345" s="157"/>
    </row>
    <row r="346" spans="1:16" ht="15.75" customHeight="1">
      <c r="A346" s="157"/>
      <c r="B346" s="190"/>
      <c r="C346" s="195"/>
      <c r="D346" s="196"/>
      <c r="E346" s="197"/>
      <c r="F346" s="198"/>
      <c r="G346" s="198"/>
      <c r="H346" s="196"/>
      <c r="I346" s="197"/>
      <c r="J346" s="177"/>
      <c r="K346" s="177"/>
      <c r="L346" s="177"/>
      <c r="M346" s="125"/>
      <c r="N346" s="125"/>
      <c r="O346" s="189"/>
      <c r="P346" s="157"/>
    </row>
    <row r="347" spans="1:16" ht="15.75" customHeight="1">
      <c r="A347" s="157"/>
      <c r="B347" s="190"/>
      <c r="C347" s="195"/>
      <c r="D347" s="196"/>
      <c r="E347" s="197"/>
      <c r="F347" s="198"/>
      <c r="G347" s="198"/>
      <c r="H347" s="196"/>
      <c r="I347" s="197"/>
      <c r="J347" s="177"/>
      <c r="K347" s="177"/>
      <c r="L347" s="177"/>
      <c r="M347" s="125"/>
      <c r="N347" s="125"/>
      <c r="O347" s="189"/>
      <c r="P347" s="157"/>
    </row>
    <row r="348" spans="1:16" ht="15.75" customHeight="1">
      <c r="A348" s="157"/>
      <c r="B348" s="190"/>
      <c r="C348" s="195"/>
      <c r="D348" s="196"/>
      <c r="E348" s="197"/>
      <c r="F348" s="198"/>
      <c r="G348" s="198"/>
      <c r="H348" s="196"/>
      <c r="I348" s="197"/>
      <c r="J348" s="177"/>
      <c r="K348" s="177"/>
      <c r="L348" s="177"/>
      <c r="M348" s="125"/>
      <c r="N348" s="125"/>
      <c r="O348" s="189"/>
      <c r="P348" s="157"/>
    </row>
    <row r="349" spans="1:16" ht="15.75" customHeight="1">
      <c r="A349" s="157"/>
      <c r="B349" s="190"/>
      <c r="C349" s="195"/>
      <c r="D349" s="196"/>
      <c r="E349" s="197"/>
      <c r="F349" s="198"/>
      <c r="G349" s="198"/>
      <c r="H349" s="196"/>
      <c r="I349" s="197"/>
      <c r="J349" s="177"/>
      <c r="K349" s="177"/>
      <c r="L349" s="177"/>
      <c r="M349" s="125"/>
      <c r="N349" s="125"/>
      <c r="O349" s="189"/>
      <c r="P349" s="157"/>
    </row>
    <row r="350" spans="1:16" ht="15.75" customHeight="1">
      <c r="A350" s="157"/>
      <c r="B350" s="190"/>
      <c r="C350" s="195"/>
      <c r="D350" s="196"/>
      <c r="E350" s="197"/>
      <c r="F350" s="198"/>
      <c r="G350" s="198"/>
      <c r="H350" s="196"/>
      <c r="I350" s="197"/>
      <c r="J350" s="177"/>
      <c r="K350" s="177"/>
      <c r="L350" s="177"/>
      <c r="M350" s="125"/>
      <c r="N350" s="125"/>
      <c r="O350" s="189"/>
      <c r="P350" s="157"/>
    </row>
    <row r="351" spans="1:16" ht="15.75" customHeight="1">
      <c r="A351" s="157"/>
      <c r="B351" s="190"/>
      <c r="C351" s="195"/>
      <c r="D351" s="196"/>
      <c r="E351" s="197"/>
      <c r="F351" s="198"/>
      <c r="G351" s="198"/>
      <c r="H351" s="196"/>
      <c r="I351" s="197"/>
      <c r="J351" s="177"/>
      <c r="K351" s="177"/>
      <c r="L351" s="177"/>
      <c r="M351" s="125"/>
      <c r="N351" s="125"/>
      <c r="O351" s="189"/>
      <c r="P351" s="157"/>
    </row>
    <row r="352" spans="1:16" ht="15.75" customHeight="1">
      <c r="A352" s="157"/>
      <c r="B352" s="190"/>
      <c r="C352" s="195"/>
      <c r="D352" s="196"/>
      <c r="E352" s="197"/>
      <c r="F352" s="198"/>
      <c r="G352" s="198"/>
      <c r="H352" s="196"/>
      <c r="I352" s="197"/>
      <c r="J352" s="177"/>
      <c r="K352" s="177"/>
      <c r="L352" s="177"/>
      <c r="M352" s="125"/>
      <c r="N352" s="125"/>
      <c r="O352" s="189"/>
      <c r="P352" s="157"/>
    </row>
    <row r="353" spans="1:16" ht="15.75" customHeight="1">
      <c r="A353" s="157"/>
      <c r="B353" s="190"/>
      <c r="C353" s="195"/>
      <c r="D353" s="196"/>
      <c r="E353" s="197"/>
      <c r="F353" s="198"/>
      <c r="G353" s="198"/>
      <c r="H353" s="196"/>
      <c r="I353" s="197"/>
      <c r="J353" s="177"/>
      <c r="K353" s="177"/>
      <c r="L353" s="177"/>
      <c r="M353" s="125"/>
      <c r="N353" s="125"/>
      <c r="O353" s="189"/>
      <c r="P353" s="157"/>
    </row>
    <row r="354" spans="1:16" ht="15.75" customHeight="1">
      <c r="A354" s="157"/>
      <c r="B354" s="190"/>
      <c r="C354" s="195"/>
      <c r="D354" s="196"/>
      <c r="E354" s="197"/>
      <c r="F354" s="198"/>
      <c r="G354" s="198"/>
      <c r="H354" s="196"/>
      <c r="I354" s="197"/>
      <c r="J354" s="177"/>
      <c r="K354" s="177"/>
      <c r="L354" s="177"/>
      <c r="M354" s="125"/>
      <c r="N354" s="125"/>
      <c r="O354" s="189"/>
      <c r="P354" s="157"/>
    </row>
    <row r="355" spans="1:16" ht="15.75" customHeight="1">
      <c r="A355" s="157"/>
      <c r="B355" s="190"/>
      <c r="C355" s="195"/>
      <c r="D355" s="196"/>
      <c r="E355" s="197"/>
      <c r="F355" s="198"/>
      <c r="G355" s="198"/>
      <c r="H355" s="196"/>
      <c r="I355" s="197"/>
      <c r="J355" s="177"/>
      <c r="K355" s="177"/>
      <c r="L355" s="177"/>
      <c r="M355" s="125"/>
      <c r="N355" s="125"/>
      <c r="O355" s="189"/>
      <c r="P355" s="157"/>
    </row>
    <row r="356" spans="1:16" ht="15.75" customHeight="1">
      <c r="A356" s="157"/>
      <c r="B356" s="190"/>
      <c r="C356" s="195"/>
      <c r="D356" s="196"/>
      <c r="E356" s="197"/>
      <c r="F356" s="198"/>
      <c r="G356" s="198"/>
      <c r="H356" s="196"/>
      <c r="I356" s="197"/>
      <c r="J356" s="177"/>
      <c r="K356" s="177"/>
      <c r="L356" s="177"/>
      <c r="M356" s="125"/>
      <c r="N356" s="125"/>
      <c r="O356" s="189"/>
      <c r="P356" s="157"/>
    </row>
    <row r="357" spans="1:16" ht="15.75" customHeight="1">
      <c r="A357" s="157"/>
      <c r="B357" s="190"/>
      <c r="C357" s="195"/>
      <c r="D357" s="196"/>
      <c r="E357" s="197"/>
      <c r="F357" s="198"/>
      <c r="G357" s="198"/>
      <c r="H357" s="196"/>
      <c r="I357" s="197"/>
      <c r="J357" s="177"/>
      <c r="K357" s="177"/>
      <c r="L357" s="177"/>
      <c r="M357" s="125"/>
      <c r="N357" s="125"/>
      <c r="O357" s="189"/>
      <c r="P357" s="157"/>
    </row>
    <row r="358" spans="1:16" ht="15.75" customHeight="1">
      <c r="A358" s="157"/>
      <c r="B358" s="190"/>
      <c r="C358" s="195"/>
      <c r="D358" s="196"/>
      <c r="E358" s="197"/>
      <c r="F358" s="198"/>
      <c r="G358" s="198"/>
      <c r="H358" s="196"/>
      <c r="I358" s="197"/>
      <c r="J358" s="177"/>
      <c r="K358" s="177"/>
      <c r="L358" s="177"/>
      <c r="M358" s="125"/>
      <c r="N358" s="125"/>
      <c r="O358" s="189"/>
      <c r="P358" s="157"/>
    </row>
    <row r="359" spans="1:16" ht="15.75" customHeight="1">
      <c r="A359" s="157"/>
      <c r="B359" s="190"/>
      <c r="C359" s="195"/>
      <c r="D359" s="196"/>
      <c r="E359" s="197"/>
      <c r="F359" s="198"/>
      <c r="G359" s="198"/>
      <c r="H359" s="196"/>
      <c r="I359" s="197"/>
      <c r="J359" s="177"/>
      <c r="K359" s="177"/>
      <c r="L359" s="177"/>
      <c r="M359" s="125"/>
      <c r="N359" s="125"/>
      <c r="O359" s="189"/>
      <c r="P359" s="157"/>
    </row>
    <row r="360" spans="1:16" ht="15.75" customHeight="1">
      <c r="A360" s="157"/>
      <c r="B360" s="190"/>
      <c r="C360" s="195"/>
      <c r="D360" s="196"/>
      <c r="E360" s="197"/>
      <c r="F360" s="198"/>
      <c r="G360" s="198"/>
      <c r="H360" s="196"/>
      <c r="I360" s="197"/>
      <c r="J360" s="177"/>
      <c r="K360" s="177"/>
      <c r="L360" s="177"/>
      <c r="M360" s="125"/>
      <c r="N360" s="125"/>
      <c r="O360" s="189"/>
      <c r="P360" s="157"/>
    </row>
    <row r="361" spans="1:16" ht="15.75" customHeight="1">
      <c r="A361" s="157"/>
      <c r="B361" s="190"/>
      <c r="C361" s="195"/>
      <c r="D361" s="196"/>
      <c r="E361" s="197"/>
      <c r="F361" s="198"/>
      <c r="G361" s="198"/>
      <c r="H361" s="196"/>
      <c r="I361" s="197"/>
      <c r="J361" s="177"/>
      <c r="K361" s="177"/>
      <c r="L361" s="177"/>
      <c r="M361" s="125"/>
      <c r="N361" s="125"/>
      <c r="O361" s="189"/>
      <c r="P361" s="157"/>
    </row>
    <row r="362" spans="1:16" ht="15.75" customHeight="1">
      <c r="A362" s="157"/>
      <c r="B362" s="190"/>
      <c r="C362" s="195"/>
      <c r="D362" s="196"/>
      <c r="E362" s="197"/>
      <c r="F362" s="198"/>
      <c r="G362" s="198"/>
      <c r="H362" s="196"/>
      <c r="I362" s="197"/>
      <c r="J362" s="177"/>
      <c r="K362" s="177"/>
      <c r="L362" s="177"/>
      <c r="M362" s="125"/>
      <c r="N362" s="125"/>
      <c r="O362" s="189"/>
      <c r="P362" s="157"/>
    </row>
    <row r="363" spans="1:16" ht="15.75" customHeight="1">
      <c r="A363" s="157"/>
      <c r="B363" s="190"/>
      <c r="C363" s="195"/>
      <c r="D363" s="196"/>
      <c r="E363" s="197"/>
      <c r="F363" s="198"/>
      <c r="G363" s="198"/>
      <c r="H363" s="196"/>
      <c r="I363" s="197"/>
      <c r="J363" s="177"/>
      <c r="K363" s="177"/>
      <c r="L363" s="177"/>
      <c r="M363" s="125"/>
      <c r="N363" s="125"/>
      <c r="O363" s="189"/>
      <c r="P363" s="157"/>
    </row>
    <row r="364" spans="1:16" ht="15.75" customHeight="1">
      <c r="A364" s="157"/>
      <c r="B364" s="190"/>
      <c r="C364" s="195"/>
      <c r="D364" s="196"/>
      <c r="E364" s="197"/>
      <c r="F364" s="198"/>
      <c r="G364" s="198"/>
      <c r="H364" s="196"/>
      <c r="I364" s="197"/>
      <c r="J364" s="177"/>
      <c r="K364" s="177"/>
      <c r="L364" s="177"/>
      <c r="M364" s="125"/>
      <c r="N364" s="125"/>
      <c r="O364" s="189"/>
      <c r="P364" s="157"/>
    </row>
    <row r="365" spans="1:16" ht="15.75" customHeight="1">
      <c r="A365" s="157"/>
      <c r="B365" s="190"/>
      <c r="C365" s="195"/>
      <c r="D365" s="196"/>
      <c r="E365" s="197"/>
      <c r="F365" s="198"/>
      <c r="G365" s="198"/>
      <c r="H365" s="196"/>
      <c r="I365" s="197"/>
      <c r="J365" s="177"/>
      <c r="K365" s="177"/>
      <c r="L365" s="177"/>
      <c r="M365" s="125"/>
      <c r="N365" s="125"/>
      <c r="O365" s="189"/>
      <c r="P365" s="157"/>
    </row>
    <row r="366" spans="1:16" ht="15.75" customHeight="1">
      <c r="A366" s="157"/>
      <c r="B366" s="190"/>
      <c r="C366" s="195"/>
      <c r="D366" s="196"/>
      <c r="E366" s="197"/>
      <c r="F366" s="198"/>
      <c r="G366" s="198"/>
      <c r="H366" s="196"/>
      <c r="I366" s="197"/>
      <c r="J366" s="177"/>
      <c r="K366" s="177"/>
      <c r="L366" s="177"/>
      <c r="M366" s="125"/>
      <c r="N366" s="125"/>
      <c r="O366" s="189"/>
      <c r="P366" s="157"/>
    </row>
    <row r="367" spans="1:16" ht="15.75" customHeight="1">
      <c r="A367" s="157"/>
      <c r="B367" s="190"/>
      <c r="C367" s="195"/>
      <c r="D367" s="196"/>
      <c r="E367" s="197"/>
      <c r="F367" s="198"/>
      <c r="G367" s="198"/>
      <c r="H367" s="196"/>
      <c r="I367" s="197"/>
      <c r="J367" s="177"/>
      <c r="K367" s="177"/>
      <c r="L367" s="177"/>
      <c r="M367" s="125"/>
      <c r="N367" s="125"/>
      <c r="O367" s="189"/>
      <c r="P367" s="157"/>
    </row>
    <row r="368" spans="1:16" ht="15.75" customHeight="1">
      <c r="A368" s="157"/>
      <c r="B368" s="190"/>
      <c r="C368" s="195"/>
      <c r="D368" s="196"/>
      <c r="E368" s="197"/>
      <c r="F368" s="198"/>
      <c r="G368" s="198"/>
      <c r="H368" s="196"/>
      <c r="I368" s="197"/>
      <c r="J368" s="177"/>
      <c r="K368" s="177"/>
      <c r="L368" s="177"/>
      <c r="M368" s="125"/>
      <c r="N368" s="125"/>
      <c r="O368" s="189"/>
      <c r="P368" s="157"/>
    </row>
    <row r="369" spans="1:16" ht="15.75" customHeight="1">
      <c r="A369" s="157"/>
      <c r="B369" s="190"/>
      <c r="C369" s="195"/>
      <c r="D369" s="196"/>
      <c r="E369" s="197"/>
      <c r="F369" s="198"/>
      <c r="G369" s="198"/>
      <c r="H369" s="196"/>
      <c r="I369" s="197"/>
      <c r="J369" s="177"/>
      <c r="K369" s="177"/>
      <c r="L369" s="177"/>
      <c r="M369" s="125"/>
      <c r="N369" s="125"/>
      <c r="O369" s="189"/>
      <c r="P369" s="157"/>
    </row>
    <row r="370" spans="1:16" ht="15.75" customHeight="1">
      <c r="A370" s="157"/>
      <c r="B370" s="190"/>
      <c r="C370" s="195"/>
      <c r="D370" s="196"/>
      <c r="E370" s="197"/>
      <c r="F370" s="198"/>
      <c r="G370" s="198"/>
      <c r="H370" s="196"/>
      <c r="I370" s="197"/>
      <c r="J370" s="177"/>
      <c r="K370" s="177"/>
      <c r="L370" s="177"/>
      <c r="M370" s="125"/>
      <c r="N370" s="125"/>
      <c r="O370" s="189"/>
      <c r="P370" s="157"/>
    </row>
    <row r="371" spans="1:16" ht="15.75" customHeight="1">
      <c r="A371" s="157"/>
      <c r="B371" s="190"/>
      <c r="C371" s="195"/>
      <c r="D371" s="196"/>
      <c r="E371" s="197"/>
      <c r="F371" s="198"/>
      <c r="G371" s="198"/>
      <c r="H371" s="196"/>
      <c r="I371" s="197"/>
      <c r="J371" s="177"/>
      <c r="K371" s="177"/>
      <c r="L371" s="177"/>
      <c r="M371" s="125"/>
      <c r="N371" s="125"/>
      <c r="O371" s="189"/>
      <c r="P371" s="157"/>
    </row>
    <row r="372" spans="1:16" ht="15.75" customHeight="1">
      <c r="A372" s="157"/>
      <c r="B372" s="190"/>
      <c r="C372" s="195"/>
      <c r="D372" s="196"/>
      <c r="E372" s="197"/>
      <c r="F372" s="198"/>
      <c r="G372" s="198"/>
      <c r="H372" s="196"/>
      <c r="I372" s="197"/>
      <c r="J372" s="177"/>
      <c r="K372" s="177"/>
      <c r="L372" s="177"/>
      <c r="M372" s="125"/>
      <c r="N372" s="125"/>
      <c r="O372" s="189"/>
      <c r="P372" s="157"/>
    </row>
    <row r="373" spans="1:16" ht="15.75" customHeight="1">
      <c r="A373" s="157"/>
      <c r="B373" s="190"/>
      <c r="C373" s="195"/>
      <c r="D373" s="196"/>
      <c r="E373" s="197"/>
      <c r="F373" s="198"/>
      <c r="G373" s="198"/>
      <c r="H373" s="196"/>
      <c r="I373" s="197"/>
      <c r="J373" s="177"/>
      <c r="K373" s="177"/>
      <c r="L373" s="177"/>
      <c r="M373" s="125"/>
      <c r="N373" s="125"/>
      <c r="O373" s="189"/>
      <c r="P373" s="157"/>
    </row>
    <row r="374" spans="1:16" ht="15.75" customHeight="1">
      <c r="A374" s="157"/>
      <c r="B374" s="190"/>
      <c r="C374" s="195"/>
      <c r="D374" s="196"/>
      <c r="E374" s="197"/>
      <c r="F374" s="198"/>
      <c r="G374" s="198"/>
      <c r="H374" s="196"/>
      <c r="I374" s="197"/>
      <c r="J374" s="177"/>
      <c r="K374" s="177"/>
      <c r="L374" s="177"/>
      <c r="M374" s="125"/>
      <c r="N374" s="125"/>
      <c r="O374" s="189"/>
      <c r="P374" s="157"/>
    </row>
    <row r="375" spans="1:16" ht="15.75" customHeight="1">
      <c r="A375" s="157"/>
      <c r="B375" s="190"/>
      <c r="C375" s="195"/>
      <c r="D375" s="196"/>
      <c r="E375" s="197"/>
      <c r="F375" s="198"/>
      <c r="G375" s="198"/>
      <c r="H375" s="196"/>
      <c r="I375" s="197"/>
      <c r="J375" s="177"/>
      <c r="K375" s="177"/>
      <c r="L375" s="177"/>
      <c r="M375" s="125"/>
      <c r="N375" s="125"/>
      <c r="O375" s="189"/>
      <c r="P375" s="157"/>
    </row>
    <row r="376" spans="1:16" ht="15.75" customHeight="1">
      <c r="A376" s="157"/>
      <c r="B376" s="190"/>
      <c r="C376" s="195"/>
      <c r="D376" s="196"/>
      <c r="E376" s="197"/>
      <c r="F376" s="198"/>
      <c r="G376" s="198"/>
      <c r="H376" s="196"/>
      <c r="I376" s="197"/>
      <c r="J376" s="177"/>
      <c r="K376" s="177"/>
      <c r="L376" s="177"/>
      <c r="M376" s="125"/>
      <c r="N376" s="125"/>
      <c r="O376" s="189"/>
      <c r="P376" s="157"/>
    </row>
    <row r="377" spans="1:16" ht="15.75" customHeight="1">
      <c r="A377" s="157"/>
      <c r="B377" s="190"/>
      <c r="C377" s="195"/>
      <c r="D377" s="196"/>
      <c r="E377" s="197"/>
      <c r="F377" s="198"/>
      <c r="G377" s="198"/>
      <c r="H377" s="196"/>
      <c r="I377" s="197"/>
      <c r="J377" s="177"/>
      <c r="K377" s="177"/>
      <c r="L377" s="177"/>
      <c r="M377" s="125"/>
      <c r="N377" s="125"/>
      <c r="O377" s="189"/>
      <c r="P377" s="157"/>
    </row>
    <row r="378" spans="1:16" ht="15.75" customHeight="1">
      <c r="A378" s="157"/>
      <c r="B378" s="190"/>
      <c r="C378" s="195"/>
      <c r="D378" s="196"/>
      <c r="E378" s="197"/>
      <c r="F378" s="198"/>
      <c r="G378" s="198"/>
      <c r="H378" s="196"/>
      <c r="I378" s="197"/>
      <c r="J378" s="177"/>
      <c r="K378" s="177"/>
      <c r="L378" s="177"/>
      <c r="M378" s="125"/>
      <c r="N378" s="125"/>
      <c r="O378" s="189"/>
      <c r="P378" s="157"/>
    </row>
    <row r="379" spans="1:16" ht="15.75" customHeight="1">
      <c r="A379" s="157"/>
      <c r="B379" s="190"/>
      <c r="C379" s="195"/>
      <c r="D379" s="196"/>
      <c r="E379" s="197"/>
      <c r="F379" s="198"/>
      <c r="G379" s="198"/>
      <c r="H379" s="196"/>
      <c r="I379" s="197"/>
      <c r="J379" s="177"/>
      <c r="K379" s="177"/>
      <c r="L379" s="177"/>
      <c r="M379" s="125"/>
      <c r="N379" s="125"/>
      <c r="O379" s="189"/>
      <c r="P379" s="157"/>
    </row>
    <row r="380" spans="1:16" ht="15.75" customHeight="1">
      <c r="A380" s="157"/>
      <c r="B380" s="190"/>
      <c r="C380" s="195"/>
      <c r="D380" s="196"/>
      <c r="E380" s="197"/>
      <c r="F380" s="198"/>
      <c r="G380" s="198"/>
      <c r="H380" s="196"/>
      <c r="I380" s="197"/>
      <c r="J380" s="177"/>
      <c r="K380" s="177"/>
      <c r="L380" s="177"/>
      <c r="M380" s="125"/>
      <c r="N380" s="125"/>
      <c r="O380" s="189"/>
      <c r="P380" s="157"/>
    </row>
    <row r="381" spans="1:16" ht="15.75" customHeight="1">
      <c r="A381" s="157"/>
      <c r="B381" s="190"/>
      <c r="C381" s="195"/>
      <c r="D381" s="196"/>
      <c r="E381" s="197"/>
      <c r="F381" s="198"/>
      <c r="G381" s="198"/>
      <c r="H381" s="196"/>
      <c r="I381" s="197"/>
      <c r="J381" s="177"/>
      <c r="K381" s="177"/>
      <c r="L381" s="177"/>
      <c r="M381" s="125"/>
      <c r="N381" s="125"/>
      <c r="O381" s="189"/>
      <c r="P381" s="157"/>
    </row>
    <row r="382" spans="1:16" ht="15.75" customHeight="1">
      <c r="A382" s="157"/>
      <c r="B382" s="190"/>
      <c r="C382" s="195"/>
      <c r="D382" s="196"/>
      <c r="E382" s="197"/>
      <c r="F382" s="198"/>
      <c r="G382" s="198"/>
      <c r="H382" s="196"/>
      <c r="I382" s="197"/>
      <c r="J382" s="177"/>
      <c r="K382" s="177"/>
      <c r="L382" s="177"/>
      <c r="M382" s="125"/>
      <c r="N382" s="125"/>
      <c r="O382" s="189"/>
      <c r="P382" s="157"/>
    </row>
    <row r="383" spans="1:16" ht="15.75" customHeight="1">
      <c r="A383" s="157"/>
      <c r="B383" s="190"/>
      <c r="C383" s="195"/>
      <c r="D383" s="196"/>
      <c r="E383" s="197"/>
      <c r="F383" s="198"/>
      <c r="G383" s="198"/>
      <c r="H383" s="196"/>
      <c r="I383" s="197"/>
      <c r="J383" s="177"/>
      <c r="K383" s="177"/>
      <c r="L383" s="177"/>
      <c r="M383" s="125"/>
      <c r="N383" s="125"/>
      <c r="O383" s="189"/>
      <c r="P383" s="157"/>
    </row>
    <row r="384" spans="1:16" ht="15.75" customHeight="1">
      <c r="A384" s="157"/>
      <c r="B384" s="190"/>
      <c r="C384" s="195"/>
      <c r="D384" s="196"/>
      <c r="E384" s="197"/>
      <c r="F384" s="198"/>
      <c r="G384" s="198"/>
      <c r="H384" s="196"/>
      <c r="I384" s="197"/>
      <c r="J384" s="177"/>
      <c r="K384" s="177"/>
      <c r="L384" s="177"/>
      <c r="M384" s="125"/>
      <c r="N384" s="125"/>
      <c r="O384" s="189"/>
      <c r="P384" s="157"/>
    </row>
    <row r="385" spans="1:16" ht="15.75" customHeight="1">
      <c r="A385" s="157"/>
      <c r="B385" s="190"/>
      <c r="C385" s="195"/>
      <c r="D385" s="196"/>
      <c r="E385" s="197"/>
      <c r="F385" s="198"/>
      <c r="G385" s="198"/>
      <c r="H385" s="196"/>
      <c r="I385" s="197"/>
      <c r="J385" s="177"/>
      <c r="K385" s="177"/>
      <c r="L385" s="177"/>
      <c r="M385" s="125"/>
      <c r="N385" s="125"/>
      <c r="O385" s="189"/>
      <c r="P385" s="157"/>
    </row>
    <row r="386" spans="1:16" ht="15.75" customHeight="1">
      <c r="A386" s="157"/>
      <c r="B386" s="190"/>
      <c r="C386" s="195"/>
      <c r="D386" s="196"/>
      <c r="E386" s="197"/>
      <c r="F386" s="198"/>
      <c r="G386" s="198"/>
      <c r="H386" s="196"/>
      <c r="I386" s="197"/>
      <c r="J386" s="177"/>
      <c r="K386" s="177"/>
      <c r="L386" s="177"/>
      <c r="M386" s="125"/>
      <c r="N386" s="125"/>
      <c r="O386" s="189"/>
      <c r="P386" s="157"/>
    </row>
    <row r="387" spans="1:16" ht="15.75" customHeight="1">
      <c r="A387" s="157"/>
      <c r="B387" s="190"/>
      <c r="C387" s="195"/>
      <c r="D387" s="196"/>
      <c r="E387" s="197"/>
      <c r="F387" s="198"/>
      <c r="G387" s="198"/>
      <c r="H387" s="196"/>
      <c r="I387" s="197"/>
      <c r="J387" s="177"/>
      <c r="K387" s="177"/>
      <c r="L387" s="177"/>
      <c r="M387" s="125"/>
      <c r="N387" s="125"/>
      <c r="O387" s="189"/>
      <c r="P387" s="157"/>
    </row>
    <row r="388" spans="1:16" ht="15.75" customHeight="1">
      <c r="A388" s="157"/>
      <c r="B388" s="190"/>
      <c r="C388" s="195"/>
      <c r="D388" s="196"/>
      <c r="E388" s="197"/>
      <c r="F388" s="198"/>
      <c r="G388" s="198"/>
      <c r="H388" s="196"/>
      <c r="I388" s="197"/>
      <c r="J388" s="177"/>
      <c r="K388" s="177"/>
      <c r="L388" s="177"/>
      <c r="M388" s="125"/>
      <c r="N388" s="125"/>
      <c r="O388" s="189"/>
      <c r="P388" s="157"/>
    </row>
    <row r="389" spans="1:16" ht="15.75" customHeight="1">
      <c r="A389" s="157"/>
      <c r="B389" s="190"/>
      <c r="C389" s="195"/>
      <c r="D389" s="196"/>
      <c r="E389" s="197"/>
      <c r="F389" s="198"/>
      <c r="G389" s="198"/>
      <c r="H389" s="196"/>
      <c r="I389" s="197"/>
      <c r="J389" s="177"/>
      <c r="K389" s="177"/>
      <c r="L389" s="177"/>
      <c r="M389" s="125"/>
      <c r="N389" s="125"/>
      <c r="O389" s="189"/>
      <c r="P389" s="157"/>
    </row>
    <row r="390" spans="1:16" ht="15.75" customHeight="1">
      <c r="A390" s="157"/>
      <c r="B390" s="190"/>
      <c r="C390" s="195"/>
      <c r="D390" s="196"/>
      <c r="E390" s="197"/>
      <c r="F390" s="198"/>
      <c r="G390" s="198"/>
      <c r="H390" s="196"/>
      <c r="I390" s="197"/>
      <c r="J390" s="177"/>
      <c r="K390" s="177"/>
      <c r="L390" s="177"/>
      <c r="M390" s="125"/>
      <c r="N390" s="125"/>
      <c r="O390" s="189"/>
      <c r="P390" s="157"/>
    </row>
    <row r="391" spans="1:16" ht="15.75" customHeight="1">
      <c r="A391" s="157"/>
      <c r="B391" s="190"/>
      <c r="C391" s="195"/>
      <c r="D391" s="196"/>
      <c r="E391" s="197"/>
      <c r="F391" s="198"/>
      <c r="G391" s="198"/>
      <c r="H391" s="196"/>
      <c r="I391" s="197"/>
      <c r="J391" s="177"/>
      <c r="K391" s="177"/>
      <c r="L391" s="177"/>
      <c r="M391" s="125"/>
      <c r="N391" s="125"/>
      <c r="O391" s="189"/>
      <c r="P391" s="157"/>
    </row>
    <row r="392" spans="1:16" ht="15.75" customHeight="1">
      <c r="A392" s="157"/>
      <c r="B392" s="190"/>
      <c r="C392" s="195"/>
      <c r="D392" s="196"/>
      <c r="E392" s="197"/>
      <c r="F392" s="198"/>
      <c r="G392" s="198"/>
      <c r="H392" s="196"/>
      <c r="I392" s="197"/>
      <c r="J392" s="177"/>
      <c r="K392" s="177"/>
      <c r="L392" s="177"/>
      <c r="M392" s="125"/>
      <c r="N392" s="125"/>
      <c r="O392" s="189"/>
      <c r="P392" s="157"/>
    </row>
    <row r="393" spans="1:16" ht="15.75" customHeight="1">
      <c r="A393" s="157"/>
      <c r="B393" s="190"/>
      <c r="C393" s="195"/>
      <c r="D393" s="196"/>
      <c r="E393" s="197"/>
      <c r="F393" s="198"/>
      <c r="G393" s="198"/>
      <c r="H393" s="196"/>
      <c r="I393" s="197"/>
      <c r="J393" s="177"/>
      <c r="K393" s="177"/>
      <c r="L393" s="177"/>
      <c r="M393" s="125"/>
      <c r="N393" s="125"/>
      <c r="O393" s="189"/>
      <c r="P393" s="157"/>
    </row>
    <row r="394" spans="1:16" ht="15.75" customHeight="1">
      <c r="A394" s="157"/>
      <c r="B394" s="190"/>
      <c r="C394" s="195"/>
      <c r="D394" s="196"/>
      <c r="E394" s="197"/>
      <c r="F394" s="198"/>
      <c r="G394" s="198"/>
      <c r="H394" s="196"/>
      <c r="I394" s="197"/>
      <c r="J394" s="177"/>
      <c r="K394" s="177"/>
      <c r="L394" s="177"/>
      <c r="M394" s="125"/>
      <c r="N394" s="125"/>
      <c r="O394" s="189"/>
      <c r="P394" s="157"/>
    </row>
    <row r="395" spans="1:16" ht="15.75" customHeight="1">
      <c r="A395" s="157"/>
      <c r="B395" s="190"/>
      <c r="C395" s="195"/>
      <c r="D395" s="196"/>
      <c r="E395" s="197"/>
      <c r="F395" s="198"/>
      <c r="G395" s="198"/>
      <c r="H395" s="196"/>
      <c r="I395" s="197"/>
      <c r="J395" s="177"/>
      <c r="K395" s="177"/>
      <c r="L395" s="177"/>
      <c r="M395" s="125"/>
      <c r="N395" s="125"/>
      <c r="O395" s="189"/>
      <c r="P395" s="157"/>
    </row>
    <row r="396" spans="1:16" ht="15.75" customHeight="1">
      <c r="A396" s="157"/>
      <c r="B396" s="190"/>
      <c r="C396" s="195"/>
      <c r="D396" s="196"/>
      <c r="E396" s="197"/>
      <c r="F396" s="198"/>
      <c r="G396" s="198"/>
      <c r="H396" s="196"/>
      <c r="I396" s="197"/>
      <c r="J396" s="177"/>
      <c r="K396" s="177"/>
      <c r="L396" s="177"/>
      <c r="M396" s="125"/>
      <c r="N396" s="125"/>
      <c r="O396" s="189"/>
      <c r="P396" s="157"/>
    </row>
    <row r="397" spans="1:16" ht="15.75" customHeight="1">
      <c r="A397" s="157"/>
      <c r="B397" s="190"/>
      <c r="C397" s="195"/>
      <c r="D397" s="196"/>
      <c r="E397" s="197"/>
      <c r="F397" s="198"/>
      <c r="G397" s="198"/>
      <c r="H397" s="196"/>
      <c r="I397" s="197"/>
      <c r="J397" s="177"/>
      <c r="K397" s="177"/>
      <c r="L397" s="177"/>
      <c r="M397" s="125"/>
      <c r="N397" s="125"/>
      <c r="O397" s="189"/>
      <c r="P397" s="157"/>
    </row>
    <row r="398" spans="1:16" ht="15.75" customHeight="1">
      <c r="A398" s="157"/>
      <c r="B398" s="190"/>
      <c r="C398" s="195"/>
      <c r="D398" s="196"/>
      <c r="E398" s="197"/>
      <c r="F398" s="198"/>
      <c r="G398" s="198"/>
      <c r="H398" s="196"/>
      <c r="I398" s="197"/>
      <c r="J398" s="177"/>
      <c r="K398" s="177"/>
      <c r="L398" s="177"/>
      <c r="M398" s="125"/>
      <c r="N398" s="125"/>
      <c r="O398" s="189"/>
      <c r="P398" s="157"/>
    </row>
    <row r="399" spans="1:16" ht="15.75" customHeight="1">
      <c r="A399" s="157"/>
      <c r="B399" s="190"/>
      <c r="C399" s="195"/>
      <c r="D399" s="196"/>
      <c r="E399" s="197"/>
      <c r="F399" s="198"/>
      <c r="G399" s="198"/>
      <c r="H399" s="196"/>
      <c r="I399" s="197"/>
      <c r="J399" s="177"/>
      <c r="K399" s="177"/>
      <c r="L399" s="177"/>
      <c r="M399" s="125"/>
      <c r="N399" s="125"/>
      <c r="O399" s="189"/>
      <c r="P399" s="157"/>
    </row>
    <row r="400" spans="1:16" ht="15.75" customHeight="1">
      <c r="A400" s="157"/>
      <c r="B400" s="190"/>
      <c r="C400" s="195"/>
      <c r="D400" s="196"/>
      <c r="E400" s="197"/>
      <c r="F400" s="198"/>
      <c r="G400" s="198"/>
      <c r="H400" s="196"/>
      <c r="I400" s="197"/>
      <c r="J400" s="177"/>
      <c r="K400" s="177"/>
      <c r="L400" s="177"/>
      <c r="M400" s="125"/>
      <c r="N400" s="125"/>
      <c r="O400" s="189"/>
      <c r="P400" s="157"/>
    </row>
    <row r="401" spans="1:16" ht="15.75" customHeight="1">
      <c r="A401" s="157"/>
      <c r="B401" s="190"/>
      <c r="C401" s="195"/>
      <c r="D401" s="196"/>
      <c r="E401" s="197"/>
      <c r="F401" s="198"/>
      <c r="G401" s="198"/>
      <c r="H401" s="196"/>
      <c r="I401" s="197"/>
      <c r="J401" s="177"/>
      <c r="K401" s="177"/>
      <c r="L401" s="177"/>
      <c r="M401" s="125"/>
      <c r="N401" s="125"/>
      <c r="O401" s="189"/>
      <c r="P401" s="157"/>
    </row>
    <row r="402" spans="1:16" ht="15.75" customHeight="1">
      <c r="A402" s="157"/>
      <c r="B402" s="190"/>
      <c r="C402" s="195"/>
      <c r="D402" s="196"/>
      <c r="E402" s="197"/>
      <c r="F402" s="198"/>
      <c r="G402" s="198"/>
      <c r="H402" s="196"/>
      <c r="I402" s="197"/>
      <c r="J402" s="177"/>
      <c r="K402" s="177"/>
      <c r="L402" s="177"/>
      <c r="M402" s="125"/>
      <c r="N402" s="125"/>
      <c r="O402" s="189"/>
      <c r="P402" s="157"/>
    </row>
    <row r="403" spans="1:16" ht="15.75" customHeight="1">
      <c r="A403" s="157"/>
      <c r="B403" s="190"/>
      <c r="C403" s="195"/>
      <c r="D403" s="196"/>
      <c r="E403" s="197"/>
      <c r="F403" s="198"/>
      <c r="G403" s="198"/>
      <c r="H403" s="196"/>
      <c r="I403" s="197"/>
      <c r="J403" s="177"/>
      <c r="K403" s="177"/>
      <c r="L403" s="177"/>
      <c r="M403" s="125"/>
      <c r="N403" s="125"/>
      <c r="O403" s="189"/>
      <c r="P403" s="157"/>
    </row>
    <row r="404" spans="1:16" ht="15.75" customHeight="1">
      <c r="A404" s="157"/>
      <c r="B404" s="190"/>
      <c r="C404" s="195"/>
      <c r="D404" s="196"/>
      <c r="E404" s="197"/>
      <c r="F404" s="198"/>
      <c r="G404" s="198"/>
      <c r="H404" s="196"/>
      <c r="I404" s="197"/>
      <c r="J404" s="177"/>
      <c r="K404" s="177"/>
      <c r="L404" s="177"/>
      <c r="M404" s="125"/>
      <c r="N404" s="125"/>
      <c r="O404" s="189"/>
      <c r="P404" s="157"/>
    </row>
    <row r="405" spans="1:16" ht="15.75" customHeight="1">
      <c r="A405" s="157"/>
      <c r="B405" s="190"/>
      <c r="C405" s="195"/>
      <c r="D405" s="196"/>
      <c r="E405" s="197"/>
      <c r="F405" s="198"/>
      <c r="G405" s="198"/>
      <c r="H405" s="196"/>
      <c r="I405" s="197"/>
      <c r="J405" s="177"/>
      <c r="K405" s="177"/>
      <c r="L405" s="177"/>
      <c r="M405" s="125"/>
      <c r="N405" s="125"/>
      <c r="O405" s="189"/>
      <c r="P405" s="157"/>
    </row>
    <row r="406" spans="1:16" ht="15.75" customHeight="1">
      <c r="A406" s="157"/>
      <c r="B406" s="190"/>
      <c r="C406" s="195"/>
      <c r="D406" s="196"/>
      <c r="E406" s="197"/>
      <c r="F406" s="198"/>
      <c r="G406" s="198"/>
      <c r="H406" s="196"/>
      <c r="I406" s="197"/>
      <c r="J406" s="177"/>
      <c r="K406" s="177"/>
      <c r="L406" s="177"/>
      <c r="M406" s="125"/>
      <c r="N406" s="125"/>
      <c r="O406" s="189"/>
      <c r="P406" s="157"/>
    </row>
    <row r="407" spans="1:16" ht="15.75" customHeight="1">
      <c r="A407" s="157"/>
      <c r="B407" s="190"/>
      <c r="C407" s="195"/>
      <c r="D407" s="196"/>
      <c r="E407" s="197"/>
      <c r="F407" s="198"/>
      <c r="G407" s="198"/>
      <c r="H407" s="196"/>
      <c r="I407" s="197"/>
      <c r="J407" s="177"/>
      <c r="K407" s="177"/>
      <c r="L407" s="177"/>
      <c r="M407" s="125"/>
      <c r="N407" s="125"/>
      <c r="O407" s="189"/>
      <c r="P407" s="157"/>
    </row>
    <row r="408" spans="1:16" ht="15.75" customHeight="1">
      <c r="A408" s="157"/>
      <c r="B408" s="190"/>
      <c r="C408" s="195"/>
      <c r="D408" s="196"/>
      <c r="E408" s="197"/>
      <c r="F408" s="198"/>
      <c r="G408" s="198"/>
      <c r="H408" s="196"/>
      <c r="I408" s="197"/>
      <c r="J408" s="177"/>
      <c r="K408" s="177"/>
      <c r="L408" s="177"/>
      <c r="M408" s="125"/>
      <c r="N408" s="125"/>
      <c r="O408" s="189"/>
      <c r="P408" s="157"/>
    </row>
    <row r="409" spans="1:16" ht="15.75" customHeight="1">
      <c r="A409" s="157"/>
      <c r="B409" s="190"/>
      <c r="C409" s="195"/>
      <c r="D409" s="196"/>
      <c r="E409" s="197"/>
      <c r="F409" s="198"/>
      <c r="G409" s="198"/>
      <c r="H409" s="196"/>
      <c r="I409" s="197"/>
      <c r="J409" s="177"/>
      <c r="K409" s="177"/>
      <c r="L409" s="177"/>
      <c r="M409" s="125"/>
      <c r="N409" s="125"/>
      <c r="O409" s="189"/>
      <c r="P409" s="157"/>
    </row>
    <row r="410" spans="1:16" ht="15.75" customHeight="1">
      <c r="A410" s="157"/>
      <c r="B410" s="190"/>
      <c r="C410" s="195"/>
      <c r="D410" s="196"/>
      <c r="E410" s="197"/>
      <c r="F410" s="198"/>
      <c r="G410" s="198"/>
      <c r="H410" s="196"/>
      <c r="I410" s="197"/>
      <c r="J410" s="177"/>
      <c r="K410" s="177"/>
      <c r="L410" s="177"/>
      <c r="M410" s="125"/>
      <c r="N410" s="125"/>
      <c r="O410" s="189"/>
      <c r="P410" s="157"/>
    </row>
    <row r="411" spans="1:16" ht="15.75" customHeight="1">
      <c r="A411" s="157"/>
      <c r="B411" s="190"/>
      <c r="C411" s="195"/>
      <c r="D411" s="196"/>
      <c r="E411" s="197"/>
      <c r="F411" s="198"/>
      <c r="G411" s="198"/>
      <c r="H411" s="196"/>
      <c r="I411" s="197"/>
      <c r="J411" s="177"/>
      <c r="K411" s="177"/>
      <c r="L411" s="177"/>
      <c r="M411" s="125"/>
      <c r="N411" s="125"/>
      <c r="O411" s="189"/>
      <c r="P411" s="157"/>
    </row>
    <row r="412" spans="1:16" ht="15.75" customHeight="1">
      <c r="A412" s="157"/>
      <c r="B412" s="190"/>
      <c r="C412" s="195"/>
      <c r="D412" s="196"/>
      <c r="E412" s="197"/>
      <c r="F412" s="198"/>
      <c r="G412" s="198"/>
      <c r="H412" s="196"/>
      <c r="I412" s="197"/>
      <c r="J412" s="177"/>
      <c r="K412" s="177"/>
      <c r="L412" s="177"/>
      <c r="M412" s="125"/>
      <c r="N412" s="125"/>
      <c r="O412" s="189"/>
      <c r="P412" s="157"/>
    </row>
    <row r="413" spans="1:16" ht="15.75" customHeight="1">
      <c r="A413" s="157"/>
      <c r="B413" s="190"/>
      <c r="C413" s="195"/>
      <c r="D413" s="196"/>
      <c r="E413" s="197"/>
      <c r="F413" s="198"/>
      <c r="G413" s="198"/>
      <c r="H413" s="196"/>
      <c r="I413" s="197"/>
      <c r="J413" s="177"/>
      <c r="K413" s="177"/>
      <c r="L413" s="177"/>
      <c r="M413" s="125"/>
      <c r="N413" s="125"/>
      <c r="O413" s="189"/>
      <c r="P413" s="157"/>
    </row>
    <row r="414" spans="1:16" ht="15.75" customHeight="1">
      <c r="A414" s="157"/>
      <c r="B414" s="190"/>
      <c r="C414" s="195"/>
      <c r="D414" s="196"/>
      <c r="E414" s="197"/>
      <c r="F414" s="198"/>
      <c r="G414" s="198"/>
      <c r="H414" s="196"/>
      <c r="I414" s="197"/>
      <c r="J414" s="177"/>
      <c r="K414" s="177"/>
      <c r="L414" s="177"/>
      <c r="M414" s="125"/>
      <c r="N414" s="125"/>
      <c r="O414" s="189"/>
      <c r="P414" s="157"/>
    </row>
    <row r="415" spans="1:16" ht="15.75" customHeight="1">
      <c r="A415" s="157"/>
      <c r="B415" s="190"/>
      <c r="C415" s="195"/>
      <c r="D415" s="196"/>
      <c r="E415" s="197"/>
      <c r="F415" s="198"/>
      <c r="G415" s="198"/>
      <c r="H415" s="196"/>
      <c r="I415" s="197"/>
      <c r="J415" s="177"/>
      <c r="K415" s="177"/>
      <c r="L415" s="177"/>
      <c r="M415" s="125"/>
      <c r="N415" s="125"/>
      <c r="O415" s="189"/>
      <c r="P415" s="157"/>
    </row>
    <row r="416" spans="1:16" ht="15.75" customHeight="1">
      <c r="A416" s="157"/>
      <c r="B416" s="190"/>
      <c r="C416" s="195"/>
      <c r="D416" s="196"/>
      <c r="E416" s="197"/>
      <c r="F416" s="198"/>
      <c r="G416" s="198"/>
      <c r="H416" s="196"/>
      <c r="I416" s="197"/>
      <c r="J416" s="177"/>
      <c r="K416" s="177"/>
      <c r="L416" s="177"/>
      <c r="M416" s="125"/>
      <c r="N416" s="125"/>
      <c r="O416" s="189"/>
      <c r="P416" s="157"/>
    </row>
    <row r="417" spans="1:16" ht="15.75" customHeight="1">
      <c r="A417" s="157"/>
      <c r="B417" s="190"/>
      <c r="C417" s="195"/>
      <c r="D417" s="196"/>
      <c r="E417" s="197"/>
      <c r="F417" s="198"/>
      <c r="G417" s="198"/>
      <c r="H417" s="196"/>
      <c r="I417" s="197"/>
      <c r="J417" s="177"/>
      <c r="K417" s="177"/>
      <c r="L417" s="177"/>
      <c r="M417" s="125"/>
      <c r="N417" s="125"/>
      <c r="O417" s="189"/>
      <c r="P417" s="157"/>
    </row>
    <row r="418" spans="1:16" ht="15.75" customHeight="1">
      <c r="A418" s="157"/>
      <c r="B418" s="190"/>
      <c r="C418" s="195"/>
      <c r="D418" s="196"/>
      <c r="E418" s="197"/>
      <c r="F418" s="198"/>
      <c r="G418" s="198"/>
      <c r="H418" s="196"/>
      <c r="I418" s="197"/>
      <c r="J418" s="177"/>
      <c r="K418" s="177"/>
      <c r="L418" s="177"/>
      <c r="M418" s="125"/>
      <c r="N418" s="125"/>
      <c r="O418" s="189"/>
      <c r="P418" s="157"/>
    </row>
    <row r="419" spans="1:16" ht="15.75" customHeight="1">
      <c r="A419" s="157"/>
      <c r="B419" s="190"/>
      <c r="C419" s="195"/>
      <c r="D419" s="196"/>
      <c r="E419" s="197"/>
      <c r="F419" s="198"/>
      <c r="G419" s="198"/>
      <c r="H419" s="196"/>
      <c r="I419" s="197"/>
      <c r="J419" s="177"/>
      <c r="K419" s="177"/>
      <c r="L419" s="177"/>
      <c r="M419" s="125"/>
      <c r="N419" s="125"/>
      <c r="O419" s="189"/>
      <c r="P419" s="157"/>
    </row>
    <row r="420" spans="1:16" ht="15.75" customHeight="1">
      <c r="A420" s="157"/>
      <c r="B420" s="190"/>
      <c r="C420" s="195"/>
      <c r="D420" s="196"/>
      <c r="E420" s="197"/>
      <c r="F420" s="198"/>
      <c r="G420" s="198"/>
      <c r="H420" s="196"/>
      <c r="I420" s="197"/>
      <c r="J420" s="177"/>
      <c r="K420" s="177"/>
      <c r="L420" s="177"/>
      <c r="M420" s="125"/>
      <c r="N420" s="125"/>
      <c r="O420" s="189"/>
      <c r="P420" s="157"/>
    </row>
    <row r="421" spans="1:16" ht="15.75" customHeight="1">
      <c r="A421" s="157"/>
      <c r="B421" s="190"/>
      <c r="C421" s="195"/>
      <c r="D421" s="196"/>
      <c r="E421" s="197"/>
      <c r="F421" s="198"/>
      <c r="G421" s="198"/>
      <c r="H421" s="196"/>
      <c r="I421" s="197"/>
      <c r="J421" s="177"/>
      <c r="K421" s="177"/>
      <c r="L421" s="177"/>
      <c r="M421" s="125"/>
      <c r="N421" s="125"/>
      <c r="O421" s="189"/>
      <c r="P421" s="157"/>
    </row>
    <row r="422" spans="1:16" ht="15.75" customHeight="1">
      <c r="A422" s="157"/>
      <c r="B422" s="190"/>
      <c r="C422" s="195"/>
      <c r="D422" s="196"/>
      <c r="E422" s="197"/>
      <c r="F422" s="198"/>
      <c r="G422" s="198"/>
      <c r="H422" s="196"/>
      <c r="I422" s="197"/>
      <c r="J422" s="177"/>
      <c r="K422" s="177"/>
      <c r="L422" s="177"/>
      <c r="M422" s="125"/>
      <c r="N422" s="125"/>
      <c r="O422" s="189"/>
      <c r="P422" s="157"/>
    </row>
    <row r="423" spans="1:16" ht="15.75" customHeight="1">
      <c r="A423" s="157"/>
      <c r="B423" s="190"/>
      <c r="C423" s="195"/>
      <c r="D423" s="196"/>
      <c r="E423" s="197"/>
      <c r="F423" s="198"/>
      <c r="G423" s="198"/>
      <c r="H423" s="196"/>
      <c r="I423" s="197"/>
      <c r="J423" s="177"/>
      <c r="K423" s="177"/>
      <c r="L423" s="177"/>
      <c r="M423" s="125"/>
      <c r="N423" s="125"/>
      <c r="O423" s="189"/>
      <c r="P423" s="157"/>
    </row>
    <row r="424" spans="1:16" ht="15.75" customHeight="1">
      <c r="A424" s="157"/>
      <c r="B424" s="190"/>
      <c r="C424" s="195"/>
      <c r="D424" s="196"/>
      <c r="E424" s="197"/>
      <c r="F424" s="198"/>
      <c r="G424" s="198"/>
      <c r="H424" s="196"/>
      <c r="I424" s="197"/>
      <c r="J424" s="177"/>
      <c r="K424" s="177"/>
      <c r="L424" s="177"/>
      <c r="M424" s="125"/>
      <c r="N424" s="125"/>
      <c r="O424" s="189"/>
      <c r="P424" s="157"/>
    </row>
    <row r="425" spans="1:16" ht="15.75" customHeight="1">
      <c r="A425" s="157"/>
      <c r="B425" s="190"/>
      <c r="C425" s="195"/>
      <c r="D425" s="196"/>
      <c r="E425" s="197"/>
      <c r="F425" s="198"/>
      <c r="G425" s="198"/>
      <c r="H425" s="196"/>
      <c r="I425" s="197"/>
      <c r="J425" s="177"/>
      <c r="K425" s="177"/>
      <c r="L425" s="177"/>
      <c r="M425" s="125"/>
      <c r="N425" s="125"/>
      <c r="O425" s="189"/>
      <c r="P425" s="157"/>
    </row>
    <row r="426" spans="1:16" ht="15.75" customHeight="1">
      <c r="A426" s="157"/>
      <c r="B426" s="190"/>
      <c r="C426" s="195"/>
      <c r="D426" s="196"/>
      <c r="E426" s="197"/>
      <c r="F426" s="198"/>
      <c r="G426" s="198"/>
      <c r="H426" s="196"/>
      <c r="I426" s="197"/>
      <c r="J426" s="177"/>
      <c r="K426" s="177"/>
      <c r="L426" s="177"/>
      <c r="M426" s="125"/>
      <c r="N426" s="125"/>
      <c r="O426" s="189"/>
      <c r="P426" s="157"/>
    </row>
    <row r="427" spans="1:16" ht="15.75" customHeight="1">
      <c r="A427" s="157"/>
      <c r="B427" s="190"/>
      <c r="C427" s="195"/>
      <c r="D427" s="196"/>
      <c r="E427" s="197"/>
      <c r="F427" s="198"/>
      <c r="G427" s="198"/>
      <c r="H427" s="196"/>
      <c r="I427" s="197"/>
      <c r="J427" s="177"/>
      <c r="K427" s="177"/>
      <c r="L427" s="177"/>
      <c r="M427" s="125"/>
      <c r="N427" s="125"/>
      <c r="O427" s="189"/>
      <c r="P427" s="157"/>
    </row>
    <row r="428" spans="1:16" ht="15.75" customHeight="1">
      <c r="A428" s="157"/>
      <c r="B428" s="190"/>
      <c r="C428" s="195"/>
      <c r="D428" s="196"/>
      <c r="E428" s="197"/>
      <c r="F428" s="198"/>
      <c r="G428" s="198"/>
      <c r="H428" s="196"/>
      <c r="I428" s="197"/>
      <c r="J428" s="177"/>
      <c r="K428" s="177"/>
      <c r="L428" s="177"/>
      <c r="M428" s="125"/>
      <c r="N428" s="125"/>
      <c r="O428" s="189"/>
      <c r="P428" s="157"/>
    </row>
    <row r="429" spans="1:16" ht="15.75" customHeight="1">
      <c r="A429" s="157"/>
      <c r="B429" s="190"/>
      <c r="C429" s="195"/>
      <c r="D429" s="196"/>
      <c r="E429" s="197"/>
      <c r="F429" s="198"/>
      <c r="G429" s="198"/>
      <c r="H429" s="196"/>
      <c r="I429" s="197"/>
      <c r="J429" s="177"/>
      <c r="K429" s="177"/>
      <c r="L429" s="177"/>
      <c r="M429" s="125"/>
      <c r="N429" s="125"/>
      <c r="O429" s="189"/>
      <c r="P429" s="157"/>
    </row>
    <row r="430" spans="1:16" ht="15.75" customHeight="1">
      <c r="A430" s="157"/>
      <c r="B430" s="190"/>
      <c r="C430" s="195"/>
      <c r="D430" s="196"/>
      <c r="E430" s="197"/>
      <c r="F430" s="198"/>
      <c r="G430" s="198"/>
      <c r="H430" s="196"/>
      <c r="I430" s="197"/>
      <c r="J430" s="177"/>
      <c r="K430" s="177"/>
      <c r="L430" s="177"/>
      <c r="M430" s="125"/>
      <c r="N430" s="125"/>
      <c r="O430" s="189"/>
      <c r="P430" s="157"/>
    </row>
    <row r="431" spans="1:16" ht="15.75" customHeight="1">
      <c r="A431" s="157"/>
      <c r="B431" s="190"/>
      <c r="C431" s="195"/>
      <c r="D431" s="196"/>
      <c r="E431" s="197"/>
      <c r="F431" s="198"/>
      <c r="G431" s="198"/>
      <c r="H431" s="196"/>
      <c r="I431" s="197"/>
      <c r="J431" s="177"/>
      <c r="K431" s="177"/>
      <c r="L431" s="177"/>
      <c r="M431" s="125"/>
      <c r="N431" s="125"/>
      <c r="O431" s="189"/>
      <c r="P431" s="157"/>
    </row>
    <row r="432" spans="1:16" ht="15.75" customHeight="1">
      <c r="A432" s="157"/>
      <c r="B432" s="190"/>
      <c r="C432" s="195"/>
      <c r="D432" s="196"/>
      <c r="E432" s="197"/>
      <c r="F432" s="198"/>
      <c r="G432" s="198"/>
      <c r="H432" s="196"/>
      <c r="I432" s="197"/>
      <c r="J432" s="177"/>
      <c r="K432" s="177"/>
      <c r="L432" s="177"/>
      <c r="M432" s="125"/>
      <c r="N432" s="125"/>
      <c r="O432" s="189"/>
      <c r="P432" s="157"/>
    </row>
    <row r="433" spans="1:16" ht="15.75" customHeight="1">
      <c r="A433" s="157"/>
      <c r="B433" s="190"/>
      <c r="C433" s="195"/>
      <c r="D433" s="196"/>
      <c r="E433" s="197"/>
      <c r="F433" s="198"/>
      <c r="G433" s="198"/>
      <c r="H433" s="196"/>
      <c r="I433" s="197"/>
      <c r="J433" s="177"/>
      <c r="K433" s="177"/>
      <c r="L433" s="177"/>
      <c r="M433" s="125"/>
      <c r="N433" s="125"/>
      <c r="O433" s="189"/>
      <c r="P433" s="157"/>
    </row>
    <row r="434" spans="1:16" ht="15.75" customHeight="1">
      <c r="A434" s="157"/>
      <c r="B434" s="190"/>
      <c r="C434" s="195"/>
      <c r="D434" s="196"/>
      <c r="E434" s="197"/>
      <c r="F434" s="198"/>
      <c r="G434" s="198"/>
      <c r="H434" s="196"/>
      <c r="I434" s="197"/>
      <c r="J434" s="177"/>
      <c r="K434" s="177"/>
      <c r="L434" s="177"/>
      <c r="M434" s="125"/>
      <c r="N434" s="125"/>
      <c r="O434" s="189"/>
      <c r="P434" s="157"/>
    </row>
    <row r="435" spans="1:16" ht="15.75" customHeight="1">
      <c r="A435" s="157"/>
      <c r="B435" s="190"/>
      <c r="C435" s="195"/>
      <c r="D435" s="196"/>
      <c r="E435" s="197"/>
      <c r="F435" s="198"/>
      <c r="G435" s="198"/>
      <c r="H435" s="196"/>
      <c r="I435" s="197"/>
      <c r="J435" s="177"/>
      <c r="K435" s="177"/>
      <c r="L435" s="177"/>
      <c r="M435" s="125"/>
      <c r="N435" s="125"/>
      <c r="O435" s="189"/>
      <c r="P435" s="157"/>
    </row>
    <row r="436" spans="1:16" ht="15.75" customHeight="1">
      <c r="A436" s="157"/>
      <c r="B436" s="190"/>
      <c r="C436" s="195"/>
      <c r="D436" s="196"/>
      <c r="E436" s="197"/>
      <c r="F436" s="198"/>
      <c r="G436" s="198"/>
      <c r="H436" s="196"/>
      <c r="I436" s="197"/>
      <c r="J436" s="177"/>
      <c r="K436" s="177"/>
      <c r="L436" s="177"/>
      <c r="M436" s="125"/>
      <c r="N436" s="125"/>
      <c r="O436" s="189"/>
      <c r="P436" s="157"/>
    </row>
    <row r="437" spans="1:16" ht="15.75" customHeight="1">
      <c r="A437" s="157"/>
      <c r="B437" s="190"/>
      <c r="C437" s="195"/>
      <c r="D437" s="196"/>
      <c r="E437" s="197"/>
      <c r="F437" s="198"/>
      <c r="G437" s="198"/>
      <c r="H437" s="196"/>
      <c r="I437" s="197"/>
      <c r="J437" s="177"/>
      <c r="K437" s="177"/>
      <c r="L437" s="177"/>
      <c r="M437" s="125"/>
      <c r="N437" s="125"/>
      <c r="O437" s="189"/>
      <c r="P437" s="157"/>
    </row>
    <row r="438" spans="1:16" ht="15.75" customHeight="1">
      <c r="A438" s="157"/>
      <c r="B438" s="190"/>
      <c r="C438" s="195"/>
      <c r="D438" s="196"/>
      <c r="E438" s="197"/>
      <c r="F438" s="198"/>
      <c r="G438" s="198"/>
      <c r="H438" s="196"/>
      <c r="I438" s="197"/>
      <c r="J438" s="177"/>
      <c r="K438" s="177"/>
      <c r="L438" s="177"/>
      <c r="M438" s="125"/>
      <c r="N438" s="125"/>
      <c r="O438" s="189"/>
      <c r="P438" s="157"/>
    </row>
    <row r="439" spans="1:16" ht="15.75" customHeight="1">
      <c r="A439" s="157"/>
      <c r="B439" s="190"/>
      <c r="C439" s="195"/>
      <c r="D439" s="196"/>
      <c r="E439" s="197"/>
      <c r="F439" s="198"/>
      <c r="G439" s="198"/>
      <c r="H439" s="196"/>
      <c r="I439" s="197"/>
      <c r="J439" s="177"/>
      <c r="K439" s="177"/>
      <c r="L439" s="177"/>
      <c r="M439" s="125"/>
      <c r="N439" s="125"/>
      <c r="O439" s="189"/>
      <c r="P439" s="157"/>
    </row>
    <row r="440" spans="1:16" ht="15.75" customHeight="1">
      <c r="A440" s="157"/>
      <c r="B440" s="190"/>
      <c r="C440" s="195"/>
      <c r="D440" s="196"/>
      <c r="E440" s="197"/>
      <c r="F440" s="198"/>
      <c r="G440" s="198"/>
      <c r="H440" s="196"/>
      <c r="I440" s="197"/>
      <c r="J440" s="177"/>
      <c r="K440" s="177"/>
      <c r="L440" s="177"/>
      <c r="M440" s="125"/>
      <c r="N440" s="125"/>
      <c r="O440" s="189"/>
      <c r="P440" s="157"/>
    </row>
    <row r="441" spans="1:16" ht="15.75" customHeight="1">
      <c r="A441" s="157"/>
      <c r="B441" s="190"/>
      <c r="C441" s="195"/>
      <c r="D441" s="196"/>
      <c r="E441" s="197"/>
      <c r="F441" s="198"/>
      <c r="G441" s="198"/>
      <c r="H441" s="196"/>
      <c r="I441" s="197"/>
      <c r="J441" s="177"/>
      <c r="K441" s="177"/>
      <c r="L441" s="177"/>
      <c r="M441" s="125"/>
      <c r="N441" s="125"/>
      <c r="O441" s="189"/>
      <c r="P441" s="157"/>
    </row>
    <row r="442" spans="1:16" ht="15.75" customHeight="1">
      <c r="A442" s="157"/>
      <c r="B442" s="190"/>
      <c r="C442" s="195"/>
      <c r="D442" s="196"/>
      <c r="E442" s="197"/>
      <c r="F442" s="198"/>
      <c r="G442" s="198"/>
      <c r="H442" s="196"/>
      <c r="I442" s="197"/>
      <c r="J442" s="177"/>
      <c r="K442" s="177"/>
      <c r="L442" s="177"/>
      <c r="M442" s="125"/>
      <c r="N442" s="125"/>
      <c r="O442" s="189"/>
      <c r="P442" s="157"/>
    </row>
    <row r="443" spans="1:16" ht="15.75" customHeight="1">
      <c r="A443" s="157"/>
      <c r="B443" s="190"/>
      <c r="C443" s="195"/>
      <c r="D443" s="196"/>
      <c r="E443" s="197"/>
      <c r="F443" s="198"/>
      <c r="G443" s="198"/>
      <c r="H443" s="196"/>
      <c r="I443" s="197"/>
      <c r="J443" s="177"/>
      <c r="K443" s="177"/>
      <c r="L443" s="177"/>
      <c r="M443" s="125"/>
      <c r="N443" s="125"/>
      <c r="O443" s="189"/>
      <c r="P443" s="157"/>
    </row>
    <row r="444" spans="1:16" ht="15.75" customHeight="1">
      <c r="A444" s="157"/>
      <c r="B444" s="190"/>
      <c r="C444" s="195"/>
      <c r="D444" s="196"/>
      <c r="E444" s="197"/>
      <c r="F444" s="198"/>
      <c r="G444" s="198"/>
      <c r="H444" s="196"/>
      <c r="I444" s="197"/>
      <c r="J444" s="177"/>
      <c r="K444" s="177"/>
      <c r="L444" s="177"/>
      <c r="M444" s="125"/>
      <c r="N444" s="125"/>
      <c r="O444" s="189"/>
      <c r="P444" s="157"/>
    </row>
    <row r="445" spans="1:16" ht="15.75" customHeight="1">
      <c r="A445" s="157"/>
      <c r="B445" s="190"/>
      <c r="C445" s="195"/>
      <c r="D445" s="196"/>
      <c r="E445" s="197"/>
      <c r="F445" s="198"/>
      <c r="G445" s="198"/>
      <c r="H445" s="196"/>
      <c r="I445" s="197"/>
      <c r="J445" s="177"/>
      <c r="K445" s="177"/>
      <c r="L445" s="177"/>
      <c r="M445" s="125"/>
      <c r="N445" s="125"/>
      <c r="O445" s="189"/>
      <c r="P445" s="157"/>
    </row>
    <row r="446" spans="1:16" ht="15.75" customHeight="1">
      <c r="A446" s="157"/>
      <c r="B446" s="190"/>
      <c r="C446" s="195"/>
      <c r="D446" s="196"/>
      <c r="E446" s="197"/>
      <c r="F446" s="198"/>
      <c r="G446" s="198"/>
      <c r="H446" s="196"/>
      <c r="I446" s="197"/>
      <c r="J446" s="177"/>
      <c r="K446" s="177"/>
      <c r="L446" s="177"/>
      <c r="M446" s="125"/>
      <c r="N446" s="125"/>
      <c r="O446" s="189"/>
      <c r="P446" s="157"/>
    </row>
    <row r="447" spans="1:16" ht="15.75" customHeight="1">
      <c r="A447" s="157"/>
      <c r="B447" s="190"/>
      <c r="C447" s="195"/>
      <c r="D447" s="196"/>
      <c r="E447" s="197"/>
      <c r="F447" s="198"/>
      <c r="G447" s="198"/>
      <c r="H447" s="196"/>
      <c r="I447" s="197"/>
      <c r="J447" s="177"/>
      <c r="K447" s="177"/>
      <c r="L447" s="177"/>
      <c r="M447" s="125"/>
      <c r="N447" s="125"/>
      <c r="O447" s="189"/>
      <c r="P447" s="157"/>
    </row>
    <row r="448" spans="1:16" ht="15.75" customHeight="1">
      <c r="A448" s="157"/>
      <c r="B448" s="190"/>
      <c r="C448" s="195"/>
      <c r="D448" s="196"/>
      <c r="E448" s="197"/>
      <c r="F448" s="198"/>
      <c r="G448" s="198"/>
      <c r="H448" s="196"/>
      <c r="I448" s="197"/>
      <c r="J448" s="177"/>
      <c r="K448" s="177"/>
      <c r="L448" s="177"/>
      <c r="M448" s="125"/>
      <c r="N448" s="125"/>
      <c r="O448" s="189"/>
      <c r="P448" s="157"/>
    </row>
    <row r="449" spans="1:16" ht="15.75" customHeight="1">
      <c r="A449" s="157"/>
      <c r="B449" s="190"/>
      <c r="C449" s="195"/>
      <c r="D449" s="196"/>
      <c r="E449" s="197"/>
      <c r="F449" s="198"/>
      <c r="G449" s="198"/>
      <c r="H449" s="196"/>
      <c r="I449" s="197"/>
      <c r="J449" s="177"/>
      <c r="K449" s="177"/>
      <c r="L449" s="177"/>
      <c r="M449" s="125"/>
      <c r="N449" s="125"/>
      <c r="O449" s="189"/>
      <c r="P449" s="157"/>
    </row>
    <row r="450" spans="1:16" ht="15.75" customHeight="1">
      <c r="A450" s="157"/>
      <c r="B450" s="190"/>
      <c r="C450" s="195"/>
      <c r="D450" s="196"/>
      <c r="E450" s="197"/>
      <c r="F450" s="198"/>
      <c r="G450" s="198"/>
      <c r="H450" s="196"/>
      <c r="I450" s="197"/>
      <c r="J450" s="177"/>
      <c r="K450" s="177"/>
      <c r="L450" s="177"/>
      <c r="M450" s="125"/>
      <c r="N450" s="125"/>
      <c r="O450" s="189"/>
      <c r="P450" s="157"/>
    </row>
    <row r="451" spans="1:16" ht="15.75" customHeight="1">
      <c r="A451" s="157"/>
      <c r="B451" s="190"/>
      <c r="C451" s="195"/>
      <c r="D451" s="196"/>
      <c r="E451" s="197"/>
      <c r="F451" s="198"/>
      <c r="G451" s="198"/>
      <c r="H451" s="196"/>
      <c r="I451" s="197"/>
      <c r="J451" s="177"/>
      <c r="K451" s="177"/>
      <c r="L451" s="177"/>
      <c r="M451" s="125"/>
      <c r="N451" s="125"/>
      <c r="O451" s="189"/>
      <c r="P451" s="157"/>
    </row>
    <row r="452" spans="1:16" ht="15.75" customHeight="1">
      <c r="A452" s="157"/>
      <c r="B452" s="190"/>
      <c r="C452" s="195"/>
      <c r="D452" s="196"/>
      <c r="E452" s="197"/>
      <c r="F452" s="198"/>
      <c r="G452" s="198"/>
      <c r="H452" s="196"/>
      <c r="I452" s="197"/>
      <c r="J452" s="177"/>
      <c r="K452" s="177"/>
      <c r="L452" s="177"/>
      <c r="M452" s="125"/>
      <c r="N452" s="125"/>
      <c r="O452" s="189"/>
      <c r="P452" s="157"/>
    </row>
    <row r="453" spans="1:16" ht="15.75" customHeight="1">
      <c r="A453" s="157"/>
      <c r="B453" s="190"/>
      <c r="C453" s="195"/>
      <c r="D453" s="196"/>
      <c r="E453" s="197"/>
      <c r="F453" s="198"/>
      <c r="G453" s="198"/>
      <c r="H453" s="196"/>
      <c r="I453" s="197"/>
      <c r="J453" s="177"/>
      <c r="K453" s="177"/>
      <c r="L453" s="177"/>
      <c r="M453" s="125"/>
      <c r="N453" s="125"/>
      <c r="O453" s="189"/>
      <c r="P453" s="157"/>
    </row>
    <row r="454" spans="1:16" ht="15.75" customHeight="1">
      <c r="A454" s="157"/>
      <c r="B454" s="190"/>
      <c r="C454" s="195"/>
      <c r="D454" s="196"/>
      <c r="E454" s="197"/>
      <c r="F454" s="198"/>
      <c r="G454" s="198"/>
      <c r="H454" s="196"/>
      <c r="I454" s="197"/>
      <c r="J454" s="177"/>
      <c r="K454" s="177"/>
      <c r="L454" s="177"/>
      <c r="M454" s="125"/>
      <c r="N454" s="125"/>
      <c r="O454" s="189"/>
      <c r="P454" s="157"/>
    </row>
    <row r="455" spans="1:16" ht="15.75" customHeight="1">
      <c r="A455" s="157"/>
      <c r="B455" s="190"/>
      <c r="C455" s="195"/>
      <c r="D455" s="196"/>
      <c r="E455" s="197"/>
      <c r="F455" s="198"/>
      <c r="G455" s="198"/>
      <c r="H455" s="196"/>
      <c r="I455" s="197"/>
      <c r="J455" s="177"/>
      <c r="K455" s="177"/>
      <c r="L455" s="177"/>
      <c r="M455" s="125"/>
      <c r="N455" s="125"/>
      <c r="O455" s="189"/>
      <c r="P455" s="157"/>
    </row>
    <row r="456" spans="1:16" ht="15.75" customHeight="1">
      <c r="A456" s="157"/>
      <c r="B456" s="190"/>
      <c r="C456" s="195"/>
      <c r="D456" s="196"/>
      <c r="E456" s="197"/>
      <c r="F456" s="198"/>
      <c r="G456" s="198"/>
      <c r="H456" s="196"/>
      <c r="I456" s="197"/>
      <c r="J456" s="177"/>
      <c r="K456" s="177"/>
      <c r="L456" s="177"/>
      <c r="M456" s="125"/>
      <c r="N456" s="125"/>
      <c r="O456" s="189"/>
      <c r="P456" s="157"/>
    </row>
    <row r="457" spans="1:16" ht="15.75" customHeight="1">
      <c r="A457" s="157"/>
      <c r="B457" s="190"/>
      <c r="C457" s="195"/>
      <c r="D457" s="196"/>
      <c r="E457" s="197"/>
      <c r="F457" s="198"/>
      <c r="G457" s="198"/>
      <c r="H457" s="196"/>
      <c r="I457" s="197"/>
      <c r="J457" s="177"/>
      <c r="K457" s="177"/>
      <c r="L457" s="177"/>
      <c r="M457" s="125"/>
      <c r="N457" s="125"/>
      <c r="O457" s="189"/>
      <c r="P457" s="157"/>
    </row>
    <row r="458" spans="1:16" ht="15.75" customHeight="1">
      <c r="A458" s="157"/>
      <c r="B458" s="190"/>
      <c r="C458" s="195"/>
      <c r="D458" s="196"/>
      <c r="E458" s="197"/>
      <c r="F458" s="198"/>
      <c r="G458" s="198"/>
      <c r="H458" s="196"/>
      <c r="I458" s="197"/>
      <c r="J458" s="177"/>
      <c r="K458" s="177"/>
      <c r="L458" s="177"/>
      <c r="M458" s="125"/>
      <c r="N458" s="125"/>
      <c r="O458" s="189"/>
      <c r="P458" s="157"/>
    </row>
    <row r="459" spans="1:16" ht="15.75" customHeight="1">
      <c r="A459" s="157"/>
      <c r="B459" s="190"/>
      <c r="C459" s="195"/>
      <c r="D459" s="196"/>
      <c r="E459" s="197"/>
      <c r="F459" s="198"/>
      <c r="G459" s="198"/>
      <c r="H459" s="196"/>
      <c r="I459" s="197"/>
      <c r="J459" s="177"/>
      <c r="K459" s="177"/>
      <c r="L459" s="177"/>
      <c r="M459" s="125"/>
      <c r="N459" s="125"/>
      <c r="O459" s="189"/>
      <c r="P459" s="157"/>
    </row>
    <row r="460" spans="1:16" ht="15.75" customHeight="1">
      <c r="A460" s="157"/>
      <c r="B460" s="190"/>
      <c r="C460" s="195"/>
      <c r="D460" s="196"/>
      <c r="E460" s="197"/>
      <c r="F460" s="198"/>
      <c r="G460" s="198"/>
      <c r="H460" s="196"/>
      <c r="I460" s="197"/>
      <c r="J460" s="177"/>
      <c r="K460" s="177"/>
      <c r="L460" s="177"/>
      <c r="M460" s="125"/>
      <c r="N460" s="125"/>
      <c r="O460" s="189"/>
      <c r="P460" s="157"/>
    </row>
    <row r="461" spans="1:16" ht="15.75" customHeight="1">
      <c r="A461" s="157"/>
      <c r="B461" s="190"/>
      <c r="C461" s="195"/>
      <c r="D461" s="196"/>
      <c r="E461" s="197"/>
      <c r="F461" s="198"/>
      <c r="G461" s="198"/>
      <c r="H461" s="196"/>
      <c r="I461" s="197"/>
      <c r="J461" s="177"/>
      <c r="K461" s="177"/>
      <c r="L461" s="177"/>
      <c r="M461" s="125"/>
      <c r="N461" s="125"/>
      <c r="O461" s="189"/>
      <c r="P461" s="157"/>
    </row>
    <row r="462" spans="1:16" ht="15.75" customHeight="1">
      <c r="A462" s="157"/>
      <c r="B462" s="190"/>
      <c r="C462" s="195"/>
      <c r="D462" s="196"/>
      <c r="E462" s="197"/>
      <c r="F462" s="198"/>
      <c r="G462" s="198"/>
      <c r="H462" s="196"/>
      <c r="I462" s="197"/>
      <c r="J462" s="177"/>
      <c r="K462" s="177"/>
      <c r="L462" s="177"/>
      <c r="M462" s="125"/>
      <c r="N462" s="125"/>
      <c r="O462" s="189"/>
      <c r="P462" s="157"/>
    </row>
    <row r="463" spans="1:16" ht="15.75" customHeight="1">
      <c r="A463" s="157"/>
      <c r="B463" s="190"/>
      <c r="C463" s="195"/>
      <c r="D463" s="196"/>
      <c r="E463" s="197"/>
      <c r="F463" s="198"/>
      <c r="G463" s="198"/>
      <c r="H463" s="196"/>
      <c r="I463" s="197"/>
      <c r="J463" s="177"/>
      <c r="K463" s="177"/>
      <c r="L463" s="177"/>
      <c r="M463" s="125"/>
      <c r="N463" s="125"/>
      <c r="O463" s="189"/>
      <c r="P463" s="157"/>
    </row>
    <row r="464" spans="1:16" ht="15.75" customHeight="1">
      <c r="A464" s="157"/>
      <c r="B464" s="190"/>
      <c r="C464" s="195"/>
      <c r="D464" s="196"/>
      <c r="E464" s="197"/>
      <c r="F464" s="198"/>
      <c r="G464" s="198"/>
      <c r="H464" s="196"/>
      <c r="I464" s="197"/>
      <c r="J464" s="177"/>
      <c r="K464" s="177"/>
      <c r="L464" s="177"/>
      <c r="M464" s="125"/>
      <c r="N464" s="125"/>
      <c r="O464" s="189"/>
      <c r="P464" s="157"/>
    </row>
    <row r="465" spans="1:16" ht="15.75" customHeight="1">
      <c r="A465" s="157"/>
      <c r="B465" s="190"/>
      <c r="C465" s="195"/>
      <c r="D465" s="196"/>
      <c r="E465" s="197"/>
      <c r="F465" s="198"/>
      <c r="G465" s="198"/>
      <c r="H465" s="196"/>
      <c r="I465" s="197"/>
      <c r="J465" s="177"/>
      <c r="K465" s="177"/>
      <c r="L465" s="177"/>
      <c r="M465" s="125"/>
      <c r="N465" s="125"/>
      <c r="O465" s="189"/>
      <c r="P465" s="157"/>
    </row>
    <row r="466" spans="1:16" ht="15.75" customHeight="1">
      <c r="A466" s="157"/>
      <c r="B466" s="190"/>
      <c r="C466" s="195"/>
      <c r="D466" s="196"/>
      <c r="E466" s="197"/>
      <c r="F466" s="198"/>
      <c r="G466" s="198"/>
      <c r="H466" s="196"/>
      <c r="I466" s="197"/>
      <c r="J466" s="177"/>
      <c r="K466" s="177"/>
      <c r="L466" s="177"/>
      <c r="M466" s="125"/>
      <c r="N466" s="125"/>
      <c r="O466" s="189"/>
      <c r="P466" s="157"/>
    </row>
    <row r="467" spans="1:16" ht="15.75" customHeight="1">
      <c r="A467" s="157"/>
      <c r="B467" s="190"/>
      <c r="C467" s="195"/>
      <c r="D467" s="196"/>
      <c r="E467" s="197"/>
      <c r="F467" s="198"/>
      <c r="G467" s="198"/>
      <c r="H467" s="196"/>
      <c r="I467" s="197"/>
      <c r="J467" s="177"/>
      <c r="K467" s="177"/>
      <c r="L467" s="177"/>
      <c r="M467" s="125"/>
      <c r="N467" s="125"/>
      <c r="O467" s="189"/>
      <c r="P467" s="157"/>
    </row>
    <row r="468" spans="1:16" ht="15.75" customHeight="1">
      <c r="A468" s="157"/>
      <c r="B468" s="190"/>
      <c r="C468" s="195"/>
      <c r="D468" s="196"/>
      <c r="E468" s="197"/>
      <c r="F468" s="198"/>
      <c r="G468" s="198"/>
      <c r="H468" s="196"/>
      <c r="I468" s="197"/>
      <c r="J468" s="177"/>
      <c r="K468" s="177"/>
      <c r="L468" s="177"/>
      <c r="M468" s="125"/>
      <c r="N468" s="125"/>
      <c r="O468" s="189"/>
      <c r="P468" s="157"/>
    </row>
    <row r="469" spans="1:16" ht="15.75" customHeight="1">
      <c r="A469" s="157"/>
      <c r="B469" s="190"/>
      <c r="C469" s="195"/>
      <c r="D469" s="196"/>
      <c r="E469" s="197"/>
      <c r="F469" s="198"/>
      <c r="G469" s="198"/>
      <c r="H469" s="196"/>
      <c r="I469" s="197"/>
      <c r="J469" s="177"/>
      <c r="K469" s="177"/>
      <c r="L469" s="177"/>
      <c r="M469" s="125"/>
      <c r="N469" s="125"/>
      <c r="O469" s="189"/>
      <c r="P469" s="157"/>
    </row>
    <row r="470" spans="1:16" ht="15.75" customHeight="1">
      <c r="A470" s="157"/>
      <c r="B470" s="190"/>
      <c r="C470" s="195"/>
      <c r="D470" s="196"/>
      <c r="E470" s="197"/>
      <c r="F470" s="198"/>
      <c r="G470" s="198"/>
      <c r="H470" s="196"/>
      <c r="I470" s="197"/>
      <c r="J470" s="177"/>
      <c r="K470" s="177"/>
      <c r="L470" s="177"/>
      <c r="M470" s="125"/>
      <c r="N470" s="125"/>
      <c r="O470" s="189"/>
      <c r="P470" s="157"/>
    </row>
    <row r="471" spans="1:16" ht="15.75" customHeight="1">
      <c r="A471" s="157"/>
      <c r="B471" s="190"/>
      <c r="C471" s="195"/>
      <c r="D471" s="196"/>
      <c r="E471" s="197"/>
      <c r="F471" s="198"/>
      <c r="G471" s="198"/>
      <c r="H471" s="196"/>
      <c r="I471" s="197"/>
      <c r="J471" s="177"/>
      <c r="K471" s="177"/>
      <c r="L471" s="177"/>
      <c r="M471" s="125"/>
      <c r="N471" s="125"/>
      <c r="O471" s="189"/>
      <c r="P471" s="157"/>
    </row>
    <row r="472" spans="1:16" ht="15.75" customHeight="1">
      <c r="A472" s="157"/>
      <c r="B472" s="190"/>
      <c r="C472" s="195"/>
      <c r="D472" s="196"/>
      <c r="E472" s="197"/>
      <c r="F472" s="198"/>
      <c r="G472" s="198"/>
      <c r="H472" s="196"/>
      <c r="I472" s="197"/>
      <c r="J472" s="177"/>
      <c r="K472" s="177"/>
      <c r="L472" s="177"/>
      <c r="M472" s="125"/>
      <c r="N472" s="125"/>
      <c r="O472" s="189"/>
      <c r="P472" s="157"/>
    </row>
    <row r="473" spans="1:16" ht="15.75" customHeight="1">
      <c r="A473" s="157"/>
      <c r="B473" s="190"/>
      <c r="C473" s="195"/>
      <c r="D473" s="196"/>
      <c r="E473" s="197"/>
      <c r="F473" s="198"/>
      <c r="G473" s="198"/>
      <c r="H473" s="196"/>
      <c r="I473" s="197"/>
      <c r="J473" s="177"/>
      <c r="K473" s="177"/>
      <c r="L473" s="177"/>
      <c r="M473" s="125"/>
      <c r="N473" s="125"/>
      <c r="O473" s="189"/>
      <c r="P473" s="157"/>
    </row>
    <row r="474" spans="1:16" ht="15.75" customHeight="1">
      <c r="A474" s="157"/>
      <c r="B474" s="190"/>
      <c r="C474" s="195"/>
      <c r="D474" s="196"/>
      <c r="E474" s="197"/>
      <c r="F474" s="198"/>
      <c r="G474" s="198"/>
      <c r="H474" s="196"/>
      <c r="I474" s="197"/>
      <c r="J474" s="177"/>
      <c r="K474" s="177"/>
      <c r="L474" s="177"/>
      <c r="M474" s="125"/>
      <c r="N474" s="125"/>
      <c r="O474" s="189"/>
      <c r="P474" s="157"/>
    </row>
    <row r="475" spans="1:16" ht="15.75" customHeight="1">
      <c r="A475" s="157"/>
      <c r="B475" s="190"/>
      <c r="C475" s="195"/>
      <c r="D475" s="196"/>
      <c r="E475" s="197"/>
      <c r="F475" s="198"/>
      <c r="G475" s="198"/>
      <c r="H475" s="196"/>
      <c r="I475" s="197"/>
      <c r="J475" s="177"/>
      <c r="K475" s="177"/>
      <c r="L475" s="177"/>
      <c r="M475" s="125"/>
      <c r="N475" s="125"/>
      <c r="O475" s="189"/>
      <c r="P475" s="157"/>
    </row>
    <row r="476" spans="1:16" ht="15.75" customHeight="1">
      <c r="A476" s="157"/>
      <c r="B476" s="190"/>
      <c r="C476" s="195"/>
      <c r="D476" s="196"/>
      <c r="E476" s="197"/>
      <c r="F476" s="198"/>
      <c r="G476" s="198"/>
      <c r="H476" s="196"/>
      <c r="I476" s="197"/>
      <c r="J476" s="177"/>
      <c r="K476" s="177"/>
      <c r="L476" s="177"/>
      <c r="M476" s="125"/>
      <c r="N476" s="125"/>
      <c r="O476" s="189"/>
      <c r="P476" s="157"/>
    </row>
    <row r="477" spans="1:16" ht="15.75" customHeight="1">
      <c r="A477" s="157"/>
      <c r="B477" s="190"/>
      <c r="C477" s="195"/>
      <c r="D477" s="196"/>
      <c r="E477" s="197"/>
      <c r="F477" s="198"/>
      <c r="G477" s="198"/>
      <c r="H477" s="196"/>
      <c r="I477" s="197"/>
      <c r="J477" s="177"/>
      <c r="K477" s="177"/>
      <c r="L477" s="177"/>
      <c r="M477" s="125"/>
      <c r="N477" s="125"/>
      <c r="O477" s="189"/>
      <c r="P477" s="157"/>
    </row>
    <row r="478" spans="1:16" ht="15.75" customHeight="1">
      <c r="A478" s="157"/>
      <c r="B478" s="190"/>
      <c r="C478" s="195"/>
      <c r="D478" s="196"/>
      <c r="E478" s="197"/>
      <c r="F478" s="198"/>
      <c r="G478" s="198"/>
      <c r="H478" s="196"/>
      <c r="I478" s="197"/>
      <c r="J478" s="177"/>
      <c r="K478" s="177"/>
      <c r="L478" s="177"/>
      <c r="M478" s="125"/>
      <c r="N478" s="125"/>
      <c r="O478" s="189"/>
      <c r="P478" s="157"/>
    </row>
    <row r="479" spans="1:16" ht="15.75" customHeight="1">
      <c r="A479" s="157"/>
      <c r="B479" s="190"/>
      <c r="C479" s="195"/>
      <c r="D479" s="196"/>
      <c r="E479" s="197"/>
      <c r="F479" s="198"/>
      <c r="G479" s="198"/>
      <c r="H479" s="196"/>
      <c r="I479" s="197"/>
      <c r="J479" s="177"/>
      <c r="K479" s="177"/>
      <c r="L479" s="177"/>
      <c r="M479" s="125"/>
      <c r="N479" s="125"/>
      <c r="O479" s="189"/>
      <c r="P479" s="157"/>
    </row>
    <row r="480" spans="1:16" ht="15.75" customHeight="1">
      <c r="A480" s="157"/>
      <c r="B480" s="190"/>
      <c r="C480" s="195"/>
      <c r="D480" s="196"/>
      <c r="E480" s="197"/>
      <c r="F480" s="198"/>
      <c r="G480" s="198"/>
      <c r="H480" s="196"/>
      <c r="I480" s="197"/>
      <c r="J480" s="177"/>
      <c r="K480" s="177"/>
      <c r="L480" s="177"/>
      <c r="M480" s="125"/>
      <c r="N480" s="125"/>
      <c r="O480" s="189"/>
      <c r="P480" s="157"/>
    </row>
    <row r="481" spans="1:16" ht="15.75" customHeight="1">
      <c r="A481" s="157"/>
      <c r="B481" s="190"/>
      <c r="C481" s="195"/>
      <c r="D481" s="196"/>
      <c r="E481" s="197"/>
      <c r="F481" s="198"/>
      <c r="G481" s="198"/>
      <c r="H481" s="196"/>
      <c r="I481" s="197"/>
      <c r="J481" s="177"/>
      <c r="K481" s="177"/>
      <c r="L481" s="177"/>
      <c r="M481" s="125"/>
      <c r="N481" s="125"/>
      <c r="O481" s="189"/>
      <c r="P481" s="157"/>
    </row>
    <row r="482" spans="1:16" ht="15.75" customHeight="1">
      <c r="A482" s="157"/>
      <c r="B482" s="190"/>
      <c r="C482" s="195"/>
      <c r="D482" s="196"/>
      <c r="E482" s="197"/>
      <c r="F482" s="198"/>
      <c r="G482" s="198"/>
      <c r="H482" s="196"/>
      <c r="I482" s="197"/>
      <c r="J482" s="177"/>
      <c r="K482" s="177"/>
      <c r="L482" s="177"/>
      <c r="M482" s="125"/>
      <c r="N482" s="125"/>
      <c r="O482" s="189"/>
      <c r="P482" s="157"/>
    </row>
    <row r="483" spans="1:16" ht="15.75" customHeight="1">
      <c r="A483" s="157"/>
      <c r="B483" s="190"/>
      <c r="C483" s="195"/>
      <c r="D483" s="196"/>
      <c r="E483" s="197"/>
      <c r="F483" s="198"/>
      <c r="G483" s="198"/>
      <c r="H483" s="196"/>
      <c r="I483" s="197"/>
      <c r="J483" s="177"/>
      <c r="K483" s="177"/>
      <c r="L483" s="177"/>
      <c r="M483" s="125"/>
      <c r="N483" s="125"/>
      <c r="O483" s="189"/>
      <c r="P483" s="157"/>
    </row>
    <row r="484" spans="1:16" ht="15.75" customHeight="1">
      <c r="A484" s="157"/>
      <c r="B484" s="190"/>
      <c r="C484" s="195"/>
      <c r="D484" s="196"/>
      <c r="E484" s="197"/>
      <c r="F484" s="198"/>
      <c r="G484" s="198"/>
      <c r="H484" s="196"/>
      <c r="I484" s="197"/>
      <c r="J484" s="177"/>
      <c r="K484" s="177"/>
      <c r="L484" s="177"/>
      <c r="M484" s="125"/>
      <c r="N484" s="125"/>
      <c r="O484" s="189"/>
      <c r="P484" s="157"/>
    </row>
    <row r="485" spans="1:16" ht="15.75" customHeight="1">
      <c r="A485" s="157"/>
      <c r="B485" s="190"/>
      <c r="C485" s="195"/>
      <c r="D485" s="196"/>
      <c r="E485" s="197"/>
      <c r="F485" s="198"/>
      <c r="G485" s="198"/>
      <c r="H485" s="196"/>
      <c r="I485" s="197"/>
      <c r="J485" s="177"/>
      <c r="K485" s="177"/>
      <c r="L485" s="177"/>
      <c r="M485" s="125"/>
      <c r="N485" s="125"/>
      <c r="O485" s="189"/>
      <c r="P485" s="157"/>
    </row>
    <row r="486" spans="1:16" ht="15.75" customHeight="1">
      <c r="A486" s="157"/>
      <c r="B486" s="190"/>
      <c r="C486" s="195"/>
      <c r="D486" s="196"/>
      <c r="E486" s="197"/>
      <c r="F486" s="198"/>
      <c r="G486" s="198"/>
      <c r="H486" s="196"/>
      <c r="I486" s="197"/>
      <c r="J486" s="177"/>
      <c r="K486" s="177"/>
      <c r="L486" s="177"/>
      <c r="M486" s="125"/>
      <c r="N486" s="125"/>
      <c r="O486" s="189"/>
      <c r="P486" s="157"/>
    </row>
    <row r="487" spans="1:16" ht="15.75" customHeight="1">
      <c r="A487" s="157"/>
      <c r="B487" s="190"/>
      <c r="C487" s="195"/>
      <c r="D487" s="196"/>
      <c r="E487" s="197"/>
      <c r="F487" s="198"/>
      <c r="G487" s="198"/>
      <c r="H487" s="196"/>
      <c r="I487" s="197"/>
      <c r="J487" s="177"/>
      <c r="K487" s="177"/>
      <c r="L487" s="177"/>
      <c r="M487" s="125"/>
      <c r="N487" s="125"/>
      <c r="O487" s="189"/>
      <c r="P487" s="157"/>
    </row>
    <row r="488" spans="1:16" ht="15.75" customHeight="1">
      <c r="A488" s="157"/>
      <c r="B488" s="190"/>
      <c r="C488" s="195"/>
      <c r="D488" s="196"/>
      <c r="E488" s="197"/>
      <c r="F488" s="198"/>
      <c r="G488" s="198"/>
      <c r="H488" s="196"/>
      <c r="I488" s="197"/>
      <c r="J488" s="177"/>
      <c r="K488" s="177"/>
      <c r="L488" s="177"/>
      <c r="M488" s="125"/>
      <c r="N488" s="125"/>
      <c r="O488" s="189"/>
      <c r="P488" s="157"/>
    </row>
    <row r="489" spans="1:16" ht="15.75" customHeight="1">
      <c r="A489" s="157"/>
      <c r="B489" s="190"/>
      <c r="C489" s="195"/>
      <c r="D489" s="196"/>
      <c r="E489" s="197"/>
      <c r="F489" s="198"/>
      <c r="G489" s="198"/>
      <c r="H489" s="196"/>
      <c r="I489" s="197"/>
      <c r="J489" s="177"/>
      <c r="K489" s="177"/>
      <c r="L489" s="177"/>
      <c r="M489" s="125"/>
      <c r="N489" s="125"/>
      <c r="O489" s="189"/>
      <c r="P489" s="157"/>
    </row>
    <row r="490" spans="1:16" ht="15.75" customHeight="1">
      <c r="A490" s="157"/>
      <c r="B490" s="190"/>
      <c r="C490" s="195"/>
      <c r="D490" s="196"/>
      <c r="E490" s="197"/>
      <c r="F490" s="198"/>
      <c r="G490" s="198"/>
      <c r="H490" s="196"/>
      <c r="I490" s="197"/>
      <c r="J490" s="177"/>
      <c r="K490" s="177"/>
      <c r="L490" s="177"/>
      <c r="M490" s="125"/>
      <c r="N490" s="125"/>
      <c r="O490" s="189"/>
      <c r="P490" s="157"/>
    </row>
    <row r="491" spans="1:16" ht="15.75" customHeight="1">
      <c r="A491" s="157"/>
      <c r="B491" s="190"/>
      <c r="C491" s="195"/>
      <c r="D491" s="196"/>
      <c r="E491" s="197"/>
      <c r="F491" s="198"/>
      <c r="G491" s="198"/>
      <c r="H491" s="196"/>
      <c r="I491" s="197"/>
      <c r="J491" s="177"/>
      <c r="K491" s="177"/>
      <c r="L491" s="177"/>
      <c r="M491" s="125"/>
      <c r="N491" s="125"/>
      <c r="O491" s="189"/>
      <c r="P491" s="157"/>
    </row>
    <row r="492" spans="1:16" ht="15.75" customHeight="1">
      <c r="A492" s="157"/>
      <c r="B492" s="190"/>
      <c r="C492" s="195"/>
      <c r="D492" s="196"/>
      <c r="E492" s="197"/>
      <c r="F492" s="198"/>
      <c r="G492" s="198"/>
      <c r="H492" s="196"/>
      <c r="I492" s="197"/>
      <c r="J492" s="177"/>
      <c r="K492" s="177"/>
      <c r="L492" s="177"/>
      <c r="M492" s="125"/>
      <c r="N492" s="125"/>
      <c r="O492" s="189"/>
      <c r="P492" s="157"/>
    </row>
    <row r="493" spans="1:16" ht="15.75" customHeight="1">
      <c r="A493" s="157"/>
      <c r="B493" s="190"/>
      <c r="C493" s="195"/>
      <c r="D493" s="196"/>
      <c r="E493" s="197"/>
      <c r="F493" s="198"/>
      <c r="G493" s="198"/>
      <c r="H493" s="196"/>
      <c r="I493" s="197"/>
      <c r="J493" s="177"/>
      <c r="K493" s="177"/>
      <c r="L493" s="177"/>
      <c r="M493" s="125"/>
      <c r="N493" s="125"/>
      <c r="O493" s="189"/>
      <c r="P493" s="157"/>
    </row>
    <row r="494" spans="1:16" ht="15.75" customHeight="1">
      <c r="A494" s="157"/>
      <c r="B494" s="190"/>
      <c r="C494" s="195"/>
      <c r="D494" s="196"/>
      <c r="E494" s="197"/>
      <c r="F494" s="198"/>
      <c r="G494" s="198"/>
      <c r="H494" s="196"/>
      <c r="I494" s="197"/>
      <c r="J494" s="177"/>
      <c r="K494" s="177"/>
      <c r="L494" s="177"/>
      <c r="M494" s="125"/>
      <c r="N494" s="125"/>
      <c r="O494" s="189"/>
      <c r="P494" s="157"/>
    </row>
    <row r="495" spans="1:16" ht="15.75" customHeight="1">
      <c r="A495" s="157"/>
      <c r="B495" s="190"/>
      <c r="C495" s="195"/>
      <c r="D495" s="196"/>
      <c r="E495" s="197"/>
      <c r="F495" s="198"/>
      <c r="G495" s="198"/>
      <c r="H495" s="196"/>
      <c r="I495" s="197"/>
      <c r="J495" s="177"/>
      <c r="K495" s="177"/>
      <c r="L495" s="177"/>
      <c r="M495" s="125"/>
      <c r="N495" s="125"/>
      <c r="O495" s="189"/>
      <c r="P495" s="157"/>
    </row>
    <row r="496" spans="1:16" ht="15.75" customHeight="1">
      <c r="A496" s="157"/>
      <c r="B496" s="190"/>
      <c r="C496" s="195"/>
      <c r="D496" s="196"/>
      <c r="E496" s="197"/>
      <c r="F496" s="198"/>
      <c r="G496" s="198"/>
      <c r="H496" s="196"/>
      <c r="I496" s="197"/>
      <c r="J496" s="177"/>
      <c r="K496" s="177"/>
      <c r="L496" s="177"/>
      <c r="M496" s="125"/>
      <c r="N496" s="125"/>
      <c r="O496" s="189"/>
      <c r="P496" s="157"/>
    </row>
    <row r="497" spans="1:16" ht="15.75" customHeight="1">
      <c r="A497" s="157"/>
      <c r="B497" s="190"/>
      <c r="C497" s="195"/>
      <c r="D497" s="196"/>
      <c r="E497" s="197"/>
      <c r="F497" s="198"/>
      <c r="G497" s="198"/>
      <c r="H497" s="196"/>
      <c r="I497" s="197"/>
      <c r="J497" s="177"/>
      <c r="K497" s="177"/>
      <c r="L497" s="177"/>
      <c r="M497" s="125"/>
      <c r="N497" s="125"/>
      <c r="O497" s="189"/>
      <c r="P497" s="157"/>
    </row>
    <row r="498" spans="1:16" ht="15.75" customHeight="1">
      <c r="A498" s="157"/>
      <c r="B498" s="190"/>
      <c r="C498" s="195"/>
      <c r="D498" s="196"/>
      <c r="E498" s="197"/>
      <c r="F498" s="198"/>
      <c r="G498" s="198"/>
      <c r="H498" s="196"/>
      <c r="I498" s="197"/>
      <c r="J498" s="177"/>
      <c r="K498" s="177"/>
      <c r="L498" s="177"/>
      <c r="M498" s="125"/>
      <c r="N498" s="125"/>
      <c r="O498" s="189"/>
      <c r="P498" s="157"/>
    </row>
    <row r="499" spans="1:16" ht="15.75" customHeight="1">
      <c r="A499" s="157"/>
      <c r="B499" s="190"/>
      <c r="C499" s="195"/>
      <c r="D499" s="196"/>
      <c r="E499" s="197"/>
      <c r="F499" s="198"/>
      <c r="G499" s="198"/>
      <c r="H499" s="196"/>
      <c r="I499" s="197"/>
      <c r="J499" s="177"/>
      <c r="K499" s="177"/>
      <c r="L499" s="177"/>
      <c r="M499" s="125"/>
      <c r="N499" s="125"/>
      <c r="O499" s="189"/>
      <c r="P499" s="157"/>
    </row>
    <row r="500" spans="1:16" ht="15.75" customHeight="1">
      <c r="A500" s="157"/>
      <c r="B500" s="190"/>
      <c r="C500" s="195"/>
      <c r="D500" s="196"/>
      <c r="E500" s="197"/>
      <c r="F500" s="198"/>
      <c r="G500" s="198"/>
      <c r="H500" s="196"/>
      <c r="I500" s="197"/>
      <c r="J500" s="177"/>
      <c r="K500" s="177"/>
      <c r="L500" s="177"/>
      <c r="M500" s="125"/>
      <c r="N500" s="125"/>
      <c r="O500" s="189"/>
      <c r="P500" s="157"/>
    </row>
    <row r="501" spans="1:16" ht="15.75" customHeight="1">
      <c r="A501" s="157"/>
      <c r="B501" s="190"/>
      <c r="C501" s="195"/>
      <c r="D501" s="196"/>
      <c r="E501" s="197"/>
      <c r="F501" s="198"/>
      <c r="G501" s="198"/>
      <c r="H501" s="196"/>
      <c r="I501" s="197"/>
      <c r="J501" s="177"/>
      <c r="K501" s="177"/>
      <c r="L501" s="177"/>
      <c r="M501" s="125"/>
      <c r="N501" s="125"/>
      <c r="O501" s="189"/>
      <c r="P501" s="157"/>
    </row>
    <row r="502" spans="1:16" ht="15.75" customHeight="1">
      <c r="A502" s="157"/>
      <c r="B502" s="190"/>
      <c r="C502" s="195"/>
      <c r="D502" s="196"/>
      <c r="E502" s="197"/>
      <c r="F502" s="198"/>
      <c r="G502" s="198"/>
      <c r="H502" s="196"/>
      <c r="I502" s="197"/>
      <c r="J502" s="177"/>
      <c r="K502" s="177"/>
      <c r="L502" s="177"/>
      <c r="M502" s="125"/>
      <c r="N502" s="125"/>
      <c r="O502" s="189"/>
      <c r="P502" s="157"/>
    </row>
    <row r="503" spans="1:16" ht="15.75" customHeight="1">
      <c r="A503" s="157"/>
      <c r="B503" s="190"/>
      <c r="C503" s="195"/>
      <c r="D503" s="196"/>
      <c r="E503" s="197"/>
      <c r="F503" s="198"/>
      <c r="G503" s="198"/>
      <c r="H503" s="196"/>
      <c r="I503" s="197"/>
      <c r="J503" s="177"/>
      <c r="K503" s="177"/>
      <c r="L503" s="177"/>
      <c r="M503" s="125"/>
      <c r="N503" s="125"/>
      <c r="O503" s="189"/>
      <c r="P503" s="157"/>
    </row>
    <row r="504" spans="1:16" ht="15.75" customHeight="1">
      <c r="A504" s="157"/>
      <c r="B504" s="190"/>
      <c r="C504" s="195"/>
      <c r="D504" s="196"/>
      <c r="E504" s="197"/>
      <c r="F504" s="198"/>
      <c r="G504" s="198"/>
      <c r="H504" s="196"/>
      <c r="I504" s="197"/>
      <c r="J504" s="177"/>
      <c r="K504" s="177"/>
      <c r="L504" s="177"/>
      <c r="M504" s="125"/>
      <c r="N504" s="125"/>
      <c r="O504" s="189"/>
      <c r="P504" s="157"/>
    </row>
    <row r="505" spans="1:16" ht="15.75" customHeight="1">
      <c r="A505" s="157"/>
      <c r="B505" s="190"/>
      <c r="C505" s="195"/>
      <c r="D505" s="196"/>
      <c r="E505" s="197"/>
      <c r="F505" s="198"/>
      <c r="G505" s="198"/>
      <c r="H505" s="196"/>
      <c r="I505" s="197"/>
      <c r="J505" s="177"/>
      <c r="K505" s="177"/>
      <c r="L505" s="177"/>
      <c r="M505" s="125"/>
      <c r="N505" s="125"/>
      <c r="O505" s="189"/>
      <c r="P505" s="157"/>
    </row>
    <row r="506" spans="1:16" ht="15.75" customHeight="1">
      <c r="A506" s="157"/>
      <c r="B506" s="190"/>
      <c r="C506" s="195"/>
      <c r="D506" s="196"/>
      <c r="E506" s="197"/>
      <c r="F506" s="198"/>
      <c r="G506" s="198"/>
      <c r="H506" s="196"/>
      <c r="I506" s="197"/>
      <c r="J506" s="177"/>
      <c r="K506" s="177"/>
      <c r="L506" s="177"/>
      <c r="M506" s="125"/>
      <c r="N506" s="125"/>
      <c r="O506" s="189"/>
      <c r="P506" s="157"/>
    </row>
    <row r="507" spans="1:16" ht="15.75" customHeight="1">
      <c r="A507" s="157"/>
      <c r="B507" s="190"/>
      <c r="C507" s="195"/>
      <c r="D507" s="196"/>
      <c r="E507" s="197"/>
      <c r="F507" s="198"/>
      <c r="G507" s="198"/>
      <c r="H507" s="196"/>
      <c r="I507" s="197"/>
      <c r="J507" s="177"/>
      <c r="K507" s="177"/>
      <c r="L507" s="177"/>
      <c r="M507" s="125"/>
      <c r="N507" s="125"/>
      <c r="O507" s="189"/>
      <c r="P507" s="157"/>
    </row>
    <row r="508" spans="1:16" ht="15.75" customHeight="1">
      <c r="A508" s="157"/>
      <c r="B508" s="190"/>
      <c r="C508" s="195"/>
      <c r="D508" s="196"/>
      <c r="E508" s="197"/>
      <c r="F508" s="198"/>
      <c r="G508" s="198"/>
      <c r="H508" s="196"/>
      <c r="I508" s="197"/>
      <c r="J508" s="177"/>
      <c r="K508" s="177"/>
      <c r="L508" s="177"/>
      <c r="M508" s="125"/>
      <c r="N508" s="125"/>
      <c r="O508" s="189"/>
      <c r="P508" s="157"/>
    </row>
    <row r="509" spans="1:16" ht="15.75" customHeight="1">
      <c r="A509" s="157"/>
      <c r="B509" s="190"/>
      <c r="C509" s="195"/>
      <c r="D509" s="196"/>
      <c r="E509" s="197"/>
      <c r="F509" s="198"/>
      <c r="G509" s="198"/>
      <c r="H509" s="196"/>
      <c r="I509" s="197"/>
      <c r="J509" s="177"/>
      <c r="K509" s="177"/>
      <c r="L509" s="177"/>
      <c r="M509" s="125"/>
      <c r="N509" s="125"/>
      <c r="O509" s="189"/>
      <c r="P509" s="157"/>
    </row>
    <row r="510" spans="1:16" ht="15.75" customHeight="1">
      <c r="A510" s="157"/>
      <c r="B510" s="190"/>
      <c r="C510" s="195"/>
      <c r="D510" s="196"/>
      <c r="E510" s="197"/>
      <c r="F510" s="198"/>
      <c r="G510" s="198"/>
      <c r="H510" s="196"/>
      <c r="I510" s="197"/>
      <c r="J510" s="177"/>
      <c r="K510" s="177"/>
      <c r="L510" s="177"/>
      <c r="M510" s="125"/>
      <c r="N510" s="125"/>
      <c r="O510" s="189"/>
      <c r="P510" s="157"/>
    </row>
    <row r="511" spans="1:16" ht="15.75" customHeight="1">
      <c r="A511" s="157"/>
      <c r="B511" s="190"/>
      <c r="C511" s="195"/>
      <c r="D511" s="196"/>
      <c r="E511" s="197"/>
      <c r="F511" s="198"/>
      <c r="G511" s="198"/>
      <c r="H511" s="196"/>
      <c r="I511" s="197"/>
      <c r="J511" s="177"/>
      <c r="K511" s="177"/>
      <c r="L511" s="177"/>
      <c r="M511" s="125"/>
      <c r="N511" s="125"/>
      <c r="O511" s="189"/>
      <c r="P511" s="157"/>
    </row>
    <row r="512" spans="1:16" ht="15.75" customHeight="1">
      <c r="A512" s="157"/>
      <c r="B512" s="190"/>
      <c r="C512" s="195"/>
      <c r="D512" s="196"/>
      <c r="E512" s="197"/>
      <c r="F512" s="198"/>
      <c r="G512" s="198"/>
      <c r="H512" s="196"/>
      <c r="I512" s="197"/>
      <c r="J512" s="177"/>
      <c r="K512" s="177"/>
      <c r="L512" s="177"/>
      <c r="M512" s="125"/>
      <c r="N512" s="125"/>
      <c r="O512" s="189"/>
      <c r="P512" s="157"/>
    </row>
    <row r="513" spans="1:16" ht="15.75" customHeight="1">
      <c r="A513" s="157"/>
      <c r="B513" s="190"/>
      <c r="C513" s="195"/>
      <c r="D513" s="196"/>
      <c r="E513" s="197"/>
      <c r="F513" s="198"/>
      <c r="G513" s="198"/>
      <c r="H513" s="196"/>
      <c r="I513" s="197"/>
      <c r="J513" s="177"/>
      <c r="K513" s="177"/>
      <c r="L513" s="177"/>
      <c r="M513" s="125"/>
      <c r="N513" s="125"/>
      <c r="O513" s="189"/>
      <c r="P513" s="157"/>
    </row>
    <row r="514" spans="1:16" ht="15.75" customHeight="1">
      <c r="A514" s="157"/>
      <c r="B514" s="190"/>
      <c r="C514" s="195"/>
      <c r="D514" s="196"/>
      <c r="E514" s="197"/>
      <c r="F514" s="198"/>
      <c r="G514" s="198"/>
      <c r="H514" s="196"/>
      <c r="I514" s="197"/>
      <c r="J514" s="177"/>
      <c r="K514" s="177"/>
      <c r="L514" s="177"/>
      <c r="M514" s="125"/>
      <c r="N514" s="125"/>
      <c r="O514" s="189"/>
      <c r="P514" s="157"/>
    </row>
    <row r="515" spans="1:16" ht="15.75" customHeight="1">
      <c r="A515" s="157"/>
      <c r="B515" s="190"/>
      <c r="C515" s="195"/>
      <c r="D515" s="196"/>
      <c r="E515" s="197"/>
      <c r="F515" s="198"/>
      <c r="G515" s="198"/>
      <c r="H515" s="196"/>
      <c r="I515" s="197"/>
      <c r="J515" s="177"/>
      <c r="K515" s="177"/>
      <c r="L515" s="177"/>
      <c r="M515" s="125"/>
      <c r="N515" s="125"/>
      <c r="O515" s="189"/>
      <c r="P515" s="157"/>
    </row>
    <row r="516" spans="1:16" ht="15.75" customHeight="1">
      <c r="A516" s="157"/>
      <c r="B516" s="190"/>
      <c r="C516" s="195"/>
      <c r="D516" s="196"/>
      <c r="E516" s="197"/>
      <c r="F516" s="198"/>
      <c r="G516" s="198"/>
      <c r="H516" s="196"/>
      <c r="I516" s="197"/>
      <c r="J516" s="177"/>
      <c r="K516" s="177"/>
      <c r="L516" s="177"/>
      <c r="M516" s="125"/>
      <c r="N516" s="125"/>
      <c r="O516" s="189"/>
      <c r="P516" s="157"/>
    </row>
    <row r="517" spans="1:16" ht="15.75" customHeight="1">
      <c r="A517" s="157"/>
      <c r="B517" s="190"/>
      <c r="C517" s="195"/>
      <c r="D517" s="196"/>
      <c r="E517" s="197"/>
      <c r="F517" s="198"/>
      <c r="G517" s="198"/>
      <c r="H517" s="196"/>
      <c r="I517" s="197"/>
      <c r="J517" s="177"/>
      <c r="K517" s="177"/>
      <c r="L517" s="177"/>
      <c r="M517" s="125"/>
      <c r="N517" s="125"/>
      <c r="O517" s="189"/>
      <c r="P517" s="157"/>
    </row>
    <row r="518" spans="1:16" ht="15.75" customHeight="1">
      <c r="A518" s="157"/>
      <c r="B518" s="190"/>
      <c r="C518" s="195"/>
      <c r="D518" s="196"/>
      <c r="E518" s="197"/>
      <c r="F518" s="198"/>
      <c r="G518" s="198"/>
      <c r="H518" s="196"/>
      <c r="I518" s="197"/>
      <c r="J518" s="177"/>
      <c r="K518" s="177"/>
      <c r="L518" s="177"/>
      <c r="M518" s="125"/>
      <c r="N518" s="125"/>
      <c r="O518" s="189"/>
      <c r="P518" s="157"/>
    </row>
    <row r="519" spans="1:16" ht="15.75" customHeight="1">
      <c r="A519" s="157"/>
      <c r="B519" s="190"/>
      <c r="C519" s="195"/>
      <c r="D519" s="196"/>
      <c r="E519" s="197"/>
      <c r="F519" s="198"/>
      <c r="G519" s="198"/>
      <c r="H519" s="196"/>
      <c r="I519" s="197"/>
      <c r="J519" s="177"/>
      <c r="K519" s="177"/>
      <c r="L519" s="177"/>
      <c r="M519" s="125"/>
      <c r="N519" s="125"/>
      <c r="O519" s="189"/>
      <c r="P519" s="157"/>
    </row>
    <row r="520" spans="1:16" ht="15.75" customHeight="1">
      <c r="A520" s="157"/>
      <c r="B520" s="190"/>
      <c r="C520" s="195"/>
      <c r="D520" s="196"/>
      <c r="E520" s="197"/>
      <c r="F520" s="198"/>
      <c r="G520" s="198"/>
      <c r="H520" s="196"/>
      <c r="I520" s="197"/>
      <c r="J520" s="177"/>
      <c r="K520" s="177"/>
      <c r="L520" s="177"/>
      <c r="M520" s="125"/>
      <c r="N520" s="125"/>
      <c r="O520" s="189"/>
      <c r="P520" s="157"/>
    </row>
    <row r="521" spans="1:16" ht="15.75" customHeight="1">
      <c r="A521" s="157"/>
      <c r="B521" s="190"/>
      <c r="C521" s="195"/>
      <c r="D521" s="196"/>
      <c r="E521" s="197"/>
      <c r="F521" s="198"/>
      <c r="G521" s="198"/>
      <c r="H521" s="196"/>
      <c r="I521" s="197"/>
      <c r="J521" s="177"/>
      <c r="K521" s="177"/>
      <c r="L521" s="177"/>
      <c r="M521" s="125"/>
      <c r="N521" s="125"/>
      <c r="O521" s="189"/>
      <c r="P521" s="157"/>
    </row>
    <row r="522" spans="1:16" ht="15.75" customHeight="1">
      <c r="A522" s="157"/>
      <c r="B522" s="190"/>
      <c r="C522" s="195"/>
      <c r="D522" s="196"/>
      <c r="E522" s="197"/>
      <c r="F522" s="198"/>
      <c r="G522" s="198"/>
      <c r="H522" s="196"/>
      <c r="I522" s="197"/>
      <c r="J522" s="177"/>
      <c r="K522" s="177"/>
      <c r="L522" s="177"/>
      <c r="M522" s="125"/>
      <c r="N522" s="125"/>
      <c r="O522" s="189"/>
      <c r="P522" s="157"/>
    </row>
    <row r="523" spans="1:16" ht="15.75" customHeight="1">
      <c r="A523" s="157"/>
      <c r="B523" s="190"/>
      <c r="C523" s="195"/>
      <c r="D523" s="196"/>
      <c r="E523" s="197"/>
      <c r="F523" s="198"/>
      <c r="G523" s="198"/>
      <c r="H523" s="196"/>
      <c r="I523" s="197"/>
      <c r="J523" s="177"/>
      <c r="K523" s="177"/>
      <c r="L523" s="177"/>
      <c r="M523" s="125"/>
      <c r="N523" s="125"/>
      <c r="O523" s="189"/>
      <c r="P523" s="157"/>
    </row>
    <row r="524" spans="1:16" ht="15.75" customHeight="1">
      <c r="A524" s="157"/>
      <c r="B524" s="190"/>
      <c r="C524" s="195"/>
      <c r="D524" s="196"/>
      <c r="E524" s="197"/>
      <c r="F524" s="198"/>
      <c r="G524" s="198"/>
      <c r="H524" s="196"/>
      <c r="I524" s="197"/>
      <c r="J524" s="177"/>
      <c r="K524" s="177"/>
      <c r="L524" s="177"/>
      <c r="M524" s="125"/>
      <c r="N524" s="125"/>
      <c r="O524" s="189"/>
      <c r="P524" s="157"/>
    </row>
    <row r="525" spans="1:16" ht="15.75" customHeight="1">
      <c r="A525" s="157"/>
      <c r="B525" s="190"/>
      <c r="C525" s="195"/>
      <c r="D525" s="196"/>
      <c r="E525" s="197"/>
      <c r="F525" s="198"/>
      <c r="G525" s="198"/>
      <c r="H525" s="196"/>
      <c r="I525" s="197"/>
      <c r="J525" s="177"/>
      <c r="K525" s="177"/>
      <c r="L525" s="177"/>
      <c r="M525" s="125"/>
      <c r="N525" s="125"/>
      <c r="O525" s="189"/>
      <c r="P525" s="157"/>
    </row>
    <row r="526" spans="1:16" ht="15.75" customHeight="1">
      <c r="A526" s="157"/>
      <c r="B526" s="190"/>
      <c r="C526" s="195"/>
      <c r="D526" s="196"/>
      <c r="E526" s="197"/>
      <c r="F526" s="198"/>
      <c r="G526" s="198"/>
      <c r="H526" s="196"/>
      <c r="I526" s="197"/>
      <c r="J526" s="177"/>
      <c r="K526" s="177"/>
      <c r="L526" s="177"/>
      <c r="M526" s="125"/>
      <c r="N526" s="125"/>
      <c r="O526" s="189"/>
      <c r="P526" s="157"/>
    </row>
    <row r="527" spans="1:16" ht="15.75" customHeight="1">
      <c r="A527" s="157"/>
      <c r="B527" s="190"/>
      <c r="C527" s="195"/>
      <c r="D527" s="196"/>
      <c r="E527" s="197"/>
      <c r="F527" s="198"/>
      <c r="G527" s="198"/>
      <c r="H527" s="196"/>
      <c r="I527" s="197"/>
      <c r="J527" s="177"/>
      <c r="K527" s="177"/>
      <c r="L527" s="177"/>
      <c r="M527" s="125"/>
      <c r="N527" s="125"/>
      <c r="O527" s="189"/>
      <c r="P527" s="157"/>
    </row>
    <row r="528" spans="1:16" ht="15.75" customHeight="1">
      <c r="A528" s="157"/>
      <c r="B528" s="190"/>
      <c r="C528" s="195"/>
      <c r="D528" s="196"/>
      <c r="E528" s="197"/>
      <c r="F528" s="198"/>
      <c r="G528" s="198"/>
      <c r="H528" s="196"/>
      <c r="I528" s="197"/>
      <c r="J528" s="177"/>
      <c r="K528" s="177"/>
      <c r="L528" s="177"/>
      <c r="M528" s="125"/>
      <c r="N528" s="125"/>
      <c r="O528" s="189"/>
      <c r="P528" s="157"/>
    </row>
    <row r="529" spans="1:16" ht="15.75" customHeight="1">
      <c r="A529" s="157"/>
      <c r="B529" s="190"/>
      <c r="C529" s="195"/>
      <c r="D529" s="196"/>
      <c r="E529" s="197"/>
      <c r="F529" s="198"/>
      <c r="G529" s="198"/>
      <c r="H529" s="196"/>
      <c r="I529" s="197"/>
      <c r="J529" s="177"/>
      <c r="K529" s="177"/>
      <c r="L529" s="177"/>
      <c r="M529" s="125"/>
      <c r="N529" s="125"/>
      <c r="O529" s="189"/>
      <c r="P529" s="157"/>
    </row>
    <row r="530" spans="1:16" ht="15.75" customHeight="1">
      <c r="A530" s="157"/>
      <c r="B530" s="190"/>
      <c r="C530" s="195"/>
      <c r="D530" s="196"/>
      <c r="E530" s="197"/>
      <c r="F530" s="198"/>
      <c r="G530" s="198"/>
      <c r="H530" s="196"/>
      <c r="I530" s="197"/>
      <c r="J530" s="177"/>
      <c r="K530" s="177"/>
      <c r="L530" s="177"/>
      <c r="M530" s="125"/>
      <c r="N530" s="125"/>
      <c r="O530" s="189"/>
      <c r="P530" s="157"/>
    </row>
    <row r="531" spans="1:16" ht="15.75" customHeight="1">
      <c r="A531" s="157"/>
      <c r="B531" s="190"/>
      <c r="C531" s="195"/>
      <c r="D531" s="196"/>
      <c r="E531" s="197"/>
      <c r="F531" s="198"/>
      <c r="G531" s="198"/>
      <c r="H531" s="196"/>
      <c r="I531" s="197"/>
      <c r="J531" s="177"/>
      <c r="K531" s="177"/>
      <c r="L531" s="177"/>
      <c r="M531" s="125"/>
      <c r="N531" s="125"/>
      <c r="O531" s="189"/>
      <c r="P531" s="157"/>
    </row>
    <row r="532" spans="1:16" ht="15.75" customHeight="1">
      <c r="A532" s="157"/>
      <c r="B532" s="190"/>
      <c r="C532" s="195"/>
      <c r="D532" s="196"/>
      <c r="E532" s="197"/>
      <c r="F532" s="198"/>
      <c r="G532" s="198"/>
      <c r="H532" s="196"/>
      <c r="I532" s="197"/>
      <c r="J532" s="177"/>
      <c r="K532" s="177"/>
      <c r="L532" s="177"/>
      <c r="M532" s="125"/>
      <c r="N532" s="125"/>
      <c r="O532" s="189"/>
      <c r="P532" s="157"/>
    </row>
    <row r="533" spans="1:16" ht="15.75" customHeight="1">
      <c r="A533" s="157"/>
      <c r="B533" s="190"/>
      <c r="C533" s="195"/>
      <c r="D533" s="196"/>
      <c r="E533" s="197"/>
      <c r="F533" s="198"/>
      <c r="G533" s="198"/>
      <c r="H533" s="196"/>
      <c r="I533" s="197"/>
      <c r="J533" s="177"/>
      <c r="K533" s="177"/>
      <c r="L533" s="177"/>
      <c r="M533" s="125"/>
      <c r="N533" s="125"/>
      <c r="O533" s="189"/>
      <c r="P533" s="157"/>
    </row>
    <row r="534" spans="1:16" ht="15.75" customHeight="1">
      <c r="A534" s="157"/>
      <c r="B534" s="190"/>
      <c r="C534" s="195"/>
      <c r="D534" s="196"/>
      <c r="E534" s="197"/>
      <c r="F534" s="198"/>
      <c r="G534" s="198"/>
      <c r="H534" s="196"/>
      <c r="I534" s="197"/>
      <c r="J534" s="177"/>
      <c r="K534" s="177"/>
      <c r="L534" s="177"/>
      <c r="M534" s="125"/>
      <c r="N534" s="125"/>
      <c r="O534" s="189"/>
      <c r="P534" s="157"/>
    </row>
    <row r="535" spans="1:16" ht="15.75" customHeight="1">
      <c r="A535" s="157"/>
      <c r="B535" s="190"/>
      <c r="C535" s="195"/>
      <c r="D535" s="196"/>
      <c r="E535" s="197"/>
      <c r="F535" s="198"/>
      <c r="G535" s="198"/>
      <c r="H535" s="196"/>
      <c r="I535" s="197"/>
      <c r="J535" s="177"/>
      <c r="K535" s="177"/>
      <c r="L535" s="177"/>
      <c r="M535" s="125"/>
      <c r="N535" s="125"/>
      <c r="O535" s="189"/>
      <c r="P535" s="157"/>
    </row>
    <row r="536" spans="1:16" ht="15.75" customHeight="1">
      <c r="A536" s="157"/>
      <c r="B536" s="190"/>
      <c r="C536" s="195"/>
      <c r="D536" s="196"/>
      <c r="E536" s="197"/>
      <c r="F536" s="198"/>
      <c r="G536" s="198"/>
      <c r="H536" s="196"/>
      <c r="I536" s="197"/>
      <c r="J536" s="177"/>
      <c r="K536" s="177"/>
      <c r="L536" s="177"/>
      <c r="M536" s="125"/>
      <c r="N536" s="125"/>
      <c r="O536" s="189"/>
      <c r="P536" s="157"/>
    </row>
    <row r="537" spans="1:16" ht="15.75" customHeight="1">
      <c r="A537" s="157"/>
      <c r="B537" s="190"/>
      <c r="C537" s="195"/>
      <c r="D537" s="196"/>
      <c r="E537" s="197"/>
      <c r="F537" s="198"/>
      <c r="G537" s="198"/>
      <c r="H537" s="196"/>
      <c r="I537" s="197"/>
      <c r="J537" s="177"/>
      <c r="K537" s="177"/>
      <c r="L537" s="177"/>
      <c r="M537" s="125"/>
      <c r="N537" s="125"/>
      <c r="O537" s="189"/>
      <c r="P537" s="157"/>
    </row>
    <row r="538" spans="1:16" ht="15.75" customHeight="1">
      <c r="A538" s="157"/>
      <c r="B538" s="190"/>
      <c r="C538" s="195"/>
      <c r="D538" s="196"/>
      <c r="E538" s="197"/>
      <c r="F538" s="198"/>
      <c r="G538" s="198"/>
      <c r="H538" s="196"/>
      <c r="I538" s="197"/>
      <c r="J538" s="177"/>
      <c r="K538" s="177"/>
      <c r="L538" s="177"/>
      <c r="M538" s="125"/>
      <c r="N538" s="125"/>
      <c r="O538" s="189"/>
      <c r="P538" s="157"/>
    </row>
    <row r="539" spans="1:16" ht="15.75" customHeight="1">
      <c r="A539" s="157"/>
      <c r="B539" s="190"/>
      <c r="C539" s="195"/>
      <c r="D539" s="196"/>
      <c r="E539" s="197"/>
      <c r="F539" s="198"/>
      <c r="G539" s="198"/>
      <c r="H539" s="196"/>
      <c r="I539" s="197"/>
      <c r="J539" s="177"/>
      <c r="K539" s="177"/>
      <c r="L539" s="177"/>
      <c r="M539" s="125"/>
      <c r="N539" s="125"/>
      <c r="O539" s="189"/>
      <c r="P539" s="157"/>
    </row>
    <row r="540" spans="1:16" ht="15.75" customHeight="1">
      <c r="A540" s="157"/>
      <c r="B540" s="190"/>
      <c r="C540" s="195"/>
      <c r="D540" s="196"/>
      <c r="E540" s="197"/>
      <c r="F540" s="198"/>
      <c r="G540" s="198"/>
      <c r="H540" s="196"/>
      <c r="I540" s="197"/>
      <c r="J540" s="177"/>
      <c r="K540" s="177"/>
      <c r="L540" s="177"/>
      <c r="M540" s="125"/>
      <c r="N540" s="125"/>
      <c r="O540" s="189"/>
      <c r="P540" s="157"/>
    </row>
    <row r="541" spans="1:16" ht="15.75" customHeight="1">
      <c r="A541" s="157"/>
      <c r="B541" s="190"/>
      <c r="C541" s="195"/>
      <c r="D541" s="196"/>
      <c r="E541" s="197"/>
      <c r="F541" s="198"/>
      <c r="G541" s="198"/>
      <c r="H541" s="196"/>
      <c r="I541" s="197"/>
      <c r="J541" s="177"/>
      <c r="K541" s="177"/>
      <c r="L541" s="177"/>
      <c r="M541" s="125"/>
      <c r="N541" s="125"/>
      <c r="O541" s="189"/>
      <c r="P541" s="157"/>
    </row>
    <row r="542" spans="1:16" ht="15.75" customHeight="1">
      <c r="A542" s="157"/>
      <c r="B542" s="190"/>
      <c r="C542" s="195"/>
      <c r="D542" s="196"/>
      <c r="E542" s="197"/>
      <c r="F542" s="198"/>
      <c r="G542" s="198"/>
      <c r="H542" s="196"/>
      <c r="I542" s="197"/>
      <c r="J542" s="177"/>
      <c r="K542" s="177"/>
      <c r="L542" s="177"/>
      <c r="M542" s="125"/>
      <c r="N542" s="125"/>
      <c r="O542" s="189"/>
      <c r="P542" s="157"/>
    </row>
    <row r="543" spans="1:16" ht="15.75" customHeight="1">
      <c r="A543" s="157"/>
      <c r="B543" s="190"/>
      <c r="C543" s="195"/>
      <c r="D543" s="196"/>
      <c r="E543" s="197"/>
      <c r="F543" s="198"/>
      <c r="G543" s="198"/>
      <c r="H543" s="196"/>
      <c r="I543" s="197"/>
      <c r="J543" s="177"/>
      <c r="K543" s="177"/>
      <c r="L543" s="177"/>
      <c r="M543" s="125"/>
      <c r="N543" s="125"/>
      <c r="O543" s="189"/>
      <c r="P543" s="157"/>
    </row>
    <row r="544" spans="1:16" ht="15.75" customHeight="1">
      <c r="A544" s="157"/>
      <c r="B544" s="190"/>
      <c r="C544" s="195"/>
      <c r="D544" s="196"/>
      <c r="E544" s="197"/>
      <c r="F544" s="198"/>
      <c r="G544" s="198"/>
      <c r="H544" s="196"/>
      <c r="I544" s="197"/>
      <c r="J544" s="177"/>
      <c r="K544" s="177"/>
      <c r="L544" s="177"/>
      <c r="M544" s="125"/>
      <c r="N544" s="125"/>
      <c r="O544" s="189"/>
      <c r="P544" s="157"/>
    </row>
    <row r="545" spans="1:16" ht="15.75" customHeight="1">
      <c r="A545" s="157"/>
      <c r="B545" s="190"/>
      <c r="C545" s="195"/>
      <c r="D545" s="196"/>
      <c r="E545" s="197"/>
      <c r="F545" s="198"/>
      <c r="G545" s="198"/>
      <c r="H545" s="196"/>
      <c r="I545" s="197"/>
      <c r="J545" s="177"/>
      <c r="K545" s="177"/>
      <c r="L545" s="177"/>
      <c r="M545" s="125"/>
      <c r="N545" s="125"/>
      <c r="O545" s="189"/>
      <c r="P545" s="157"/>
    </row>
    <row r="546" spans="1:16" ht="15.75" customHeight="1">
      <c r="A546" s="157"/>
      <c r="B546" s="190"/>
      <c r="C546" s="195"/>
      <c r="D546" s="196"/>
      <c r="E546" s="197"/>
      <c r="F546" s="198"/>
      <c r="G546" s="198"/>
      <c r="H546" s="196"/>
      <c r="I546" s="197"/>
      <c r="J546" s="177"/>
      <c r="K546" s="177"/>
      <c r="L546" s="177"/>
      <c r="M546" s="125"/>
      <c r="N546" s="125"/>
      <c r="O546" s="189"/>
      <c r="P546" s="157"/>
    </row>
    <row r="547" spans="1:16" ht="15.75" customHeight="1">
      <c r="A547" s="157"/>
      <c r="B547" s="190"/>
      <c r="C547" s="195"/>
      <c r="D547" s="196"/>
      <c r="E547" s="197"/>
      <c r="F547" s="198"/>
      <c r="G547" s="198"/>
      <c r="H547" s="196"/>
      <c r="I547" s="197"/>
      <c r="J547" s="177"/>
      <c r="K547" s="177"/>
      <c r="L547" s="177"/>
      <c r="M547" s="125"/>
      <c r="N547" s="125"/>
      <c r="O547" s="189"/>
      <c r="P547" s="157"/>
    </row>
    <row r="548" spans="1:16" ht="15.75" customHeight="1">
      <c r="A548" s="157"/>
      <c r="B548" s="190"/>
      <c r="C548" s="195"/>
      <c r="D548" s="196"/>
      <c r="E548" s="197"/>
      <c r="F548" s="198"/>
      <c r="G548" s="198"/>
      <c r="H548" s="196"/>
      <c r="I548" s="197"/>
      <c r="J548" s="177"/>
      <c r="K548" s="177"/>
      <c r="L548" s="177"/>
      <c r="M548" s="125"/>
      <c r="N548" s="125"/>
      <c r="O548" s="189"/>
      <c r="P548" s="157"/>
    </row>
    <row r="549" spans="1:16" ht="15.75" customHeight="1">
      <c r="A549" s="157"/>
      <c r="B549" s="190"/>
      <c r="C549" s="195"/>
      <c r="D549" s="196"/>
      <c r="E549" s="197"/>
      <c r="F549" s="198"/>
      <c r="G549" s="198"/>
      <c r="H549" s="196"/>
      <c r="I549" s="197"/>
      <c r="J549" s="177"/>
      <c r="K549" s="177"/>
      <c r="L549" s="177"/>
      <c r="M549" s="125"/>
      <c r="N549" s="125"/>
      <c r="O549" s="189"/>
      <c r="P549" s="157"/>
    </row>
    <row r="550" spans="1:16" ht="15.75" customHeight="1">
      <c r="A550" s="157"/>
      <c r="B550" s="190"/>
      <c r="C550" s="195"/>
      <c r="D550" s="196"/>
      <c r="E550" s="197"/>
      <c r="F550" s="198"/>
      <c r="G550" s="198"/>
      <c r="H550" s="196"/>
      <c r="I550" s="197"/>
      <c r="J550" s="177"/>
      <c r="K550" s="177"/>
      <c r="L550" s="177"/>
      <c r="M550" s="125"/>
      <c r="N550" s="125"/>
      <c r="O550" s="189"/>
      <c r="P550" s="157"/>
    </row>
    <row r="551" spans="1:16" ht="15.75" customHeight="1">
      <c r="A551" s="157"/>
      <c r="B551" s="190"/>
      <c r="C551" s="195"/>
      <c r="D551" s="196"/>
      <c r="E551" s="197"/>
      <c r="F551" s="198"/>
      <c r="G551" s="198"/>
      <c r="H551" s="196"/>
      <c r="I551" s="197"/>
      <c r="J551" s="177"/>
      <c r="K551" s="177"/>
      <c r="L551" s="177"/>
      <c r="M551" s="125"/>
      <c r="N551" s="125"/>
      <c r="O551" s="189"/>
      <c r="P551" s="157"/>
    </row>
    <row r="552" spans="1:16" ht="15.75" customHeight="1">
      <c r="A552" s="157"/>
      <c r="B552" s="190"/>
      <c r="C552" s="195"/>
      <c r="D552" s="196"/>
      <c r="E552" s="197"/>
      <c r="F552" s="198"/>
      <c r="G552" s="198"/>
      <c r="H552" s="196"/>
      <c r="I552" s="197"/>
      <c r="J552" s="177"/>
      <c r="K552" s="177"/>
      <c r="L552" s="177"/>
      <c r="M552" s="125"/>
      <c r="N552" s="125"/>
      <c r="O552" s="189"/>
      <c r="P552" s="157"/>
    </row>
    <row r="553" spans="1:16" ht="15.75" customHeight="1">
      <c r="A553" s="157"/>
      <c r="B553" s="190"/>
      <c r="C553" s="195"/>
      <c r="D553" s="196"/>
      <c r="E553" s="197"/>
      <c r="F553" s="198"/>
      <c r="G553" s="198"/>
      <c r="H553" s="196"/>
      <c r="I553" s="197"/>
      <c r="J553" s="177"/>
      <c r="K553" s="177"/>
      <c r="L553" s="177"/>
      <c r="M553" s="125"/>
      <c r="N553" s="125"/>
      <c r="O553" s="189"/>
      <c r="P553" s="157"/>
    </row>
    <row r="554" spans="1:16" ht="15.75" customHeight="1">
      <c r="A554" s="157"/>
      <c r="B554" s="190"/>
      <c r="C554" s="195"/>
      <c r="D554" s="196"/>
      <c r="E554" s="197"/>
      <c r="F554" s="198"/>
      <c r="G554" s="198"/>
      <c r="H554" s="196"/>
      <c r="I554" s="197"/>
      <c r="J554" s="177"/>
      <c r="K554" s="177"/>
      <c r="L554" s="177"/>
      <c r="M554" s="125"/>
      <c r="N554" s="125"/>
      <c r="O554" s="189"/>
      <c r="P554" s="157"/>
    </row>
    <row r="555" spans="1:16" ht="15.75" customHeight="1">
      <c r="A555" s="157"/>
      <c r="B555" s="190"/>
      <c r="C555" s="195"/>
      <c r="D555" s="196"/>
      <c r="E555" s="197"/>
      <c r="F555" s="198"/>
      <c r="G555" s="198"/>
      <c r="H555" s="196"/>
      <c r="I555" s="197"/>
      <c r="J555" s="177"/>
      <c r="K555" s="177"/>
      <c r="L555" s="177"/>
      <c r="M555" s="125"/>
      <c r="N555" s="125"/>
      <c r="O555" s="189"/>
      <c r="P555" s="157"/>
    </row>
    <row r="556" spans="1:16" ht="15.75" customHeight="1">
      <c r="A556" s="157"/>
      <c r="B556" s="190"/>
      <c r="C556" s="195"/>
      <c r="D556" s="196"/>
      <c r="E556" s="197"/>
      <c r="F556" s="198"/>
      <c r="G556" s="198"/>
      <c r="H556" s="196"/>
      <c r="I556" s="197"/>
      <c r="J556" s="177"/>
      <c r="K556" s="177"/>
      <c r="L556" s="177"/>
      <c r="M556" s="125"/>
      <c r="N556" s="125"/>
      <c r="O556" s="189"/>
      <c r="P556" s="157"/>
    </row>
    <row r="557" spans="1:16" ht="15.75" customHeight="1">
      <c r="A557" s="157"/>
      <c r="B557" s="190"/>
      <c r="C557" s="195"/>
      <c r="D557" s="196"/>
      <c r="E557" s="197"/>
      <c r="F557" s="198"/>
      <c r="G557" s="198"/>
      <c r="H557" s="196"/>
      <c r="I557" s="197"/>
      <c r="J557" s="177"/>
      <c r="K557" s="177"/>
      <c r="L557" s="177"/>
      <c r="M557" s="125"/>
      <c r="N557" s="125"/>
      <c r="O557" s="189"/>
      <c r="P557" s="157"/>
    </row>
    <row r="558" spans="1:16" ht="15.75" customHeight="1">
      <c r="A558" s="157"/>
      <c r="B558" s="190"/>
      <c r="C558" s="195"/>
      <c r="D558" s="196"/>
      <c r="E558" s="197"/>
      <c r="F558" s="198"/>
      <c r="G558" s="198"/>
      <c r="H558" s="196"/>
      <c r="I558" s="197"/>
      <c r="J558" s="177"/>
      <c r="K558" s="177"/>
      <c r="L558" s="177"/>
      <c r="M558" s="125"/>
      <c r="N558" s="125"/>
      <c r="O558" s="189"/>
      <c r="P558" s="157"/>
    </row>
    <row r="559" spans="1:16" ht="15.75" customHeight="1">
      <c r="A559" s="157"/>
      <c r="B559" s="190"/>
      <c r="C559" s="195"/>
      <c r="D559" s="196"/>
      <c r="E559" s="197"/>
      <c r="F559" s="198"/>
      <c r="G559" s="198"/>
      <c r="H559" s="196"/>
      <c r="I559" s="197"/>
      <c r="J559" s="177"/>
      <c r="K559" s="177"/>
      <c r="L559" s="177"/>
      <c r="M559" s="125"/>
      <c r="N559" s="125"/>
      <c r="O559" s="189"/>
      <c r="P559" s="157"/>
    </row>
    <row r="560" spans="1:16" ht="15.75" customHeight="1">
      <c r="A560" s="157"/>
      <c r="B560" s="190"/>
      <c r="C560" s="195"/>
      <c r="D560" s="196"/>
      <c r="E560" s="197"/>
      <c r="F560" s="198"/>
      <c r="G560" s="198"/>
      <c r="H560" s="196"/>
      <c r="I560" s="197"/>
      <c r="J560" s="177"/>
      <c r="K560" s="177"/>
      <c r="L560" s="177"/>
      <c r="M560" s="125"/>
      <c r="N560" s="125"/>
      <c r="O560" s="189"/>
      <c r="P560" s="157"/>
    </row>
    <row r="561" spans="1:16" ht="15.75" customHeight="1">
      <c r="A561" s="157"/>
      <c r="B561" s="190"/>
      <c r="C561" s="195"/>
      <c r="D561" s="196"/>
      <c r="E561" s="197"/>
      <c r="F561" s="198"/>
      <c r="G561" s="198"/>
      <c r="H561" s="196"/>
      <c r="I561" s="197"/>
      <c r="J561" s="177"/>
      <c r="K561" s="177"/>
      <c r="L561" s="177"/>
      <c r="M561" s="125"/>
      <c r="N561" s="125"/>
      <c r="O561" s="189"/>
      <c r="P561" s="157"/>
    </row>
    <row r="562" spans="1:16" ht="15.75" customHeight="1">
      <c r="A562" s="157"/>
      <c r="B562" s="190"/>
      <c r="C562" s="195"/>
      <c r="D562" s="196"/>
      <c r="E562" s="197"/>
      <c r="F562" s="198"/>
      <c r="G562" s="198"/>
      <c r="H562" s="196"/>
      <c r="I562" s="197"/>
      <c r="J562" s="177"/>
      <c r="K562" s="177"/>
      <c r="L562" s="177"/>
      <c r="M562" s="125"/>
      <c r="N562" s="125"/>
      <c r="O562" s="189"/>
      <c r="P562" s="157"/>
    </row>
    <row r="563" spans="1:16" ht="15.75" customHeight="1">
      <c r="A563" s="157"/>
      <c r="B563" s="190"/>
      <c r="C563" s="195"/>
      <c r="D563" s="196"/>
      <c r="E563" s="197"/>
      <c r="F563" s="198"/>
      <c r="G563" s="198"/>
      <c r="H563" s="196"/>
      <c r="I563" s="197"/>
      <c r="J563" s="177"/>
      <c r="K563" s="177"/>
      <c r="L563" s="177"/>
      <c r="M563" s="125"/>
      <c r="N563" s="125"/>
      <c r="O563" s="189"/>
      <c r="P563" s="157"/>
    </row>
    <row r="564" spans="1:16" ht="15.75" customHeight="1">
      <c r="A564" s="157"/>
      <c r="B564" s="190"/>
      <c r="C564" s="195"/>
      <c r="D564" s="196"/>
      <c r="E564" s="197"/>
      <c r="F564" s="198"/>
      <c r="G564" s="198"/>
      <c r="H564" s="196"/>
      <c r="I564" s="197"/>
      <c r="J564" s="177"/>
      <c r="K564" s="177"/>
      <c r="L564" s="177"/>
      <c r="M564" s="125"/>
      <c r="N564" s="125"/>
      <c r="O564" s="189"/>
      <c r="P564" s="157"/>
    </row>
    <row r="565" spans="1:16" ht="15.75" customHeight="1">
      <c r="A565" s="157"/>
      <c r="B565" s="190"/>
      <c r="C565" s="195"/>
      <c r="D565" s="196"/>
      <c r="E565" s="197"/>
      <c r="F565" s="198"/>
      <c r="G565" s="198"/>
      <c r="H565" s="196"/>
      <c r="I565" s="197"/>
      <c r="J565" s="177"/>
      <c r="K565" s="177"/>
      <c r="L565" s="177"/>
      <c r="M565" s="125"/>
      <c r="N565" s="125"/>
      <c r="O565" s="189"/>
      <c r="P565" s="157"/>
    </row>
    <row r="566" spans="1:16" ht="15.75" customHeight="1">
      <c r="A566" s="157"/>
      <c r="B566" s="190"/>
      <c r="C566" s="195"/>
      <c r="D566" s="196"/>
      <c r="E566" s="197"/>
      <c r="F566" s="198"/>
      <c r="G566" s="198"/>
      <c r="H566" s="196"/>
      <c r="I566" s="197"/>
      <c r="J566" s="177"/>
      <c r="K566" s="177"/>
      <c r="L566" s="177"/>
      <c r="M566" s="125"/>
      <c r="N566" s="125"/>
      <c r="O566" s="189"/>
      <c r="P566" s="157"/>
    </row>
    <row r="567" spans="1:16" ht="15.75" customHeight="1">
      <c r="A567" s="157"/>
      <c r="B567" s="190"/>
      <c r="C567" s="195"/>
      <c r="D567" s="196"/>
      <c r="E567" s="197"/>
      <c r="F567" s="198"/>
      <c r="G567" s="198"/>
      <c r="H567" s="196"/>
      <c r="I567" s="197"/>
      <c r="J567" s="177"/>
      <c r="K567" s="177"/>
      <c r="L567" s="177"/>
      <c r="M567" s="125"/>
      <c r="N567" s="125"/>
      <c r="O567" s="189"/>
      <c r="P567" s="157"/>
    </row>
    <row r="568" spans="1:16" ht="15.75" customHeight="1">
      <c r="A568" s="157"/>
      <c r="B568" s="190"/>
      <c r="C568" s="195"/>
      <c r="D568" s="196"/>
      <c r="E568" s="197"/>
      <c r="F568" s="198"/>
      <c r="G568" s="198"/>
      <c r="H568" s="196"/>
      <c r="I568" s="197"/>
      <c r="J568" s="177"/>
      <c r="K568" s="177"/>
      <c r="L568" s="177"/>
      <c r="M568" s="125"/>
      <c r="N568" s="125"/>
      <c r="O568" s="189"/>
      <c r="P568" s="157"/>
    </row>
    <row r="569" spans="1:16" ht="15.75" customHeight="1">
      <c r="A569" s="157"/>
      <c r="B569" s="190"/>
      <c r="C569" s="195"/>
      <c r="D569" s="196"/>
      <c r="E569" s="197"/>
      <c r="F569" s="198"/>
      <c r="G569" s="198"/>
      <c r="H569" s="196"/>
      <c r="I569" s="197"/>
      <c r="J569" s="177"/>
      <c r="K569" s="177"/>
      <c r="L569" s="177"/>
      <c r="M569" s="125"/>
      <c r="N569" s="125"/>
      <c r="O569" s="189"/>
      <c r="P569" s="157"/>
    </row>
    <row r="570" spans="1:16" ht="15.75" customHeight="1">
      <c r="A570" s="157"/>
      <c r="B570" s="190"/>
      <c r="C570" s="195"/>
      <c r="D570" s="196"/>
      <c r="E570" s="197"/>
      <c r="F570" s="198"/>
      <c r="G570" s="198"/>
      <c r="H570" s="196"/>
      <c r="I570" s="197"/>
      <c r="J570" s="177"/>
      <c r="K570" s="177"/>
      <c r="L570" s="177"/>
      <c r="M570" s="125"/>
      <c r="N570" s="125"/>
      <c r="O570" s="189"/>
      <c r="P570" s="157"/>
    </row>
    <row r="571" spans="1:16" ht="15.75" customHeight="1">
      <c r="A571" s="157"/>
      <c r="B571" s="190"/>
      <c r="C571" s="195"/>
      <c r="D571" s="196"/>
      <c r="E571" s="197"/>
      <c r="F571" s="198"/>
      <c r="G571" s="198"/>
      <c r="H571" s="196"/>
      <c r="I571" s="197"/>
      <c r="J571" s="177"/>
      <c r="K571" s="177"/>
      <c r="L571" s="177"/>
      <c r="M571" s="125"/>
      <c r="N571" s="125"/>
      <c r="O571" s="189"/>
      <c r="P571" s="157"/>
    </row>
    <row r="572" spans="1:16" ht="15.75" customHeight="1">
      <c r="A572" s="157"/>
      <c r="B572" s="190"/>
      <c r="C572" s="195"/>
      <c r="D572" s="196"/>
      <c r="E572" s="197"/>
      <c r="F572" s="198"/>
      <c r="G572" s="198"/>
      <c r="H572" s="196"/>
      <c r="I572" s="197"/>
      <c r="J572" s="177"/>
      <c r="K572" s="177"/>
      <c r="L572" s="177"/>
      <c r="M572" s="125"/>
      <c r="N572" s="125"/>
      <c r="O572" s="189"/>
      <c r="P572" s="157"/>
    </row>
    <row r="573" spans="1:16" ht="15.75" customHeight="1">
      <c r="A573" s="157"/>
      <c r="B573" s="190"/>
      <c r="C573" s="195"/>
      <c r="D573" s="196"/>
      <c r="E573" s="197"/>
      <c r="F573" s="198"/>
      <c r="G573" s="198"/>
      <c r="H573" s="196"/>
      <c r="I573" s="197"/>
      <c r="J573" s="177"/>
      <c r="K573" s="177"/>
      <c r="L573" s="177"/>
      <c r="M573" s="125"/>
      <c r="N573" s="125"/>
      <c r="O573" s="189"/>
      <c r="P573" s="157"/>
    </row>
    <row r="574" spans="1:16" ht="15.75" customHeight="1">
      <c r="A574" s="157"/>
      <c r="B574" s="190"/>
      <c r="C574" s="195"/>
      <c r="D574" s="196"/>
      <c r="E574" s="197"/>
      <c r="F574" s="198"/>
      <c r="G574" s="198"/>
      <c r="H574" s="196"/>
      <c r="I574" s="197"/>
      <c r="J574" s="177"/>
      <c r="K574" s="177"/>
      <c r="L574" s="177"/>
      <c r="M574" s="125"/>
      <c r="N574" s="125"/>
      <c r="O574" s="189"/>
      <c r="P574" s="157"/>
    </row>
    <row r="575" spans="1:16" ht="15.75" customHeight="1">
      <c r="A575" s="157"/>
      <c r="B575" s="190"/>
      <c r="C575" s="195"/>
      <c r="D575" s="196"/>
      <c r="E575" s="197"/>
      <c r="F575" s="198"/>
      <c r="G575" s="198"/>
      <c r="H575" s="196"/>
      <c r="I575" s="197"/>
      <c r="J575" s="177"/>
      <c r="K575" s="177"/>
      <c r="L575" s="177"/>
      <c r="M575" s="125"/>
      <c r="N575" s="125"/>
      <c r="O575" s="189"/>
      <c r="P575" s="157"/>
    </row>
    <row r="576" spans="1:16" ht="15.75" customHeight="1">
      <c r="A576" s="157"/>
      <c r="B576" s="190"/>
      <c r="C576" s="195"/>
      <c r="D576" s="196"/>
      <c r="E576" s="197"/>
      <c r="F576" s="198"/>
      <c r="G576" s="198"/>
      <c r="H576" s="196"/>
      <c r="I576" s="197"/>
      <c r="J576" s="177"/>
      <c r="K576" s="177"/>
      <c r="L576" s="177"/>
      <c r="M576" s="125"/>
      <c r="N576" s="125"/>
      <c r="O576" s="189"/>
      <c r="P576" s="157"/>
    </row>
    <row r="577" spans="1:16" ht="15.75" customHeight="1">
      <c r="A577" s="157"/>
      <c r="B577" s="190"/>
      <c r="C577" s="195"/>
      <c r="D577" s="196"/>
      <c r="E577" s="197"/>
      <c r="F577" s="198"/>
      <c r="G577" s="198"/>
      <c r="H577" s="196"/>
      <c r="I577" s="197"/>
      <c r="J577" s="177"/>
      <c r="K577" s="177"/>
      <c r="L577" s="177"/>
      <c r="M577" s="125"/>
      <c r="N577" s="125"/>
      <c r="O577" s="189"/>
      <c r="P577" s="157"/>
    </row>
    <row r="578" spans="1:16" ht="15.75" customHeight="1">
      <c r="A578" s="157"/>
      <c r="B578" s="190"/>
      <c r="C578" s="195"/>
      <c r="D578" s="196"/>
      <c r="E578" s="197"/>
      <c r="F578" s="198"/>
      <c r="G578" s="198"/>
      <c r="H578" s="196"/>
      <c r="I578" s="197"/>
      <c r="J578" s="177"/>
      <c r="K578" s="177"/>
      <c r="L578" s="177"/>
      <c r="M578" s="125"/>
      <c r="N578" s="125"/>
      <c r="O578" s="189"/>
      <c r="P578" s="157"/>
    </row>
    <row r="579" spans="1:16" ht="15.75" customHeight="1">
      <c r="A579" s="157"/>
      <c r="B579" s="190"/>
      <c r="C579" s="195"/>
      <c r="D579" s="196"/>
      <c r="E579" s="197"/>
      <c r="F579" s="198"/>
      <c r="G579" s="198"/>
      <c r="H579" s="196"/>
      <c r="I579" s="197"/>
      <c r="J579" s="177"/>
      <c r="K579" s="177"/>
      <c r="L579" s="177"/>
      <c r="M579" s="125"/>
      <c r="N579" s="125"/>
      <c r="O579" s="189"/>
      <c r="P579" s="157"/>
    </row>
    <row r="580" spans="1:16" ht="15.75" customHeight="1">
      <c r="A580" s="157"/>
      <c r="B580" s="190"/>
      <c r="C580" s="195"/>
      <c r="D580" s="196"/>
      <c r="E580" s="197"/>
      <c r="F580" s="198"/>
      <c r="G580" s="198"/>
      <c r="H580" s="196"/>
      <c r="I580" s="197"/>
      <c r="J580" s="177"/>
      <c r="K580" s="177"/>
      <c r="L580" s="177"/>
      <c r="M580" s="125"/>
      <c r="N580" s="125"/>
      <c r="O580" s="189"/>
      <c r="P580" s="157"/>
    </row>
    <row r="581" spans="1:16" ht="15.75" customHeight="1">
      <c r="A581" s="157"/>
      <c r="B581" s="190"/>
      <c r="C581" s="195"/>
      <c r="D581" s="196"/>
      <c r="E581" s="197"/>
      <c r="F581" s="198"/>
      <c r="G581" s="198"/>
      <c r="H581" s="196"/>
      <c r="I581" s="197"/>
      <c r="J581" s="177"/>
      <c r="K581" s="177"/>
      <c r="L581" s="177"/>
      <c r="M581" s="125"/>
      <c r="N581" s="125"/>
      <c r="O581" s="189"/>
      <c r="P581" s="157"/>
    </row>
    <row r="582" spans="1:16" ht="15.75" customHeight="1">
      <c r="A582" s="157"/>
      <c r="B582" s="190"/>
      <c r="C582" s="195"/>
      <c r="D582" s="196"/>
      <c r="E582" s="197"/>
      <c r="F582" s="198"/>
      <c r="G582" s="198"/>
      <c r="H582" s="196"/>
      <c r="I582" s="197"/>
      <c r="J582" s="177"/>
      <c r="K582" s="177"/>
      <c r="L582" s="177"/>
      <c r="M582" s="125"/>
      <c r="N582" s="125"/>
      <c r="O582" s="189"/>
      <c r="P582" s="157"/>
    </row>
    <row r="583" spans="1:16" ht="15.75" customHeight="1">
      <c r="A583" s="157"/>
      <c r="B583" s="190"/>
      <c r="C583" s="195"/>
      <c r="D583" s="196"/>
      <c r="E583" s="197"/>
      <c r="F583" s="198"/>
      <c r="G583" s="198"/>
      <c r="H583" s="196"/>
      <c r="I583" s="197"/>
      <c r="J583" s="177"/>
      <c r="K583" s="177"/>
      <c r="L583" s="177"/>
      <c r="M583" s="125"/>
      <c r="N583" s="125"/>
      <c r="O583" s="189"/>
      <c r="P583" s="157"/>
    </row>
    <row r="584" spans="1:16" ht="15.75" customHeight="1">
      <c r="A584" s="157"/>
      <c r="B584" s="190"/>
      <c r="C584" s="195"/>
      <c r="D584" s="196"/>
      <c r="E584" s="197"/>
      <c r="F584" s="198"/>
      <c r="G584" s="198"/>
      <c r="H584" s="196"/>
      <c r="I584" s="197"/>
      <c r="J584" s="177"/>
      <c r="K584" s="177"/>
      <c r="L584" s="177"/>
      <c r="M584" s="125"/>
      <c r="N584" s="125"/>
      <c r="O584" s="189"/>
      <c r="P584" s="157"/>
    </row>
    <row r="585" spans="1:16" ht="15.75" customHeight="1">
      <c r="A585" s="157"/>
      <c r="B585" s="190"/>
      <c r="C585" s="195"/>
      <c r="D585" s="196"/>
      <c r="E585" s="197"/>
      <c r="F585" s="198"/>
      <c r="G585" s="198"/>
      <c r="H585" s="196"/>
      <c r="I585" s="197"/>
      <c r="J585" s="177"/>
      <c r="K585" s="177"/>
      <c r="L585" s="177"/>
      <c r="M585" s="125"/>
      <c r="N585" s="125"/>
      <c r="O585" s="189"/>
      <c r="P585" s="157"/>
    </row>
    <row r="586" spans="1:16" ht="15.75" customHeight="1">
      <c r="A586" s="157"/>
      <c r="B586" s="190"/>
      <c r="C586" s="195"/>
      <c r="D586" s="196"/>
      <c r="E586" s="197"/>
      <c r="F586" s="198"/>
      <c r="G586" s="198"/>
      <c r="H586" s="196"/>
      <c r="I586" s="197"/>
      <c r="J586" s="177"/>
      <c r="K586" s="177"/>
      <c r="L586" s="177"/>
      <c r="M586" s="125"/>
      <c r="N586" s="125"/>
      <c r="O586" s="189"/>
      <c r="P586" s="157"/>
    </row>
    <row r="587" spans="1:16" ht="15.75" customHeight="1">
      <c r="A587" s="157"/>
      <c r="B587" s="190"/>
      <c r="C587" s="195"/>
      <c r="D587" s="196"/>
      <c r="E587" s="197"/>
      <c r="F587" s="198"/>
      <c r="G587" s="198"/>
      <c r="H587" s="196"/>
      <c r="I587" s="197"/>
      <c r="J587" s="177"/>
      <c r="K587" s="177"/>
      <c r="L587" s="177"/>
      <c r="M587" s="125"/>
      <c r="N587" s="125"/>
      <c r="O587" s="189"/>
      <c r="P587" s="157"/>
    </row>
    <row r="588" spans="1:16" ht="15.75" customHeight="1">
      <c r="A588" s="157"/>
      <c r="B588" s="190"/>
      <c r="C588" s="195"/>
      <c r="D588" s="196"/>
      <c r="E588" s="197"/>
      <c r="F588" s="198"/>
      <c r="G588" s="198"/>
      <c r="H588" s="196"/>
      <c r="I588" s="197"/>
      <c r="J588" s="177"/>
      <c r="K588" s="177"/>
      <c r="L588" s="177"/>
      <c r="M588" s="125"/>
      <c r="N588" s="125"/>
      <c r="O588" s="189"/>
      <c r="P588" s="157"/>
    </row>
    <row r="589" spans="1:16" ht="15.75" customHeight="1">
      <c r="A589" s="157"/>
      <c r="B589" s="190"/>
      <c r="C589" s="195"/>
      <c r="D589" s="196"/>
      <c r="E589" s="197"/>
      <c r="F589" s="198"/>
      <c r="G589" s="198"/>
      <c r="H589" s="196"/>
      <c r="I589" s="197"/>
      <c r="J589" s="177"/>
      <c r="K589" s="177"/>
      <c r="L589" s="177"/>
      <c r="M589" s="125"/>
      <c r="N589" s="125"/>
      <c r="O589" s="189"/>
      <c r="P589" s="157"/>
    </row>
    <row r="590" spans="1:16" ht="15.75" customHeight="1">
      <c r="A590" s="157"/>
      <c r="B590" s="190"/>
      <c r="C590" s="195"/>
      <c r="D590" s="196"/>
      <c r="E590" s="197"/>
      <c r="F590" s="198"/>
      <c r="G590" s="198"/>
      <c r="H590" s="196"/>
      <c r="I590" s="197"/>
      <c r="J590" s="177"/>
      <c r="K590" s="177"/>
      <c r="L590" s="177"/>
      <c r="M590" s="125"/>
      <c r="N590" s="125"/>
      <c r="O590" s="189"/>
      <c r="P590" s="157"/>
    </row>
    <row r="591" spans="1:16" ht="15.75" customHeight="1">
      <c r="A591" s="157"/>
      <c r="B591" s="190"/>
      <c r="C591" s="195"/>
      <c r="D591" s="196"/>
      <c r="E591" s="197"/>
      <c r="F591" s="198"/>
      <c r="G591" s="198"/>
      <c r="H591" s="196"/>
      <c r="I591" s="197"/>
      <c r="J591" s="177"/>
      <c r="K591" s="177"/>
      <c r="L591" s="177"/>
      <c r="M591" s="125"/>
      <c r="N591" s="125"/>
      <c r="O591" s="189"/>
      <c r="P591" s="157"/>
    </row>
    <row r="592" spans="1:16" ht="15.75" customHeight="1">
      <c r="A592" s="157"/>
      <c r="B592" s="190"/>
      <c r="C592" s="195"/>
      <c r="D592" s="196"/>
      <c r="E592" s="197"/>
      <c r="F592" s="198"/>
      <c r="G592" s="198"/>
      <c r="H592" s="196"/>
      <c r="I592" s="197"/>
      <c r="J592" s="177"/>
      <c r="K592" s="177"/>
      <c r="L592" s="177"/>
      <c r="M592" s="125"/>
      <c r="N592" s="125"/>
      <c r="O592" s="189"/>
      <c r="P592" s="157"/>
    </row>
    <row r="593" spans="1:16" ht="15.75" customHeight="1">
      <c r="A593" s="157"/>
      <c r="B593" s="190"/>
      <c r="C593" s="195"/>
      <c r="D593" s="196"/>
      <c r="E593" s="197"/>
      <c r="F593" s="198"/>
      <c r="G593" s="198"/>
      <c r="H593" s="196"/>
      <c r="I593" s="197"/>
      <c r="J593" s="177"/>
      <c r="K593" s="177"/>
      <c r="L593" s="177"/>
      <c r="M593" s="125"/>
      <c r="N593" s="125"/>
      <c r="O593" s="189"/>
      <c r="P593" s="157"/>
    </row>
    <row r="594" spans="1:16" ht="15.75" customHeight="1">
      <c r="A594" s="157"/>
      <c r="B594" s="190"/>
      <c r="C594" s="195"/>
      <c r="D594" s="196"/>
      <c r="E594" s="197"/>
      <c r="F594" s="198"/>
      <c r="G594" s="198"/>
      <c r="H594" s="196"/>
      <c r="I594" s="197"/>
      <c r="J594" s="177"/>
      <c r="K594" s="177"/>
      <c r="L594" s="177"/>
      <c r="M594" s="125"/>
      <c r="N594" s="125"/>
      <c r="O594" s="189"/>
      <c r="P594" s="157"/>
    </row>
    <row r="595" spans="1:16" ht="15.75" customHeight="1">
      <c r="A595" s="157"/>
      <c r="B595" s="190"/>
      <c r="C595" s="195"/>
      <c r="D595" s="196"/>
      <c r="E595" s="197"/>
      <c r="F595" s="198"/>
      <c r="G595" s="198"/>
      <c r="H595" s="196"/>
      <c r="I595" s="197"/>
      <c r="J595" s="177"/>
      <c r="K595" s="177"/>
      <c r="L595" s="177"/>
      <c r="M595" s="125"/>
      <c r="N595" s="125"/>
      <c r="O595" s="189"/>
      <c r="P595" s="157"/>
    </row>
    <row r="596" spans="1:16" ht="15.75" customHeight="1">
      <c r="A596" s="157"/>
      <c r="B596" s="190"/>
      <c r="C596" s="195"/>
      <c r="D596" s="196"/>
      <c r="E596" s="197"/>
      <c r="F596" s="198"/>
      <c r="G596" s="198"/>
      <c r="H596" s="196"/>
      <c r="I596" s="197"/>
      <c r="J596" s="177"/>
      <c r="K596" s="177"/>
      <c r="L596" s="177"/>
      <c r="M596" s="125"/>
      <c r="N596" s="125"/>
      <c r="O596" s="189"/>
      <c r="P596" s="157"/>
    </row>
    <row r="597" spans="1:16" ht="15.75" customHeight="1">
      <c r="A597" s="157"/>
      <c r="B597" s="190"/>
      <c r="C597" s="195"/>
      <c r="D597" s="196"/>
      <c r="E597" s="197"/>
      <c r="F597" s="198"/>
      <c r="G597" s="198"/>
      <c r="H597" s="196"/>
      <c r="I597" s="197"/>
      <c r="J597" s="177"/>
      <c r="K597" s="177"/>
      <c r="L597" s="177"/>
      <c r="M597" s="125"/>
      <c r="N597" s="125"/>
      <c r="O597" s="189"/>
      <c r="P597" s="157"/>
    </row>
    <row r="598" spans="1:16" ht="15.75" customHeight="1">
      <c r="A598" s="157"/>
      <c r="B598" s="190"/>
      <c r="C598" s="195"/>
      <c r="D598" s="196"/>
      <c r="E598" s="197"/>
      <c r="F598" s="198"/>
      <c r="G598" s="198"/>
      <c r="H598" s="196"/>
      <c r="I598" s="197"/>
      <c r="J598" s="177"/>
      <c r="K598" s="177"/>
      <c r="L598" s="177"/>
      <c r="M598" s="125"/>
      <c r="N598" s="125"/>
      <c r="O598" s="189"/>
      <c r="P598" s="157"/>
    </row>
    <row r="599" spans="1:16" ht="15.75" customHeight="1">
      <c r="A599" s="157"/>
      <c r="B599" s="190"/>
      <c r="C599" s="195"/>
      <c r="D599" s="196"/>
      <c r="E599" s="197"/>
      <c r="F599" s="198"/>
      <c r="G599" s="198"/>
      <c r="H599" s="196"/>
      <c r="I599" s="197"/>
      <c r="J599" s="177"/>
      <c r="K599" s="177"/>
      <c r="L599" s="177"/>
      <c r="M599" s="125"/>
      <c r="N599" s="125"/>
      <c r="O599" s="189"/>
      <c r="P599" s="157"/>
    </row>
    <row r="600" spans="1:16" ht="15.75" customHeight="1">
      <c r="A600" s="157"/>
      <c r="B600" s="190"/>
      <c r="C600" s="195"/>
      <c r="D600" s="196"/>
      <c r="E600" s="197"/>
      <c r="F600" s="198"/>
      <c r="G600" s="198"/>
      <c r="H600" s="196"/>
      <c r="I600" s="197"/>
      <c r="J600" s="177"/>
      <c r="K600" s="177"/>
      <c r="L600" s="177"/>
      <c r="M600" s="125"/>
      <c r="N600" s="125"/>
      <c r="O600" s="189"/>
      <c r="P600" s="157"/>
    </row>
    <row r="601" spans="1:16" ht="15.75" customHeight="1">
      <c r="A601" s="157"/>
      <c r="B601" s="190"/>
      <c r="C601" s="195"/>
      <c r="D601" s="196"/>
      <c r="E601" s="197"/>
      <c r="F601" s="198"/>
      <c r="G601" s="198"/>
      <c r="H601" s="196"/>
      <c r="I601" s="197"/>
      <c r="J601" s="177"/>
      <c r="K601" s="177"/>
      <c r="L601" s="177"/>
      <c r="M601" s="125"/>
      <c r="N601" s="125"/>
      <c r="O601" s="189"/>
      <c r="P601" s="157"/>
    </row>
    <row r="602" spans="1:16" ht="15.75" customHeight="1">
      <c r="A602" s="157"/>
      <c r="B602" s="190"/>
      <c r="C602" s="195"/>
      <c r="D602" s="196"/>
      <c r="E602" s="197"/>
      <c r="F602" s="198"/>
      <c r="G602" s="198"/>
      <c r="H602" s="196"/>
      <c r="I602" s="197"/>
      <c r="J602" s="177"/>
      <c r="K602" s="177"/>
      <c r="L602" s="177"/>
      <c r="M602" s="125"/>
      <c r="N602" s="125"/>
      <c r="O602" s="189"/>
      <c r="P602" s="157"/>
    </row>
    <row r="603" spans="1:16" ht="15.75" customHeight="1">
      <c r="A603" s="157"/>
      <c r="B603" s="190"/>
      <c r="C603" s="195"/>
      <c r="D603" s="196"/>
      <c r="E603" s="197"/>
      <c r="F603" s="198"/>
      <c r="G603" s="198"/>
      <c r="H603" s="196"/>
      <c r="I603" s="197"/>
      <c r="J603" s="177"/>
      <c r="K603" s="177"/>
      <c r="L603" s="177"/>
      <c r="M603" s="125"/>
      <c r="N603" s="125"/>
      <c r="O603" s="189"/>
      <c r="P603" s="157"/>
    </row>
    <row r="604" spans="1:16" ht="15.75" customHeight="1">
      <c r="A604" s="157"/>
      <c r="B604" s="190"/>
      <c r="C604" s="195"/>
      <c r="D604" s="196"/>
      <c r="E604" s="197"/>
      <c r="F604" s="198"/>
      <c r="G604" s="198"/>
      <c r="H604" s="196"/>
      <c r="I604" s="197"/>
      <c r="J604" s="177"/>
      <c r="K604" s="177"/>
      <c r="L604" s="177"/>
      <c r="M604" s="125"/>
      <c r="N604" s="125"/>
      <c r="O604" s="189"/>
      <c r="P604" s="157"/>
    </row>
    <row r="605" spans="1:16" ht="15.75" customHeight="1">
      <c r="A605" s="157"/>
      <c r="B605" s="190"/>
      <c r="C605" s="195"/>
      <c r="D605" s="196"/>
      <c r="E605" s="197"/>
      <c r="F605" s="198"/>
      <c r="G605" s="198"/>
      <c r="H605" s="196"/>
      <c r="I605" s="197"/>
      <c r="J605" s="177"/>
      <c r="K605" s="177"/>
      <c r="L605" s="177"/>
      <c r="M605" s="125"/>
      <c r="N605" s="125"/>
      <c r="O605" s="189"/>
      <c r="P605" s="157"/>
    </row>
    <row r="606" spans="1:16" ht="15.75" customHeight="1">
      <c r="A606" s="157"/>
      <c r="B606" s="190"/>
      <c r="C606" s="195"/>
      <c r="D606" s="196"/>
      <c r="E606" s="197"/>
      <c r="F606" s="198"/>
      <c r="G606" s="198"/>
      <c r="H606" s="196"/>
      <c r="I606" s="197"/>
      <c r="J606" s="177"/>
      <c r="K606" s="177"/>
      <c r="L606" s="177"/>
      <c r="M606" s="125"/>
      <c r="N606" s="125"/>
      <c r="O606" s="189"/>
      <c r="P606" s="157"/>
    </row>
    <row r="607" spans="1:16" ht="15.75" customHeight="1">
      <c r="A607" s="157"/>
      <c r="B607" s="190"/>
      <c r="C607" s="195"/>
      <c r="D607" s="196"/>
      <c r="E607" s="197"/>
      <c r="F607" s="198"/>
      <c r="G607" s="198"/>
      <c r="H607" s="196"/>
      <c r="I607" s="197"/>
      <c r="J607" s="177"/>
      <c r="K607" s="177"/>
      <c r="L607" s="177"/>
      <c r="M607" s="125"/>
      <c r="N607" s="125"/>
      <c r="O607" s="189"/>
      <c r="P607" s="157"/>
    </row>
    <row r="608" spans="1:16" ht="15.75" customHeight="1">
      <c r="A608" s="157"/>
      <c r="B608" s="190"/>
      <c r="C608" s="195"/>
      <c r="D608" s="196"/>
      <c r="E608" s="197"/>
      <c r="F608" s="198"/>
      <c r="G608" s="198"/>
      <c r="H608" s="196"/>
      <c r="I608" s="197"/>
      <c r="J608" s="177"/>
      <c r="K608" s="177"/>
      <c r="L608" s="177"/>
      <c r="M608" s="125"/>
      <c r="N608" s="125"/>
      <c r="O608" s="189"/>
      <c r="P608" s="157"/>
    </row>
    <row r="609" spans="1:16" ht="15.75" customHeight="1">
      <c r="A609" s="157"/>
      <c r="B609" s="190"/>
      <c r="C609" s="195"/>
      <c r="D609" s="196"/>
      <c r="E609" s="197"/>
      <c r="F609" s="198"/>
      <c r="G609" s="198"/>
      <c r="H609" s="196"/>
      <c r="I609" s="197"/>
      <c r="J609" s="177"/>
      <c r="K609" s="177"/>
      <c r="L609" s="177"/>
      <c r="M609" s="125"/>
      <c r="N609" s="125"/>
      <c r="O609" s="189"/>
      <c r="P609" s="157"/>
    </row>
    <row r="610" spans="1:16" ht="15.75" customHeight="1">
      <c r="A610" s="157"/>
      <c r="B610" s="190"/>
      <c r="C610" s="195"/>
      <c r="D610" s="196"/>
      <c r="E610" s="197"/>
      <c r="F610" s="198"/>
      <c r="G610" s="198"/>
      <c r="H610" s="196"/>
      <c r="I610" s="197"/>
      <c r="J610" s="177"/>
      <c r="K610" s="177"/>
      <c r="L610" s="177"/>
      <c r="M610" s="125"/>
      <c r="N610" s="125"/>
      <c r="O610" s="189"/>
      <c r="P610" s="157"/>
    </row>
    <row r="611" spans="1:16" ht="15.75" customHeight="1">
      <c r="A611" s="157"/>
      <c r="B611" s="190"/>
      <c r="C611" s="195"/>
      <c r="D611" s="196"/>
      <c r="E611" s="197"/>
      <c r="F611" s="198"/>
      <c r="G611" s="198"/>
      <c r="H611" s="196"/>
      <c r="I611" s="197"/>
      <c r="J611" s="177"/>
      <c r="K611" s="177"/>
      <c r="L611" s="177"/>
      <c r="M611" s="125"/>
      <c r="N611" s="125"/>
      <c r="O611" s="189"/>
      <c r="P611" s="157"/>
    </row>
    <row r="612" spans="1:16" ht="15.75" customHeight="1">
      <c r="A612" s="157"/>
      <c r="B612" s="190"/>
      <c r="C612" s="195"/>
      <c r="D612" s="196"/>
      <c r="E612" s="197"/>
      <c r="F612" s="198"/>
      <c r="G612" s="198"/>
      <c r="H612" s="196"/>
      <c r="I612" s="197"/>
      <c r="J612" s="177"/>
      <c r="K612" s="177"/>
      <c r="L612" s="177"/>
      <c r="M612" s="125"/>
      <c r="N612" s="125"/>
      <c r="O612" s="189"/>
      <c r="P612" s="157"/>
    </row>
    <row r="613" spans="1:16" ht="15.75" customHeight="1">
      <c r="A613" s="157"/>
      <c r="B613" s="190"/>
      <c r="C613" s="195"/>
      <c r="D613" s="196"/>
      <c r="E613" s="197"/>
      <c r="F613" s="198"/>
      <c r="G613" s="198"/>
      <c r="H613" s="196"/>
      <c r="I613" s="197"/>
      <c r="J613" s="177"/>
      <c r="K613" s="177"/>
      <c r="L613" s="177"/>
      <c r="M613" s="125"/>
      <c r="N613" s="125"/>
      <c r="O613" s="189"/>
      <c r="P613" s="157"/>
    </row>
    <row r="614" spans="1:16" ht="15.75" customHeight="1">
      <c r="A614" s="157"/>
      <c r="B614" s="190"/>
      <c r="C614" s="195"/>
      <c r="D614" s="196"/>
      <c r="E614" s="197"/>
      <c r="F614" s="198"/>
      <c r="G614" s="198"/>
      <c r="H614" s="196"/>
      <c r="I614" s="197"/>
      <c r="J614" s="177"/>
      <c r="K614" s="177"/>
      <c r="L614" s="177"/>
      <c r="M614" s="125"/>
      <c r="N614" s="125"/>
      <c r="O614" s="189"/>
      <c r="P614" s="157"/>
    </row>
    <row r="615" spans="1:16" ht="15.75" customHeight="1">
      <c r="A615" s="157"/>
      <c r="B615" s="190"/>
      <c r="C615" s="195"/>
      <c r="D615" s="196"/>
      <c r="E615" s="197"/>
      <c r="F615" s="198"/>
      <c r="G615" s="198"/>
      <c r="H615" s="196"/>
      <c r="I615" s="197"/>
      <c r="J615" s="177"/>
      <c r="K615" s="177"/>
      <c r="L615" s="177"/>
      <c r="M615" s="125"/>
      <c r="N615" s="125"/>
      <c r="O615" s="189"/>
      <c r="P615" s="157"/>
    </row>
    <row r="616" spans="1:16" ht="15.75" customHeight="1">
      <c r="A616" s="157"/>
      <c r="B616" s="190"/>
      <c r="C616" s="195"/>
      <c r="D616" s="196"/>
      <c r="E616" s="197"/>
      <c r="F616" s="198"/>
      <c r="G616" s="198"/>
      <c r="H616" s="196"/>
      <c r="I616" s="197"/>
      <c r="J616" s="177"/>
      <c r="K616" s="177"/>
      <c r="L616" s="177"/>
      <c r="M616" s="125"/>
      <c r="N616" s="125"/>
      <c r="O616" s="189"/>
      <c r="P616" s="157"/>
    </row>
    <row r="617" spans="1:16" ht="15.75" customHeight="1">
      <c r="A617" s="157"/>
      <c r="B617" s="190"/>
      <c r="C617" s="195"/>
      <c r="D617" s="196"/>
      <c r="E617" s="197"/>
      <c r="F617" s="198"/>
      <c r="G617" s="198"/>
      <c r="H617" s="196"/>
      <c r="I617" s="197"/>
      <c r="J617" s="177"/>
      <c r="K617" s="177"/>
      <c r="L617" s="177"/>
      <c r="M617" s="125"/>
      <c r="N617" s="125"/>
      <c r="O617" s="189"/>
      <c r="P617" s="157"/>
    </row>
    <row r="618" spans="1:16" ht="15.75" customHeight="1">
      <c r="A618" s="157"/>
      <c r="B618" s="190"/>
      <c r="C618" s="195"/>
      <c r="D618" s="196"/>
      <c r="E618" s="197"/>
      <c r="F618" s="198"/>
      <c r="G618" s="198"/>
      <c r="H618" s="196"/>
      <c r="I618" s="197"/>
      <c r="J618" s="177"/>
      <c r="K618" s="177"/>
      <c r="L618" s="177"/>
      <c r="M618" s="125"/>
      <c r="N618" s="125"/>
      <c r="O618" s="189"/>
      <c r="P618" s="157"/>
    </row>
    <row r="619" spans="1:16" ht="15.75" customHeight="1">
      <c r="A619" s="157"/>
      <c r="B619" s="190"/>
      <c r="C619" s="195"/>
      <c r="D619" s="196"/>
      <c r="E619" s="197"/>
      <c r="F619" s="198"/>
      <c r="G619" s="198"/>
      <c r="H619" s="196"/>
      <c r="I619" s="197"/>
      <c r="J619" s="177"/>
      <c r="K619" s="177"/>
      <c r="L619" s="177"/>
      <c r="M619" s="125"/>
      <c r="N619" s="125"/>
      <c r="O619" s="189"/>
      <c r="P619" s="157"/>
    </row>
    <row r="620" spans="1:16" ht="15.75" customHeight="1">
      <c r="A620" s="157"/>
      <c r="B620" s="190"/>
      <c r="C620" s="195"/>
      <c r="D620" s="196"/>
      <c r="E620" s="197"/>
      <c r="F620" s="198"/>
      <c r="G620" s="198"/>
      <c r="H620" s="196"/>
      <c r="I620" s="197"/>
      <c r="J620" s="177"/>
      <c r="K620" s="177"/>
      <c r="L620" s="177"/>
      <c r="M620" s="125"/>
      <c r="N620" s="125"/>
      <c r="O620" s="189"/>
      <c r="P620" s="157"/>
    </row>
    <row r="621" spans="1:16" ht="15.75" customHeight="1">
      <c r="A621" s="157"/>
      <c r="B621" s="190"/>
      <c r="C621" s="195"/>
      <c r="D621" s="196"/>
      <c r="E621" s="197"/>
      <c r="F621" s="198"/>
      <c r="G621" s="198"/>
      <c r="H621" s="196"/>
      <c r="I621" s="197"/>
      <c r="J621" s="177"/>
      <c r="K621" s="177"/>
      <c r="L621" s="177"/>
      <c r="M621" s="125"/>
      <c r="N621" s="125"/>
      <c r="O621" s="189"/>
      <c r="P621" s="157"/>
    </row>
    <row r="622" spans="1:16" ht="15.75" customHeight="1">
      <c r="A622" s="157"/>
      <c r="B622" s="190"/>
      <c r="C622" s="195"/>
      <c r="D622" s="196"/>
      <c r="E622" s="197"/>
      <c r="F622" s="198"/>
      <c r="G622" s="198"/>
      <c r="H622" s="196"/>
      <c r="I622" s="197"/>
      <c r="J622" s="177"/>
      <c r="K622" s="177"/>
      <c r="L622" s="177"/>
      <c r="M622" s="125"/>
      <c r="N622" s="125"/>
      <c r="O622" s="189"/>
      <c r="P622" s="157"/>
    </row>
    <row r="623" spans="1:16" ht="15.75" customHeight="1">
      <c r="A623" s="157"/>
      <c r="B623" s="190"/>
      <c r="C623" s="195"/>
      <c r="D623" s="196"/>
      <c r="E623" s="197"/>
      <c r="F623" s="198"/>
      <c r="G623" s="198"/>
      <c r="H623" s="196"/>
      <c r="I623" s="197"/>
      <c r="J623" s="177"/>
      <c r="K623" s="177"/>
      <c r="L623" s="177"/>
      <c r="M623" s="125"/>
      <c r="N623" s="125"/>
      <c r="O623" s="189"/>
      <c r="P623" s="157"/>
    </row>
    <row r="624" spans="1:16" ht="15.75" customHeight="1">
      <c r="A624" s="157"/>
      <c r="B624" s="190"/>
      <c r="C624" s="195"/>
      <c r="D624" s="196"/>
      <c r="E624" s="197"/>
      <c r="F624" s="198"/>
      <c r="G624" s="198"/>
      <c r="H624" s="196"/>
      <c r="I624" s="197"/>
      <c r="J624" s="177"/>
      <c r="K624" s="177"/>
      <c r="L624" s="177"/>
      <c r="M624" s="125"/>
      <c r="N624" s="125"/>
      <c r="O624" s="189"/>
      <c r="P624" s="157"/>
    </row>
    <row r="625" spans="1:16" ht="15.75" customHeight="1">
      <c r="A625" s="157"/>
      <c r="B625" s="190"/>
      <c r="C625" s="195"/>
      <c r="D625" s="196"/>
      <c r="E625" s="197"/>
      <c r="F625" s="198"/>
      <c r="G625" s="198"/>
      <c r="H625" s="196"/>
      <c r="I625" s="197"/>
      <c r="J625" s="177"/>
      <c r="K625" s="177"/>
      <c r="L625" s="177"/>
      <c r="M625" s="125"/>
      <c r="N625" s="125"/>
      <c r="O625" s="189"/>
      <c r="P625" s="157"/>
    </row>
    <row r="626" spans="1:16" ht="15.75" customHeight="1">
      <c r="A626" s="157"/>
      <c r="B626" s="190"/>
      <c r="C626" s="195"/>
      <c r="D626" s="196"/>
      <c r="E626" s="197"/>
      <c r="F626" s="198"/>
      <c r="G626" s="198"/>
      <c r="H626" s="196"/>
      <c r="I626" s="197"/>
      <c r="J626" s="177"/>
      <c r="K626" s="177"/>
      <c r="L626" s="177"/>
      <c r="M626" s="125"/>
      <c r="N626" s="125"/>
      <c r="O626" s="189"/>
      <c r="P626" s="157"/>
    </row>
    <row r="627" spans="1:16" ht="15.75" customHeight="1">
      <c r="A627" s="157"/>
      <c r="B627" s="190"/>
      <c r="C627" s="195"/>
      <c r="D627" s="196"/>
      <c r="E627" s="197"/>
      <c r="F627" s="198"/>
      <c r="G627" s="198"/>
      <c r="H627" s="196"/>
      <c r="I627" s="197"/>
      <c r="J627" s="177"/>
      <c r="K627" s="177"/>
      <c r="L627" s="177"/>
      <c r="M627" s="125"/>
      <c r="N627" s="125"/>
      <c r="O627" s="189"/>
      <c r="P627" s="157"/>
    </row>
    <row r="628" spans="1:16" ht="15.75" customHeight="1">
      <c r="A628" s="157"/>
      <c r="B628" s="190"/>
      <c r="C628" s="195"/>
      <c r="D628" s="196"/>
      <c r="E628" s="197"/>
      <c r="F628" s="198"/>
      <c r="G628" s="198"/>
      <c r="H628" s="196"/>
      <c r="I628" s="197"/>
      <c r="J628" s="177"/>
      <c r="K628" s="177"/>
      <c r="L628" s="177"/>
      <c r="M628" s="125"/>
      <c r="N628" s="125"/>
      <c r="O628" s="189"/>
      <c r="P628" s="157"/>
    </row>
    <row r="629" spans="1:16" ht="15.75" customHeight="1">
      <c r="A629" s="157"/>
      <c r="B629" s="190"/>
      <c r="C629" s="195"/>
      <c r="D629" s="196"/>
      <c r="E629" s="197"/>
      <c r="F629" s="198"/>
      <c r="G629" s="198"/>
      <c r="H629" s="196"/>
      <c r="I629" s="197"/>
      <c r="J629" s="177"/>
      <c r="K629" s="177"/>
      <c r="L629" s="177"/>
      <c r="M629" s="125"/>
      <c r="N629" s="125"/>
      <c r="O629" s="189"/>
      <c r="P629" s="157"/>
    </row>
    <row r="630" spans="1:16" ht="15.75" customHeight="1">
      <c r="A630" s="157"/>
      <c r="B630" s="190"/>
      <c r="C630" s="195"/>
      <c r="D630" s="196"/>
      <c r="E630" s="197"/>
      <c r="F630" s="198"/>
      <c r="G630" s="198"/>
      <c r="H630" s="196"/>
      <c r="I630" s="197"/>
      <c r="J630" s="177"/>
      <c r="K630" s="177"/>
      <c r="L630" s="177"/>
      <c r="M630" s="125"/>
      <c r="N630" s="125"/>
      <c r="O630" s="189"/>
      <c r="P630" s="157"/>
    </row>
    <row r="631" spans="1:16" ht="15.75" customHeight="1">
      <c r="A631" s="157"/>
      <c r="B631" s="190"/>
      <c r="C631" s="195"/>
      <c r="D631" s="196"/>
      <c r="E631" s="197"/>
      <c r="F631" s="198"/>
      <c r="G631" s="198"/>
      <c r="H631" s="196"/>
      <c r="I631" s="197"/>
      <c r="J631" s="177"/>
      <c r="K631" s="177"/>
      <c r="L631" s="177"/>
      <c r="M631" s="125"/>
      <c r="N631" s="125"/>
      <c r="O631" s="189"/>
      <c r="P631" s="157"/>
    </row>
    <row r="632" spans="1:16" ht="15.75" customHeight="1">
      <c r="A632" s="157"/>
      <c r="B632" s="190"/>
      <c r="C632" s="195"/>
      <c r="D632" s="196"/>
      <c r="E632" s="197"/>
      <c r="F632" s="198"/>
      <c r="G632" s="198"/>
      <c r="H632" s="196"/>
      <c r="I632" s="197"/>
      <c r="J632" s="177"/>
      <c r="K632" s="177"/>
      <c r="L632" s="177"/>
      <c r="M632" s="125"/>
      <c r="N632" s="125"/>
      <c r="O632" s="189"/>
      <c r="P632" s="157"/>
    </row>
    <row r="633" spans="1:16" ht="15.75" customHeight="1">
      <c r="A633" s="157"/>
      <c r="B633" s="190"/>
      <c r="C633" s="195"/>
      <c r="D633" s="196"/>
      <c r="E633" s="197"/>
      <c r="F633" s="198"/>
      <c r="G633" s="198"/>
      <c r="H633" s="196"/>
      <c r="I633" s="197"/>
      <c r="J633" s="177"/>
      <c r="K633" s="177"/>
      <c r="L633" s="177"/>
      <c r="M633" s="125"/>
      <c r="N633" s="125"/>
      <c r="O633" s="189"/>
      <c r="P633" s="157"/>
    </row>
    <row r="634" spans="1:16" ht="15.75" customHeight="1">
      <c r="A634" s="157"/>
      <c r="B634" s="190"/>
      <c r="C634" s="195"/>
      <c r="D634" s="196"/>
      <c r="E634" s="197"/>
      <c r="F634" s="198"/>
      <c r="G634" s="198"/>
      <c r="H634" s="196"/>
      <c r="I634" s="197"/>
      <c r="J634" s="177"/>
      <c r="K634" s="177"/>
      <c r="L634" s="177"/>
      <c r="M634" s="125"/>
      <c r="N634" s="125"/>
      <c r="O634" s="189"/>
      <c r="P634" s="157"/>
    </row>
    <row r="635" spans="1:16" ht="15.75" customHeight="1">
      <c r="A635" s="157"/>
      <c r="B635" s="190"/>
      <c r="C635" s="195"/>
      <c r="D635" s="196"/>
      <c r="E635" s="197"/>
      <c r="F635" s="198"/>
      <c r="G635" s="198"/>
      <c r="H635" s="196"/>
      <c r="I635" s="197"/>
      <c r="J635" s="177"/>
      <c r="K635" s="177"/>
      <c r="L635" s="177"/>
      <c r="M635" s="125"/>
      <c r="N635" s="125"/>
      <c r="O635" s="189"/>
      <c r="P635" s="157"/>
    </row>
    <row r="636" spans="1:16" ht="15.75" customHeight="1">
      <c r="A636" s="157"/>
      <c r="B636" s="190"/>
      <c r="C636" s="195"/>
      <c r="D636" s="196"/>
      <c r="E636" s="197"/>
      <c r="F636" s="198"/>
      <c r="G636" s="198"/>
      <c r="H636" s="196"/>
      <c r="I636" s="197"/>
      <c r="J636" s="177"/>
      <c r="K636" s="177"/>
      <c r="L636" s="177"/>
      <c r="M636" s="125"/>
      <c r="N636" s="125"/>
      <c r="O636" s="189"/>
      <c r="P636" s="157"/>
    </row>
    <row r="637" spans="1:16" ht="15.75" customHeight="1">
      <c r="A637" s="157"/>
      <c r="B637" s="190"/>
      <c r="C637" s="195"/>
      <c r="D637" s="196"/>
      <c r="E637" s="197"/>
      <c r="F637" s="198"/>
      <c r="G637" s="198"/>
      <c r="H637" s="196"/>
      <c r="I637" s="197"/>
      <c r="J637" s="177"/>
      <c r="K637" s="177"/>
      <c r="L637" s="177"/>
      <c r="M637" s="125"/>
      <c r="N637" s="125"/>
      <c r="O637" s="189"/>
      <c r="P637" s="157"/>
    </row>
    <row r="638" spans="1:16" ht="15.75" customHeight="1">
      <c r="A638" s="157"/>
      <c r="B638" s="190"/>
      <c r="C638" s="195"/>
      <c r="D638" s="196"/>
      <c r="E638" s="197"/>
      <c r="F638" s="198"/>
      <c r="G638" s="198"/>
      <c r="H638" s="196"/>
      <c r="I638" s="197"/>
      <c r="J638" s="177"/>
      <c r="K638" s="177"/>
      <c r="L638" s="177"/>
      <c r="M638" s="125"/>
      <c r="N638" s="125"/>
      <c r="O638" s="189"/>
      <c r="P638" s="157"/>
    </row>
    <row r="639" spans="1:16" ht="15.75" customHeight="1">
      <c r="A639" s="157"/>
      <c r="B639" s="190"/>
      <c r="C639" s="195"/>
      <c r="D639" s="196"/>
      <c r="E639" s="197"/>
      <c r="F639" s="198"/>
      <c r="G639" s="198"/>
      <c r="H639" s="196"/>
      <c r="I639" s="197"/>
      <c r="J639" s="177"/>
      <c r="K639" s="177"/>
      <c r="L639" s="177"/>
      <c r="M639" s="125"/>
      <c r="N639" s="125"/>
      <c r="O639" s="189"/>
      <c r="P639" s="157"/>
    </row>
    <row r="640" spans="1:16" ht="15.75" customHeight="1">
      <c r="A640" s="157"/>
      <c r="B640" s="190"/>
      <c r="C640" s="195"/>
      <c r="D640" s="196"/>
      <c r="E640" s="197"/>
      <c r="F640" s="198"/>
      <c r="G640" s="198"/>
      <c r="H640" s="196"/>
      <c r="I640" s="197"/>
      <c r="J640" s="177"/>
      <c r="K640" s="177"/>
      <c r="L640" s="177"/>
      <c r="M640" s="125"/>
      <c r="N640" s="125"/>
      <c r="O640" s="189"/>
      <c r="P640" s="157"/>
    </row>
    <row r="641" spans="1:16" ht="15.75" customHeight="1">
      <c r="A641" s="157"/>
      <c r="B641" s="190"/>
      <c r="C641" s="195"/>
      <c r="D641" s="196"/>
      <c r="E641" s="197"/>
      <c r="F641" s="198"/>
      <c r="G641" s="198"/>
      <c r="H641" s="196"/>
      <c r="I641" s="197"/>
      <c r="J641" s="177"/>
      <c r="K641" s="177"/>
      <c r="L641" s="177"/>
      <c r="M641" s="125"/>
      <c r="N641" s="125"/>
      <c r="O641" s="189"/>
      <c r="P641" s="157"/>
    </row>
    <row r="642" spans="1:16" ht="15.75" customHeight="1">
      <c r="A642" s="157"/>
      <c r="B642" s="190"/>
      <c r="C642" s="195"/>
      <c r="D642" s="196"/>
      <c r="E642" s="197"/>
      <c r="F642" s="198"/>
      <c r="G642" s="198"/>
      <c r="H642" s="196"/>
      <c r="I642" s="197"/>
      <c r="J642" s="177"/>
      <c r="K642" s="177"/>
      <c r="L642" s="177"/>
      <c r="M642" s="125"/>
      <c r="N642" s="125"/>
      <c r="O642" s="189"/>
      <c r="P642" s="157"/>
    </row>
    <row r="643" spans="1:16" ht="15.75" customHeight="1">
      <c r="A643" s="157"/>
      <c r="B643" s="190"/>
      <c r="C643" s="195"/>
      <c r="D643" s="196"/>
      <c r="E643" s="197"/>
      <c r="F643" s="198"/>
      <c r="G643" s="198"/>
      <c r="H643" s="196"/>
      <c r="I643" s="197"/>
      <c r="J643" s="177"/>
      <c r="K643" s="177"/>
      <c r="L643" s="177"/>
      <c r="M643" s="125"/>
      <c r="N643" s="125"/>
      <c r="O643" s="189"/>
      <c r="P643" s="157"/>
    </row>
    <row r="644" spans="1:16" ht="15.75" customHeight="1">
      <c r="A644" s="157"/>
      <c r="B644" s="190"/>
      <c r="C644" s="195"/>
      <c r="D644" s="196"/>
      <c r="E644" s="197"/>
      <c r="F644" s="198"/>
      <c r="G644" s="198"/>
      <c r="H644" s="196"/>
      <c r="I644" s="197"/>
      <c r="J644" s="177"/>
      <c r="K644" s="177"/>
      <c r="L644" s="177"/>
      <c r="M644" s="125"/>
      <c r="N644" s="125"/>
      <c r="O644" s="189"/>
      <c r="P644" s="157"/>
    </row>
    <row r="645" spans="1:16" ht="15.75" customHeight="1">
      <c r="A645" s="157"/>
      <c r="B645" s="190"/>
      <c r="C645" s="195"/>
      <c r="D645" s="196"/>
      <c r="E645" s="197"/>
      <c r="F645" s="198"/>
      <c r="G645" s="198"/>
      <c r="H645" s="196"/>
      <c r="I645" s="197"/>
      <c r="J645" s="177"/>
      <c r="K645" s="177"/>
      <c r="L645" s="177"/>
      <c r="M645" s="125"/>
      <c r="N645" s="125"/>
      <c r="O645" s="189"/>
      <c r="P645" s="157"/>
    </row>
    <row r="646" spans="1:16" ht="15.75" customHeight="1">
      <c r="A646" s="157"/>
      <c r="B646" s="190"/>
      <c r="C646" s="195"/>
      <c r="D646" s="196"/>
      <c r="E646" s="197"/>
      <c r="F646" s="198"/>
      <c r="G646" s="198"/>
      <c r="H646" s="196"/>
      <c r="I646" s="197"/>
      <c r="J646" s="177"/>
      <c r="K646" s="177"/>
      <c r="L646" s="177"/>
      <c r="M646" s="125"/>
      <c r="N646" s="125"/>
      <c r="O646" s="189"/>
      <c r="P646" s="157"/>
    </row>
    <row r="647" spans="1:16" ht="15.75" customHeight="1">
      <c r="A647" s="157"/>
      <c r="B647" s="190"/>
      <c r="C647" s="195"/>
      <c r="D647" s="196"/>
      <c r="E647" s="197"/>
      <c r="F647" s="198"/>
      <c r="G647" s="198"/>
      <c r="H647" s="196"/>
      <c r="I647" s="197"/>
      <c r="J647" s="177"/>
      <c r="K647" s="177"/>
      <c r="L647" s="177"/>
      <c r="M647" s="125"/>
      <c r="N647" s="125"/>
      <c r="O647" s="189"/>
      <c r="P647" s="157"/>
    </row>
    <row r="648" spans="1:16" ht="15.75" customHeight="1">
      <c r="A648" s="157"/>
      <c r="B648" s="190"/>
      <c r="C648" s="195"/>
      <c r="D648" s="196"/>
      <c r="E648" s="197"/>
      <c r="F648" s="198"/>
      <c r="G648" s="198"/>
      <c r="H648" s="196"/>
      <c r="I648" s="197"/>
      <c r="J648" s="177"/>
      <c r="K648" s="177"/>
      <c r="L648" s="177"/>
      <c r="M648" s="125"/>
      <c r="N648" s="125"/>
      <c r="O648" s="189"/>
      <c r="P648" s="157"/>
    </row>
    <row r="649" spans="1:16" ht="15.75" customHeight="1">
      <c r="A649" s="157"/>
      <c r="B649" s="190"/>
      <c r="C649" s="195"/>
      <c r="D649" s="196"/>
      <c r="E649" s="197"/>
      <c r="F649" s="198"/>
      <c r="G649" s="198"/>
      <c r="H649" s="196"/>
      <c r="I649" s="197"/>
      <c r="J649" s="177"/>
      <c r="K649" s="177"/>
      <c r="L649" s="177"/>
      <c r="M649" s="125"/>
      <c r="N649" s="125"/>
      <c r="O649" s="189"/>
      <c r="P649" s="157"/>
    </row>
    <row r="650" spans="1:16" ht="15.75" customHeight="1">
      <c r="A650" s="157"/>
      <c r="B650" s="190"/>
      <c r="C650" s="195"/>
      <c r="D650" s="196"/>
      <c r="E650" s="197"/>
      <c r="F650" s="198"/>
      <c r="G650" s="198"/>
      <c r="H650" s="196"/>
      <c r="I650" s="197"/>
      <c r="J650" s="177"/>
      <c r="K650" s="177"/>
      <c r="L650" s="177"/>
      <c r="M650" s="125"/>
      <c r="N650" s="125"/>
      <c r="O650" s="189"/>
      <c r="P650" s="157"/>
    </row>
    <row r="651" spans="1:16" ht="15.75" customHeight="1">
      <c r="A651" s="157"/>
      <c r="B651" s="190"/>
      <c r="C651" s="195"/>
      <c r="D651" s="196"/>
      <c r="E651" s="197"/>
      <c r="F651" s="198"/>
      <c r="G651" s="198"/>
      <c r="H651" s="196"/>
      <c r="I651" s="197"/>
      <c r="J651" s="177"/>
      <c r="K651" s="177"/>
      <c r="L651" s="177"/>
      <c r="M651" s="125"/>
      <c r="N651" s="125"/>
      <c r="O651" s="189"/>
      <c r="P651" s="157"/>
    </row>
    <row r="652" spans="1:16" ht="15.75" customHeight="1">
      <c r="A652" s="157"/>
      <c r="B652" s="190"/>
      <c r="C652" s="195"/>
      <c r="D652" s="196"/>
      <c r="E652" s="197"/>
      <c r="F652" s="198"/>
      <c r="G652" s="198"/>
      <c r="H652" s="196"/>
      <c r="I652" s="197"/>
      <c r="J652" s="177"/>
      <c r="K652" s="177"/>
      <c r="L652" s="177"/>
      <c r="M652" s="125"/>
      <c r="N652" s="125"/>
      <c r="O652" s="189"/>
      <c r="P652" s="157"/>
    </row>
    <row r="653" spans="1:16" ht="15.75" customHeight="1">
      <c r="A653" s="157"/>
      <c r="B653" s="190"/>
      <c r="C653" s="195"/>
      <c r="D653" s="196"/>
      <c r="E653" s="197"/>
      <c r="F653" s="198"/>
      <c r="G653" s="198"/>
      <c r="H653" s="196"/>
      <c r="I653" s="197"/>
      <c r="J653" s="177"/>
      <c r="K653" s="177"/>
      <c r="L653" s="177"/>
      <c r="M653" s="125"/>
      <c r="N653" s="125"/>
      <c r="O653" s="189"/>
      <c r="P653" s="157"/>
    </row>
    <row r="654" spans="1:16" ht="15.75" customHeight="1">
      <c r="A654" s="157"/>
      <c r="B654" s="190"/>
      <c r="C654" s="195"/>
      <c r="D654" s="196"/>
      <c r="E654" s="197"/>
      <c r="F654" s="198"/>
      <c r="G654" s="198"/>
      <c r="H654" s="196"/>
      <c r="I654" s="197"/>
      <c r="J654" s="177"/>
      <c r="K654" s="177"/>
      <c r="L654" s="177"/>
      <c r="M654" s="125"/>
      <c r="N654" s="125"/>
      <c r="O654" s="189"/>
      <c r="P654" s="157"/>
    </row>
    <row r="655" spans="1:16" ht="15.75" customHeight="1">
      <c r="A655" s="157"/>
      <c r="B655" s="190"/>
      <c r="C655" s="195"/>
      <c r="D655" s="196"/>
      <c r="E655" s="197"/>
      <c r="F655" s="198"/>
      <c r="G655" s="198"/>
      <c r="H655" s="196"/>
      <c r="I655" s="197"/>
      <c r="J655" s="177"/>
      <c r="K655" s="177"/>
      <c r="L655" s="177"/>
      <c r="M655" s="125"/>
      <c r="N655" s="125"/>
      <c r="O655" s="189"/>
      <c r="P655" s="157"/>
    </row>
    <row r="656" spans="1:16" ht="15.75" customHeight="1">
      <c r="A656" s="157"/>
      <c r="B656" s="190"/>
      <c r="C656" s="195"/>
      <c r="D656" s="196"/>
      <c r="E656" s="197"/>
      <c r="F656" s="198"/>
      <c r="G656" s="198"/>
      <c r="H656" s="196"/>
      <c r="I656" s="197"/>
      <c r="J656" s="177"/>
      <c r="K656" s="177"/>
      <c r="L656" s="177"/>
      <c r="M656" s="125"/>
      <c r="N656" s="125"/>
      <c r="O656" s="189"/>
      <c r="P656" s="157"/>
    </row>
    <row r="657" spans="1:16" ht="15.75" customHeight="1">
      <c r="A657" s="157"/>
      <c r="B657" s="190"/>
      <c r="C657" s="195"/>
      <c r="D657" s="196"/>
      <c r="E657" s="197"/>
      <c r="F657" s="198"/>
      <c r="G657" s="198"/>
      <c r="H657" s="196"/>
      <c r="I657" s="197"/>
      <c r="J657" s="177"/>
      <c r="K657" s="177"/>
      <c r="L657" s="177"/>
      <c r="M657" s="125"/>
      <c r="N657" s="125"/>
      <c r="O657" s="189"/>
      <c r="P657" s="157"/>
    </row>
    <row r="658" spans="1:16" ht="15.75" customHeight="1">
      <c r="A658" s="157"/>
      <c r="B658" s="190"/>
      <c r="C658" s="195"/>
      <c r="D658" s="196"/>
      <c r="E658" s="197"/>
      <c r="F658" s="198"/>
      <c r="G658" s="198"/>
      <c r="H658" s="196"/>
      <c r="I658" s="197"/>
      <c r="J658" s="177"/>
      <c r="K658" s="177"/>
      <c r="L658" s="177"/>
      <c r="M658" s="125"/>
      <c r="N658" s="125"/>
      <c r="O658" s="189"/>
      <c r="P658" s="157"/>
    </row>
    <row r="659" spans="1:16" ht="15.75" customHeight="1">
      <c r="A659" s="157"/>
      <c r="B659" s="190"/>
      <c r="C659" s="195"/>
      <c r="D659" s="196"/>
      <c r="E659" s="197"/>
      <c r="F659" s="198"/>
      <c r="G659" s="198"/>
      <c r="H659" s="196"/>
      <c r="I659" s="197"/>
      <c r="J659" s="177"/>
      <c r="K659" s="177"/>
      <c r="L659" s="177"/>
      <c r="M659" s="125"/>
      <c r="N659" s="125"/>
      <c r="O659" s="189"/>
      <c r="P659" s="157"/>
    </row>
    <row r="660" spans="1:16" ht="15.75" customHeight="1">
      <c r="A660" s="157"/>
      <c r="B660" s="190"/>
      <c r="C660" s="195"/>
      <c r="D660" s="196"/>
      <c r="E660" s="197"/>
      <c r="F660" s="198"/>
      <c r="G660" s="198"/>
      <c r="H660" s="196"/>
      <c r="I660" s="197"/>
      <c r="J660" s="177"/>
      <c r="K660" s="177"/>
      <c r="L660" s="177"/>
      <c r="M660" s="125"/>
      <c r="N660" s="125"/>
      <c r="O660" s="189"/>
      <c r="P660" s="157"/>
    </row>
    <row r="661" spans="1:16" ht="15.75" customHeight="1">
      <c r="A661" s="157"/>
      <c r="B661" s="190"/>
      <c r="C661" s="195"/>
      <c r="D661" s="196"/>
      <c r="E661" s="197"/>
      <c r="F661" s="198"/>
      <c r="G661" s="198"/>
      <c r="H661" s="196"/>
      <c r="I661" s="197"/>
      <c r="J661" s="177"/>
      <c r="K661" s="177"/>
      <c r="L661" s="177"/>
      <c r="M661" s="125"/>
      <c r="N661" s="125"/>
      <c r="O661" s="189"/>
      <c r="P661" s="157"/>
    </row>
    <row r="662" spans="1:16" ht="15.75" customHeight="1">
      <c r="A662" s="157"/>
      <c r="B662" s="190"/>
      <c r="C662" s="195"/>
      <c r="D662" s="196"/>
      <c r="E662" s="197"/>
      <c r="F662" s="198"/>
      <c r="G662" s="198"/>
      <c r="H662" s="196"/>
      <c r="I662" s="197"/>
      <c r="J662" s="177"/>
      <c r="K662" s="177"/>
      <c r="L662" s="177"/>
      <c r="M662" s="125"/>
      <c r="N662" s="125"/>
      <c r="O662" s="189"/>
      <c r="P662" s="157"/>
    </row>
    <row r="663" spans="1:16" ht="15.75" customHeight="1">
      <c r="A663" s="157"/>
      <c r="B663" s="190"/>
      <c r="C663" s="195"/>
      <c r="D663" s="196"/>
      <c r="E663" s="197"/>
      <c r="F663" s="198"/>
      <c r="G663" s="198"/>
      <c r="H663" s="196"/>
      <c r="I663" s="197"/>
      <c r="J663" s="177"/>
      <c r="K663" s="177"/>
      <c r="L663" s="177"/>
      <c r="M663" s="125"/>
      <c r="N663" s="125"/>
      <c r="O663" s="189"/>
      <c r="P663" s="157"/>
    </row>
    <row r="664" spans="1:16" ht="15.75" customHeight="1">
      <c r="A664" s="157"/>
      <c r="B664" s="190"/>
      <c r="C664" s="195"/>
      <c r="D664" s="196"/>
      <c r="E664" s="197"/>
      <c r="F664" s="198"/>
      <c r="G664" s="198"/>
      <c r="H664" s="196"/>
      <c r="I664" s="197"/>
      <c r="J664" s="177"/>
      <c r="K664" s="177"/>
      <c r="L664" s="177"/>
      <c r="M664" s="125"/>
      <c r="N664" s="125"/>
      <c r="O664" s="189"/>
      <c r="P664" s="157"/>
    </row>
    <row r="665" spans="1:16" ht="15.75" customHeight="1">
      <c r="A665" s="157"/>
      <c r="B665" s="190"/>
      <c r="C665" s="195"/>
      <c r="D665" s="196"/>
      <c r="E665" s="197"/>
      <c r="F665" s="198"/>
      <c r="G665" s="198"/>
      <c r="H665" s="196"/>
      <c r="I665" s="197"/>
      <c r="J665" s="177"/>
      <c r="K665" s="177"/>
      <c r="L665" s="177"/>
      <c r="M665" s="125"/>
      <c r="N665" s="125"/>
      <c r="O665" s="189"/>
      <c r="P665" s="157"/>
    </row>
    <row r="666" spans="1:16" ht="15.75" customHeight="1">
      <c r="A666" s="157"/>
      <c r="B666" s="190"/>
      <c r="C666" s="195"/>
      <c r="D666" s="196"/>
      <c r="E666" s="197"/>
      <c r="F666" s="198"/>
      <c r="G666" s="198"/>
      <c r="H666" s="196"/>
      <c r="I666" s="197"/>
      <c r="J666" s="177"/>
      <c r="K666" s="177"/>
      <c r="L666" s="177"/>
      <c r="M666" s="125"/>
      <c r="N666" s="125"/>
      <c r="O666" s="189"/>
      <c r="P666" s="157"/>
    </row>
    <row r="667" spans="1:16" ht="15.75" customHeight="1">
      <c r="A667" s="157"/>
      <c r="B667" s="190"/>
      <c r="C667" s="195"/>
      <c r="D667" s="196"/>
      <c r="E667" s="197"/>
      <c r="F667" s="198"/>
      <c r="G667" s="198"/>
      <c r="H667" s="196"/>
      <c r="I667" s="197"/>
      <c r="J667" s="177"/>
      <c r="K667" s="177"/>
      <c r="L667" s="177"/>
      <c r="M667" s="125"/>
      <c r="N667" s="125"/>
      <c r="O667" s="189"/>
      <c r="P667" s="157"/>
    </row>
    <row r="668" spans="1:16" ht="15.75" customHeight="1">
      <c r="A668" s="157"/>
      <c r="B668" s="190"/>
      <c r="C668" s="195"/>
      <c r="D668" s="196"/>
      <c r="E668" s="197"/>
      <c r="F668" s="198"/>
      <c r="G668" s="198"/>
      <c r="H668" s="196"/>
      <c r="I668" s="197"/>
      <c r="J668" s="177"/>
      <c r="K668" s="177"/>
      <c r="L668" s="177"/>
      <c r="M668" s="125"/>
      <c r="N668" s="125"/>
      <c r="O668" s="189"/>
      <c r="P668" s="157"/>
    </row>
    <row r="669" spans="1:16" ht="15.75" customHeight="1">
      <c r="A669" s="157"/>
      <c r="B669" s="190"/>
      <c r="C669" s="195"/>
      <c r="D669" s="196"/>
      <c r="E669" s="197"/>
      <c r="F669" s="198"/>
      <c r="G669" s="198"/>
      <c r="H669" s="196"/>
      <c r="I669" s="197"/>
      <c r="J669" s="177"/>
      <c r="K669" s="177"/>
      <c r="L669" s="177"/>
      <c r="M669" s="125"/>
      <c r="N669" s="125"/>
      <c r="O669" s="189"/>
      <c r="P669" s="157"/>
    </row>
    <row r="670" spans="1:16" ht="15.75" customHeight="1">
      <c r="A670" s="157"/>
      <c r="B670" s="190"/>
      <c r="C670" s="195"/>
      <c r="D670" s="196"/>
      <c r="E670" s="197"/>
      <c r="F670" s="198"/>
      <c r="G670" s="198"/>
      <c r="H670" s="196"/>
      <c r="I670" s="197"/>
      <c r="J670" s="177"/>
      <c r="K670" s="177"/>
      <c r="L670" s="177"/>
      <c r="M670" s="125"/>
      <c r="N670" s="125"/>
      <c r="O670" s="189"/>
      <c r="P670" s="157"/>
    </row>
    <row r="671" spans="1:16" ht="15.75" customHeight="1">
      <c r="A671" s="157"/>
      <c r="B671" s="190"/>
      <c r="C671" s="195"/>
      <c r="D671" s="196"/>
      <c r="E671" s="197"/>
      <c r="F671" s="198"/>
      <c r="G671" s="198"/>
      <c r="H671" s="196"/>
      <c r="I671" s="197"/>
      <c r="J671" s="177"/>
      <c r="K671" s="177"/>
      <c r="L671" s="177"/>
      <c r="M671" s="125"/>
      <c r="N671" s="125"/>
      <c r="O671" s="189"/>
      <c r="P671" s="157"/>
    </row>
    <row r="672" spans="1:16" ht="15.75" customHeight="1">
      <c r="A672" s="157"/>
      <c r="B672" s="190"/>
      <c r="C672" s="195"/>
      <c r="D672" s="196"/>
      <c r="E672" s="197"/>
      <c r="F672" s="198"/>
      <c r="G672" s="198"/>
      <c r="H672" s="196"/>
      <c r="I672" s="197"/>
      <c r="J672" s="177"/>
      <c r="K672" s="177"/>
      <c r="L672" s="177"/>
      <c r="M672" s="125"/>
      <c r="N672" s="125"/>
      <c r="O672" s="189"/>
      <c r="P672" s="157"/>
    </row>
    <row r="673" spans="1:16" ht="15.75" customHeight="1">
      <c r="A673" s="157"/>
      <c r="B673" s="190"/>
      <c r="C673" s="195"/>
      <c r="D673" s="196"/>
      <c r="E673" s="197"/>
      <c r="F673" s="198"/>
      <c r="G673" s="198"/>
      <c r="H673" s="196"/>
      <c r="I673" s="197"/>
      <c r="J673" s="177"/>
      <c r="K673" s="177"/>
      <c r="L673" s="177"/>
      <c r="M673" s="125"/>
      <c r="N673" s="125"/>
      <c r="O673" s="189"/>
      <c r="P673" s="157"/>
    </row>
    <row r="674" spans="1:16" ht="15.75" customHeight="1">
      <c r="A674" s="157"/>
      <c r="B674" s="190"/>
      <c r="C674" s="195"/>
      <c r="D674" s="196"/>
      <c r="E674" s="197"/>
      <c r="F674" s="198"/>
      <c r="G674" s="198"/>
      <c r="H674" s="196"/>
      <c r="I674" s="197"/>
      <c r="J674" s="177"/>
      <c r="K674" s="177"/>
      <c r="L674" s="177"/>
      <c r="M674" s="125"/>
      <c r="N674" s="125"/>
      <c r="O674" s="189"/>
      <c r="P674" s="157"/>
    </row>
    <row r="675" spans="1:16" ht="15.75" customHeight="1">
      <c r="A675" s="157"/>
      <c r="B675" s="190"/>
      <c r="C675" s="195"/>
      <c r="D675" s="196"/>
      <c r="E675" s="197"/>
      <c r="F675" s="198"/>
      <c r="G675" s="198"/>
      <c r="H675" s="196"/>
      <c r="I675" s="197"/>
      <c r="J675" s="177"/>
      <c r="K675" s="177"/>
      <c r="L675" s="177"/>
      <c r="M675" s="125"/>
      <c r="N675" s="125"/>
      <c r="O675" s="189"/>
      <c r="P675" s="157"/>
    </row>
    <row r="676" spans="1:16" ht="15.75" customHeight="1">
      <c r="A676" s="157"/>
      <c r="B676" s="190"/>
      <c r="C676" s="195"/>
      <c r="D676" s="196"/>
      <c r="E676" s="197"/>
      <c r="F676" s="198"/>
      <c r="G676" s="198"/>
      <c r="H676" s="196"/>
      <c r="I676" s="197"/>
      <c r="J676" s="177"/>
      <c r="K676" s="177"/>
      <c r="L676" s="177"/>
      <c r="M676" s="125"/>
      <c r="N676" s="125"/>
      <c r="O676" s="189"/>
      <c r="P676" s="157"/>
    </row>
    <row r="677" spans="1:16" ht="15.75" customHeight="1">
      <c r="A677" s="157"/>
      <c r="B677" s="190"/>
      <c r="C677" s="195"/>
      <c r="D677" s="196"/>
      <c r="E677" s="197"/>
      <c r="F677" s="198"/>
      <c r="G677" s="198"/>
      <c r="H677" s="196"/>
      <c r="I677" s="197"/>
      <c r="J677" s="177"/>
      <c r="K677" s="177"/>
      <c r="L677" s="177"/>
      <c r="M677" s="125"/>
      <c r="N677" s="125"/>
      <c r="O677" s="189"/>
      <c r="P677" s="157"/>
    </row>
    <row r="678" spans="1:16" ht="15.75" customHeight="1">
      <c r="A678" s="157"/>
      <c r="B678" s="190"/>
      <c r="C678" s="195"/>
      <c r="D678" s="196"/>
      <c r="E678" s="197"/>
      <c r="F678" s="198"/>
      <c r="G678" s="198"/>
      <c r="H678" s="196"/>
      <c r="I678" s="197"/>
      <c r="J678" s="177"/>
      <c r="K678" s="177"/>
      <c r="L678" s="177"/>
      <c r="M678" s="125"/>
      <c r="N678" s="125"/>
      <c r="O678" s="189"/>
      <c r="P678" s="157"/>
    </row>
    <row r="679" spans="1:16" ht="15.75" customHeight="1">
      <c r="A679" s="157"/>
      <c r="B679" s="190"/>
      <c r="C679" s="195"/>
      <c r="D679" s="196"/>
      <c r="E679" s="197"/>
      <c r="F679" s="198"/>
      <c r="G679" s="198"/>
      <c r="H679" s="196"/>
      <c r="I679" s="197"/>
      <c r="J679" s="177"/>
      <c r="K679" s="177"/>
      <c r="L679" s="177"/>
      <c r="M679" s="125"/>
      <c r="N679" s="125"/>
      <c r="O679" s="189"/>
      <c r="P679" s="157"/>
    </row>
    <row r="680" spans="1:16" ht="15.75" customHeight="1">
      <c r="A680" s="157"/>
      <c r="B680" s="190"/>
      <c r="C680" s="195"/>
      <c r="D680" s="196"/>
      <c r="E680" s="197"/>
      <c r="F680" s="198"/>
      <c r="G680" s="198"/>
      <c r="H680" s="196"/>
      <c r="I680" s="197"/>
      <c r="J680" s="177"/>
      <c r="K680" s="177"/>
      <c r="L680" s="177"/>
      <c r="M680" s="125"/>
      <c r="N680" s="125"/>
      <c r="O680" s="189"/>
      <c r="P680" s="157"/>
    </row>
    <row r="681" spans="1:16" ht="15.75" customHeight="1">
      <c r="A681" s="157"/>
      <c r="B681" s="190"/>
      <c r="C681" s="195"/>
      <c r="D681" s="196"/>
      <c r="E681" s="197"/>
      <c r="F681" s="198"/>
      <c r="G681" s="198"/>
      <c r="H681" s="196"/>
      <c r="I681" s="197"/>
      <c r="J681" s="177"/>
      <c r="K681" s="177"/>
      <c r="L681" s="177"/>
      <c r="M681" s="125"/>
      <c r="N681" s="125"/>
      <c r="O681" s="189"/>
      <c r="P681" s="157"/>
    </row>
    <row r="682" spans="1:16" ht="15.75" customHeight="1">
      <c r="A682" s="157"/>
      <c r="B682" s="190"/>
      <c r="C682" s="195"/>
      <c r="D682" s="196"/>
      <c r="E682" s="197"/>
      <c r="F682" s="198"/>
      <c r="G682" s="198"/>
      <c r="H682" s="196"/>
      <c r="I682" s="197"/>
      <c r="J682" s="177"/>
      <c r="K682" s="177"/>
      <c r="L682" s="177"/>
      <c r="M682" s="125"/>
      <c r="N682" s="125"/>
      <c r="O682" s="189"/>
      <c r="P682" s="157"/>
    </row>
    <row r="683" spans="1:16" ht="15.75" customHeight="1">
      <c r="A683" s="157"/>
      <c r="B683" s="190"/>
      <c r="C683" s="195"/>
      <c r="D683" s="196"/>
      <c r="E683" s="197"/>
      <c r="F683" s="198"/>
      <c r="G683" s="198"/>
      <c r="H683" s="196"/>
      <c r="I683" s="197"/>
      <c r="J683" s="177"/>
      <c r="K683" s="177"/>
      <c r="L683" s="177"/>
      <c r="M683" s="125"/>
      <c r="N683" s="125"/>
      <c r="O683" s="189"/>
      <c r="P683" s="157"/>
    </row>
    <row r="684" spans="1:16" ht="15.75" customHeight="1">
      <c r="A684" s="157"/>
      <c r="B684" s="190"/>
      <c r="C684" s="195"/>
      <c r="D684" s="196"/>
      <c r="E684" s="197"/>
      <c r="F684" s="198"/>
      <c r="G684" s="198"/>
      <c r="H684" s="196"/>
      <c r="I684" s="197"/>
      <c r="J684" s="177"/>
      <c r="K684" s="177"/>
      <c r="L684" s="177"/>
      <c r="M684" s="125"/>
      <c r="N684" s="125"/>
      <c r="O684" s="189"/>
      <c r="P684" s="157"/>
    </row>
    <row r="685" spans="1:16" ht="15.75" customHeight="1">
      <c r="A685" s="157"/>
      <c r="B685" s="190"/>
      <c r="C685" s="195"/>
      <c r="D685" s="196"/>
      <c r="E685" s="197"/>
      <c r="F685" s="198"/>
      <c r="G685" s="198"/>
      <c r="H685" s="196"/>
      <c r="I685" s="197"/>
      <c r="J685" s="177"/>
      <c r="K685" s="177"/>
      <c r="L685" s="177"/>
      <c r="M685" s="125"/>
      <c r="N685" s="125"/>
      <c r="O685" s="189"/>
      <c r="P685" s="157"/>
    </row>
    <row r="686" spans="1:16" ht="15.75" customHeight="1">
      <c r="A686" s="157"/>
      <c r="B686" s="190"/>
      <c r="C686" s="195"/>
      <c r="D686" s="196"/>
      <c r="E686" s="197"/>
      <c r="F686" s="198"/>
      <c r="G686" s="198"/>
      <c r="H686" s="196"/>
      <c r="I686" s="197"/>
      <c r="J686" s="177"/>
      <c r="K686" s="177"/>
      <c r="L686" s="177"/>
      <c r="M686" s="125"/>
      <c r="N686" s="125"/>
      <c r="O686" s="189"/>
      <c r="P686" s="157"/>
    </row>
    <row r="687" spans="1:16" ht="15.75" customHeight="1">
      <c r="A687" s="157"/>
      <c r="B687" s="190"/>
      <c r="C687" s="195"/>
      <c r="D687" s="196"/>
      <c r="E687" s="197"/>
      <c r="F687" s="198"/>
      <c r="G687" s="198"/>
      <c r="H687" s="196"/>
      <c r="I687" s="197"/>
      <c r="J687" s="177"/>
      <c r="K687" s="177"/>
      <c r="L687" s="177"/>
      <c r="M687" s="125"/>
      <c r="N687" s="125"/>
      <c r="O687" s="189"/>
      <c r="P687" s="157"/>
    </row>
    <row r="688" spans="1:16" ht="15.75" customHeight="1">
      <c r="A688" s="157"/>
      <c r="B688" s="190"/>
      <c r="C688" s="195"/>
      <c r="D688" s="196"/>
      <c r="E688" s="197"/>
      <c r="F688" s="198"/>
      <c r="G688" s="198"/>
      <c r="H688" s="196"/>
      <c r="I688" s="197"/>
      <c r="J688" s="177"/>
      <c r="K688" s="177"/>
      <c r="L688" s="177"/>
      <c r="M688" s="125"/>
      <c r="N688" s="125"/>
      <c r="O688" s="189"/>
      <c r="P688" s="157"/>
    </row>
    <row r="689" spans="1:16" ht="15.75" customHeight="1">
      <c r="A689" s="157"/>
      <c r="B689" s="190"/>
      <c r="C689" s="195"/>
      <c r="D689" s="196"/>
      <c r="E689" s="197"/>
      <c r="F689" s="198"/>
      <c r="G689" s="198"/>
      <c r="H689" s="196"/>
      <c r="I689" s="197"/>
      <c r="J689" s="177"/>
      <c r="K689" s="177"/>
      <c r="L689" s="177"/>
      <c r="M689" s="125"/>
      <c r="N689" s="125"/>
      <c r="O689" s="189"/>
      <c r="P689" s="157"/>
    </row>
    <row r="690" spans="1:16" ht="15.75" customHeight="1">
      <c r="A690" s="157"/>
      <c r="B690" s="190"/>
      <c r="C690" s="195"/>
      <c r="D690" s="196"/>
      <c r="E690" s="197"/>
      <c r="F690" s="198"/>
      <c r="G690" s="198"/>
      <c r="H690" s="196"/>
      <c r="I690" s="197"/>
      <c r="J690" s="177"/>
      <c r="K690" s="177"/>
      <c r="L690" s="177"/>
      <c r="M690" s="125"/>
      <c r="N690" s="125"/>
      <c r="O690" s="189"/>
      <c r="P690" s="157"/>
    </row>
    <row r="691" spans="1:16" ht="15.75" customHeight="1">
      <c r="A691" s="157"/>
      <c r="B691" s="190"/>
      <c r="C691" s="195"/>
      <c r="D691" s="196"/>
      <c r="E691" s="197"/>
      <c r="F691" s="198"/>
      <c r="G691" s="198"/>
      <c r="H691" s="196"/>
      <c r="I691" s="197"/>
      <c r="J691" s="177"/>
      <c r="K691" s="177"/>
      <c r="L691" s="177"/>
      <c r="M691" s="125"/>
      <c r="N691" s="125"/>
      <c r="O691" s="189"/>
      <c r="P691" s="157"/>
    </row>
    <row r="692" spans="1:16" ht="15.75" customHeight="1">
      <c r="A692" s="157"/>
      <c r="B692" s="190"/>
      <c r="C692" s="195"/>
      <c r="D692" s="196"/>
      <c r="E692" s="197"/>
      <c r="F692" s="198"/>
      <c r="G692" s="198"/>
      <c r="H692" s="196"/>
      <c r="I692" s="197"/>
      <c r="J692" s="177"/>
      <c r="K692" s="177"/>
      <c r="L692" s="177"/>
      <c r="M692" s="125"/>
      <c r="N692" s="125"/>
      <c r="O692" s="189"/>
      <c r="P692" s="157"/>
    </row>
    <row r="693" spans="1:16" ht="15.75" customHeight="1">
      <c r="A693" s="157"/>
      <c r="B693" s="190"/>
      <c r="C693" s="195"/>
      <c r="D693" s="196"/>
      <c r="E693" s="197"/>
      <c r="F693" s="198"/>
      <c r="G693" s="198"/>
      <c r="H693" s="196"/>
      <c r="I693" s="197"/>
      <c r="J693" s="177"/>
      <c r="K693" s="177"/>
      <c r="L693" s="177"/>
      <c r="M693" s="125"/>
      <c r="N693" s="125"/>
      <c r="O693" s="189"/>
      <c r="P693" s="157"/>
    </row>
    <row r="694" spans="1:16" ht="15.75" customHeight="1">
      <c r="A694" s="157"/>
      <c r="B694" s="190"/>
      <c r="C694" s="195"/>
      <c r="D694" s="196"/>
      <c r="E694" s="197"/>
      <c r="F694" s="198"/>
      <c r="G694" s="198"/>
      <c r="H694" s="196"/>
      <c r="I694" s="197"/>
      <c r="J694" s="177"/>
      <c r="K694" s="177"/>
      <c r="L694" s="177"/>
      <c r="M694" s="125"/>
      <c r="N694" s="125"/>
      <c r="O694" s="189"/>
      <c r="P694" s="157"/>
    </row>
    <row r="695" spans="1:16" ht="15.75" customHeight="1">
      <c r="A695" s="157"/>
      <c r="B695" s="190"/>
      <c r="C695" s="195"/>
      <c r="D695" s="196"/>
      <c r="E695" s="197"/>
      <c r="F695" s="198"/>
      <c r="G695" s="198"/>
      <c r="H695" s="196"/>
      <c r="I695" s="197"/>
      <c r="J695" s="177"/>
      <c r="K695" s="177"/>
      <c r="L695" s="177"/>
      <c r="M695" s="125"/>
      <c r="N695" s="125"/>
      <c r="O695" s="189"/>
      <c r="P695" s="157"/>
    </row>
    <row r="696" spans="1:16" ht="15.75" customHeight="1">
      <c r="A696" s="157"/>
      <c r="B696" s="190"/>
      <c r="C696" s="195"/>
      <c r="D696" s="196"/>
      <c r="E696" s="197"/>
      <c r="F696" s="198"/>
      <c r="G696" s="198"/>
      <c r="H696" s="196"/>
      <c r="I696" s="197"/>
      <c r="J696" s="177"/>
      <c r="K696" s="177"/>
      <c r="L696" s="177"/>
      <c r="M696" s="125"/>
      <c r="N696" s="125"/>
      <c r="O696" s="189"/>
      <c r="P696" s="157"/>
    </row>
    <row r="697" spans="1:16" ht="15.75" customHeight="1">
      <c r="A697" s="157"/>
      <c r="B697" s="190"/>
      <c r="C697" s="195"/>
      <c r="D697" s="196"/>
      <c r="E697" s="197"/>
      <c r="F697" s="198"/>
      <c r="G697" s="198"/>
      <c r="H697" s="196"/>
      <c r="I697" s="197"/>
      <c r="J697" s="177"/>
      <c r="K697" s="177"/>
      <c r="L697" s="177"/>
      <c r="M697" s="125"/>
      <c r="N697" s="125"/>
      <c r="O697" s="189"/>
      <c r="P697" s="157"/>
    </row>
    <row r="698" spans="1:16" ht="15.75" customHeight="1">
      <c r="A698" s="157"/>
      <c r="B698" s="190"/>
      <c r="C698" s="195"/>
      <c r="D698" s="196"/>
      <c r="E698" s="197"/>
      <c r="F698" s="198"/>
      <c r="G698" s="198"/>
      <c r="H698" s="196"/>
      <c r="I698" s="197"/>
      <c r="J698" s="177"/>
      <c r="K698" s="177"/>
      <c r="L698" s="177"/>
      <c r="M698" s="125"/>
      <c r="N698" s="125"/>
      <c r="O698" s="189"/>
      <c r="P698" s="157"/>
    </row>
    <row r="699" spans="1:16" ht="15.75" customHeight="1">
      <c r="A699" s="157"/>
      <c r="B699" s="190"/>
      <c r="C699" s="195"/>
      <c r="D699" s="196"/>
      <c r="E699" s="197"/>
      <c r="F699" s="198"/>
      <c r="G699" s="198"/>
      <c r="H699" s="196"/>
      <c r="I699" s="197"/>
      <c r="J699" s="177"/>
      <c r="K699" s="177"/>
      <c r="L699" s="177"/>
      <c r="M699" s="125"/>
      <c r="N699" s="125"/>
      <c r="O699" s="189"/>
      <c r="P699" s="157"/>
    </row>
    <row r="700" spans="1:16" ht="15.75" customHeight="1">
      <c r="A700" s="157"/>
      <c r="B700" s="190"/>
      <c r="C700" s="195"/>
      <c r="D700" s="196"/>
      <c r="E700" s="197"/>
      <c r="F700" s="198"/>
      <c r="G700" s="198"/>
      <c r="H700" s="196"/>
      <c r="I700" s="197"/>
      <c r="J700" s="177"/>
      <c r="K700" s="177"/>
      <c r="L700" s="177"/>
      <c r="M700" s="125"/>
      <c r="N700" s="125"/>
      <c r="O700" s="189"/>
      <c r="P700" s="157"/>
    </row>
    <row r="701" spans="1:16" ht="15.75" customHeight="1">
      <c r="A701" s="157"/>
      <c r="B701" s="190"/>
      <c r="C701" s="195"/>
      <c r="D701" s="196"/>
      <c r="E701" s="197"/>
      <c r="F701" s="198"/>
      <c r="G701" s="198"/>
      <c r="H701" s="196"/>
      <c r="I701" s="197"/>
      <c r="J701" s="177"/>
      <c r="K701" s="177"/>
      <c r="L701" s="177"/>
      <c r="M701" s="125"/>
      <c r="N701" s="125"/>
      <c r="O701" s="189"/>
      <c r="P701" s="157"/>
    </row>
    <row r="702" spans="1:16" ht="15.75" customHeight="1">
      <c r="A702" s="157"/>
      <c r="B702" s="190"/>
      <c r="C702" s="195"/>
      <c r="D702" s="196"/>
      <c r="E702" s="197"/>
      <c r="F702" s="198"/>
      <c r="G702" s="198"/>
      <c r="H702" s="196"/>
      <c r="I702" s="197"/>
      <c r="J702" s="177"/>
      <c r="K702" s="177"/>
      <c r="L702" s="177"/>
      <c r="M702" s="125"/>
      <c r="N702" s="125"/>
      <c r="O702" s="189"/>
      <c r="P702" s="157"/>
    </row>
    <row r="703" spans="1:16" ht="15.75" customHeight="1">
      <c r="A703" s="157"/>
      <c r="B703" s="190"/>
      <c r="C703" s="195"/>
      <c r="D703" s="196"/>
      <c r="E703" s="197"/>
      <c r="F703" s="198"/>
      <c r="G703" s="198"/>
      <c r="H703" s="196"/>
      <c r="I703" s="197"/>
      <c r="J703" s="177"/>
      <c r="K703" s="177"/>
      <c r="L703" s="177"/>
      <c r="M703" s="125"/>
      <c r="N703" s="125"/>
      <c r="O703" s="189"/>
      <c r="P703" s="157"/>
    </row>
    <row r="704" spans="1:16" ht="15.75" customHeight="1">
      <c r="A704" s="157"/>
      <c r="B704" s="190"/>
      <c r="C704" s="195"/>
      <c r="D704" s="196"/>
      <c r="E704" s="197"/>
      <c r="F704" s="198"/>
      <c r="G704" s="198"/>
      <c r="H704" s="196"/>
      <c r="I704" s="197"/>
      <c r="J704" s="177"/>
      <c r="K704" s="177"/>
      <c r="L704" s="177"/>
      <c r="M704" s="125"/>
      <c r="N704" s="125"/>
      <c r="O704" s="189"/>
      <c r="P704" s="157"/>
    </row>
    <row r="705" spans="1:16" ht="15.75" customHeight="1">
      <c r="A705" s="157"/>
      <c r="B705" s="190"/>
      <c r="C705" s="195"/>
      <c r="D705" s="196"/>
      <c r="E705" s="197"/>
      <c r="F705" s="198"/>
      <c r="G705" s="198"/>
      <c r="H705" s="196"/>
      <c r="I705" s="197"/>
      <c r="J705" s="177"/>
      <c r="K705" s="177"/>
      <c r="L705" s="177"/>
      <c r="M705" s="125"/>
      <c r="N705" s="125"/>
      <c r="O705" s="189"/>
      <c r="P705" s="157"/>
    </row>
    <row r="706" spans="1:16" ht="15.75" customHeight="1">
      <c r="A706" s="157"/>
      <c r="B706" s="190"/>
      <c r="C706" s="195"/>
      <c r="D706" s="196"/>
      <c r="E706" s="197"/>
      <c r="F706" s="198"/>
      <c r="G706" s="198"/>
      <c r="H706" s="196"/>
      <c r="I706" s="197"/>
      <c r="J706" s="177"/>
      <c r="K706" s="177"/>
      <c r="L706" s="177"/>
      <c r="M706" s="125"/>
      <c r="N706" s="125"/>
      <c r="O706" s="189"/>
      <c r="P706" s="157"/>
    </row>
    <row r="707" spans="1:16" ht="15.75" customHeight="1">
      <c r="A707" s="157"/>
      <c r="B707" s="190"/>
      <c r="C707" s="195"/>
      <c r="D707" s="196"/>
      <c r="E707" s="197"/>
      <c r="F707" s="198"/>
      <c r="G707" s="198"/>
      <c r="H707" s="196"/>
      <c r="I707" s="197"/>
      <c r="J707" s="177"/>
      <c r="K707" s="177"/>
      <c r="L707" s="177"/>
      <c r="M707" s="125"/>
      <c r="N707" s="125"/>
      <c r="O707" s="189"/>
      <c r="P707" s="157"/>
    </row>
    <row r="708" spans="1:16" ht="15.75" customHeight="1">
      <c r="A708" s="157"/>
      <c r="B708" s="190"/>
      <c r="C708" s="195"/>
      <c r="D708" s="196"/>
      <c r="E708" s="197"/>
      <c r="F708" s="198"/>
      <c r="G708" s="198"/>
      <c r="H708" s="196"/>
      <c r="I708" s="197"/>
      <c r="J708" s="177"/>
      <c r="K708" s="177"/>
      <c r="L708" s="177"/>
      <c r="M708" s="125"/>
      <c r="N708" s="125"/>
      <c r="O708" s="189"/>
      <c r="P708" s="157"/>
    </row>
    <row r="709" spans="1:16" ht="15.75" customHeight="1">
      <c r="A709" s="157"/>
      <c r="B709" s="190"/>
      <c r="C709" s="195"/>
      <c r="D709" s="196"/>
      <c r="E709" s="197"/>
      <c r="F709" s="198"/>
      <c r="G709" s="198"/>
      <c r="H709" s="196"/>
      <c r="I709" s="197"/>
      <c r="J709" s="177"/>
      <c r="K709" s="177"/>
      <c r="L709" s="177"/>
      <c r="M709" s="125"/>
      <c r="N709" s="125"/>
      <c r="O709" s="189"/>
      <c r="P709" s="157"/>
    </row>
    <row r="710" spans="1:16" ht="15.75" customHeight="1">
      <c r="A710" s="157"/>
      <c r="B710" s="190"/>
      <c r="C710" s="195"/>
      <c r="D710" s="196"/>
      <c r="E710" s="197"/>
      <c r="F710" s="198"/>
      <c r="G710" s="198"/>
      <c r="H710" s="196"/>
      <c r="I710" s="197"/>
      <c r="J710" s="177"/>
      <c r="K710" s="177"/>
      <c r="L710" s="177"/>
      <c r="M710" s="125"/>
      <c r="N710" s="125"/>
      <c r="O710" s="189"/>
      <c r="P710" s="157"/>
    </row>
    <row r="711" spans="1:16" ht="15.75" customHeight="1">
      <c r="A711" s="157"/>
      <c r="B711" s="190"/>
      <c r="C711" s="195"/>
      <c r="D711" s="196"/>
      <c r="E711" s="197"/>
      <c r="F711" s="198"/>
      <c r="G711" s="198"/>
      <c r="H711" s="196"/>
      <c r="I711" s="197"/>
      <c r="J711" s="177"/>
      <c r="K711" s="177"/>
      <c r="L711" s="177"/>
      <c r="M711" s="125"/>
      <c r="N711" s="125"/>
      <c r="O711" s="189"/>
      <c r="P711" s="157"/>
    </row>
    <row r="712" spans="1:16" ht="15.75" customHeight="1">
      <c r="A712" s="157"/>
      <c r="B712" s="190"/>
      <c r="C712" s="195"/>
      <c r="D712" s="196"/>
      <c r="E712" s="197"/>
      <c r="F712" s="198"/>
      <c r="G712" s="198"/>
      <c r="H712" s="196"/>
      <c r="I712" s="197"/>
      <c r="J712" s="177"/>
      <c r="K712" s="177"/>
      <c r="L712" s="177"/>
      <c r="M712" s="125"/>
      <c r="N712" s="125"/>
      <c r="O712" s="189"/>
      <c r="P712" s="157"/>
    </row>
    <row r="713" spans="1:16" ht="15.75" customHeight="1">
      <c r="A713" s="157"/>
      <c r="B713" s="190"/>
      <c r="C713" s="195"/>
      <c r="D713" s="196"/>
      <c r="E713" s="197"/>
      <c r="F713" s="198"/>
      <c r="G713" s="198"/>
      <c r="H713" s="196"/>
      <c r="I713" s="197"/>
      <c r="J713" s="177"/>
      <c r="K713" s="177"/>
      <c r="L713" s="177"/>
      <c r="M713" s="125"/>
      <c r="N713" s="125"/>
      <c r="O713" s="189"/>
      <c r="P713" s="157"/>
    </row>
    <row r="714" spans="1:16" ht="15.75" customHeight="1">
      <c r="A714" s="157"/>
      <c r="B714" s="190"/>
      <c r="C714" s="195"/>
      <c r="D714" s="196"/>
      <c r="E714" s="197"/>
      <c r="F714" s="198"/>
      <c r="G714" s="198"/>
      <c r="H714" s="196"/>
      <c r="I714" s="197"/>
      <c r="J714" s="177"/>
      <c r="K714" s="177"/>
      <c r="L714" s="177"/>
      <c r="M714" s="125"/>
      <c r="N714" s="125"/>
      <c r="O714" s="189"/>
      <c r="P714" s="157"/>
    </row>
    <row r="715" spans="1:16" ht="15.75" customHeight="1">
      <c r="A715" s="157"/>
      <c r="B715" s="190"/>
      <c r="C715" s="195"/>
      <c r="D715" s="196"/>
      <c r="E715" s="197"/>
      <c r="F715" s="198"/>
      <c r="G715" s="198"/>
      <c r="H715" s="196"/>
      <c r="I715" s="197"/>
      <c r="J715" s="177"/>
      <c r="K715" s="177"/>
      <c r="L715" s="177"/>
      <c r="M715" s="125"/>
      <c r="N715" s="125"/>
      <c r="O715" s="189"/>
      <c r="P715" s="157"/>
    </row>
    <row r="716" spans="1:16" ht="15.75" customHeight="1">
      <c r="A716" s="157"/>
      <c r="B716" s="190"/>
      <c r="C716" s="195"/>
      <c r="D716" s="196"/>
      <c r="E716" s="197"/>
      <c r="F716" s="198"/>
      <c r="G716" s="198"/>
      <c r="H716" s="196"/>
      <c r="I716" s="197"/>
      <c r="J716" s="177"/>
      <c r="K716" s="177"/>
      <c r="L716" s="177"/>
      <c r="M716" s="125"/>
      <c r="N716" s="125"/>
      <c r="O716" s="189"/>
      <c r="P716" s="157"/>
    </row>
    <row r="717" spans="1:16" ht="15.75" customHeight="1">
      <c r="A717" s="157"/>
      <c r="B717" s="190"/>
      <c r="C717" s="195"/>
      <c r="D717" s="196"/>
      <c r="E717" s="197"/>
      <c r="F717" s="198"/>
      <c r="G717" s="198"/>
      <c r="H717" s="196"/>
      <c r="I717" s="197"/>
      <c r="J717" s="177"/>
      <c r="K717" s="177"/>
      <c r="L717" s="177"/>
      <c r="M717" s="125"/>
      <c r="N717" s="125"/>
      <c r="O717" s="189"/>
      <c r="P717" s="157"/>
    </row>
    <row r="718" spans="1:16" ht="15.75" customHeight="1">
      <c r="A718" s="157"/>
      <c r="B718" s="190"/>
      <c r="C718" s="195"/>
      <c r="D718" s="196"/>
      <c r="E718" s="197"/>
      <c r="F718" s="198"/>
      <c r="G718" s="198"/>
      <c r="H718" s="196"/>
      <c r="I718" s="197"/>
      <c r="J718" s="177"/>
      <c r="K718" s="177"/>
      <c r="L718" s="177"/>
      <c r="M718" s="125"/>
      <c r="N718" s="125"/>
      <c r="O718" s="189"/>
      <c r="P718" s="157"/>
    </row>
    <row r="719" spans="1:16" ht="15.75" customHeight="1">
      <c r="A719" s="157"/>
      <c r="B719" s="190"/>
      <c r="C719" s="195"/>
      <c r="D719" s="196"/>
      <c r="E719" s="197"/>
      <c r="F719" s="198"/>
      <c r="G719" s="198"/>
      <c r="H719" s="196"/>
      <c r="I719" s="197"/>
      <c r="J719" s="177"/>
      <c r="K719" s="177"/>
      <c r="L719" s="177"/>
      <c r="M719" s="125"/>
      <c r="N719" s="125"/>
      <c r="O719" s="189"/>
      <c r="P719" s="157"/>
    </row>
    <row r="720" spans="1:16" ht="15.75" customHeight="1">
      <c r="A720" s="157"/>
      <c r="B720" s="190"/>
      <c r="C720" s="195"/>
      <c r="D720" s="196"/>
      <c r="E720" s="197"/>
      <c r="F720" s="198"/>
      <c r="G720" s="198"/>
      <c r="H720" s="196"/>
      <c r="I720" s="197"/>
      <c r="J720" s="177"/>
      <c r="K720" s="177"/>
      <c r="L720" s="177"/>
      <c r="M720" s="125"/>
      <c r="N720" s="125"/>
      <c r="O720" s="189"/>
      <c r="P720" s="157"/>
    </row>
    <row r="721" spans="1:16" ht="15.75" customHeight="1">
      <c r="A721" s="157"/>
      <c r="B721" s="190"/>
      <c r="C721" s="195"/>
      <c r="D721" s="196"/>
      <c r="E721" s="197"/>
      <c r="F721" s="198"/>
      <c r="G721" s="198"/>
      <c r="H721" s="196"/>
      <c r="I721" s="197"/>
      <c r="J721" s="177"/>
      <c r="K721" s="177"/>
      <c r="L721" s="177"/>
      <c r="M721" s="125"/>
      <c r="N721" s="125"/>
      <c r="O721" s="189"/>
      <c r="P721" s="157"/>
    </row>
    <row r="722" spans="1:16" ht="15.75" customHeight="1">
      <c r="A722" s="157"/>
      <c r="B722" s="190"/>
      <c r="C722" s="195"/>
      <c r="D722" s="196"/>
      <c r="E722" s="197"/>
      <c r="F722" s="198"/>
      <c r="G722" s="198"/>
      <c r="H722" s="196"/>
      <c r="I722" s="197"/>
      <c r="J722" s="177"/>
      <c r="K722" s="177"/>
      <c r="L722" s="177"/>
      <c r="M722" s="125"/>
      <c r="N722" s="125"/>
      <c r="O722" s="189"/>
      <c r="P722" s="157"/>
    </row>
    <row r="723" spans="1:16" ht="15.75" customHeight="1">
      <c r="A723" s="157"/>
      <c r="B723" s="190"/>
      <c r="C723" s="195"/>
      <c r="D723" s="196"/>
      <c r="E723" s="197"/>
      <c r="F723" s="198"/>
      <c r="G723" s="198"/>
      <c r="H723" s="196"/>
      <c r="I723" s="197"/>
      <c r="J723" s="177"/>
      <c r="K723" s="177"/>
      <c r="L723" s="177"/>
      <c r="M723" s="125"/>
      <c r="N723" s="125"/>
      <c r="O723" s="189"/>
      <c r="P723" s="157"/>
    </row>
    <row r="724" spans="1:16" ht="15.75" customHeight="1">
      <c r="A724" s="157"/>
      <c r="B724" s="190"/>
      <c r="C724" s="195"/>
      <c r="D724" s="196"/>
      <c r="E724" s="197"/>
      <c r="F724" s="198"/>
      <c r="G724" s="198"/>
      <c r="H724" s="196"/>
      <c r="I724" s="197"/>
      <c r="J724" s="177"/>
      <c r="K724" s="177"/>
      <c r="L724" s="177"/>
      <c r="M724" s="125"/>
      <c r="N724" s="125"/>
      <c r="O724" s="189"/>
      <c r="P724" s="157"/>
    </row>
    <row r="725" spans="1:16" ht="15.75" customHeight="1">
      <c r="A725" s="157"/>
      <c r="B725" s="190"/>
      <c r="C725" s="195"/>
      <c r="D725" s="196"/>
      <c r="E725" s="197"/>
      <c r="F725" s="198"/>
      <c r="G725" s="198"/>
      <c r="H725" s="196"/>
      <c r="I725" s="197"/>
      <c r="J725" s="177"/>
      <c r="K725" s="177"/>
      <c r="L725" s="177"/>
      <c r="M725" s="125"/>
      <c r="N725" s="125"/>
      <c r="O725" s="189"/>
      <c r="P725" s="157"/>
    </row>
    <row r="726" spans="1:16" ht="15.75" customHeight="1">
      <c r="A726" s="157"/>
      <c r="B726" s="190"/>
      <c r="C726" s="195"/>
      <c r="D726" s="196"/>
      <c r="E726" s="197"/>
      <c r="F726" s="198"/>
      <c r="G726" s="198"/>
      <c r="H726" s="196"/>
      <c r="I726" s="197"/>
      <c r="J726" s="177"/>
      <c r="K726" s="177"/>
      <c r="L726" s="177"/>
      <c r="M726" s="125"/>
      <c r="N726" s="125"/>
      <c r="O726" s="189"/>
      <c r="P726" s="157"/>
    </row>
    <row r="727" spans="1:16" ht="15.75" customHeight="1">
      <c r="A727" s="157"/>
      <c r="B727" s="190"/>
      <c r="C727" s="195"/>
      <c r="D727" s="196"/>
      <c r="E727" s="197"/>
      <c r="F727" s="198"/>
      <c r="G727" s="198"/>
      <c r="H727" s="196"/>
      <c r="I727" s="197"/>
      <c r="J727" s="177"/>
      <c r="K727" s="177"/>
      <c r="L727" s="177"/>
      <c r="M727" s="125"/>
      <c r="N727" s="125"/>
      <c r="O727" s="189"/>
      <c r="P727" s="157"/>
    </row>
    <row r="728" spans="1:16" ht="15.75" customHeight="1">
      <c r="A728" s="157"/>
      <c r="B728" s="190"/>
      <c r="C728" s="195"/>
      <c r="D728" s="196"/>
      <c r="E728" s="197"/>
      <c r="F728" s="198"/>
      <c r="G728" s="198"/>
      <c r="H728" s="196"/>
      <c r="I728" s="197"/>
      <c r="J728" s="177"/>
      <c r="K728" s="177"/>
      <c r="L728" s="177"/>
      <c r="M728" s="125"/>
      <c r="N728" s="125"/>
      <c r="O728" s="189"/>
      <c r="P728" s="157"/>
    </row>
    <row r="729" spans="1:16" ht="15.75" customHeight="1">
      <c r="A729" s="157"/>
      <c r="B729" s="190"/>
      <c r="C729" s="195"/>
      <c r="D729" s="196"/>
      <c r="E729" s="197"/>
      <c r="F729" s="198"/>
      <c r="G729" s="198"/>
      <c r="H729" s="196"/>
      <c r="I729" s="197"/>
      <c r="J729" s="177"/>
      <c r="K729" s="177"/>
      <c r="L729" s="177"/>
      <c r="M729" s="125"/>
      <c r="N729" s="125"/>
      <c r="O729" s="189"/>
      <c r="P729" s="157"/>
    </row>
    <row r="730" spans="1:16" ht="15.75" customHeight="1">
      <c r="A730" s="157"/>
      <c r="B730" s="190"/>
      <c r="C730" s="195"/>
      <c r="D730" s="196"/>
      <c r="E730" s="197"/>
      <c r="F730" s="198"/>
      <c r="G730" s="198"/>
      <c r="H730" s="196"/>
      <c r="I730" s="197"/>
      <c r="J730" s="177"/>
      <c r="K730" s="177"/>
      <c r="L730" s="177"/>
      <c r="M730" s="125"/>
      <c r="N730" s="125"/>
      <c r="O730" s="189"/>
      <c r="P730" s="157"/>
    </row>
    <row r="731" spans="1:16" ht="15.75" customHeight="1">
      <c r="A731" s="157"/>
      <c r="B731" s="190"/>
      <c r="C731" s="195"/>
      <c r="D731" s="196"/>
      <c r="E731" s="197"/>
      <c r="F731" s="198"/>
      <c r="G731" s="198"/>
      <c r="H731" s="196"/>
      <c r="I731" s="197"/>
      <c r="J731" s="177"/>
      <c r="K731" s="177"/>
      <c r="L731" s="177"/>
      <c r="M731" s="125"/>
      <c r="N731" s="125"/>
      <c r="O731" s="189"/>
      <c r="P731" s="157"/>
    </row>
    <row r="732" spans="1:16" ht="15.75" customHeight="1">
      <c r="A732" s="157"/>
      <c r="B732" s="190"/>
      <c r="C732" s="195"/>
      <c r="D732" s="196"/>
      <c r="E732" s="197"/>
      <c r="F732" s="198"/>
      <c r="G732" s="198"/>
      <c r="H732" s="196"/>
      <c r="I732" s="197"/>
      <c r="J732" s="177"/>
      <c r="K732" s="177"/>
      <c r="L732" s="177"/>
      <c r="M732" s="125"/>
      <c r="N732" s="125"/>
      <c r="O732" s="189"/>
      <c r="P732" s="157"/>
    </row>
    <row r="733" spans="1:16" ht="15.75" customHeight="1">
      <c r="A733" s="157"/>
      <c r="B733" s="190"/>
      <c r="C733" s="195"/>
      <c r="D733" s="196"/>
      <c r="E733" s="197"/>
      <c r="F733" s="198"/>
      <c r="G733" s="198"/>
      <c r="H733" s="196"/>
      <c r="I733" s="197"/>
      <c r="J733" s="177"/>
      <c r="K733" s="177"/>
      <c r="L733" s="177"/>
      <c r="M733" s="125"/>
      <c r="N733" s="125"/>
      <c r="O733" s="189"/>
      <c r="P733" s="157"/>
    </row>
    <row r="734" spans="1:16" ht="15.75" customHeight="1">
      <c r="A734" s="157"/>
      <c r="B734" s="190"/>
      <c r="C734" s="195"/>
      <c r="D734" s="196"/>
      <c r="E734" s="197"/>
      <c r="F734" s="198"/>
      <c r="G734" s="198"/>
      <c r="H734" s="196"/>
      <c r="I734" s="197"/>
      <c r="J734" s="177"/>
      <c r="K734" s="177"/>
      <c r="L734" s="177"/>
      <c r="M734" s="125"/>
      <c r="N734" s="125"/>
      <c r="O734" s="189"/>
      <c r="P734" s="157"/>
    </row>
    <row r="735" spans="1:16" ht="15.75" customHeight="1">
      <c r="A735" s="157"/>
      <c r="B735" s="190"/>
      <c r="C735" s="195"/>
      <c r="D735" s="196"/>
      <c r="E735" s="197"/>
      <c r="F735" s="198"/>
      <c r="G735" s="198"/>
      <c r="H735" s="196"/>
      <c r="I735" s="197"/>
      <c r="J735" s="177"/>
      <c r="K735" s="177"/>
      <c r="L735" s="177"/>
      <c r="M735" s="125"/>
      <c r="N735" s="125"/>
      <c r="O735" s="189"/>
      <c r="P735" s="157"/>
    </row>
    <row r="736" spans="1:16" ht="15.75" customHeight="1">
      <c r="A736" s="157"/>
      <c r="B736" s="190"/>
      <c r="C736" s="195"/>
      <c r="D736" s="196"/>
      <c r="E736" s="197"/>
      <c r="F736" s="198"/>
      <c r="G736" s="198"/>
      <c r="H736" s="196"/>
      <c r="I736" s="197"/>
      <c r="J736" s="177"/>
      <c r="K736" s="177"/>
      <c r="L736" s="177"/>
      <c r="M736" s="125"/>
      <c r="N736" s="125"/>
      <c r="O736" s="189"/>
      <c r="P736" s="157"/>
    </row>
    <row r="737" spans="1:16" ht="15.75" customHeight="1">
      <c r="A737" s="157"/>
      <c r="B737" s="190"/>
      <c r="C737" s="195"/>
      <c r="D737" s="196"/>
      <c r="E737" s="197"/>
      <c r="F737" s="198"/>
      <c r="G737" s="198"/>
      <c r="H737" s="196"/>
      <c r="I737" s="197"/>
      <c r="J737" s="177"/>
      <c r="K737" s="177"/>
      <c r="L737" s="177"/>
      <c r="M737" s="125"/>
      <c r="N737" s="125"/>
      <c r="O737" s="189"/>
      <c r="P737" s="157"/>
    </row>
    <row r="738" spans="1:16" ht="15.75" customHeight="1">
      <c r="A738" s="157"/>
      <c r="B738" s="190"/>
      <c r="C738" s="195"/>
      <c r="D738" s="196"/>
      <c r="E738" s="197"/>
      <c r="F738" s="198"/>
      <c r="G738" s="198"/>
      <c r="H738" s="196"/>
      <c r="I738" s="197"/>
      <c r="J738" s="177"/>
      <c r="K738" s="177"/>
      <c r="L738" s="177"/>
      <c r="M738" s="125"/>
      <c r="N738" s="125"/>
      <c r="O738" s="189"/>
      <c r="P738" s="157"/>
    </row>
    <row r="739" spans="1:16" ht="15.75" customHeight="1">
      <c r="A739" s="157"/>
      <c r="B739" s="190"/>
      <c r="C739" s="195"/>
      <c r="D739" s="196"/>
      <c r="E739" s="197"/>
      <c r="F739" s="198"/>
      <c r="G739" s="198"/>
      <c r="H739" s="196"/>
      <c r="I739" s="197"/>
      <c r="J739" s="177"/>
      <c r="K739" s="177"/>
      <c r="L739" s="177"/>
      <c r="M739" s="125"/>
      <c r="N739" s="125"/>
      <c r="O739" s="189"/>
      <c r="P739" s="157"/>
    </row>
    <row r="740" spans="1:16" ht="15.75" customHeight="1">
      <c r="A740" s="157"/>
      <c r="B740" s="190"/>
      <c r="C740" s="195"/>
      <c r="D740" s="196"/>
      <c r="E740" s="197"/>
      <c r="F740" s="198"/>
      <c r="G740" s="198"/>
      <c r="H740" s="196"/>
      <c r="I740" s="197"/>
      <c r="J740" s="177"/>
      <c r="K740" s="177"/>
      <c r="L740" s="177"/>
      <c r="M740" s="125"/>
      <c r="N740" s="125"/>
      <c r="O740" s="189"/>
      <c r="P740" s="157"/>
    </row>
    <row r="741" spans="1:16" ht="15.75" customHeight="1">
      <c r="A741" s="157"/>
      <c r="B741" s="190"/>
      <c r="C741" s="195"/>
      <c r="D741" s="196"/>
      <c r="E741" s="197"/>
      <c r="F741" s="198"/>
      <c r="G741" s="198"/>
      <c r="H741" s="196"/>
      <c r="I741" s="197"/>
      <c r="J741" s="177"/>
      <c r="K741" s="177"/>
      <c r="L741" s="177"/>
      <c r="M741" s="125"/>
      <c r="N741" s="125"/>
      <c r="O741" s="189"/>
      <c r="P741" s="157"/>
    </row>
    <row r="742" spans="1:16" ht="15.75" customHeight="1">
      <c r="A742" s="157"/>
      <c r="B742" s="190"/>
      <c r="C742" s="195"/>
      <c r="D742" s="196"/>
      <c r="E742" s="197"/>
      <c r="F742" s="198"/>
      <c r="G742" s="198"/>
      <c r="H742" s="196"/>
      <c r="I742" s="197"/>
      <c r="J742" s="177"/>
      <c r="K742" s="177"/>
      <c r="L742" s="177"/>
      <c r="M742" s="125"/>
      <c r="N742" s="125"/>
      <c r="O742" s="189"/>
      <c r="P742" s="157"/>
    </row>
    <row r="743" spans="1:16" ht="15.75" customHeight="1">
      <c r="A743" s="157"/>
      <c r="B743" s="190"/>
      <c r="C743" s="195"/>
      <c r="D743" s="196"/>
      <c r="E743" s="197"/>
      <c r="F743" s="198"/>
      <c r="G743" s="198"/>
      <c r="H743" s="196"/>
      <c r="I743" s="197"/>
      <c r="J743" s="177"/>
      <c r="K743" s="177"/>
      <c r="L743" s="177"/>
      <c r="M743" s="125"/>
      <c r="N743" s="125"/>
      <c r="O743" s="189"/>
      <c r="P743" s="157"/>
    </row>
    <row r="744" spans="1:16" ht="15.75" customHeight="1">
      <c r="A744" s="157"/>
      <c r="B744" s="190"/>
      <c r="C744" s="195"/>
      <c r="D744" s="196"/>
      <c r="E744" s="197"/>
      <c r="F744" s="198"/>
      <c r="G744" s="198"/>
      <c r="H744" s="196"/>
      <c r="I744" s="197"/>
      <c r="J744" s="177"/>
      <c r="K744" s="177"/>
      <c r="L744" s="177"/>
      <c r="M744" s="125"/>
      <c r="N744" s="125"/>
      <c r="O744" s="189"/>
      <c r="P744" s="157"/>
    </row>
    <row r="745" spans="1:16" ht="15.75" customHeight="1">
      <c r="A745" s="157"/>
      <c r="B745" s="190"/>
      <c r="C745" s="195"/>
      <c r="D745" s="196"/>
      <c r="E745" s="197"/>
      <c r="F745" s="198"/>
      <c r="G745" s="198"/>
      <c r="H745" s="196"/>
      <c r="I745" s="197"/>
      <c r="J745" s="177"/>
      <c r="K745" s="177"/>
      <c r="L745" s="177"/>
      <c r="M745" s="125"/>
      <c r="N745" s="125"/>
      <c r="O745" s="189"/>
      <c r="P745" s="157"/>
    </row>
    <row r="746" spans="1:16" ht="15.75" customHeight="1">
      <c r="A746" s="157"/>
      <c r="B746" s="190"/>
      <c r="C746" s="195"/>
      <c r="D746" s="196"/>
      <c r="E746" s="197"/>
      <c r="F746" s="198"/>
      <c r="G746" s="198"/>
      <c r="H746" s="196"/>
      <c r="I746" s="197"/>
      <c r="J746" s="177"/>
      <c r="K746" s="177"/>
      <c r="L746" s="177"/>
      <c r="M746" s="125"/>
      <c r="N746" s="125"/>
      <c r="O746" s="189"/>
      <c r="P746" s="157"/>
    </row>
    <row r="747" spans="1:16" ht="15.75" customHeight="1">
      <c r="A747" s="157"/>
      <c r="B747" s="190"/>
      <c r="C747" s="195"/>
      <c r="D747" s="196"/>
      <c r="E747" s="197"/>
      <c r="F747" s="198"/>
      <c r="G747" s="198"/>
      <c r="H747" s="196"/>
      <c r="I747" s="197"/>
      <c r="J747" s="177"/>
      <c r="K747" s="177"/>
      <c r="L747" s="177"/>
      <c r="M747" s="125"/>
      <c r="N747" s="125"/>
      <c r="O747" s="189"/>
      <c r="P747" s="157"/>
    </row>
    <row r="748" spans="1:16" ht="15.75" customHeight="1">
      <c r="A748" s="157"/>
      <c r="B748" s="190"/>
      <c r="C748" s="195"/>
      <c r="D748" s="196"/>
      <c r="E748" s="197"/>
      <c r="F748" s="198"/>
      <c r="G748" s="198"/>
      <c r="H748" s="196"/>
      <c r="I748" s="197"/>
      <c r="J748" s="177"/>
      <c r="K748" s="177"/>
      <c r="L748" s="177"/>
      <c r="M748" s="125"/>
      <c r="N748" s="125"/>
      <c r="O748" s="189"/>
      <c r="P748" s="157"/>
    </row>
    <row r="749" spans="1:16" ht="15.75" customHeight="1">
      <c r="A749" s="157"/>
      <c r="B749" s="190"/>
      <c r="C749" s="195"/>
      <c r="D749" s="196"/>
      <c r="E749" s="197"/>
      <c r="F749" s="198"/>
      <c r="G749" s="198"/>
      <c r="H749" s="196"/>
      <c r="I749" s="197"/>
      <c r="J749" s="177"/>
      <c r="K749" s="177"/>
      <c r="L749" s="177"/>
      <c r="M749" s="125"/>
      <c r="N749" s="125"/>
      <c r="O749" s="189"/>
      <c r="P749" s="157"/>
    </row>
    <row r="750" spans="1:16" ht="15.75" customHeight="1">
      <c r="A750" s="157"/>
      <c r="B750" s="190"/>
      <c r="C750" s="195"/>
      <c r="D750" s="196"/>
      <c r="E750" s="197"/>
      <c r="F750" s="198"/>
      <c r="G750" s="198"/>
      <c r="H750" s="196"/>
      <c r="I750" s="197"/>
      <c r="J750" s="177"/>
      <c r="K750" s="177"/>
      <c r="L750" s="177"/>
      <c r="M750" s="125"/>
      <c r="N750" s="125"/>
      <c r="O750" s="189"/>
      <c r="P750" s="157"/>
    </row>
    <row r="751" spans="1:16" ht="15.75" customHeight="1">
      <c r="A751" s="157"/>
      <c r="B751" s="190"/>
      <c r="C751" s="195"/>
      <c r="D751" s="196"/>
      <c r="E751" s="197"/>
      <c r="F751" s="198"/>
      <c r="G751" s="198"/>
      <c r="H751" s="196"/>
      <c r="I751" s="197"/>
      <c r="J751" s="177"/>
      <c r="K751" s="177"/>
      <c r="L751" s="177"/>
      <c r="M751" s="125"/>
      <c r="N751" s="125"/>
      <c r="O751" s="189"/>
      <c r="P751" s="157"/>
    </row>
    <row r="752" spans="1:16" ht="15.75" customHeight="1">
      <c r="A752" s="157"/>
      <c r="B752" s="190"/>
      <c r="C752" s="195"/>
      <c r="D752" s="196"/>
      <c r="E752" s="197"/>
      <c r="F752" s="198"/>
      <c r="G752" s="198"/>
      <c r="H752" s="196"/>
      <c r="I752" s="197"/>
      <c r="J752" s="177"/>
      <c r="K752" s="177"/>
      <c r="L752" s="177"/>
      <c r="M752" s="125"/>
      <c r="N752" s="125"/>
      <c r="O752" s="189"/>
      <c r="P752" s="157"/>
    </row>
    <row r="753" spans="1:16" ht="15.75" customHeight="1">
      <c r="A753" s="157"/>
      <c r="B753" s="190"/>
      <c r="C753" s="195"/>
      <c r="D753" s="196"/>
      <c r="E753" s="197"/>
      <c r="F753" s="198"/>
      <c r="G753" s="198"/>
      <c r="H753" s="196"/>
      <c r="I753" s="197"/>
      <c r="J753" s="177"/>
      <c r="K753" s="177"/>
      <c r="L753" s="177"/>
      <c r="M753" s="125"/>
      <c r="N753" s="125"/>
      <c r="O753" s="189"/>
      <c r="P753" s="157"/>
    </row>
    <row r="754" spans="1:16" ht="15.75" customHeight="1">
      <c r="A754" s="157"/>
      <c r="B754" s="190"/>
      <c r="C754" s="195"/>
      <c r="D754" s="196"/>
      <c r="E754" s="197"/>
      <c r="F754" s="198"/>
      <c r="G754" s="198"/>
      <c r="H754" s="196"/>
      <c r="I754" s="197"/>
      <c r="J754" s="177"/>
      <c r="K754" s="177"/>
      <c r="L754" s="177"/>
      <c r="M754" s="125"/>
      <c r="N754" s="125"/>
      <c r="O754" s="189"/>
      <c r="P754" s="157"/>
    </row>
    <row r="755" spans="1:16" ht="15.75" customHeight="1">
      <c r="A755" s="157"/>
      <c r="B755" s="190"/>
      <c r="C755" s="195"/>
      <c r="D755" s="196"/>
      <c r="E755" s="197"/>
      <c r="F755" s="198"/>
      <c r="G755" s="198"/>
      <c r="H755" s="196"/>
      <c r="I755" s="197"/>
      <c r="J755" s="177"/>
      <c r="K755" s="177"/>
      <c r="L755" s="177"/>
      <c r="M755" s="125"/>
      <c r="N755" s="125"/>
      <c r="O755" s="189"/>
      <c r="P755" s="157"/>
    </row>
    <row r="756" spans="1:16" ht="15.75" customHeight="1">
      <c r="A756" s="157"/>
      <c r="B756" s="190"/>
      <c r="C756" s="195"/>
      <c r="D756" s="196"/>
      <c r="E756" s="197"/>
      <c r="F756" s="198"/>
      <c r="G756" s="198"/>
      <c r="H756" s="196"/>
      <c r="I756" s="197"/>
      <c r="J756" s="177"/>
      <c r="K756" s="177"/>
      <c r="L756" s="177"/>
      <c r="M756" s="125"/>
      <c r="N756" s="125"/>
      <c r="O756" s="189"/>
      <c r="P756" s="157"/>
    </row>
    <row r="757" spans="1:16" ht="15.75" customHeight="1">
      <c r="A757" s="157"/>
      <c r="B757" s="190"/>
      <c r="C757" s="195"/>
      <c r="D757" s="196"/>
      <c r="E757" s="197"/>
      <c r="F757" s="198"/>
      <c r="G757" s="198"/>
      <c r="H757" s="196"/>
      <c r="I757" s="197"/>
      <c r="J757" s="177"/>
      <c r="K757" s="177"/>
      <c r="L757" s="177"/>
      <c r="M757" s="125"/>
      <c r="N757" s="125"/>
      <c r="O757" s="189"/>
      <c r="P757" s="157"/>
    </row>
    <row r="758" spans="1:16" ht="15.75" customHeight="1">
      <c r="A758" s="157"/>
      <c r="B758" s="190"/>
      <c r="C758" s="195"/>
      <c r="D758" s="196"/>
      <c r="E758" s="197"/>
      <c r="F758" s="198"/>
      <c r="G758" s="198"/>
      <c r="H758" s="196"/>
      <c r="I758" s="197"/>
      <c r="J758" s="177"/>
      <c r="K758" s="177"/>
      <c r="L758" s="177"/>
      <c r="M758" s="125"/>
      <c r="N758" s="125"/>
      <c r="O758" s="189"/>
      <c r="P758" s="157"/>
    </row>
    <row r="759" spans="1:16" ht="15.75" customHeight="1">
      <c r="A759" s="157"/>
      <c r="B759" s="190"/>
      <c r="C759" s="195"/>
      <c r="D759" s="196"/>
      <c r="E759" s="197"/>
      <c r="F759" s="198"/>
      <c r="G759" s="198"/>
      <c r="H759" s="196"/>
      <c r="I759" s="197"/>
      <c r="J759" s="177"/>
      <c r="K759" s="177"/>
      <c r="L759" s="177"/>
      <c r="M759" s="125"/>
      <c r="N759" s="125"/>
      <c r="O759" s="189"/>
      <c r="P759" s="157"/>
    </row>
    <row r="760" spans="1:16" ht="15.75" customHeight="1">
      <c r="A760" s="157"/>
      <c r="B760" s="190"/>
      <c r="C760" s="195"/>
      <c r="D760" s="196"/>
      <c r="E760" s="197"/>
      <c r="F760" s="198"/>
      <c r="G760" s="198"/>
      <c r="H760" s="196"/>
      <c r="I760" s="197"/>
      <c r="J760" s="177"/>
      <c r="K760" s="177"/>
      <c r="L760" s="177"/>
      <c r="M760" s="125"/>
      <c r="N760" s="125"/>
      <c r="O760" s="189"/>
      <c r="P760" s="157"/>
    </row>
    <row r="761" spans="1:16" ht="15.75" customHeight="1">
      <c r="A761" s="157"/>
      <c r="B761" s="190"/>
      <c r="C761" s="195"/>
      <c r="D761" s="196"/>
      <c r="E761" s="197"/>
      <c r="F761" s="198"/>
      <c r="G761" s="198"/>
      <c r="H761" s="196"/>
      <c r="I761" s="197"/>
      <c r="J761" s="177"/>
      <c r="K761" s="177"/>
      <c r="L761" s="177"/>
      <c r="M761" s="125"/>
      <c r="N761" s="125"/>
      <c r="O761" s="189"/>
      <c r="P761" s="157"/>
    </row>
    <row r="762" spans="1:16" ht="15.75" customHeight="1">
      <c r="A762" s="157"/>
      <c r="B762" s="190"/>
      <c r="C762" s="195"/>
      <c r="D762" s="196"/>
      <c r="E762" s="197"/>
      <c r="F762" s="198"/>
      <c r="G762" s="198"/>
      <c r="H762" s="196"/>
      <c r="I762" s="197"/>
      <c r="J762" s="177"/>
      <c r="K762" s="177"/>
      <c r="L762" s="177"/>
      <c r="M762" s="125"/>
      <c r="N762" s="125"/>
      <c r="O762" s="189"/>
      <c r="P762" s="157"/>
    </row>
    <row r="763" spans="1:16" ht="15.75" customHeight="1">
      <c r="A763" s="157"/>
      <c r="B763" s="190"/>
      <c r="C763" s="195"/>
      <c r="D763" s="196"/>
      <c r="E763" s="197"/>
      <c r="F763" s="198"/>
      <c r="G763" s="198"/>
      <c r="H763" s="196"/>
      <c r="I763" s="197"/>
      <c r="J763" s="177"/>
      <c r="K763" s="177"/>
      <c r="L763" s="177"/>
      <c r="M763" s="125"/>
      <c r="N763" s="125"/>
      <c r="O763" s="189"/>
      <c r="P763" s="157"/>
    </row>
    <row r="764" spans="1:16" ht="15.75" customHeight="1">
      <c r="A764" s="157"/>
      <c r="B764" s="190"/>
      <c r="C764" s="195"/>
      <c r="D764" s="196"/>
      <c r="E764" s="197"/>
      <c r="F764" s="198"/>
      <c r="G764" s="198"/>
      <c r="H764" s="196"/>
      <c r="I764" s="197"/>
      <c r="J764" s="177"/>
      <c r="K764" s="177"/>
      <c r="L764" s="177"/>
      <c r="M764" s="125"/>
      <c r="N764" s="125"/>
      <c r="O764" s="189"/>
      <c r="P764" s="157"/>
    </row>
    <row r="765" spans="1:16" ht="15.75" customHeight="1">
      <c r="A765" s="157"/>
      <c r="B765" s="190"/>
      <c r="C765" s="195"/>
      <c r="D765" s="196"/>
      <c r="E765" s="197"/>
      <c r="F765" s="198"/>
      <c r="G765" s="198"/>
      <c r="H765" s="196"/>
      <c r="I765" s="197"/>
      <c r="J765" s="177"/>
      <c r="K765" s="177"/>
      <c r="L765" s="177"/>
      <c r="M765" s="125"/>
      <c r="N765" s="125"/>
      <c r="O765" s="189"/>
      <c r="P765" s="157"/>
    </row>
    <row r="766" spans="1:16" ht="15.75" customHeight="1">
      <c r="A766" s="157"/>
      <c r="B766" s="190"/>
      <c r="C766" s="195"/>
      <c r="D766" s="196"/>
      <c r="E766" s="197"/>
      <c r="F766" s="198"/>
      <c r="G766" s="198"/>
      <c r="H766" s="196"/>
      <c r="I766" s="197"/>
      <c r="J766" s="177"/>
      <c r="K766" s="177"/>
      <c r="L766" s="177"/>
      <c r="M766" s="125"/>
      <c r="N766" s="125"/>
      <c r="O766" s="189"/>
      <c r="P766" s="157"/>
    </row>
    <row r="767" spans="1:16" ht="15.75" customHeight="1">
      <c r="A767" s="157"/>
      <c r="B767" s="190"/>
      <c r="C767" s="195"/>
      <c r="D767" s="196"/>
      <c r="E767" s="197"/>
      <c r="F767" s="198"/>
      <c r="G767" s="198"/>
      <c r="H767" s="196"/>
      <c r="I767" s="197"/>
      <c r="J767" s="177"/>
      <c r="K767" s="177"/>
      <c r="L767" s="177"/>
      <c r="M767" s="125"/>
      <c r="N767" s="125"/>
      <c r="O767" s="189"/>
      <c r="P767" s="157"/>
    </row>
    <row r="768" spans="1:16" ht="15.75" customHeight="1">
      <c r="A768" s="157"/>
      <c r="B768" s="190"/>
      <c r="C768" s="195"/>
      <c r="D768" s="196"/>
      <c r="E768" s="197"/>
      <c r="F768" s="198"/>
      <c r="G768" s="198"/>
      <c r="H768" s="196"/>
      <c r="I768" s="197"/>
      <c r="J768" s="177"/>
      <c r="K768" s="177"/>
      <c r="L768" s="177"/>
      <c r="M768" s="125"/>
      <c r="N768" s="125"/>
      <c r="O768" s="189"/>
      <c r="P768" s="157"/>
    </row>
    <row r="769" spans="1:16" ht="15.75" customHeight="1">
      <c r="A769" s="157"/>
      <c r="B769" s="190"/>
      <c r="C769" s="195"/>
      <c r="D769" s="196"/>
      <c r="E769" s="197"/>
      <c r="F769" s="198"/>
      <c r="G769" s="198"/>
      <c r="H769" s="196"/>
      <c r="I769" s="197"/>
      <c r="J769" s="177"/>
      <c r="K769" s="177"/>
      <c r="L769" s="177"/>
      <c r="M769" s="125"/>
      <c r="N769" s="125"/>
      <c r="O769" s="189"/>
      <c r="P769" s="157"/>
    </row>
    <row r="770" spans="1:16" ht="15.75" customHeight="1">
      <c r="A770" s="157"/>
      <c r="B770" s="190"/>
      <c r="C770" s="195"/>
      <c r="D770" s="196"/>
      <c r="E770" s="197"/>
      <c r="F770" s="198"/>
      <c r="G770" s="198"/>
      <c r="H770" s="196"/>
      <c r="I770" s="197"/>
      <c r="J770" s="177"/>
      <c r="K770" s="177"/>
      <c r="L770" s="177"/>
      <c r="M770" s="125"/>
      <c r="N770" s="125"/>
      <c r="O770" s="189"/>
      <c r="P770" s="157"/>
    </row>
    <row r="771" spans="1:16" ht="15.75" customHeight="1">
      <c r="A771" s="157"/>
      <c r="B771" s="190"/>
      <c r="C771" s="195"/>
      <c r="D771" s="196"/>
      <c r="E771" s="197"/>
      <c r="F771" s="198"/>
      <c r="G771" s="198"/>
      <c r="H771" s="196"/>
      <c r="I771" s="197"/>
      <c r="J771" s="177"/>
      <c r="K771" s="177"/>
      <c r="L771" s="177"/>
      <c r="M771" s="125"/>
      <c r="N771" s="125"/>
      <c r="O771" s="189"/>
      <c r="P771" s="157"/>
    </row>
    <row r="772" spans="1:16" ht="15.75" customHeight="1">
      <c r="A772" s="157"/>
      <c r="B772" s="190"/>
      <c r="C772" s="195"/>
      <c r="D772" s="196"/>
      <c r="E772" s="197"/>
      <c r="F772" s="198"/>
      <c r="G772" s="198"/>
      <c r="H772" s="196"/>
      <c r="I772" s="197"/>
      <c r="J772" s="177"/>
      <c r="K772" s="177"/>
      <c r="L772" s="177"/>
      <c r="M772" s="125"/>
      <c r="N772" s="125"/>
      <c r="O772" s="189"/>
      <c r="P772" s="157"/>
    </row>
    <row r="773" spans="1:16" ht="15.75" customHeight="1">
      <c r="A773" s="157"/>
      <c r="B773" s="190"/>
      <c r="C773" s="195"/>
      <c r="D773" s="196"/>
      <c r="E773" s="197"/>
      <c r="F773" s="198"/>
      <c r="G773" s="198"/>
      <c r="H773" s="196"/>
      <c r="I773" s="197"/>
      <c r="J773" s="177"/>
      <c r="K773" s="177"/>
      <c r="L773" s="177"/>
      <c r="M773" s="125"/>
      <c r="N773" s="125"/>
      <c r="O773" s="189"/>
      <c r="P773" s="157"/>
    </row>
    <row r="774" spans="1:16" ht="15.75" customHeight="1">
      <c r="A774" s="157"/>
      <c r="B774" s="190"/>
      <c r="C774" s="195"/>
      <c r="D774" s="196"/>
      <c r="E774" s="197"/>
      <c r="F774" s="198"/>
      <c r="G774" s="198"/>
      <c r="H774" s="196"/>
      <c r="I774" s="197"/>
      <c r="J774" s="177"/>
      <c r="K774" s="177"/>
      <c r="L774" s="177"/>
      <c r="M774" s="125"/>
      <c r="N774" s="125"/>
      <c r="O774" s="189"/>
      <c r="P774" s="157"/>
    </row>
    <row r="775" spans="1:16" ht="15.75" customHeight="1">
      <c r="A775" s="157"/>
      <c r="B775" s="190"/>
      <c r="C775" s="195"/>
      <c r="D775" s="196"/>
      <c r="E775" s="197"/>
      <c r="F775" s="198"/>
      <c r="G775" s="198"/>
      <c r="H775" s="196"/>
      <c r="I775" s="197"/>
      <c r="J775" s="177"/>
      <c r="K775" s="177"/>
      <c r="L775" s="177"/>
      <c r="M775" s="125"/>
      <c r="N775" s="125"/>
      <c r="O775" s="189"/>
      <c r="P775" s="157"/>
    </row>
    <row r="776" spans="1:16" ht="15.75" customHeight="1">
      <c r="A776" s="157"/>
      <c r="B776" s="190"/>
      <c r="C776" s="195"/>
      <c r="D776" s="196"/>
      <c r="E776" s="197"/>
      <c r="F776" s="198"/>
      <c r="G776" s="198"/>
      <c r="H776" s="196"/>
      <c r="I776" s="197"/>
      <c r="J776" s="177"/>
      <c r="K776" s="177"/>
      <c r="L776" s="177"/>
      <c r="M776" s="125"/>
      <c r="N776" s="125"/>
      <c r="O776" s="189"/>
      <c r="P776" s="157"/>
    </row>
    <row r="777" spans="1:16" ht="15.75" customHeight="1">
      <c r="A777" s="157"/>
      <c r="B777" s="190"/>
      <c r="C777" s="195"/>
      <c r="D777" s="196"/>
      <c r="E777" s="197"/>
      <c r="F777" s="198"/>
      <c r="G777" s="198"/>
      <c r="H777" s="196"/>
      <c r="I777" s="197"/>
      <c r="J777" s="177"/>
      <c r="K777" s="177"/>
      <c r="L777" s="177"/>
      <c r="M777" s="125"/>
      <c r="N777" s="125"/>
      <c r="O777" s="189"/>
      <c r="P777" s="157"/>
    </row>
    <row r="778" spans="1:16" ht="15.75" customHeight="1">
      <c r="A778" s="157"/>
      <c r="B778" s="190"/>
      <c r="C778" s="195"/>
      <c r="D778" s="196"/>
      <c r="E778" s="197"/>
      <c r="F778" s="198"/>
      <c r="G778" s="198"/>
      <c r="H778" s="196"/>
      <c r="I778" s="197"/>
      <c r="J778" s="177"/>
      <c r="K778" s="177"/>
      <c r="L778" s="177"/>
      <c r="M778" s="125"/>
      <c r="N778" s="125"/>
      <c r="O778" s="189"/>
      <c r="P778" s="157"/>
    </row>
    <row r="779" spans="1:16" ht="15.75" customHeight="1">
      <c r="A779" s="157"/>
      <c r="B779" s="190"/>
      <c r="C779" s="195"/>
      <c r="D779" s="196"/>
      <c r="E779" s="197"/>
      <c r="F779" s="198"/>
      <c r="G779" s="198"/>
      <c r="H779" s="196"/>
      <c r="I779" s="197"/>
      <c r="J779" s="177"/>
      <c r="K779" s="177"/>
      <c r="L779" s="177"/>
      <c r="M779" s="125"/>
      <c r="N779" s="125"/>
      <c r="O779" s="189"/>
      <c r="P779" s="157"/>
    </row>
    <row r="780" spans="1:16" ht="15.75" customHeight="1">
      <c r="A780" s="157"/>
      <c r="B780" s="190"/>
      <c r="C780" s="195"/>
      <c r="D780" s="196"/>
      <c r="E780" s="197"/>
      <c r="F780" s="198"/>
      <c r="G780" s="198"/>
      <c r="H780" s="196"/>
      <c r="I780" s="197"/>
      <c r="J780" s="177"/>
      <c r="K780" s="177"/>
      <c r="L780" s="177"/>
      <c r="M780" s="125"/>
      <c r="N780" s="125"/>
      <c r="O780" s="189"/>
      <c r="P780" s="157"/>
    </row>
    <row r="781" spans="1:16" ht="15.75" customHeight="1">
      <c r="A781" s="157"/>
      <c r="B781" s="190"/>
      <c r="C781" s="195"/>
      <c r="D781" s="196"/>
      <c r="E781" s="197"/>
      <c r="F781" s="198"/>
      <c r="G781" s="198"/>
      <c r="H781" s="196"/>
      <c r="I781" s="197"/>
      <c r="J781" s="177"/>
      <c r="K781" s="177"/>
      <c r="L781" s="177"/>
      <c r="M781" s="125"/>
      <c r="N781" s="125"/>
      <c r="O781" s="189"/>
      <c r="P781" s="157"/>
    </row>
    <row r="782" spans="1:16" ht="15.75" customHeight="1">
      <c r="A782" s="157"/>
      <c r="B782" s="190"/>
      <c r="C782" s="195"/>
      <c r="D782" s="196"/>
      <c r="E782" s="197"/>
      <c r="F782" s="198"/>
      <c r="G782" s="198"/>
      <c r="H782" s="196"/>
      <c r="I782" s="197"/>
      <c r="J782" s="177"/>
      <c r="K782" s="177"/>
      <c r="L782" s="177"/>
      <c r="M782" s="125"/>
      <c r="N782" s="125"/>
      <c r="O782" s="189"/>
      <c r="P782" s="157"/>
    </row>
    <row r="783" spans="1:16" ht="15.75" customHeight="1">
      <c r="A783" s="157"/>
      <c r="B783" s="190"/>
      <c r="C783" s="195"/>
      <c r="D783" s="196"/>
      <c r="E783" s="197"/>
      <c r="F783" s="198"/>
      <c r="G783" s="198"/>
      <c r="H783" s="196"/>
      <c r="I783" s="197"/>
      <c r="J783" s="177"/>
      <c r="K783" s="177"/>
      <c r="L783" s="177"/>
      <c r="M783" s="125"/>
      <c r="N783" s="125"/>
      <c r="O783" s="189"/>
      <c r="P783" s="157"/>
    </row>
    <row r="784" spans="1:16" ht="15.75" customHeight="1">
      <c r="A784" s="157"/>
      <c r="B784" s="190"/>
      <c r="C784" s="195"/>
      <c r="D784" s="196"/>
      <c r="E784" s="197"/>
      <c r="F784" s="198"/>
      <c r="G784" s="198"/>
      <c r="H784" s="196"/>
      <c r="I784" s="197"/>
      <c r="J784" s="177"/>
      <c r="K784" s="177"/>
      <c r="L784" s="177"/>
      <c r="M784" s="125"/>
      <c r="N784" s="125"/>
      <c r="O784" s="189"/>
      <c r="P784" s="157"/>
    </row>
    <row r="785" spans="1:16" ht="15.75" customHeight="1">
      <c r="A785" s="157"/>
      <c r="B785" s="190"/>
      <c r="C785" s="195"/>
      <c r="D785" s="196"/>
      <c r="E785" s="197"/>
      <c r="F785" s="198"/>
      <c r="G785" s="198"/>
      <c r="H785" s="196"/>
      <c r="I785" s="197"/>
      <c r="J785" s="177"/>
      <c r="K785" s="177"/>
      <c r="L785" s="177"/>
      <c r="M785" s="125"/>
      <c r="N785" s="125"/>
      <c r="O785" s="189"/>
      <c r="P785" s="157"/>
    </row>
    <row r="786" spans="1:16" ht="15.75" customHeight="1">
      <c r="A786" s="157"/>
      <c r="B786" s="190"/>
      <c r="C786" s="195"/>
      <c r="D786" s="196"/>
      <c r="E786" s="197"/>
      <c r="F786" s="198"/>
      <c r="G786" s="198"/>
      <c r="H786" s="196"/>
      <c r="I786" s="197"/>
      <c r="J786" s="177"/>
      <c r="K786" s="177"/>
      <c r="L786" s="177"/>
      <c r="M786" s="125"/>
      <c r="N786" s="125"/>
      <c r="O786" s="189"/>
      <c r="P786" s="157"/>
    </row>
    <row r="787" spans="1:16" ht="15.75" customHeight="1">
      <c r="A787" s="157"/>
      <c r="B787" s="190"/>
      <c r="C787" s="195"/>
      <c r="D787" s="196"/>
      <c r="E787" s="197"/>
      <c r="F787" s="198"/>
      <c r="G787" s="198"/>
      <c r="H787" s="196"/>
      <c r="I787" s="197"/>
      <c r="J787" s="177"/>
      <c r="K787" s="177"/>
      <c r="L787" s="177"/>
      <c r="M787" s="125"/>
      <c r="N787" s="125"/>
      <c r="O787" s="189"/>
      <c r="P787" s="157"/>
    </row>
    <row r="788" spans="1:16" ht="15.75" customHeight="1">
      <c r="A788" s="157"/>
      <c r="B788" s="190"/>
      <c r="C788" s="195"/>
      <c r="D788" s="196"/>
      <c r="E788" s="197"/>
      <c r="F788" s="198"/>
      <c r="G788" s="198"/>
      <c r="H788" s="196"/>
      <c r="I788" s="197"/>
      <c r="J788" s="177"/>
      <c r="K788" s="177"/>
      <c r="L788" s="177"/>
      <c r="M788" s="125"/>
      <c r="N788" s="125"/>
      <c r="O788" s="189"/>
      <c r="P788" s="157"/>
    </row>
    <row r="789" spans="1:16" ht="15.75" customHeight="1">
      <c r="A789" s="157"/>
      <c r="B789" s="190"/>
      <c r="C789" s="195"/>
      <c r="D789" s="196"/>
      <c r="E789" s="197"/>
      <c r="F789" s="198"/>
      <c r="G789" s="198"/>
      <c r="H789" s="196"/>
      <c r="I789" s="197"/>
      <c r="J789" s="177"/>
      <c r="K789" s="177"/>
      <c r="L789" s="177"/>
      <c r="M789" s="125"/>
      <c r="N789" s="125"/>
      <c r="O789" s="189"/>
      <c r="P789" s="157"/>
    </row>
    <row r="790" spans="1:16" ht="15.75" customHeight="1">
      <c r="A790" s="157"/>
      <c r="B790" s="190"/>
      <c r="C790" s="195"/>
      <c r="D790" s="196"/>
      <c r="E790" s="197"/>
      <c r="F790" s="198"/>
      <c r="G790" s="198"/>
      <c r="H790" s="196"/>
      <c r="I790" s="197"/>
      <c r="J790" s="177"/>
      <c r="K790" s="177"/>
      <c r="L790" s="177"/>
      <c r="M790" s="125"/>
      <c r="N790" s="125"/>
      <c r="O790" s="189"/>
      <c r="P790" s="157"/>
    </row>
    <row r="791" spans="1:16" ht="15.75" customHeight="1">
      <c r="A791" s="157"/>
      <c r="B791" s="190"/>
      <c r="C791" s="195"/>
      <c r="D791" s="196"/>
      <c r="E791" s="197"/>
      <c r="F791" s="198"/>
      <c r="G791" s="198"/>
      <c r="H791" s="196"/>
      <c r="I791" s="197"/>
      <c r="J791" s="177"/>
      <c r="K791" s="177"/>
      <c r="L791" s="177"/>
      <c r="M791" s="125"/>
      <c r="N791" s="125"/>
      <c r="O791" s="189"/>
      <c r="P791" s="157"/>
    </row>
    <row r="792" spans="1:16" ht="15.75" customHeight="1">
      <c r="A792" s="157"/>
      <c r="B792" s="190"/>
      <c r="C792" s="195"/>
      <c r="D792" s="196"/>
      <c r="E792" s="197"/>
      <c r="F792" s="198"/>
      <c r="G792" s="198"/>
      <c r="H792" s="196"/>
      <c r="I792" s="197"/>
      <c r="J792" s="177"/>
      <c r="K792" s="177"/>
      <c r="L792" s="177"/>
      <c r="M792" s="125"/>
      <c r="N792" s="125"/>
      <c r="O792" s="189"/>
      <c r="P792" s="157"/>
    </row>
    <row r="793" spans="1:16" ht="15.75" customHeight="1">
      <c r="A793" s="157"/>
      <c r="B793" s="190"/>
      <c r="C793" s="195"/>
      <c r="D793" s="196"/>
      <c r="E793" s="197"/>
      <c r="F793" s="198"/>
      <c r="G793" s="198"/>
      <c r="H793" s="196"/>
      <c r="I793" s="197"/>
      <c r="J793" s="177"/>
      <c r="K793" s="177"/>
      <c r="L793" s="177"/>
      <c r="M793" s="125"/>
      <c r="N793" s="125"/>
      <c r="O793" s="189"/>
      <c r="P793" s="157"/>
    </row>
    <row r="794" spans="1:16" ht="15.75" customHeight="1">
      <c r="A794" s="157"/>
      <c r="B794" s="190"/>
      <c r="C794" s="195"/>
      <c r="D794" s="196"/>
      <c r="E794" s="197"/>
      <c r="F794" s="198"/>
      <c r="G794" s="198"/>
      <c r="H794" s="196"/>
      <c r="I794" s="197"/>
      <c r="J794" s="177"/>
      <c r="K794" s="177"/>
      <c r="L794" s="177"/>
      <c r="M794" s="125"/>
      <c r="N794" s="125"/>
      <c r="O794" s="189"/>
      <c r="P794" s="157"/>
    </row>
    <row r="795" spans="1:16" ht="15.75" customHeight="1">
      <c r="A795" s="157"/>
      <c r="B795" s="190"/>
      <c r="C795" s="195"/>
      <c r="D795" s="196"/>
      <c r="E795" s="197"/>
      <c r="F795" s="198"/>
      <c r="G795" s="198"/>
      <c r="H795" s="196"/>
      <c r="I795" s="197"/>
      <c r="J795" s="177"/>
      <c r="K795" s="177"/>
      <c r="L795" s="177"/>
      <c r="M795" s="125"/>
      <c r="N795" s="125"/>
      <c r="O795" s="189"/>
      <c r="P795" s="157"/>
    </row>
    <row r="796" spans="1:16" ht="15.75" customHeight="1">
      <c r="A796" s="157"/>
      <c r="B796" s="190"/>
      <c r="C796" s="195"/>
      <c r="D796" s="196"/>
      <c r="E796" s="197"/>
      <c r="F796" s="198"/>
      <c r="G796" s="198"/>
      <c r="H796" s="196"/>
      <c r="I796" s="197"/>
      <c r="J796" s="177"/>
      <c r="K796" s="177"/>
      <c r="L796" s="177"/>
      <c r="M796" s="125"/>
      <c r="N796" s="125"/>
      <c r="O796" s="189"/>
      <c r="P796" s="157"/>
    </row>
    <row r="797" spans="1:16" ht="15.75" customHeight="1">
      <c r="A797" s="157"/>
      <c r="B797" s="190"/>
      <c r="C797" s="195"/>
      <c r="D797" s="196"/>
      <c r="E797" s="197"/>
      <c r="F797" s="198"/>
      <c r="G797" s="198"/>
      <c r="H797" s="196"/>
      <c r="I797" s="197"/>
      <c r="J797" s="177"/>
      <c r="K797" s="177"/>
      <c r="L797" s="177"/>
      <c r="M797" s="125"/>
      <c r="N797" s="125"/>
      <c r="O797" s="189"/>
      <c r="P797" s="157"/>
    </row>
    <row r="798" spans="1:16" ht="15.75" customHeight="1">
      <c r="A798" s="157"/>
      <c r="B798" s="190"/>
      <c r="C798" s="195"/>
      <c r="D798" s="196"/>
      <c r="E798" s="197"/>
      <c r="F798" s="198"/>
      <c r="G798" s="198"/>
      <c r="H798" s="196"/>
      <c r="I798" s="197"/>
      <c r="J798" s="177"/>
      <c r="K798" s="177"/>
      <c r="L798" s="177"/>
      <c r="M798" s="125"/>
      <c r="N798" s="125"/>
      <c r="O798" s="189"/>
      <c r="P798" s="157"/>
    </row>
    <row r="799" spans="1:16" ht="15.75" customHeight="1">
      <c r="A799" s="157"/>
      <c r="B799" s="190"/>
      <c r="C799" s="195"/>
      <c r="D799" s="196"/>
      <c r="E799" s="197"/>
      <c r="F799" s="198"/>
      <c r="G799" s="198"/>
      <c r="H799" s="196"/>
      <c r="I799" s="197"/>
      <c r="J799" s="177"/>
      <c r="K799" s="177"/>
      <c r="L799" s="177"/>
      <c r="M799" s="125"/>
      <c r="N799" s="125"/>
      <c r="O799" s="189"/>
      <c r="P799" s="157"/>
    </row>
    <row r="800" spans="1:16" ht="15.75" customHeight="1">
      <c r="A800" s="157"/>
      <c r="B800" s="190"/>
      <c r="C800" s="195"/>
      <c r="D800" s="196"/>
      <c r="E800" s="197"/>
      <c r="F800" s="198"/>
      <c r="G800" s="198"/>
      <c r="H800" s="196"/>
      <c r="I800" s="197"/>
      <c r="J800" s="177"/>
      <c r="K800" s="177"/>
      <c r="L800" s="177"/>
      <c r="M800" s="125"/>
      <c r="N800" s="125"/>
      <c r="O800" s="189"/>
      <c r="P800" s="157"/>
    </row>
    <row r="801" spans="1:16" ht="15.75" customHeight="1">
      <c r="A801" s="157"/>
      <c r="B801" s="190"/>
      <c r="C801" s="195"/>
      <c r="D801" s="196"/>
      <c r="E801" s="197"/>
      <c r="F801" s="198"/>
      <c r="G801" s="198"/>
      <c r="H801" s="196"/>
      <c r="I801" s="197"/>
      <c r="J801" s="177"/>
      <c r="K801" s="177"/>
      <c r="L801" s="177"/>
      <c r="M801" s="125"/>
      <c r="N801" s="125"/>
      <c r="O801" s="189"/>
      <c r="P801" s="157"/>
    </row>
    <row r="802" spans="1:16" ht="15.75" customHeight="1">
      <c r="A802" s="157"/>
      <c r="B802" s="190"/>
      <c r="C802" s="195"/>
      <c r="D802" s="196"/>
      <c r="E802" s="197"/>
      <c r="F802" s="198"/>
      <c r="G802" s="198"/>
      <c r="H802" s="196"/>
      <c r="I802" s="197"/>
      <c r="J802" s="177"/>
      <c r="K802" s="177"/>
      <c r="L802" s="177"/>
      <c r="M802" s="125"/>
      <c r="N802" s="125"/>
      <c r="O802" s="189"/>
      <c r="P802" s="157"/>
    </row>
    <row r="803" spans="1:16" ht="15.75" customHeight="1">
      <c r="A803" s="157"/>
      <c r="B803" s="190"/>
      <c r="C803" s="195"/>
      <c r="D803" s="196"/>
      <c r="E803" s="197"/>
      <c r="F803" s="198"/>
      <c r="G803" s="198"/>
      <c r="H803" s="196"/>
      <c r="I803" s="197"/>
      <c r="J803" s="177"/>
      <c r="K803" s="177"/>
      <c r="L803" s="177"/>
      <c r="M803" s="125"/>
      <c r="N803" s="125"/>
      <c r="O803" s="189"/>
      <c r="P803" s="157"/>
    </row>
    <row r="804" spans="1:16" ht="15.75" customHeight="1">
      <c r="A804" s="157"/>
      <c r="B804" s="190"/>
      <c r="C804" s="195"/>
      <c r="D804" s="196"/>
      <c r="E804" s="197"/>
      <c r="F804" s="198"/>
      <c r="G804" s="198"/>
      <c r="H804" s="196"/>
      <c r="I804" s="197"/>
      <c r="J804" s="177"/>
      <c r="K804" s="177"/>
      <c r="L804" s="177"/>
      <c r="M804" s="125"/>
      <c r="N804" s="125"/>
      <c r="O804" s="189"/>
      <c r="P804" s="157"/>
    </row>
    <row r="805" spans="1:16" ht="15.75" customHeight="1">
      <c r="A805" s="157"/>
      <c r="B805" s="190"/>
      <c r="C805" s="195"/>
      <c r="D805" s="196"/>
      <c r="E805" s="197"/>
      <c r="F805" s="198"/>
      <c r="G805" s="198"/>
      <c r="H805" s="196"/>
      <c r="I805" s="197"/>
      <c r="J805" s="177"/>
      <c r="K805" s="177"/>
      <c r="L805" s="177"/>
      <c r="M805" s="125"/>
      <c r="N805" s="125"/>
      <c r="O805" s="189"/>
      <c r="P805" s="157"/>
    </row>
    <row r="806" spans="1:16" ht="15.75" customHeight="1">
      <c r="A806" s="157"/>
      <c r="B806" s="190"/>
      <c r="C806" s="195"/>
      <c r="D806" s="196"/>
      <c r="E806" s="197"/>
      <c r="F806" s="198"/>
      <c r="G806" s="198"/>
      <c r="H806" s="196"/>
      <c r="I806" s="197"/>
      <c r="J806" s="177"/>
      <c r="K806" s="177"/>
      <c r="L806" s="177"/>
      <c r="M806" s="125"/>
      <c r="N806" s="125"/>
      <c r="O806" s="189"/>
      <c r="P806" s="157"/>
    </row>
    <row r="807" spans="1:16" ht="15.75" customHeight="1">
      <c r="A807" s="157"/>
      <c r="B807" s="190"/>
      <c r="C807" s="195"/>
      <c r="D807" s="196"/>
      <c r="E807" s="197"/>
      <c r="F807" s="198"/>
      <c r="G807" s="198"/>
      <c r="H807" s="196"/>
      <c r="I807" s="197"/>
      <c r="J807" s="177"/>
      <c r="K807" s="177"/>
      <c r="L807" s="177"/>
      <c r="M807" s="125"/>
      <c r="N807" s="125"/>
      <c r="O807" s="189"/>
      <c r="P807" s="157"/>
    </row>
    <row r="808" spans="1:16" ht="15.75" customHeight="1">
      <c r="A808" s="157"/>
      <c r="B808" s="190"/>
      <c r="C808" s="195"/>
      <c r="D808" s="196"/>
      <c r="E808" s="197"/>
      <c r="F808" s="198"/>
      <c r="G808" s="198"/>
      <c r="H808" s="196"/>
      <c r="I808" s="197"/>
      <c r="J808" s="177"/>
      <c r="K808" s="177"/>
      <c r="L808" s="177"/>
      <c r="M808" s="125"/>
      <c r="N808" s="125"/>
      <c r="O808" s="189"/>
      <c r="P808" s="157"/>
    </row>
    <row r="809" spans="1:16" ht="15.75" customHeight="1">
      <c r="A809" s="157"/>
      <c r="B809" s="190"/>
      <c r="C809" s="195"/>
      <c r="D809" s="196"/>
      <c r="E809" s="197"/>
      <c r="F809" s="198"/>
      <c r="G809" s="198"/>
      <c r="H809" s="196"/>
      <c r="I809" s="197"/>
      <c r="J809" s="177"/>
      <c r="K809" s="177"/>
      <c r="L809" s="177"/>
      <c r="M809" s="125"/>
      <c r="N809" s="125"/>
      <c r="O809" s="189"/>
      <c r="P809" s="157"/>
    </row>
    <row r="810" spans="1:16" ht="15.75" customHeight="1">
      <c r="A810" s="157"/>
      <c r="B810" s="190"/>
      <c r="C810" s="195"/>
      <c r="D810" s="196"/>
      <c r="E810" s="197"/>
      <c r="F810" s="198"/>
      <c r="G810" s="198"/>
      <c r="H810" s="196"/>
      <c r="I810" s="197"/>
      <c r="J810" s="177"/>
      <c r="K810" s="177"/>
      <c r="L810" s="177"/>
      <c r="M810" s="125"/>
      <c r="N810" s="125"/>
      <c r="O810" s="189"/>
      <c r="P810" s="157"/>
    </row>
    <row r="811" spans="1:16" ht="15.75" customHeight="1">
      <c r="A811" s="157"/>
      <c r="B811" s="190"/>
      <c r="C811" s="195"/>
      <c r="D811" s="196"/>
      <c r="E811" s="197"/>
      <c r="F811" s="198"/>
      <c r="G811" s="198"/>
      <c r="H811" s="196"/>
      <c r="I811" s="197"/>
      <c r="J811" s="177"/>
      <c r="K811" s="177"/>
      <c r="L811" s="177"/>
      <c r="M811" s="125"/>
      <c r="N811" s="125"/>
      <c r="O811" s="189"/>
      <c r="P811" s="157"/>
    </row>
    <row r="812" spans="1:16" ht="15.75" customHeight="1">
      <c r="A812" s="157"/>
      <c r="B812" s="190"/>
      <c r="C812" s="195"/>
      <c r="D812" s="196"/>
      <c r="E812" s="197"/>
      <c r="F812" s="198"/>
      <c r="G812" s="198"/>
      <c r="H812" s="196"/>
      <c r="I812" s="197"/>
      <c r="J812" s="177"/>
      <c r="K812" s="177"/>
      <c r="L812" s="177"/>
      <c r="M812" s="125"/>
      <c r="N812" s="125"/>
      <c r="O812" s="189"/>
      <c r="P812" s="157"/>
    </row>
    <row r="813" spans="1:16" ht="15.75" customHeight="1">
      <c r="A813" s="157"/>
      <c r="B813" s="190"/>
      <c r="C813" s="195"/>
      <c r="D813" s="196"/>
      <c r="E813" s="197"/>
      <c r="F813" s="198"/>
      <c r="G813" s="198"/>
      <c r="H813" s="196"/>
      <c r="I813" s="197"/>
      <c r="J813" s="177"/>
      <c r="K813" s="177"/>
      <c r="L813" s="177"/>
      <c r="M813" s="125"/>
      <c r="N813" s="125"/>
      <c r="O813" s="189"/>
      <c r="P813" s="157"/>
    </row>
    <row r="814" spans="1:16" ht="15.75" customHeight="1">
      <c r="A814" s="157"/>
      <c r="B814" s="190"/>
      <c r="C814" s="195"/>
      <c r="D814" s="196"/>
      <c r="E814" s="197"/>
      <c r="F814" s="198"/>
      <c r="G814" s="198"/>
      <c r="H814" s="196"/>
      <c r="I814" s="197"/>
      <c r="J814" s="177"/>
      <c r="K814" s="177"/>
      <c r="L814" s="177"/>
      <c r="M814" s="125"/>
      <c r="N814" s="125"/>
      <c r="O814" s="189"/>
      <c r="P814" s="157"/>
    </row>
    <row r="815" spans="1:16" ht="15.75" customHeight="1">
      <c r="A815" s="157"/>
      <c r="B815" s="190"/>
      <c r="C815" s="195"/>
      <c r="D815" s="196"/>
      <c r="E815" s="197"/>
      <c r="F815" s="198"/>
      <c r="G815" s="198"/>
      <c r="H815" s="196"/>
      <c r="I815" s="197"/>
      <c r="J815" s="177"/>
      <c r="K815" s="177"/>
      <c r="L815" s="177"/>
      <c r="M815" s="125"/>
      <c r="N815" s="125"/>
      <c r="O815" s="189"/>
      <c r="P815" s="157"/>
    </row>
    <row r="816" spans="1:16" ht="15.75" customHeight="1">
      <c r="A816" s="157"/>
      <c r="B816" s="190"/>
      <c r="C816" s="195"/>
      <c r="D816" s="196"/>
      <c r="E816" s="197"/>
      <c r="F816" s="198"/>
      <c r="G816" s="198"/>
      <c r="H816" s="196"/>
      <c r="I816" s="197"/>
      <c r="J816" s="177"/>
      <c r="K816" s="177"/>
      <c r="L816" s="177"/>
      <c r="M816" s="125"/>
      <c r="N816" s="125"/>
      <c r="O816" s="189"/>
      <c r="P816" s="157"/>
    </row>
    <row r="817" spans="1:16" ht="15.75" customHeight="1">
      <c r="A817" s="157"/>
      <c r="B817" s="190"/>
      <c r="C817" s="195"/>
      <c r="D817" s="196"/>
      <c r="E817" s="197"/>
      <c r="F817" s="198"/>
      <c r="G817" s="198"/>
      <c r="H817" s="196"/>
      <c r="I817" s="197"/>
      <c r="J817" s="177"/>
      <c r="K817" s="177"/>
      <c r="L817" s="177"/>
      <c r="M817" s="125"/>
      <c r="N817" s="125"/>
      <c r="O817" s="189"/>
      <c r="P817" s="157"/>
    </row>
    <row r="818" spans="1:16" ht="15.75" customHeight="1">
      <c r="A818" s="157"/>
      <c r="B818" s="190"/>
      <c r="C818" s="195"/>
      <c r="D818" s="196"/>
      <c r="E818" s="197"/>
      <c r="F818" s="198"/>
      <c r="G818" s="198"/>
      <c r="H818" s="196"/>
      <c r="I818" s="197"/>
      <c r="J818" s="177"/>
      <c r="K818" s="177"/>
      <c r="L818" s="177"/>
      <c r="M818" s="125"/>
      <c r="N818" s="125"/>
      <c r="O818" s="189"/>
      <c r="P818" s="157"/>
    </row>
    <row r="819" spans="1:16" ht="15.75" customHeight="1">
      <c r="A819" s="157"/>
      <c r="B819" s="190"/>
      <c r="C819" s="195"/>
      <c r="D819" s="196"/>
      <c r="E819" s="197"/>
      <c r="F819" s="198"/>
      <c r="G819" s="198"/>
      <c r="H819" s="196"/>
      <c r="I819" s="197"/>
      <c r="J819" s="177"/>
      <c r="K819" s="177"/>
      <c r="L819" s="177"/>
      <c r="M819" s="125"/>
      <c r="N819" s="125"/>
      <c r="O819" s="189"/>
      <c r="P819" s="157"/>
    </row>
    <row r="820" spans="1:16" ht="15.75" customHeight="1">
      <c r="A820" s="157"/>
      <c r="B820" s="190"/>
      <c r="C820" s="195"/>
      <c r="D820" s="196"/>
      <c r="E820" s="197"/>
      <c r="F820" s="198"/>
      <c r="G820" s="198"/>
      <c r="H820" s="196"/>
      <c r="I820" s="197"/>
      <c r="J820" s="177"/>
      <c r="K820" s="177"/>
      <c r="L820" s="177"/>
      <c r="M820" s="125"/>
      <c r="N820" s="125"/>
      <c r="O820" s="189"/>
      <c r="P820" s="157"/>
    </row>
    <row r="821" spans="1:16" ht="15.75" customHeight="1">
      <c r="A821" s="157"/>
      <c r="B821" s="190"/>
      <c r="C821" s="195"/>
      <c r="D821" s="196"/>
      <c r="E821" s="197"/>
      <c r="F821" s="198"/>
      <c r="G821" s="198"/>
      <c r="H821" s="196"/>
      <c r="I821" s="197"/>
      <c r="J821" s="177"/>
      <c r="K821" s="177"/>
      <c r="L821" s="177"/>
      <c r="M821" s="125"/>
      <c r="N821" s="125"/>
      <c r="O821" s="189"/>
      <c r="P821" s="157"/>
    </row>
    <row r="822" spans="1:16" ht="15.75" customHeight="1">
      <c r="A822" s="157"/>
      <c r="B822" s="190"/>
      <c r="C822" s="195"/>
      <c r="D822" s="196"/>
      <c r="E822" s="197"/>
      <c r="F822" s="198"/>
      <c r="G822" s="198"/>
      <c r="H822" s="196"/>
      <c r="I822" s="197"/>
      <c r="J822" s="177"/>
      <c r="K822" s="177"/>
      <c r="L822" s="177"/>
      <c r="M822" s="125"/>
      <c r="N822" s="125"/>
      <c r="O822" s="189"/>
      <c r="P822" s="157"/>
    </row>
    <row r="823" spans="1:16" ht="15.75" customHeight="1">
      <c r="A823" s="157"/>
      <c r="B823" s="190"/>
      <c r="C823" s="195"/>
      <c r="D823" s="196"/>
      <c r="E823" s="197"/>
      <c r="F823" s="198"/>
      <c r="G823" s="198"/>
      <c r="H823" s="196"/>
      <c r="I823" s="197"/>
      <c r="J823" s="177"/>
      <c r="K823" s="177"/>
      <c r="L823" s="177"/>
      <c r="M823" s="125"/>
      <c r="N823" s="125"/>
      <c r="O823" s="189"/>
      <c r="P823" s="157"/>
    </row>
    <row r="824" spans="1:16" ht="15.75" customHeight="1">
      <c r="A824" s="157"/>
      <c r="B824" s="190"/>
      <c r="C824" s="195"/>
      <c r="D824" s="196"/>
      <c r="E824" s="197"/>
      <c r="F824" s="198"/>
      <c r="G824" s="198"/>
      <c r="H824" s="196"/>
      <c r="I824" s="197"/>
      <c r="J824" s="177"/>
      <c r="K824" s="177"/>
      <c r="L824" s="177"/>
      <c r="M824" s="125"/>
      <c r="N824" s="125"/>
      <c r="O824" s="189"/>
      <c r="P824" s="157"/>
    </row>
    <row r="825" spans="1:16" ht="15.75" customHeight="1">
      <c r="A825" s="157"/>
      <c r="B825" s="190"/>
      <c r="C825" s="195"/>
      <c r="D825" s="196"/>
      <c r="E825" s="197"/>
      <c r="F825" s="198"/>
      <c r="G825" s="198"/>
      <c r="H825" s="196"/>
      <c r="I825" s="197"/>
      <c r="J825" s="177"/>
      <c r="K825" s="177"/>
      <c r="L825" s="177"/>
      <c r="M825" s="125"/>
      <c r="N825" s="125"/>
      <c r="O825" s="189"/>
      <c r="P825" s="157"/>
    </row>
    <row r="826" spans="1:16" ht="15.75" customHeight="1">
      <c r="A826" s="157"/>
      <c r="B826" s="190"/>
      <c r="C826" s="195"/>
      <c r="D826" s="196"/>
      <c r="E826" s="197"/>
      <c r="F826" s="198"/>
      <c r="G826" s="198"/>
      <c r="H826" s="196"/>
      <c r="I826" s="197"/>
      <c r="J826" s="177"/>
      <c r="K826" s="177"/>
      <c r="L826" s="177"/>
      <c r="M826" s="125"/>
      <c r="N826" s="125"/>
      <c r="O826" s="189"/>
      <c r="P826" s="157"/>
    </row>
    <row r="827" spans="1:16" ht="15.75" customHeight="1">
      <c r="A827" s="157"/>
      <c r="B827" s="190"/>
      <c r="C827" s="195"/>
      <c r="D827" s="196"/>
      <c r="E827" s="197"/>
      <c r="F827" s="198"/>
      <c r="G827" s="198"/>
      <c r="H827" s="196"/>
      <c r="I827" s="197"/>
      <c r="J827" s="177"/>
      <c r="K827" s="177"/>
      <c r="L827" s="177"/>
      <c r="M827" s="125"/>
      <c r="N827" s="125"/>
      <c r="O827" s="189"/>
      <c r="P827" s="157"/>
    </row>
    <row r="828" spans="1:16" ht="15.75" customHeight="1">
      <c r="A828" s="157"/>
      <c r="B828" s="190"/>
      <c r="C828" s="195"/>
      <c r="D828" s="196"/>
      <c r="E828" s="197"/>
      <c r="F828" s="198"/>
      <c r="G828" s="198"/>
      <c r="H828" s="196"/>
      <c r="I828" s="197"/>
      <c r="J828" s="177"/>
      <c r="K828" s="177"/>
      <c r="L828" s="177"/>
      <c r="M828" s="125"/>
      <c r="N828" s="125"/>
      <c r="O828" s="189"/>
      <c r="P828" s="157"/>
    </row>
    <row r="829" spans="1:16" ht="15.75" customHeight="1">
      <c r="A829" s="157"/>
      <c r="B829" s="190"/>
      <c r="C829" s="195"/>
      <c r="D829" s="196"/>
      <c r="E829" s="197"/>
      <c r="F829" s="198"/>
      <c r="G829" s="198"/>
      <c r="H829" s="196"/>
      <c r="I829" s="197"/>
      <c r="J829" s="177"/>
      <c r="K829" s="177"/>
      <c r="L829" s="177"/>
      <c r="M829" s="125"/>
      <c r="N829" s="125"/>
      <c r="O829" s="189"/>
      <c r="P829" s="157"/>
    </row>
    <row r="830" spans="1:16" ht="15.75" customHeight="1">
      <c r="A830" s="157"/>
      <c r="B830" s="190"/>
      <c r="C830" s="195"/>
      <c r="D830" s="196"/>
      <c r="E830" s="197"/>
      <c r="F830" s="198"/>
      <c r="G830" s="198"/>
      <c r="H830" s="196"/>
      <c r="I830" s="197"/>
      <c r="J830" s="177"/>
      <c r="K830" s="177"/>
      <c r="L830" s="177"/>
      <c r="M830" s="125"/>
      <c r="N830" s="125"/>
      <c r="O830" s="189"/>
      <c r="P830" s="157"/>
    </row>
    <row r="831" spans="1:16" ht="15.75" customHeight="1">
      <c r="A831" s="157"/>
      <c r="B831" s="190"/>
      <c r="C831" s="195"/>
      <c r="D831" s="196"/>
      <c r="E831" s="197"/>
      <c r="F831" s="198"/>
      <c r="G831" s="198"/>
      <c r="H831" s="196"/>
      <c r="I831" s="197"/>
      <c r="J831" s="177"/>
      <c r="K831" s="177"/>
      <c r="L831" s="177"/>
      <c r="M831" s="125"/>
      <c r="N831" s="125"/>
      <c r="O831" s="189"/>
      <c r="P831" s="157"/>
    </row>
    <row r="832" spans="1:16" ht="15.75" customHeight="1">
      <c r="A832" s="157"/>
      <c r="B832" s="190"/>
      <c r="C832" s="195"/>
      <c r="D832" s="196"/>
      <c r="E832" s="197"/>
      <c r="F832" s="198"/>
      <c r="G832" s="198"/>
      <c r="H832" s="196"/>
      <c r="I832" s="197"/>
      <c r="J832" s="177"/>
      <c r="K832" s="177"/>
      <c r="L832" s="177"/>
      <c r="M832" s="125"/>
      <c r="N832" s="125"/>
      <c r="O832" s="189"/>
      <c r="P832" s="157"/>
    </row>
    <row r="833" spans="1:16" ht="15.75" customHeight="1">
      <c r="A833" s="157"/>
      <c r="B833" s="190"/>
      <c r="C833" s="195"/>
      <c r="D833" s="196"/>
      <c r="E833" s="197"/>
      <c r="F833" s="198"/>
      <c r="G833" s="198"/>
      <c r="H833" s="196"/>
      <c r="I833" s="197"/>
      <c r="J833" s="177"/>
      <c r="K833" s="177"/>
      <c r="L833" s="177"/>
      <c r="M833" s="125"/>
      <c r="N833" s="125"/>
      <c r="O833" s="189"/>
      <c r="P833" s="157"/>
    </row>
    <row r="834" spans="1:16" ht="15.75" customHeight="1">
      <c r="A834" s="157"/>
      <c r="B834" s="190"/>
      <c r="C834" s="195"/>
      <c r="D834" s="196"/>
      <c r="E834" s="197"/>
      <c r="F834" s="198"/>
      <c r="G834" s="198"/>
      <c r="H834" s="196"/>
      <c r="I834" s="197"/>
      <c r="J834" s="177"/>
      <c r="K834" s="177"/>
      <c r="L834" s="177"/>
      <c r="M834" s="125"/>
      <c r="N834" s="125"/>
      <c r="O834" s="189"/>
      <c r="P834" s="157"/>
    </row>
    <row r="835" spans="1:16" ht="15.75" customHeight="1">
      <c r="A835" s="157"/>
      <c r="B835" s="190"/>
      <c r="C835" s="195"/>
      <c r="D835" s="196"/>
      <c r="E835" s="197"/>
      <c r="F835" s="198"/>
      <c r="G835" s="198"/>
      <c r="H835" s="196"/>
      <c r="I835" s="197"/>
      <c r="J835" s="177"/>
      <c r="K835" s="177"/>
      <c r="L835" s="177"/>
      <c r="M835" s="125"/>
      <c r="N835" s="125"/>
      <c r="O835" s="189"/>
      <c r="P835" s="157"/>
    </row>
    <row r="836" spans="1:16" ht="15.75" customHeight="1">
      <c r="A836" s="157"/>
      <c r="B836" s="190"/>
      <c r="C836" s="195"/>
      <c r="D836" s="196"/>
      <c r="E836" s="197"/>
      <c r="F836" s="198"/>
      <c r="G836" s="198"/>
      <c r="H836" s="196"/>
      <c r="I836" s="197"/>
      <c r="J836" s="177"/>
      <c r="K836" s="177"/>
      <c r="L836" s="177"/>
      <c r="M836" s="125"/>
      <c r="N836" s="125"/>
      <c r="O836" s="189"/>
      <c r="P836" s="157"/>
    </row>
    <row r="837" spans="1:16" ht="15.75" customHeight="1">
      <c r="A837" s="157"/>
      <c r="B837" s="190"/>
      <c r="C837" s="195"/>
      <c r="D837" s="196"/>
      <c r="E837" s="197"/>
      <c r="F837" s="198"/>
      <c r="G837" s="198"/>
      <c r="H837" s="196"/>
      <c r="I837" s="197"/>
      <c r="J837" s="177"/>
      <c r="K837" s="177"/>
      <c r="L837" s="177"/>
      <c r="M837" s="125"/>
      <c r="N837" s="125"/>
      <c r="O837" s="189"/>
      <c r="P837" s="157"/>
    </row>
    <row r="838" spans="1:16" ht="15.75" customHeight="1">
      <c r="A838" s="157"/>
      <c r="B838" s="190"/>
      <c r="C838" s="195"/>
      <c r="D838" s="196"/>
      <c r="E838" s="197"/>
      <c r="F838" s="198"/>
      <c r="G838" s="198"/>
      <c r="H838" s="196"/>
      <c r="I838" s="197"/>
      <c r="J838" s="177"/>
      <c r="K838" s="177"/>
      <c r="L838" s="177"/>
      <c r="M838" s="125"/>
      <c r="N838" s="125"/>
      <c r="O838" s="189"/>
      <c r="P838" s="157"/>
    </row>
    <row r="839" spans="1:16" ht="15.75" customHeight="1">
      <c r="A839" s="157"/>
      <c r="B839" s="190"/>
      <c r="C839" s="195"/>
      <c r="D839" s="196"/>
      <c r="E839" s="197"/>
      <c r="F839" s="198"/>
      <c r="G839" s="198"/>
      <c r="H839" s="196"/>
      <c r="I839" s="197"/>
      <c r="J839" s="177"/>
      <c r="K839" s="177"/>
      <c r="L839" s="177"/>
      <c r="M839" s="125"/>
      <c r="N839" s="125"/>
      <c r="O839" s="189"/>
      <c r="P839" s="157"/>
    </row>
    <row r="840" spans="1:16" ht="15.75" customHeight="1">
      <c r="A840" s="157"/>
      <c r="B840" s="190"/>
      <c r="C840" s="195"/>
      <c r="D840" s="196"/>
      <c r="E840" s="197"/>
      <c r="F840" s="198"/>
      <c r="G840" s="198"/>
      <c r="H840" s="196"/>
      <c r="I840" s="197"/>
      <c r="J840" s="177"/>
      <c r="K840" s="177"/>
      <c r="L840" s="177"/>
      <c r="M840" s="125"/>
      <c r="N840" s="125"/>
      <c r="O840" s="189"/>
      <c r="P840" s="157"/>
    </row>
    <row r="841" spans="1:16" ht="15.75" customHeight="1">
      <c r="A841" s="157"/>
      <c r="B841" s="190"/>
      <c r="C841" s="195"/>
      <c r="D841" s="196"/>
      <c r="E841" s="197"/>
      <c r="F841" s="198"/>
      <c r="G841" s="198"/>
      <c r="H841" s="196"/>
      <c r="I841" s="197"/>
      <c r="J841" s="177"/>
      <c r="K841" s="177"/>
      <c r="L841" s="177"/>
      <c r="M841" s="125"/>
      <c r="N841" s="125"/>
      <c r="O841" s="189"/>
      <c r="P841" s="157"/>
    </row>
    <row r="842" spans="1:16" ht="15.75" customHeight="1">
      <c r="A842" s="157"/>
      <c r="B842" s="190"/>
      <c r="C842" s="195"/>
      <c r="D842" s="196"/>
      <c r="E842" s="197"/>
      <c r="F842" s="198"/>
      <c r="G842" s="198"/>
      <c r="H842" s="196"/>
      <c r="I842" s="197"/>
      <c r="J842" s="177"/>
      <c r="K842" s="177"/>
      <c r="L842" s="177"/>
      <c r="M842" s="125"/>
      <c r="N842" s="125"/>
      <c r="O842" s="189"/>
      <c r="P842" s="157"/>
    </row>
    <row r="843" spans="1:16" ht="15.75" customHeight="1">
      <c r="A843" s="157"/>
      <c r="B843" s="190"/>
      <c r="C843" s="195"/>
      <c r="D843" s="196"/>
      <c r="E843" s="197"/>
      <c r="F843" s="198"/>
      <c r="G843" s="198"/>
      <c r="H843" s="196"/>
      <c r="I843" s="197"/>
      <c r="J843" s="177"/>
      <c r="K843" s="177"/>
      <c r="L843" s="177"/>
      <c r="M843" s="125"/>
      <c r="N843" s="125"/>
      <c r="O843" s="189"/>
      <c r="P843" s="157"/>
    </row>
    <row r="844" spans="1:16" ht="15.75" customHeight="1">
      <c r="A844" s="157"/>
      <c r="B844" s="190"/>
      <c r="C844" s="195"/>
      <c r="D844" s="196"/>
      <c r="E844" s="197"/>
      <c r="F844" s="198"/>
      <c r="G844" s="198"/>
      <c r="H844" s="196"/>
      <c r="I844" s="197"/>
      <c r="J844" s="177"/>
      <c r="K844" s="177"/>
      <c r="L844" s="177"/>
      <c r="M844" s="125"/>
      <c r="N844" s="125"/>
      <c r="O844" s="189"/>
      <c r="P844" s="157"/>
    </row>
    <row r="845" spans="1:16" ht="15.75" customHeight="1">
      <c r="A845" s="157"/>
      <c r="B845" s="190"/>
      <c r="C845" s="195"/>
      <c r="D845" s="196"/>
      <c r="E845" s="197"/>
      <c r="F845" s="198"/>
      <c r="G845" s="198"/>
      <c r="H845" s="196"/>
      <c r="I845" s="197"/>
      <c r="J845" s="177"/>
      <c r="K845" s="177"/>
      <c r="L845" s="177"/>
      <c r="M845" s="125"/>
      <c r="N845" s="125"/>
      <c r="O845" s="189"/>
      <c r="P845" s="157"/>
    </row>
    <row r="846" spans="1:16" ht="15.75" customHeight="1">
      <c r="A846" s="157"/>
      <c r="B846" s="190"/>
      <c r="C846" s="195"/>
      <c r="D846" s="196"/>
      <c r="E846" s="197"/>
      <c r="F846" s="198"/>
      <c r="G846" s="198"/>
      <c r="H846" s="196"/>
      <c r="I846" s="197"/>
      <c r="J846" s="177"/>
      <c r="K846" s="177"/>
      <c r="L846" s="177"/>
      <c r="M846" s="125"/>
      <c r="N846" s="125"/>
      <c r="O846" s="189"/>
      <c r="P846" s="157"/>
    </row>
    <row r="847" spans="1:16" ht="15.75" customHeight="1">
      <c r="A847" s="157"/>
      <c r="B847" s="190"/>
      <c r="C847" s="195"/>
      <c r="D847" s="196"/>
      <c r="E847" s="197"/>
      <c r="F847" s="198"/>
      <c r="G847" s="198"/>
      <c r="H847" s="196"/>
      <c r="I847" s="197"/>
      <c r="J847" s="177"/>
      <c r="K847" s="177"/>
      <c r="L847" s="177"/>
      <c r="M847" s="125"/>
      <c r="N847" s="125"/>
      <c r="O847" s="189"/>
      <c r="P847" s="157"/>
    </row>
    <row r="848" spans="1:16" ht="15.75" customHeight="1">
      <c r="A848" s="157"/>
      <c r="B848" s="190"/>
      <c r="C848" s="195"/>
      <c r="D848" s="196"/>
      <c r="E848" s="197"/>
      <c r="F848" s="198"/>
      <c r="G848" s="198"/>
      <c r="H848" s="196"/>
      <c r="I848" s="197"/>
      <c r="J848" s="177"/>
      <c r="K848" s="177"/>
      <c r="L848" s="177"/>
      <c r="M848" s="125"/>
      <c r="N848" s="125"/>
      <c r="O848" s="189"/>
      <c r="P848" s="157"/>
    </row>
    <row r="849" spans="1:16" ht="15.75" customHeight="1">
      <c r="A849" s="157"/>
      <c r="B849" s="190"/>
      <c r="C849" s="195"/>
      <c r="D849" s="196"/>
      <c r="E849" s="197"/>
      <c r="F849" s="198"/>
      <c r="G849" s="198"/>
      <c r="H849" s="196"/>
      <c r="I849" s="197"/>
      <c r="J849" s="177"/>
      <c r="K849" s="177"/>
      <c r="L849" s="177"/>
      <c r="M849" s="125"/>
      <c r="N849" s="125"/>
      <c r="O849" s="189"/>
      <c r="P849" s="157"/>
    </row>
    <row r="850" spans="1:16" ht="15.75" customHeight="1">
      <c r="A850" s="157"/>
      <c r="B850" s="190"/>
      <c r="C850" s="195"/>
      <c r="D850" s="196"/>
      <c r="E850" s="197"/>
      <c r="F850" s="198"/>
      <c r="G850" s="198"/>
      <c r="H850" s="196"/>
      <c r="I850" s="197"/>
      <c r="J850" s="177"/>
      <c r="K850" s="177"/>
      <c r="L850" s="177"/>
      <c r="M850" s="125"/>
      <c r="N850" s="125"/>
      <c r="O850" s="189"/>
      <c r="P850" s="157"/>
    </row>
    <row r="851" spans="1:16" ht="15.75" customHeight="1">
      <c r="A851" s="157"/>
      <c r="B851" s="190"/>
      <c r="C851" s="195"/>
      <c r="D851" s="196"/>
      <c r="E851" s="197"/>
      <c r="F851" s="198"/>
      <c r="G851" s="198"/>
      <c r="H851" s="196"/>
      <c r="I851" s="197"/>
      <c r="J851" s="177"/>
      <c r="K851" s="177"/>
      <c r="L851" s="177"/>
      <c r="M851" s="125"/>
      <c r="N851" s="125"/>
      <c r="O851" s="189"/>
      <c r="P851" s="157"/>
    </row>
    <row r="852" spans="1:16" ht="15.75" customHeight="1">
      <c r="A852" s="157"/>
      <c r="B852" s="190"/>
      <c r="C852" s="195"/>
      <c r="D852" s="196"/>
      <c r="E852" s="197"/>
      <c r="F852" s="198"/>
      <c r="G852" s="198"/>
      <c r="H852" s="196"/>
      <c r="I852" s="197"/>
      <c r="J852" s="177"/>
      <c r="K852" s="177"/>
      <c r="L852" s="177"/>
      <c r="M852" s="125"/>
      <c r="N852" s="125"/>
      <c r="O852" s="189"/>
      <c r="P852" s="157"/>
    </row>
    <row r="853" spans="1:16" ht="15.75" customHeight="1">
      <c r="A853" s="157"/>
      <c r="B853" s="190"/>
      <c r="C853" s="195"/>
      <c r="D853" s="196"/>
      <c r="E853" s="197"/>
      <c r="F853" s="198"/>
      <c r="G853" s="198"/>
      <c r="H853" s="196"/>
      <c r="I853" s="197"/>
      <c r="J853" s="177"/>
      <c r="K853" s="177"/>
      <c r="L853" s="177"/>
      <c r="M853" s="125"/>
      <c r="N853" s="125"/>
      <c r="O853" s="189"/>
      <c r="P853" s="157"/>
    </row>
    <row r="854" spans="1:16" ht="15.75" customHeight="1">
      <c r="A854" s="157"/>
      <c r="B854" s="190"/>
      <c r="C854" s="195"/>
      <c r="D854" s="196"/>
      <c r="E854" s="197"/>
      <c r="F854" s="198"/>
      <c r="G854" s="198"/>
      <c r="H854" s="196"/>
      <c r="I854" s="197"/>
      <c r="J854" s="177"/>
      <c r="K854" s="177"/>
      <c r="L854" s="177"/>
      <c r="M854" s="125"/>
      <c r="N854" s="125"/>
      <c r="O854" s="189"/>
      <c r="P854" s="157"/>
    </row>
    <row r="855" spans="1:16" ht="15.75" customHeight="1">
      <c r="A855" s="157"/>
      <c r="B855" s="190"/>
      <c r="C855" s="195"/>
      <c r="D855" s="196"/>
      <c r="E855" s="197"/>
      <c r="F855" s="198"/>
      <c r="G855" s="198"/>
      <c r="H855" s="196"/>
      <c r="I855" s="197"/>
      <c r="J855" s="177"/>
      <c r="K855" s="177"/>
      <c r="L855" s="177"/>
      <c r="M855" s="125"/>
      <c r="N855" s="125"/>
      <c r="O855" s="189"/>
      <c r="P855" s="157"/>
    </row>
    <row r="856" spans="1:16" ht="15.75" customHeight="1">
      <c r="A856" s="157"/>
      <c r="B856" s="190"/>
      <c r="C856" s="195"/>
      <c r="D856" s="196"/>
      <c r="E856" s="197"/>
      <c r="F856" s="198"/>
      <c r="G856" s="198"/>
      <c r="H856" s="196"/>
      <c r="I856" s="197"/>
      <c r="J856" s="177"/>
      <c r="K856" s="177"/>
      <c r="L856" s="177"/>
      <c r="M856" s="125"/>
      <c r="N856" s="125"/>
      <c r="O856" s="189"/>
      <c r="P856" s="157"/>
    </row>
    <row r="857" spans="1:16" ht="15.75" customHeight="1">
      <c r="A857" s="157"/>
      <c r="B857" s="190"/>
      <c r="C857" s="195"/>
      <c r="D857" s="196"/>
      <c r="E857" s="197"/>
      <c r="F857" s="198"/>
      <c r="G857" s="198"/>
      <c r="H857" s="196"/>
      <c r="I857" s="197"/>
      <c r="J857" s="177"/>
      <c r="K857" s="177"/>
      <c r="L857" s="177"/>
      <c r="M857" s="125"/>
      <c r="N857" s="125"/>
      <c r="O857" s="189"/>
      <c r="P857" s="157"/>
    </row>
    <row r="858" spans="1:16" ht="15.75" customHeight="1">
      <c r="A858" s="157"/>
      <c r="B858" s="190"/>
      <c r="C858" s="195"/>
      <c r="D858" s="196"/>
      <c r="E858" s="197"/>
      <c r="F858" s="198"/>
      <c r="G858" s="198"/>
      <c r="H858" s="196"/>
      <c r="I858" s="197"/>
      <c r="J858" s="177"/>
      <c r="K858" s="177"/>
      <c r="L858" s="177"/>
      <c r="M858" s="125"/>
      <c r="N858" s="125"/>
      <c r="O858" s="189"/>
      <c r="P858" s="157"/>
    </row>
    <row r="859" spans="1:16" ht="15.75" customHeight="1">
      <c r="A859" s="157"/>
      <c r="B859" s="190"/>
      <c r="C859" s="195"/>
      <c r="D859" s="196"/>
      <c r="E859" s="197"/>
      <c r="F859" s="198"/>
      <c r="G859" s="198"/>
      <c r="H859" s="196"/>
      <c r="I859" s="197"/>
      <c r="J859" s="177"/>
      <c r="K859" s="177"/>
      <c r="L859" s="177"/>
      <c r="M859" s="125"/>
      <c r="N859" s="125"/>
      <c r="O859" s="189"/>
      <c r="P859" s="157"/>
    </row>
    <row r="860" spans="1:16" ht="15.75" customHeight="1">
      <c r="A860" s="157"/>
      <c r="B860" s="190"/>
      <c r="C860" s="195"/>
      <c r="D860" s="196"/>
      <c r="E860" s="197"/>
      <c r="F860" s="198"/>
      <c r="G860" s="198"/>
      <c r="H860" s="196"/>
      <c r="I860" s="197"/>
      <c r="J860" s="177"/>
      <c r="K860" s="177"/>
      <c r="L860" s="177"/>
      <c r="M860" s="125"/>
      <c r="N860" s="125"/>
      <c r="O860" s="189"/>
      <c r="P860" s="157"/>
    </row>
    <row r="861" spans="1:16" ht="15.75" customHeight="1">
      <c r="A861" s="157"/>
      <c r="B861" s="190"/>
      <c r="C861" s="195"/>
      <c r="D861" s="196"/>
      <c r="E861" s="197"/>
      <c r="F861" s="198"/>
      <c r="G861" s="198"/>
      <c r="H861" s="196"/>
      <c r="I861" s="197"/>
      <c r="J861" s="177"/>
      <c r="K861" s="177"/>
      <c r="L861" s="177"/>
      <c r="M861" s="125"/>
      <c r="N861" s="125"/>
      <c r="O861" s="189"/>
      <c r="P861" s="157"/>
    </row>
    <row r="862" spans="1:16" ht="15.75" customHeight="1">
      <c r="A862" s="157"/>
      <c r="B862" s="190"/>
      <c r="C862" s="195"/>
      <c r="D862" s="196"/>
      <c r="E862" s="197"/>
      <c r="F862" s="198"/>
      <c r="G862" s="198"/>
      <c r="H862" s="196"/>
      <c r="I862" s="197"/>
      <c r="J862" s="177"/>
      <c r="K862" s="177"/>
      <c r="L862" s="177"/>
      <c r="M862" s="125"/>
      <c r="N862" s="125"/>
      <c r="O862" s="189"/>
      <c r="P862" s="157"/>
    </row>
    <row r="863" spans="1:16" ht="15.75" customHeight="1">
      <c r="A863" s="157"/>
      <c r="B863" s="190"/>
      <c r="C863" s="195"/>
      <c r="D863" s="196"/>
      <c r="E863" s="197"/>
      <c r="F863" s="198"/>
      <c r="G863" s="198"/>
      <c r="H863" s="196"/>
      <c r="I863" s="197"/>
      <c r="J863" s="177"/>
      <c r="K863" s="177"/>
      <c r="L863" s="177"/>
      <c r="M863" s="125"/>
      <c r="N863" s="125"/>
      <c r="O863" s="189"/>
      <c r="P863" s="157"/>
    </row>
    <row r="864" spans="1:16" ht="15.75" customHeight="1">
      <c r="A864" s="157"/>
      <c r="B864" s="190"/>
      <c r="C864" s="195"/>
      <c r="D864" s="196"/>
      <c r="E864" s="197"/>
      <c r="F864" s="198"/>
      <c r="G864" s="198"/>
      <c r="H864" s="196"/>
      <c r="I864" s="197"/>
      <c r="J864" s="177"/>
      <c r="K864" s="177"/>
      <c r="L864" s="177"/>
      <c r="M864" s="125"/>
      <c r="N864" s="125"/>
      <c r="O864" s="189"/>
      <c r="P864" s="157"/>
    </row>
    <row r="865" spans="1:16" ht="15.75" customHeight="1">
      <c r="A865" s="157"/>
      <c r="B865" s="190"/>
      <c r="C865" s="195"/>
      <c r="D865" s="196"/>
      <c r="E865" s="197"/>
      <c r="F865" s="198"/>
      <c r="G865" s="198"/>
      <c r="H865" s="196"/>
      <c r="I865" s="197"/>
      <c r="J865" s="177"/>
      <c r="K865" s="177"/>
      <c r="L865" s="177"/>
      <c r="M865" s="125"/>
      <c r="N865" s="125"/>
      <c r="O865" s="189"/>
      <c r="P865" s="157"/>
    </row>
    <row r="866" spans="1:16" ht="15.75" customHeight="1">
      <c r="A866" s="157"/>
      <c r="B866" s="190"/>
      <c r="C866" s="195"/>
      <c r="D866" s="196"/>
      <c r="E866" s="197"/>
      <c r="F866" s="198"/>
      <c r="G866" s="198"/>
      <c r="H866" s="196"/>
      <c r="I866" s="197"/>
      <c r="J866" s="177"/>
      <c r="K866" s="177"/>
      <c r="L866" s="177"/>
      <c r="M866" s="125"/>
      <c r="N866" s="125"/>
      <c r="O866" s="189"/>
      <c r="P866" s="157"/>
    </row>
    <row r="867" spans="1:16" ht="15.75" customHeight="1">
      <c r="A867" s="157"/>
      <c r="B867" s="190"/>
      <c r="C867" s="195"/>
      <c r="D867" s="196"/>
      <c r="E867" s="197"/>
      <c r="F867" s="198"/>
      <c r="G867" s="198"/>
      <c r="H867" s="196"/>
      <c r="I867" s="197"/>
      <c r="J867" s="177"/>
      <c r="K867" s="177"/>
      <c r="L867" s="177"/>
      <c r="M867" s="125"/>
      <c r="N867" s="125"/>
      <c r="O867" s="189"/>
      <c r="P867" s="157"/>
    </row>
    <row r="868" spans="1:16" ht="15.75" customHeight="1">
      <c r="A868" s="157"/>
      <c r="B868" s="190"/>
      <c r="C868" s="195"/>
      <c r="D868" s="196"/>
      <c r="E868" s="197"/>
      <c r="F868" s="198"/>
      <c r="G868" s="198"/>
      <c r="H868" s="196"/>
      <c r="I868" s="197"/>
      <c r="J868" s="177"/>
      <c r="K868" s="177"/>
      <c r="L868" s="177"/>
      <c r="M868" s="125"/>
      <c r="N868" s="125"/>
      <c r="O868" s="189"/>
      <c r="P868" s="157"/>
    </row>
    <row r="869" spans="1:16" ht="15.75" customHeight="1">
      <c r="A869" s="157"/>
      <c r="B869" s="190"/>
      <c r="C869" s="195"/>
      <c r="D869" s="196"/>
      <c r="E869" s="197"/>
      <c r="F869" s="198"/>
      <c r="G869" s="198"/>
      <c r="H869" s="196"/>
      <c r="I869" s="197"/>
      <c r="J869" s="177"/>
      <c r="K869" s="177"/>
      <c r="L869" s="177"/>
      <c r="M869" s="125"/>
      <c r="N869" s="125"/>
      <c r="O869" s="189"/>
      <c r="P869" s="157"/>
    </row>
    <row r="870" spans="1:16" ht="15.75" customHeight="1">
      <c r="A870" s="157"/>
      <c r="B870" s="190"/>
      <c r="C870" s="195"/>
      <c r="D870" s="196"/>
      <c r="E870" s="197"/>
      <c r="F870" s="198"/>
      <c r="G870" s="198"/>
      <c r="H870" s="196"/>
      <c r="I870" s="197"/>
      <c r="J870" s="177"/>
      <c r="K870" s="177"/>
      <c r="L870" s="177"/>
      <c r="M870" s="125"/>
      <c r="N870" s="125"/>
      <c r="O870" s="189"/>
      <c r="P870" s="157"/>
    </row>
    <row r="871" spans="1:16" ht="15.75" customHeight="1">
      <c r="A871" s="157"/>
      <c r="B871" s="190"/>
      <c r="C871" s="195"/>
      <c r="D871" s="196"/>
      <c r="E871" s="197"/>
      <c r="F871" s="198"/>
      <c r="G871" s="198"/>
      <c r="H871" s="196"/>
      <c r="I871" s="197"/>
      <c r="J871" s="177"/>
      <c r="K871" s="177"/>
      <c r="L871" s="177"/>
      <c r="M871" s="125"/>
      <c r="N871" s="125"/>
      <c r="O871" s="189"/>
      <c r="P871" s="157"/>
    </row>
    <row r="872" spans="1:16" ht="15.75" customHeight="1">
      <c r="A872" s="157"/>
      <c r="B872" s="190"/>
      <c r="C872" s="195"/>
      <c r="D872" s="196"/>
      <c r="E872" s="197"/>
      <c r="F872" s="198"/>
      <c r="G872" s="198"/>
      <c r="H872" s="196"/>
      <c r="I872" s="197"/>
      <c r="J872" s="177"/>
      <c r="K872" s="177"/>
      <c r="L872" s="177"/>
      <c r="M872" s="125"/>
      <c r="N872" s="125"/>
      <c r="O872" s="189"/>
      <c r="P872" s="157"/>
    </row>
    <row r="873" spans="1:16" ht="15.75" customHeight="1">
      <c r="A873" s="157"/>
      <c r="B873" s="190"/>
      <c r="C873" s="195"/>
      <c r="D873" s="196"/>
      <c r="E873" s="197"/>
      <c r="F873" s="198"/>
      <c r="G873" s="198"/>
      <c r="H873" s="196"/>
      <c r="I873" s="197"/>
      <c r="J873" s="177"/>
      <c r="K873" s="177"/>
      <c r="L873" s="177"/>
      <c r="M873" s="125"/>
      <c r="N873" s="125"/>
      <c r="O873" s="189"/>
      <c r="P873" s="157"/>
    </row>
    <row r="874" spans="1:16" ht="15.75" customHeight="1">
      <c r="A874" s="157"/>
      <c r="B874" s="190"/>
      <c r="C874" s="195"/>
      <c r="D874" s="196"/>
      <c r="E874" s="197"/>
      <c r="F874" s="198"/>
      <c r="G874" s="198"/>
      <c r="H874" s="196"/>
      <c r="I874" s="197"/>
      <c r="J874" s="177"/>
      <c r="K874" s="177"/>
      <c r="L874" s="177"/>
      <c r="M874" s="125"/>
      <c r="N874" s="125"/>
      <c r="O874" s="189"/>
      <c r="P874" s="157"/>
    </row>
    <row r="875" spans="1:16" ht="15.75" customHeight="1">
      <c r="A875" s="157"/>
      <c r="B875" s="190"/>
      <c r="C875" s="195"/>
      <c r="D875" s="196"/>
      <c r="E875" s="197"/>
      <c r="F875" s="198"/>
      <c r="G875" s="198"/>
      <c r="H875" s="196"/>
      <c r="I875" s="197"/>
      <c r="J875" s="177"/>
      <c r="K875" s="177"/>
      <c r="L875" s="177"/>
      <c r="M875" s="125"/>
      <c r="N875" s="125"/>
      <c r="O875" s="189"/>
      <c r="P875" s="157"/>
    </row>
    <row r="876" spans="1:16" ht="15.75" customHeight="1">
      <c r="A876" s="157"/>
      <c r="B876" s="190"/>
      <c r="C876" s="195"/>
      <c r="D876" s="196"/>
      <c r="E876" s="197"/>
      <c r="F876" s="198"/>
      <c r="G876" s="198"/>
      <c r="H876" s="196"/>
      <c r="I876" s="197"/>
      <c r="J876" s="177"/>
      <c r="K876" s="177"/>
      <c r="L876" s="177"/>
      <c r="M876" s="125"/>
      <c r="N876" s="125"/>
      <c r="O876" s="189"/>
      <c r="P876" s="157"/>
    </row>
    <row r="877" spans="1:16" ht="15.75" customHeight="1">
      <c r="A877" s="157"/>
      <c r="B877" s="190"/>
      <c r="C877" s="195"/>
      <c r="D877" s="196"/>
      <c r="E877" s="197"/>
      <c r="F877" s="198"/>
      <c r="G877" s="198"/>
      <c r="H877" s="196"/>
      <c r="I877" s="197"/>
      <c r="J877" s="177"/>
      <c r="K877" s="177"/>
      <c r="L877" s="177"/>
      <c r="M877" s="125"/>
      <c r="N877" s="125"/>
      <c r="O877" s="189"/>
      <c r="P877" s="157"/>
    </row>
    <row r="878" spans="1:16" ht="15.75" customHeight="1">
      <c r="A878" s="157"/>
      <c r="B878" s="190"/>
      <c r="C878" s="195"/>
      <c r="D878" s="196"/>
      <c r="E878" s="197"/>
      <c r="F878" s="198"/>
      <c r="G878" s="198"/>
      <c r="H878" s="196"/>
      <c r="I878" s="197"/>
      <c r="J878" s="177"/>
      <c r="K878" s="177"/>
      <c r="L878" s="177"/>
      <c r="M878" s="125"/>
      <c r="N878" s="125"/>
      <c r="O878" s="189"/>
      <c r="P878" s="157"/>
    </row>
    <row r="879" spans="1:16" ht="15.75" customHeight="1">
      <c r="A879" s="157"/>
      <c r="B879" s="190"/>
      <c r="C879" s="195"/>
      <c r="D879" s="196"/>
      <c r="E879" s="197"/>
      <c r="F879" s="198"/>
      <c r="G879" s="198"/>
      <c r="H879" s="196"/>
      <c r="I879" s="197"/>
      <c r="J879" s="177"/>
      <c r="K879" s="177"/>
      <c r="L879" s="177"/>
      <c r="M879" s="125"/>
      <c r="N879" s="125"/>
      <c r="O879" s="189"/>
      <c r="P879" s="157"/>
    </row>
    <row r="880" spans="1:16" ht="15.75" customHeight="1">
      <c r="A880" s="157"/>
      <c r="B880" s="190"/>
      <c r="C880" s="195"/>
      <c r="D880" s="196"/>
      <c r="E880" s="197"/>
      <c r="F880" s="198"/>
      <c r="G880" s="198"/>
      <c r="H880" s="196"/>
      <c r="I880" s="197"/>
      <c r="J880" s="177"/>
      <c r="K880" s="177"/>
      <c r="L880" s="177"/>
      <c r="M880" s="125"/>
      <c r="N880" s="125"/>
      <c r="O880" s="189"/>
      <c r="P880" s="157"/>
    </row>
    <row r="881" spans="1:16" ht="15.75" customHeight="1">
      <c r="A881" s="157"/>
      <c r="B881" s="190"/>
      <c r="C881" s="195"/>
      <c r="D881" s="196"/>
      <c r="E881" s="197"/>
      <c r="F881" s="198"/>
      <c r="G881" s="198"/>
      <c r="H881" s="196"/>
      <c r="I881" s="197"/>
      <c r="J881" s="177"/>
      <c r="K881" s="177"/>
      <c r="L881" s="177"/>
      <c r="M881" s="125"/>
      <c r="N881" s="125"/>
      <c r="O881" s="189"/>
      <c r="P881" s="157"/>
    </row>
    <row r="882" spans="1:16" ht="15.75" customHeight="1">
      <c r="A882" s="157"/>
      <c r="B882" s="190"/>
      <c r="C882" s="195"/>
      <c r="D882" s="196"/>
      <c r="E882" s="197"/>
      <c r="F882" s="198"/>
      <c r="G882" s="198"/>
      <c r="H882" s="196"/>
      <c r="I882" s="197"/>
      <c r="J882" s="177"/>
      <c r="K882" s="177"/>
      <c r="L882" s="177"/>
      <c r="M882" s="125"/>
      <c r="N882" s="125"/>
      <c r="O882" s="189"/>
      <c r="P882" s="157"/>
    </row>
    <row r="883" spans="1:16" ht="15.75" customHeight="1">
      <c r="A883" s="157"/>
      <c r="B883" s="190"/>
      <c r="C883" s="195"/>
      <c r="D883" s="196"/>
      <c r="E883" s="197"/>
      <c r="F883" s="198"/>
      <c r="G883" s="198"/>
      <c r="H883" s="196"/>
      <c r="I883" s="197"/>
      <c r="J883" s="177"/>
      <c r="K883" s="177"/>
      <c r="L883" s="177"/>
      <c r="M883" s="125"/>
      <c r="N883" s="125"/>
      <c r="O883" s="189"/>
      <c r="P883" s="157"/>
    </row>
    <row r="884" spans="1:16" ht="15.75" customHeight="1">
      <c r="A884" s="157"/>
      <c r="B884" s="190"/>
      <c r="C884" s="195"/>
      <c r="D884" s="196"/>
      <c r="E884" s="197"/>
      <c r="F884" s="198"/>
      <c r="G884" s="198"/>
      <c r="H884" s="196"/>
      <c r="I884" s="197"/>
      <c r="J884" s="177"/>
      <c r="K884" s="177"/>
      <c r="L884" s="177"/>
      <c r="M884" s="125"/>
      <c r="N884" s="125"/>
      <c r="O884" s="189"/>
      <c r="P884" s="157"/>
    </row>
    <row r="885" spans="1:16" ht="15.75" customHeight="1">
      <c r="A885" s="157"/>
      <c r="B885" s="190"/>
      <c r="C885" s="195"/>
      <c r="D885" s="196"/>
      <c r="E885" s="197"/>
      <c r="F885" s="198"/>
      <c r="G885" s="198"/>
      <c r="H885" s="196"/>
      <c r="I885" s="197"/>
      <c r="J885" s="177"/>
      <c r="K885" s="177"/>
      <c r="L885" s="177"/>
      <c r="M885" s="125"/>
      <c r="N885" s="125"/>
      <c r="O885" s="189"/>
      <c r="P885" s="157"/>
    </row>
    <row r="886" spans="1:16" ht="15.75" customHeight="1">
      <c r="A886" s="157"/>
      <c r="B886" s="190"/>
      <c r="C886" s="195"/>
      <c r="D886" s="196"/>
      <c r="E886" s="197"/>
      <c r="F886" s="198"/>
      <c r="G886" s="198"/>
      <c r="H886" s="196"/>
      <c r="I886" s="197"/>
      <c r="J886" s="177"/>
      <c r="K886" s="177"/>
      <c r="L886" s="177"/>
      <c r="M886" s="125"/>
      <c r="N886" s="125"/>
      <c r="O886" s="189"/>
      <c r="P886" s="157"/>
    </row>
    <row r="887" spans="1:16" ht="15.75" customHeight="1">
      <c r="A887" s="157"/>
      <c r="B887" s="190"/>
      <c r="C887" s="195"/>
      <c r="D887" s="196"/>
      <c r="E887" s="197"/>
      <c r="F887" s="198"/>
      <c r="G887" s="198"/>
      <c r="H887" s="196"/>
      <c r="I887" s="197"/>
      <c r="J887" s="177"/>
      <c r="K887" s="177"/>
      <c r="L887" s="177"/>
      <c r="M887" s="125"/>
      <c r="N887" s="125"/>
      <c r="O887" s="189"/>
      <c r="P887" s="157"/>
    </row>
    <row r="888" spans="1:16" ht="15.75" customHeight="1">
      <c r="A888" s="157"/>
      <c r="B888" s="190"/>
      <c r="C888" s="195"/>
      <c r="D888" s="196"/>
      <c r="E888" s="197"/>
      <c r="F888" s="198"/>
      <c r="G888" s="198"/>
      <c r="H888" s="196"/>
      <c r="I888" s="197"/>
      <c r="J888" s="177"/>
      <c r="K888" s="177"/>
      <c r="L888" s="177"/>
      <c r="M888" s="125"/>
      <c r="N888" s="125"/>
      <c r="O888" s="189"/>
      <c r="P888" s="157"/>
    </row>
    <row r="889" spans="1:16" ht="15.75" customHeight="1">
      <c r="A889" s="157"/>
      <c r="B889" s="190"/>
      <c r="C889" s="195"/>
      <c r="D889" s="196"/>
      <c r="E889" s="197"/>
      <c r="F889" s="198"/>
      <c r="G889" s="198"/>
      <c r="H889" s="196"/>
      <c r="I889" s="197"/>
      <c r="J889" s="177"/>
      <c r="K889" s="177"/>
      <c r="L889" s="177"/>
      <c r="M889" s="125"/>
      <c r="N889" s="125"/>
      <c r="O889" s="189"/>
      <c r="P889" s="157"/>
    </row>
    <row r="890" spans="1:16" ht="15.75" customHeight="1">
      <c r="A890" s="157"/>
      <c r="B890" s="190"/>
      <c r="C890" s="195"/>
      <c r="D890" s="196"/>
      <c r="E890" s="197"/>
      <c r="F890" s="198"/>
      <c r="G890" s="198"/>
      <c r="H890" s="196"/>
      <c r="I890" s="197"/>
      <c r="J890" s="177"/>
      <c r="K890" s="177"/>
      <c r="L890" s="177"/>
      <c r="M890" s="125"/>
      <c r="N890" s="125"/>
      <c r="O890" s="189"/>
      <c r="P890" s="157"/>
    </row>
    <row r="891" spans="1:16" ht="15.75" customHeight="1">
      <c r="A891" s="157"/>
      <c r="B891" s="190"/>
      <c r="C891" s="195"/>
      <c r="D891" s="196"/>
      <c r="E891" s="197"/>
      <c r="F891" s="198"/>
      <c r="G891" s="198"/>
      <c r="H891" s="196"/>
      <c r="I891" s="197"/>
      <c r="J891" s="177"/>
      <c r="K891" s="177"/>
      <c r="L891" s="177"/>
      <c r="M891" s="125"/>
      <c r="N891" s="125"/>
      <c r="O891" s="189"/>
      <c r="P891" s="157"/>
    </row>
    <row r="892" spans="1:16" ht="15.75" customHeight="1">
      <c r="A892" s="157"/>
      <c r="B892" s="190"/>
      <c r="C892" s="195"/>
      <c r="D892" s="196"/>
      <c r="E892" s="197"/>
      <c r="F892" s="198"/>
      <c r="G892" s="198"/>
      <c r="H892" s="196"/>
      <c r="I892" s="197"/>
      <c r="J892" s="177"/>
      <c r="K892" s="177"/>
      <c r="L892" s="177"/>
      <c r="M892" s="125"/>
      <c r="N892" s="125"/>
      <c r="O892" s="189"/>
      <c r="P892" s="157"/>
    </row>
    <row r="893" spans="1:16" ht="15.75" customHeight="1">
      <c r="A893" s="157"/>
      <c r="B893" s="190"/>
      <c r="C893" s="195"/>
      <c r="D893" s="196"/>
      <c r="E893" s="197"/>
      <c r="F893" s="198"/>
      <c r="G893" s="198"/>
      <c r="H893" s="196"/>
      <c r="I893" s="197"/>
      <c r="J893" s="177"/>
      <c r="K893" s="177"/>
      <c r="L893" s="177"/>
      <c r="M893" s="125"/>
      <c r="N893" s="125"/>
      <c r="O893" s="189"/>
      <c r="P893" s="157"/>
    </row>
    <row r="894" spans="1:16" ht="15.75" customHeight="1">
      <c r="A894" s="157"/>
      <c r="B894" s="190"/>
      <c r="C894" s="195"/>
      <c r="D894" s="196"/>
      <c r="E894" s="197"/>
      <c r="F894" s="198"/>
      <c r="G894" s="198"/>
      <c r="H894" s="196"/>
      <c r="I894" s="197"/>
      <c r="J894" s="177"/>
      <c r="K894" s="177"/>
      <c r="L894" s="177"/>
      <c r="M894" s="125"/>
      <c r="N894" s="125"/>
      <c r="O894" s="189"/>
      <c r="P894" s="157"/>
    </row>
    <row r="895" spans="1:16" ht="15.75" customHeight="1">
      <c r="A895" s="157"/>
      <c r="B895" s="190"/>
      <c r="C895" s="195"/>
      <c r="D895" s="196"/>
      <c r="E895" s="197"/>
      <c r="F895" s="198"/>
      <c r="G895" s="198"/>
      <c r="H895" s="196"/>
      <c r="I895" s="197"/>
      <c r="J895" s="177"/>
      <c r="K895" s="177"/>
      <c r="L895" s="177"/>
      <c r="M895" s="125"/>
      <c r="N895" s="125"/>
      <c r="O895" s="189"/>
      <c r="P895" s="157"/>
    </row>
    <row r="896" spans="1:16" ht="15.75" customHeight="1">
      <c r="A896" s="157"/>
      <c r="B896" s="190"/>
      <c r="C896" s="195"/>
      <c r="D896" s="196"/>
      <c r="E896" s="197"/>
      <c r="F896" s="198"/>
      <c r="G896" s="198"/>
      <c r="H896" s="196"/>
      <c r="I896" s="197"/>
      <c r="J896" s="177"/>
      <c r="K896" s="177"/>
      <c r="L896" s="177"/>
      <c r="M896" s="125"/>
      <c r="N896" s="125"/>
      <c r="O896" s="189"/>
      <c r="P896" s="157"/>
    </row>
    <row r="897" spans="1:16" ht="15.75" customHeight="1">
      <c r="A897" s="157"/>
      <c r="B897" s="190"/>
      <c r="C897" s="195"/>
      <c r="D897" s="196"/>
      <c r="E897" s="197"/>
      <c r="F897" s="198"/>
      <c r="G897" s="198"/>
      <c r="H897" s="196"/>
      <c r="I897" s="197"/>
      <c r="J897" s="177"/>
      <c r="K897" s="177"/>
      <c r="L897" s="177"/>
      <c r="M897" s="125"/>
      <c r="N897" s="125"/>
      <c r="O897" s="189"/>
      <c r="P897" s="157"/>
    </row>
    <row r="898" spans="1:16" ht="15.75" customHeight="1">
      <c r="A898" s="157"/>
      <c r="B898" s="190"/>
      <c r="C898" s="195"/>
      <c r="D898" s="196"/>
      <c r="E898" s="197"/>
      <c r="F898" s="198"/>
      <c r="G898" s="198"/>
      <c r="H898" s="196"/>
      <c r="I898" s="197"/>
      <c r="J898" s="177"/>
      <c r="K898" s="177"/>
      <c r="L898" s="177"/>
      <c r="M898" s="125"/>
      <c r="N898" s="125"/>
      <c r="O898" s="189"/>
      <c r="P898" s="157"/>
    </row>
    <row r="899" spans="1:16" ht="15.75" customHeight="1">
      <c r="A899" s="157"/>
      <c r="B899" s="190"/>
      <c r="C899" s="195"/>
      <c r="D899" s="196"/>
      <c r="E899" s="197"/>
      <c r="F899" s="198"/>
      <c r="G899" s="198"/>
      <c r="H899" s="196"/>
      <c r="I899" s="197"/>
      <c r="J899" s="177"/>
      <c r="K899" s="177"/>
      <c r="L899" s="177"/>
      <c r="M899" s="125"/>
      <c r="N899" s="125"/>
      <c r="O899" s="189"/>
      <c r="P899" s="157"/>
    </row>
    <row r="900" spans="1:16" ht="15.75" customHeight="1">
      <c r="A900" s="157"/>
      <c r="B900" s="190"/>
      <c r="C900" s="195"/>
      <c r="D900" s="196"/>
      <c r="E900" s="197"/>
      <c r="F900" s="198"/>
      <c r="G900" s="198"/>
      <c r="H900" s="196"/>
      <c r="I900" s="197"/>
      <c r="J900" s="177"/>
      <c r="K900" s="177"/>
      <c r="L900" s="177"/>
      <c r="M900" s="125"/>
      <c r="N900" s="125"/>
      <c r="O900" s="189"/>
      <c r="P900" s="157"/>
    </row>
    <row r="901" spans="1:16" ht="15.75" customHeight="1">
      <c r="A901" s="157"/>
      <c r="B901" s="190"/>
      <c r="C901" s="195"/>
      <c r="D901" s="196"/>
      <c r="E901" s="197"/>
      <c r="F901" s="198"/>
      <c r="G901" s="198"/>
      <c r="H901" s="196"/>
      <c r="I901" s="197"/>
      <c r="J901" s="177"/>
      <c r="K901" s="177"/>
      <c r="L901" s="177"/>
      <c r="M901" s="125"/>
      <c r="N901" s="125"/>
      <c r="O901" s="189"/>
      <c r="P901" s="157"/>
    </row>
    <row r="902" spans="1:16" ht="15.75" customHeight="1">
      <c r="A902" s="157"/>
      <c r="B902" s="190"/>
      <c r="C902" s="195"/>
      <c r="D902" s="196"/>
      <c r="E902" s="197"/>
      <c r="F902" s="198"/>
      <c r="G902" s="198"/>
      <c r="H902" s="196"/>
      <c r="I902" s="197"/>
      <c r="J902" s="177"/>
      <c r="K902" s="177"/>
      <c r="L902" s="177"/>
      <c r="M902" s="125"/>
      <c r="N902" s="125"/>
      <c r="O902" s="189"/>
      <c r="P902" s="157"/>
    </row>
    <row r="903" spans="1:16" ht="15.75" customHeight="1">
      <c r="A903" s="157"/>
      <c r="B903" s="190"/>
      <c r="C903" s="195"/>
      <c r="D903" s="196"/>
      <c r="E903" s="197"/>
      <c r="F903" s="198"/>
      <c r="G903" s="198"/>
      <c r="H903" s="196"/>
      <c r="I903" s="197"/>
      <c r="J903" s="177"/>
      <c r="K903" s="177"/>
      <c r="L903" s="177"/>
      <c r="M903" s="125"/>
      <c r="N903" s="125"/>
      <c r="O903" s="189"/>
      <c r="P903" s="157"/>
    </row>
    <row r="904" spans="1:16" ht="15.75" customHeight="1">
      <c r="A904" s="157"/>
      <c r="B904" s="190"/>
      <c r="C904" s="195"/>
      <c r="D904" s="196"/>
      <c r="E904" s="197"/>
      <c r="F904" s="198"/>
      <c r="G904" s="198"/>
      <c r="H904" s="196"/>
      <c r="I904" s="197"/>
      <c r="J904" s="177"/>
      <c r="K904" s="177"/>
      <c r="L904" s="177"/>
      <c r="M904" s="125"/>
      <c r="N904" s="125"/>
      <c r="O904" s="189"/>
      <c r="P904" s="157"/>
    </row>
    <row r="905" spans="1:16" ht="15.75" customHeight="1">
      <c r="A905" s="157"/>
      <c r="B905" s="190"/>
      <c r="C905" s="195"/>
      <c r="D905" s="196"/>
      <c r="E905" s="197"/>
      <c r="F905" s="198"/>
      <c r="G905" s="198"/>
      <c r="H905" s="196"/>
      <c r="I905" s="197"/>
      <c r="J905" s="177"/>
      <c r="K905" s="177"/>
      <c r="L905" s="177"/>
      <c r="M905" s="125"/>
      <c r="N905" s="125"/>
      <c r="O905" s="189"/>
      <c r="P905" s="157"/>
    </row>
    <row r="906" spans="1:16" ht="15.75" customHeight="1">
      <c r="A906" s="157"/>
      <c r="B906" s="190"/>
      <c r="C906" s="195"/>
      <c r="D906" s="196"/>
      <c r="E906" s="197"/>
      <c r="F906" s="198"/>
      <c r="G906" s="198"/>
      <c r="H906" s="196"/>
      <c r="I906" s="197"/>
      <c r="J906" s="177"/>
      <c r="K906" s="177"/>
      <c r="L906" s="177"/>
      <c r="M906" s="125"/>
      <c r="N906" s="125"/>
      <c r="O906" s="189"/>
      <c r="P906" s="157"/>
    </row>
    <row r="907" spans="1:16" ht="15.75" customHeight="1">
      <c r="A907" s="157"/>
      <c r="B907" s="190"/>
      <c r="C907" s="195"/>
      <c r="D907" s="196"/>
      <c r="E907" s="197"/>
      <c r="F907" s="198"/>
      <c r="G907" s="198"/>
      <c r="H907" s="196"/>
      <c r="I907" s="197"/>
      <c r="J907" s="177"/>
      <c r="K907" s="177"/>
      <c r="L907" s="177"/>
      <c r="M907" s="125"/>
      <c r="N907" s="125"/>
      <c r="O907" s="189"/>
      <c r="P907" s="157"/>
    </row>
    <row r="908" spans="1:16" ht="15.75" customHeight="1">
      <c r="A908" s="157"/>
      <c r="B908" s="190"/>
      <c r="C908" s="195"/>
      <c r="D908" s="196"/>
      <c r="E908" s="197"/>
      <c r="F908" s="198"/>
      <c r="G908" s="198"/>
      <c r="H908" s="196"/>
      <c r="I908" s="197"/>
      <c r="J908" s="177"/>
      <c r="K908" s="177"/>
      <c r="L908" s="177"/>
      <c r="M908" s="125"/>
      <c r="N908" s="125"/>
      <c r="O908" s="189"/>
      <c r="P908" s="157"/>
    </row>
    <row r="909" spans="1:16" ht="15.75" customHeight="1">
      <c r="A909" s="157"/>
      <c r="B909" s="190"/>
      <c r="C909" s="195"/>
      <c r="D909" s="196"/>
      <c r="E909" s="197"/>
      <c r="F909" s="198"/>
      <c r="G909" s="198"/>
      <c r="H909" s="196"/>
      <c r="I909" s="197"/>
      <c r="J909" s="177"/>
      <c r="K909" s="177"/>
      <c r="L909" s="177"/>
      <c r="M909" s="125"/>
      <c r="N909" s="125"/>
      <c r="O909" s="189"/>
      <c r="P909" s="157"/>
    </row>
    <row r="910" spans="1:16" ht="15.75" customHeight="1">
      <c r="A910" s="157"/>
      <c r="B910" s="190"/>
      <c r="C910" s="195"/>
      <c r="D910" s="196"/>
      <c r="E910" s="197"/>
      <c r="F910" s="198"/>
      <c r="G910" s="198"/>
      <c r="H910" s="196"/>
      <c r="I910" s="197"/>
      <c r="J910" s="177"/>
      <c r="K910" s="177"/>
      <c r="L910" s="177"/>
      <c r="M910" s="125"/>
      <c r="N910" s="125"/>
      <c r="O910" s="189"/>
      <c r="P910" s="157"/>
    </row>
    <row r="911" spans="1:16" ht="15.75" customHeight="1">
      <c r="A911" s="157"/>
      <c r="B911" s="190"/>
      <c r="C911" s="195"/>
      <c r="D911" s="196"/>
      <c r="E911" s="197"/>
      <c r="F911" s="198"/>
      <c r="G911" s="198"/>
      <c r="H911" s="196"/>
      <c r="I911" s="197"/>
      <c r="J911" s="177"/>
      <c r="K911" s="177"/>
      <c r="L911" s="177"/>
      <c r="M911" s="125"/>
      <c r="N911" s="125"/>
      <c r="O911" s="189"/>
      <c r="P911" s="157"/>
    </row>
    <row r="912" spans="1:16" ht="15.75" customHeight="1">
      <c r="A912" s="157"/>
      <c r="B912" s="190"/>
      <c r="C912" s="195"/>
      <c r="D912" s="196"/>
      <c r="E912" s="197"/>
      <c r="F912" s="198"/>
      <c r="G912" s="198"/>
      <c r="H912" s="196"/>
      <c r="I912" s="197"/>
      <c r="J912" s="177"/>
      <c r="K912" s="177"/>
      <c r="L912" s="177"/>
      <c r="M912" s="125"/>
      <c r="N912" s="125"/>
      <c r="O912" s="189"/>
      <c r="P912" s="157"/>
    </row>
    <row r="913" spans="1:16" ht="15.75" customHeight="1">
      <c r="A913" s="157"/>
      <c r="B913" s="190"/>
      <c r="C913" s="195"/>
      <c r="D913" s="196"/>
      <c r="E913" s="197"/>
      <c r="F913" s="198"/>
      <c r="G913" s="198"/>
      <c r="H913" s="196"/>
      <c r="I913" s="197"/>
      <c r="J913" s="177"/>
      <c r="K913" s="177"/>
      <c r="L913" s="177"/>
      <c r="M913" s="125"/>
      <c r="N913" s="125"/>
      <c r="O913" s="189"/>
      <c r="P913" s="157"/>
    </row>
    <row r="914" spans="1:16" ht="15.75" customHeight="1">
      <c r="A914" s="157"/>
      <c r="B914" s="190"/>
      <c r="C914" s="195"/>
      <c r="D914" s="196"/>
      <c r="E914" s="197"/>
      <c r="F914" s="198"/>
      <c r="G914" s="198"/>
      <c r="H914" s="196"/>
      <c r="I914" s="197"/>
      <c r="J914" s="177"/>
      <c r="K914" s="177"/>
      <c r="L914" s="177"/>
      <c r="M914" s="125"/>
      <c r="N914" s="125"/>
      <c r="O914" s="189"/>
      <c r="P914" s="157"/>
    </row>
    <row r="915" spans="1:16" ht="15.75" customHeight="1">
      <c r="A915" s="157"/>
      <c r="B915" s="190"/>
      <c r="C915" s="195"/>
      <c r="D915" s="196"/>
      <c r="E915" s="197"/>
      <c r="F915" s="198"/>
      <c r="G915" s="198"/>
      <c r="H915" s="196"/>
      <c r="I915" s="197"/>
      <c r="J915" s="177"/>
      <c r="K915" s="177"/>
      <c r="L915" s="177"/>
      <c r="M915" s="125"/>
      <c r="N915" s="125"/>
      <c r="O915" s="189"/>
      <c r="P915" s="157"/>
    </row>
    <row r="916" spans="1:16" ht="15.75" customHeight="1">
      <c r="A916" s="157"/>
      <c r="B916" s="190"/>
      <c r="C916" s="195"/>
      <c r="D916" s="196"/>
      <c r="E916" s="197"/>
      <c r="F916" s="198"/>
      <c r="G916" s="198"/>
      <c r="H916" s="196"/>
      <c r="I916" s="197"/>
      <c r="J916" s="177"/>
      <c r="K916" s="177"/>
      <c r="L916" s="177"/>
      <c r="M916" s="125"/>
      <c r="N916" s="125"/>
      <c r="O916" s="189"/>
      <c r="P916" s="157"/>
    </row>
    <row r="917" spans="1:16" ht="15.75" customHeight="1">
      <c r="A917" s="157"/>
      <c r="B917" s="190"/>
      <c r="C917" s="195"/>
      <c r="D917" s="196"/>
      <c r="E917" s="197"/>
      <c r="F917" s="198"/>
      <c r="G917" s="198"/>
      <c r="H917" s="196"/>
      <c r="I917" s="197"/>
      <c r="J917" s="177"/>
      <c r="K917" s="177"/>
      <c r="L917" s="177"/>
      <c r="M917" s="125"/>
      <c r="N917" s="125"/>
      <c r="O917" s="189"/>
      <c r="P917" s="157"/>
    </row>
    <row r="918" spans="1:16" ht="15.75" customHeight="1">
      <c r="A918" s="157"/>
      <c r="B918" s="190"/>
      <c r="C918" s="195"/>
      <c r="D918" s="196"/>
      <c r="E918" s="197"/>
      <c r="F918" s="198"/>
      <c r="G918" s="198"/>
      <c r="H918" s="196"/>
      <c r="I918" s="197"/>
      <c r="J918" s="177"/>
      <c r="K918" s="177"/>
      <c r="L918" s="177"/>
      <c r="M918" s="125"/>
      <c r="N918" s="125"/>
      <c r="O918" s="189"/>
      <c r="P918" s="157"/>
    </row>
    <row r="919" spans="1:16" ht="15.75" customHeight="1">
      <c r="A919" s="157"/>
      <c r="B919" s="190"/>
      <c r="C919" s="195"/>
      <c r="D919" s="196"/>
      <c r="E919" s="197"/>
      <c r="F919" s="198"/>
      <c r="G919" s="198"/>
      <c r="H919" s="196"/>
      <c r="I919" s="197"/>
      <c r="J919" s="177"/>
      <c r="K919" s="177"/>
      <c r="L919" s="177"/>
      <c r="M919" s="125"/>
      <c r="N919" s="125"/>
      <c r="O919" s="189"/>
      <c r="P919" s="157"/>
    </row>
    <row r="920" spans="1:16" ht="15.75" customHeight="1">
      <c r="A920" s="157"/>
      <c r="B920" s="190"/>
      <c r="C920" s="195"/>
      <c r="D920" s="196"/>
      <c r="E920" s="197"/>
      <c r="F920" s="198"/>
      <c r="G920" s="198"/>
      <c r="H920" s="196"/>
      <c r="I920" s="197"/>
      <c r="J920" s="177"/>
      <c r="K920" s="177"/>
      <c r="L920" s="177"/>
      <c r="M920" s="125"/>
      <c r="N920" s="125"/>
      <c r="O920" s="189"/>
      <c r="P920" s="157"/>
    </row>
    <row r="921" spans="1:16" ht="15.75" customHeight="1">
      <c r="A921" s="157"/>
      <c r="B921" s="190"/>
      <c r="C921" s="195"/>
      <c r="D921" s="196"/>
      <c r="E921" s="197"/>
      <c r="F921" s="198"/>
      <c r="G921" s="198"/>
      <c r="H921" s="196"/>
      <c r="I921" s="197"/>
      <c r="J921" s="177"/>
      <c r="K921" s="177"/>
      <c r="L921" s="177"/>
      <c r="M921" s="125"/>
      <c r="N921" s="125"/>
      <c r="O921" s="189"/>
      <c r="P921" s="157"/>
    </row>
    <row r="922" spans="1:16" ht="15.75" customHeight="1">
      <c r="A922" s="157"/>
      <c r="B922" s="190"/>
      <c r="C922" s="195"/>
      <c r="D922" s="196"/>
      <c r="E922" s="197"/>
      <c r="F922" s="198"/>
      <c r="G922" s="198"/>
      <c r="H922" s="196"/>
      <c r="I922" s="197"/>
      <c r="J922" s="177"/>
      <c r="K922" s="177"/>
      <c r="L922" s="177"/>
      <c r="M922" s="125"/>
      <c r="N922" s="125"/>
      <c r="O922" s="189"/>
      <c r="P922" s="157"/>
    </row>
    <row r="923" spans="1:16" ht="15.75" customHeight="1">
      <c r="A923" s="157"/>
      <c r="B923" s="190"/>
      <c r="C923" s="195"/>
      <c r="D923" s="196"/>
      <c r="E923" s="197"/>
      <c r="F923" s="198"/>
      <c r="G923" s="198"/>
      <c r="H923" s="196"/>
      <c r="I923" s="197"/>
      <c r="J923" s="177"/>
      <c r="K923" s="177"/>
      <c r="L923" s="177"/>
      <c r="M923" s="125"/>
      <c r="N923" s="125"/>
      <c r="O923" s="189"/>
      <c r="P923" s="157"/>
    </row>
    <row r="924" spans="1:16" ht="15.75" customHeight="1">
      <c r="A924" s="157"/>
      <c r="B924" s="190"/>
      <c r="C924" s="195"/>
      <c r="D924" s="196"/>
      <c r="E924" s="197"/>
      <c r="F924" s="198"/>
      <c r="G924" s="198"/>
      <c r="H924" s="196"/>
      <c r="I924" s="197"/>
      <c r="J924" s="177"/>
      <c r="K924" s="177"/>
      <c r="L924" s="177"/>
      <c r="M924" s="125"/>
      <c r="N924" s="125"/>
      <c r="O924" s="189"/>
      <c r="P924" s="157"/>
    </row>
    <row r="925" spans="1:16" ht="15.75" customHeight="1">
      <c r="A925" s="157"/>
      <c r="B925" s="190"/>
      <c r="C925" s="195"/>
      <c r="D925" s="196"/>
      <c r="E925" s="197"/>
      <c r="F925" s="198"/>
      <c r="G925" s="198"/>
      <c r="H925" s="196"/>
      <c r="I925" s="197"/>
      <c r="J925" s="177"/>
      <c r="K925" s="177"/>
      <c r="L925" s="177"/>
      <c r="M925" s="125"/>
      <c r="N925" s="125"/>
      <c r="O925" s="189"/>
      <c r="P925" s="157"/>
    </row>
    <row r="926" spans="1:16" ht="15.75" customHeight="1">
      <c r="A926" s="157"/>
      <c r="B926" s="190"/>
      <c r="C926" s="195"/>
      <c r="D926" s="196"/>
      <c r="E926" s="197"/>
      <c r="F926" s="198"/>
      <c r="G926" s="198"/>
      <c r="H926" s="196"/>
      <c r="I926" s="197"/>
      <c r="J926" s="177"/>
      <c r="K926" s="177"/>
      <c r="L926" s="177"/>
      <c r="M926" s="125"/>
      <c r="N926" s="125"/>
      <c r="O926" s="189"/>
      <c r="P926" s="157"/>
    </row>
    <row r="927" spans="1:16" ht="15.75" customHeight="1">
      <c r="A927" s="157"/>
      <c r="B927" s="190"/>
      <c r="C927" s="195"/>
      <c r="D927" s="196"/>
      <c r="E927" s="197"/>
      <c r="F927" s="198"/>
      <c r="G927" s="198"/>
      <c r="H927" s="196"/>
      <c r="I927" s="197"/>
      <c r="J927" s="177"/>
      <c r="K927" s="177"/>
      <c r="L927" s="177"/>
      <c r="M927" s="125"/>
      <c r="N927" s="125"/>
      <c r="O927" s="189"/>
      <c r="P927" s="157"/>
    </row>
    <row r="928" spans="1:16" ht="15.75" customHeight="1">
      <c r="A928" s="157"/>
      <c r="B928" s="190"/>
      <c r="C928" s="195"/>
      <c r="D928" s="196"/>
      <c r="E928" s="197"/>
      <c r="F928" s="198"/>
      <c r="G928" s="198"/>
      <c r="H928" s="196"/>
      <c r="I928" s="197"/>
      <c r="J928" s="177"/>
      <c r="K928" s="177"/>
      <c r="L928" s="177"/>
      <c r="M928" s="125"/>
      <c r="N928" s="125"/>
      <c r="O928" s="189"/>
      <c r="P928" s="157"/>
    </row>
    <row r="929" spans="1:16" ht="15.75" customHeight="1">
      <c r="A929" s="157"/>
      <c r="B929" s="190"/>
      <c r="C929" s="195"/>
      <c r="D929" s="196"/>
      <c r="E929" s="197"/>
      <c r="F929" s="198"/>
      <c r="G929" s="198"/>
      <c r="H929" s="196"/>
      <c r="I929" s="197"/>
      <c r="J929" s="177"/>
      <c r="K929" s="177"/>
      <c r="L929" s="177"/>
      <c r="M929" s="125"/>
      <c r="N929" s="125"/>
      <c r="O929" s="189"/>
      <c r="P929" s="157"/>
    </row>
    <row r="930" spans="1:16" ht="15.75" customHeight="1">
      <c r="A930" s="157"/>
      <c r="B930" s="190"/>
      <c r="C930" s="195"/>
      <c r="D930" s="196"/>
      <c r="E930" s="197"/>
      <c r="F930" s="198"/>
      <c r="G930" s="198"/>
      <c r="H930" s="196"/>
      <c r="I930" s="197"/>
      <c r="J930" s="177"/>
      <c r="K930" s="177"/>
      <c r="L930" s="177"/>
      <c r="M930" s="125"/>
      <c r="N930" s="125"/>
      <c r="O930" s="189"/>
      <c r="P930" s="157"/>
    </row>
    <row r="931" spans="1:16" ht="15.75" customHeight="1">
      <c r="A931" s="157"/>
      <c r="B931" s="190"/>
      <c r="C931" s="195"/>
      <c r="D931" s="196"/>
      <c r="E931" s="197"/>
      <c r="F931" s="198"/>
      <c r="G931" s="198"/>
      <c r="H931" s="196"/>
      <c r="I931" s="197"/>
      <c r="J931" s="177"/>
      <c r="K931" s="177"/>
      <c r="L931" s="177"/>
      <c r="M931" s="125"/>
      <c r="N931" s="125"/>
      <c r="O931" s="189"/>
      <c r="P931" s="157"/>
    </row>
    <row r="932" spans="1:16" ht="15.75" customHeight="1">
      <c r="A932" s="157"/>
      <c r="B932" s="190"/>
      <c r="C932" s="195"/>
      <c r="D932" s="196"/>
      <c r="E932" s="197"/>
      <c r="F932" s="198"/>
      <c r="G932" s="198"/>
      <c r="H932" s="196"/>
      <c r="I932" s="197"/>
      <c r="J932" s="177"/>
      <c r="K932" s="177"/>
      <c r="L932" s="177"/>
      <c r="M932" s="125"/>
      <c r="N932" s="125"/>
      <c r="O932" s="189"/>
      <c r="P932" s="157"/>
    </row>
    <row r="933" spans="1:16" ht="15.75" customHeight="1">
      <c r="A933" s="157"/>
      <c r="B933" s="190"/>
      <c r="C933" s="195"/>
      <c r="D933" s="196"/>
      <c r="E933" s="197"/>
      <c r="F933" s="198"/>
      <c r="G933" s="198"/>
      <c r="H933" s="196"/>
      <c r="I933" s="197"/>
      <c r="J933" s="177"/>
      <c r="K933" s="177"/>
      <c r="L933" s="177"/>
      <c r="M933" s="125"/>
      <c r="N933" s="125"/>
      <c r="O933" s="189"/>
      <c r="P933" s="157"/>
    </row>
    <row r="934" spans="1:16" ht="15.75" customHeight="1">
      <c r="A934" s="157"/>
      <c r="B934" s="190"/>
      <c r="C934" s="195"/>
      <c r="D934" s="196"/>
      <c r="E934" s="197"/>
      <c r="F934" s="198"/>
      <c r="G934" s="198"/>
      <c r="H934" s="196"/>
      <c r="I934" s="197"/>
      <c r="J934" s="177"/>
      <c r="K934" s="177"/>
      <c r="L934" s="177"/>
      <c r="M934" s="125"/>
      <c r="N934" s="125"/>
      <c r="O934" s="189"/>
      <c r="P934" s="157"/>
    </row>
    <row r="935" spans="1:16" ht="15.75" customHeight="1">
      <c r="A935" s="157"/>
      <c r="B935" s="190"/>
      <c r="C935" s="195"/>
      <c r="D935" s="196"/>
      <c r="E935" s="197"/>
      <c r="F935" s="198"/>
      <c r="G935" s="198"/>
      <c r="H935" s="196"/>
      <c r="I935" s="197"/>
      <c r="J935" s="177"/>
      <c r="K935" s="177"/>
      <c r="L935" s="177"/>
      <c r="M935" s="125"/>
      <c r="N935" s="125"/>
      <c r="O935" s="189"/>
      <c r="P935" s="157"/>
    </row>
    <row r="936" spans="1:16" ht="15.75" customHeight="1">
      <c r="A936" s="157"/>
      <c r="B936" s="190"/>
      <c r="C936" s="195"/>
      <c r="D936" s="196"/>
      <c r="E936" s="197"/>
      <c r="F936" s="198"/>
      <c r="G936" s="198"/>
      <c r="H936" s="196"/>
      <c r="I936" s="197"/>
      <c r="J936" s="177"/>
      <c r="K936" s="177"/>
      <c r="L936" s="177"/>
      <c r="M936" s="125"/>
      <c r="N936" s="125"/>
      <c r="O936" s="189"/>
      <c r="P936" s="157"/>
    </row>
    <row r="937" spans="1:16" ht="15.75" customHeight="1">
      <c r="A937" s="157"/>
      <c r="B937" s="190"/>
      <c r="C937" s="195"/>
      <c r="D937" s="196"/>
      <c r="E937" s="197"/>
      <c r="F937" s="198"/>
      <c r="G937" s="198"/>
      <c r="H937" s="196"/>
      <c r="I937" s="197"/>
      <c r="J937" s="177"/>
      <c r="K937" s="177"/>
      <c r="L937" s="177"/>
      <c r="M937" s="125"/>
      <c r="N937" s="125"/>
      <c r="O937" s="189"/>
      <c r="P937" s="157"/>
    </row>
    <row r="938" spans="1:16" ht="15.75" customHeight="1">
      <c r="A938" s="157"/>
      <c r="B938" s="190"/>
      <c r="C938" s="195"/>
      <c r="D938" s="196"/>
      <c r="E938" s="197"/>
      <c r="F938" s="198"/>
      <c r="G938" s="198"/>
      <c r="H938" s="196"/>
      <c r="I938" s="197"/>
      <c r="J938" s="177"/>
      <c r="K938" s="177"/>
      <c r="L938" s="177"/>
      <c r="M938" s="125"/>
      <c r="N938" s="125"/>
      <c r="O938" s="189"/>
      <c r="P938" s="157"/>
    </row>
    <row r="939" spans="1:16" ht="15.75" customHeight="1">
      <c r="A939" s="157"/>
      <c r="B939" s="190"/>
      <c r="C939" s="195"/>
      <c r="D939" s="196"/>
      <c r="E939" s="197"/>
      <c r="F939" s="198"/>
      <c r="G939" s="198"/>
      <c r="H939" s="196"/>
      <c r="I939" s="197"/>
      <c r="J939" s="177"/>
      <c r="K939" s="177"/>
      <c r="L939" s="177"/>
      <c r="M939" s="125"/>
      <c r="N939" s="125"/>
      <c r="O939" s="189"/>
      <c r="P939" s="157"/>
    </row>
    <row r="940" spans="1:16" ht="15.75" customHeight="1">
      <c r="A940" s="157"/>
      <c r="B940" s="190"/>
      <c r="C940" s="195"/>
      <c r="D940" s="196"/>
      <c r="E940" s="197"/>
      <c r="F940" s="198"/>
      <c r="G940" s="198"/>
      <c r="H940" s="196"/>
      <c r="I940" s="197"/>
      <c r="J940" s="177"/>
      <c r="K940" s="177"/>
      <c r="L940" s="177"/>
      <c r="M940" s="125"/>
      <c r="N940" s="125"/>
      <c r="O940" s="189"/>
      <c r="P940" s="157"/>
    </row>
    <row r="941" spans="1:16" ht="15.75" customHeight="1">
      <c r="A941" s="157"/>
      <c r="B941" s="190"/>
      <c r="C941" s="195"/>
      <c r="D941" s="196"/>
      <c r="E941" s="197"/>
      <c r="F941" s="198"/>
      <c r="G941" s="198"/>
      <c r="H941" s="196"/>
      <c r="I941" s="197"/>
      <c r="J941" s="177"/>
      <c r="K941" s="177"/>
      <c r="L941" s="177"/>
      <c r="M941" s="125"/>
      <c r="N941" s="125"/>
      <c r="O941" s="189"/>
      <c r="P941" s="157"/>
    </row>
    <row r="942" spans="1:16" ht="15.75" customHeight="1">
      <c r="A942" s="157"/>
      <c r="B942" s="190"/>
      <c r="C942" s="195"/>
      <c r="D942" s="196"/>
      <c r="E942" s="197"/>
      <c r="F942" s="198"/>
      <c r="G942" s="198"/>
      <c r="H942" s="196"/>
      <c r="I942" s="197"/>
      <c r="J942" s="177"/>
      <c r="K942" s="177"/>
      <c r="L942" s="177"/>
      <c r="M942" s="125"/>
      <c r="N942" s="125"/>
      <c r="O942" s="189"/>
      <c r="P942" s="157"/>
    </row>
    <row r="943" spans="1:16" ht="15.75" customHeight="1">
      <c r="A943" s="157"/>
      <c r="B943" s="190"/>
      <c r="C943" s="195"/>
      <c r="D943" s="196"/>
      <c r="E943" s="197"/>
      <c r="F943" s="198"/>
      <c r="G943" s="198"/>
      <c r="H943" s="196"/>
      <c r="I943" s="197"/>
      <c r="J943" s="177"/>
      <c r="K943" s="177"/>
      <c r="L943" s="177"/>
      <c r="M943" s="125"/>
      <c r="N943" s="125"/>
      <c r="O943" s="189"/>
      <c r="P943" s="157"/>
    </row>
    <row r="944" spans="1:16" ht="15.75" customHeight="1">
      <c r="A944" s="157"/>
      <c r="B944" s="190"/>
      <c r="C944" s="195"/>
      <c r="D944" s="196"/>
      <c r="E944" s="197"/>
      <c r="F944" s="198"/>
      <c r="G944" s="198"/>
      <c r="H944" s="196"/>
      <c r="I944" s="197"/>
      <c r="J944" s="177"/>
      <c r="K944" s="177"/>
      <c r="L944" s="177"/>
      <c r="M944" s="125"/>
      <c r="N944" s="125"/>
      <c r="O944" s="189"/>
      <c r="P944" s="157"/>
    </row>
    <row r="945" spans="1:16" ht="15.75" customHeight="1">
      <c r="A945" s="157"/>
      <c r="B945" s="190"/>
      <c r="C945" s="195"/>
      <c r="D945" s="196"/>
      <c r="E945" s="197"/>
      <c r="F945" s="198"/>
      <c r="G945" s="198"/>
      <c r="H945" s="196"/>
      <c r="I945" s="197"/>
      <c r="J945" s="177"/>
      <c r="K945" s="177"/>
      <c r="L945" s="177"/>
      <c r="M945" s="125"/>
      <c r="N945" s="125"/>
      <c r="O945" s="189"/>
      <c r="P945" s="157"/>
    </row>
    <row r="946" spans="1:16" ht="15.75" customHeight="1">
      <c r="A946" s="157"/>
      <c r="B946" s="190"/>
      <c r="C946" s="195"/>
      <c r="D946" s="196"/>
      <c r="E946" s="197"/>
      <c r="F946" s="198"/>
      <c r="G946" s="198"/>
      <c r="H946" s="196"/>
      <c r="I946" s="197"/>
      <c r="J946" s="177"/>
      <c r="K946" s="177"/>
      <c r="L946" s="177"/>
      <c r="M946" s="125"/>
      <c r="N946" s="125"/>
      <c r="O946" s="189"/>
      <c r="P946" s="157"/>
    </row>
    <row r="947" spans="1:16" ht="15.75" customHeight="1">
      <c r="A947" s="157"/>
      <c r="B947" s="190"/>
      <c r="C947" s="195"/>
      <c r="D947" s="196"/>
      <c r="E947" s="197"/>
      <c r="F947" s="198"/>
      <c r="G947" s="198"/>
      <c r="H947" s="196"/>
      <c r="I947" s="197"/>
      <c r="J947" s="177"/>
      <c r="K947" s="177"/>
      <c r="L947" s="177"/>
      <c r="M947" s="125"/>
      <c r="N947" s="125"/>
      <c r="O947" s="189"/>
      <c r="P947" s="157"/>
    </row>
    <row r="948" spans="1:16" ht="15.75" customHeight="1">
      <c r="A948" s="157"/>
      <c r="B948" s="190"/>
      <c r="C948" s="195"/>
      <c r="D948" s="196"/>
      <c r="E948" s="197"/>
      <c r="F948" s="198"/>
      <c r="G948" s="198"/>
      <c r="H948" s="196"/>
      <c r="I948" s="197"/>
      <c r="J948" s="177"/>
      <c r="K948" s="177"/>
      <c r="L948" s="177"/>
      <c r="M948" s="125"/>
      <c r="N948" s="125"/>
      <c r="O948" s="189"/>
      <c r="P948" s="157"/>
    </row>
    <row r="949" spans="1:16" ht="15.75" customHeight="1">
      <c r="A949" s="157"/>
      <c r="B949" s="190"/>
      <c r="C949" s="195"/>
      <c r="D949" s="196"/>
      <c r="E949" s="197"/>
      <c r="F949" s="198"/>
      <c r="G949" s="198"/>
      <c r="H949" s="196"/>
      <c r="I949" s="197"/>
      <c r="J949" s="177"/>
      <c r="K949" s="177"/>
      <c r="L949" s="177"/>
      <c r="M949" s="125"/>
      <c r="N949" s="125"/>
      <c r="O949" s="189"/>
      <c r="P949" s="157"/>
    </row>
    <row r="950" spans="1:16" ht="15.75" customHeight="1">
      <c r="A950" s="157"/>
      <c r="B950" s="190"/>
      <c r="C950" s="195"/>
      <c r="D950" s="196"/>
      <c r="E950" s="197"/>
      <c r="F950" s="198"/>
      <c r="G950" s="198"/>
      <c r="H950" s="196"/>
      <c r="I950" s="197"/>
      <c r="J950" s="177"/>
      <c r="K950" s="177"/>
      <c r="L950" s="177"/>
      <c r="M950" s="125"/>
      <c r="N950" s="125"/>
      <c r="O950" s="189"/>
      <c r="P950" s="157"/>
    </row>
    <row r="951" spans="1:16" ht="15.75" customHeight="1">
      <c r="A951" s="157"/>
      <c r="B951" s="190"/>
      <c r="C951" s="195"/>
      <c r="D951" s="196"/>
      <c r="E951" s="197"/>
      <c r="F951" s="198"/>
      <c r="G951" s="198"/>
      <c r="H951" s="196"/>
      <c r="I951" s="197"/>
      <c r="J951" s="177"/>
      <c r="K951" s="177"/>
      <c r="L951" s="177"/>
      <c r="M951" s="125"/>
      <c r="N951" s="125"/>
      <c r="O951" s="189"/>
      <c r="P951" s="157"/>
    </row>
    <row r="952" spans="1:16" ht="15.75" customHeight="1">
      <c r="A952" s="157"/>
      <c r="B952" s="190"/>
      <c r="C952" s="195"/>
      <c r="D952" s="196"/>
      <c r="E952" s="197"/>
      <c r="F952" s="198"/>
      <c r="G952" s="198"/>
      <c r="H952" s="196"/>
      <c r="I952" s="197"/>
      <c r="J952" s="177"/>
      <c r="K952" s="177"/>
      <c r="L952" s="177"/>
      <c r="M952" s="125"/>
      <c r="N952" s="125"/>
      <c r="O952" s="189"/>
      <c r="P952" s="157"/>
    </row>
    <row r="953" spans="1:16" ht="15.75" customHeight="1">
      <c r="A953" s="157"/>
      <c r="B953" s="190"/>
      <c r="C953" s="195"/>
      <c r="D953" s="196"/>
      <c r="E953" s="197"/>
      <c r="F953" s="198"/>
      <c r="G953" s="198"/>
      <c r="H953" s="196"/>
      <c r="I953" s="197"/>
      <c r="J953" s="177"/>
      <c r="K953" s="177"/>
      <c r="L953" s="177"/>
      <c r="M953" s="125"/>
      <c r="N953" s="125"/>
      <c r="O953" s="189"/>
      <c r="P953" s="157"/>
    </row>
    <row r="954" spans="1:16" ht="15.75" customHeight="1">
      <c r="A954" s="157"/>
      <c r="B954" s="190"/>
      <c r="C954" s="195"/>
      <c r="D954" s="196"/>
      <c r="E954" s="197"/>
      <c r="F954" s="198"/>
      <c r="G954" s="198"/>
      <c r="H954" s="196"/>
      <c r="I954" s="197"/>
      <c r="J954" s="177"/>
      <c r="K954" s="177"/>
      <c r="L954" s="177"/>
      <c r="M954" s="125"/>
      <c r="N954" s="125"/>
      <c r="O954" s="189"/>
      <c r="P954" s="157"/>
    </row>
    <row r="955" spans="1:16" ht="15.75" customHeight="1">
      <c r="A955" s="157"/>
      <c r="B955" s="190"/>
      <c r="C955" s="195"/>
      <c r="D955" s="196"/>
      <c r="E955" s="197"/>
      <c r="F955" s="198"/>
      <c r="G955" s="198"/>
      <c r="H955" s="196"/>
      <c r="I955" s="197"/>
      <c r="J955" s="177"/>
      <c r="K955" s="177"/>
      <c r="L955" s="177"/>
      <c r="M955" s="125"/>
      <c r="N955" s="125"/>
      <c r="O955" s="189"/>
      <c r="P955" s="157"/>
    </row>
    <row r="956" spans="1:16" ht="15.75" customHeight="1">
      <c r="A956" s="157"/>
      <c r="B956" s="190"/>
      <c r="C956" s="195"/>
      <c r="D956" s="196"/>
      <c r="E956" s="197"/>
      <c r="F956" s="198"/>
      <c r="G956" s="198"/>
      <c r="H956" s="196"/>
      <c r="I956" s="197"/>
      <c r="J956" s="177"/>
      <c r="K956" s="177"/>
      <c r="L956" s="177"/>
      <c r="M956" s="125"/>
      <c r="N956" s="125"/>
      <c r="O956" s="189"/>
      <c r="P956" s="157"/>
    </row>
    <row r="957" spans="1:16" ht="15.75" customHeight="1">
      <c r="A957" s="157"/>
      <c r="B957" s="190"/>
      <c r="C957" s="195"/>
      <c r="D957" s="196"/>
      <c r="E957" s="197"/>
      <c r="F957" s="198"/>
      <c r="G957" s="198"/>
      <c r="H957" s="196"/>
      <c r="I957" s="197"/>
      <c r="J957" s="177"/>
      <c r="K957" s="177"/>
      <c r="L957" s="177"/>
      <c r="M957" s="125"/>
      <c r="N957" s="125"/>
      <c r="O957" s="189"/>
      <c r="P957" s="157"/>
    </row>
    <row r="958" spans="1:16" ht="15.75" customHeight="1">
      <c r="A958" s="157"/>
      <c r="B958" s="190"/>
      <c r="C958" s="195"/>
      <c r="D958" s="196"/>
      <c r="E958" s="197"/>
      <c r="F958" s="198"/>
      <c r="G958" s="198"/>
      <c r="H958" s="196"/>
      <c r="I958" s="197"/>
      <c r="J958" s="177"/>
      <c r="K958" s="177"/>
      <c r="L958" s="177"/>
      <c r="M958" s="125"/>
      <c r="N958" s="125"/>
      <c r="O958" s="189"/>
      <c r="P958" s="157"/>
    </row>
    <row r="959" spans="1:16" ht="15.75" customHeight="1">
      <c r="A959" s="157"/>
      <c r="B959" s="190"/>
      <c r="C959" s="195"/>
      <c r="D959" s="196"/>
      <c r="E959" s="197"/>
      <c r="F959" s="198"/>
      <c r="G959" s="198"/>
      <c r="H959" s="196"/>
      <c r="I959" s="197"/>
      <c r="J959" s="177"/>
      <c r="K959" s="177"/>
      <c r="L959" s="177"/>
      <c r="M959" s="125"/>
      <c r="N959" s="125"/>
      <c r="O959" s="189"/>
      <c r="P959" s="157"/>
    </row>
    <row r="960" spans="1:16" ht="15.75" customHeight="1">
      <c r="A960" s="157"/>
      <c r="B960" s="190"/>
      <c r="C960" s="195"/>
      <c r="D960" s="196"/>
      <c r="E960" s="197"/>
      <c r="F960" s="198"/>
      <c r="G960" s="198"/>
      <c r="H960" s="196"/>
      <c r="I960" s="197"/>
      <c r="J960" s="177"/>
      <c r="K960" s="177"/>
      <c r="L960" s="177"/>
      <c r="M960" s="125"/>
      <c r="N960" s="125"/>
      <c r="O960" s="189"/>
      <c r="P960" s="157"/>
    </row>
    <row r="961" spans="1:16" ht="15.75" customHeight="1">
      <c r="A961" s="157"/>
      <c r="B961" s="190"/>
      <c r="C961" s="195"/>
      <c r="D961" s="196"/>
      <c r="E961" s="197"/>
      <c r="F961" s="198"/>
      <c r="G961" s="198"/>
      <c r="H961" s="196"/>
      <c r="I961" s="197"/>
      <c r="J961" s="177"/>
      <c r="K961" s="177"/>
      <c r="L961" s="177"/>
      <c r="M961" s="125"/>
      <c r="N961" s="125"/>
      <c r="O961" s="189"/>
      <c r="P961" s="157"/>
    </row>
    <row r="962" spans="1:16" ht="15.75" customHeight="1">
      <c r="A962" s="157"/>
      <c r="B962" s="190"/>
      <c r="C962" s="195"/>
      <c r="D962" s="196"/>
      <c r="E962" s="197"/>
      <c r="F962" s="198"/>
      <c r="G962" s="198"/>
      <c r="H962" s="196"/>
      <c r="I962" s="197"/>
      <c r="J962" s="177"/>
      <c r="K962" s="177"/>
      <c r="L962" s="177"/>
      <c r="M962" s="125"/>
      <c r="N962" s="125"/>
      <c r="O962" s="189"/>
      <c r="P962" s="157"/>
    </row>
    <row r="963" spans="1:16" ht="15.75" customHeight="1">
      <c r="A963" s="157"/>
      <c r="B963" s="190"/>
      <c r="C963" s="195"/>
      <c r="D963" s="196"/>
      <c r="E963" s="197"/>
      <c r="F963" s="198"/>
      <c r="G963" s="198"/>
      <c r="H963" s="196"/>
      <c r="I963" s="197"/>
      <c r="J963" s="177"/>
      <c r="K963" s="177"/>
      <c r="L963" s="177"/>
      <c r="M963" s="125"/>
      <c r="N963" s="125"/>
      <c r="O963" s="189"/>
      <c r="P963" s="157"/>
    </row>
    <row r="964" spans="1:16" ht="15.75" customHeight="1">
      <c r="A964" s="157"/>
      <c r="B964" s="190"/>
      <c r="C964" s="195"/>
      <c r="D964" s="196"/>
      <c r="E964" s="197"/>
      <c r="F964" s="198"/>
      <c r="G964" s="198"/>
      <c r="H964" s="196"/>
      <c r="I964" s="197"/>
      <c r="J964" s="177"/>
      <c r="K964" s="177"/>
      <c r="L964" s="177"/>
      <c r="M964" s="125"/>
      <c r="N964" s="125"/>
      <c r="O964" s="189"/>
      <c r="P964" s="157"/>
    </row>
    <row r="965" spans="1:16" ht="15.75" customHeight="1">
      <c r="A965" s="157"/>
      <c r="B965" s="190"/>
      <c r="C965" s="195"/>
      <c r="D965" s="196"/>
      <c r="E965" s="197"/>
      <c r="F965" s="198"/>
      <c r="G965" s="198"/>
      <c r="H965" s="196"/>
      <c r="I965" s="197"/>
      <c r="J965" s="177"/>
      <c r="K965" s="177"/>
      <c r="L965" s="177"/>
      <c r="M965" s="125"/>
      <c r="N965" s="125"/>
      <c r="O965" s="189"/>
      <c r="P965" s="157"/>
    </row>
    <row r="966" spans="1:16" ht="15.75" customHeight="1">
      <c r="A966" s="157"/>
      <c r="B966" s="190"/>
      <c r="C966" s="195"/>
      <c r="D966" s="196"/>
      <c r="E966" s="197"/>
      <c r="F966" s="198"/>
      <c r="G966" s="198"/>
      <c r="H966" s="196"/>
      <c r="I966" s="197"/>
      <c r="J966" s="177"/>
      <c r="K966" s="177"/>
      <c r="L966" s="177"/>
      <c r="M966" s="125"/>
      <c r="N966" s="125"/>
      <c r="O966" s="189"/>
      <c r="P966" s="157"/>
    </row>
    <row r="967" spans="1:16" ht="15.75" customHeight="1">
      <c r="A967" s="157"/>
      <c r="B967" s="190"/>
      <c r="C967" s="195"/>
      <c r="D967" s="196"/>
      <c r="E967" s="197"/>
      <c r="F967" s="198"/>
      <c r="G967" s="198"/>
      <c r="H967" s="196"/>
      <c r="I967" s="197"/>
      <c r="J967" s="177"/>
      <c r="K967" s="177"/>
      <c r="L967" s="177"/>
      <c r="M967" s="125"/>
      <c r="N967" s="125"/>
      <c r="O967" s="189"/>
      <c r="P967" s="157"/>
    </row>
    <row r="968" spans="1:16" ht="15.75" customHeight="1">
      <c r="A968" s="157"/>
      <c r="B968" s="190"/>
      <c r="C968" s="195"/>
      <c r="D968" s="196"/>
      <c r="E968" s="197"/>
      <c r="F968" s="198"/>
      <c r="G968" s="198"/>
      <c r="H968" s="196"/>
      <c r="I968" s="197"/>
      <c r="J968" s="177"/>
      <c r="K968" s="177"/>
      <c r="L968" s="177"/>
      <c r="M968" s="125"/>
      <c r="N968" s="125"/>
      <c r="O968" s="189"/>
      <c r="P968" s="157"/>
    </row>
    <row r="969" spans="1:16" ht="15.75" customHeight="1">
      <c r="A969" s="157"/>
      <c r="B969" s="190"/>
      <c r="C969" s="195"/>
      <c r="D969" s="196"/>
      <c r="E969" s="197"/>
      <c r="F969" s="198"/>
      <c r="G969" s="198"/>
      <c r="H969" s="196"/>
      <c r="I969" s="197"/>
      <c r="J969" s="177"/>
      <c r="K969" s="177"/>
      <c r="L969" s="177"/>
      <c r="M969" s="125"/>
      <c r="N969" s="125"/>
      <c r="O969" s="189"/>
      <c r="P969" s="157"/>
    </row>
    <row r="970" spans="1:16" ht="15.75" customHeight="1">
      <c r="A970" s="157"/>
      <c r="B970" s="190"/>
      <c r="C970" s="195"/>
      <c r="D970" s="196"/>
      <c r="E970" s="197"/>
      <c r="F970" s="198"/>
      <c r="G970" s="198"/>
      <c r="H970" s="196"/>
      <c r="I970" s="197"/>
      <c r="J970" s="177"/>
      <c r="K970" s="177"/>
      <c r="L970" s="177"/>
      <c r="M970" s="125"/>
      <c r="N970" s="125"/>
      <c r="O970" s="189"/>
      <c r="P970" s="157"/>
    </row>
    <row r="971" spans="1:16" ht="15.75" customHeight="1">
      <c r="A971" s="157"/>
      <c r="B971" s="190"/>
      <c r="C971" s="195"/>
      <c r="D971" s="196"/>
      <c r="E971" s="197"/>
      <c r="F971" s="198"/>
      <c r="G971" s="198"/>
      <c r="H971" s="196"/>
      <c r="I971" s="197"/>
      <c r="J971" s="177"/>
      <c r="K971" s="177"/>
      <c r="L971" s="177"/>
      <c r="M971" s="125"/>
      <c r="N971" s="125"/>
      <c r="O971" s="189"/>
      <c r="P971" s="157"/>
    </row>
    <row r="972" spans="1:16" ht="15.75" customHeight="1">
      <c r="A972" s="157"/>
      <c r="B972" s="190"/>
      <c r="C972" s="195"/>
      <c r="D972" s="196"/>
      <c r="E972" s="197"/>
      <c r="F972" s="198"/>
      <c r="G972" s="198"/>
      <c r="H972" s="196"/>
      <c r="I972" s="197"/>
      <c r="J972" s="177"/>
      <c r="K972" s="177"/>
      <c r="L972" s="177"/>
      <c r="M972" s="125"/>
      <c r="N972" s="125"/>
      <c r="O972" s="189"/>
      <c r="P972" s="157"/>
    </row>
    <row r="973" spans="1:16" ht="15.75" customHeight="1">
      <c r="A973" s="157"/>
      <c r="B973" s="190"/>
      <c r="C973" s="195"/>
      <c r="D973" s="196"/>
      <c r="E973" s="197"/>
      <c r="F973" s="198"/>
      <c r="G973" s="198"/>
      <c r="H973" s="196"/>
      <c r="I973" s="197"/>
      <c r="J973" s="177"/>
      <c r="K973" s="177"/>
      <c r="L973" s="177"/>
      <c r="M973" s="125"/>
      <c r="N973" s="125"/>
      <c r="O973" s="189"/>
      <c r="P973" s="157"/>
    </row>
    <row r="974" spans="1:16" ht="15.75" customHeight="1">
      <c r="A974" s="157"/>
      <c r="B974" s="190"/>
      <c r="C974" s="195"/>
      <c r="D974" s="196"/>
      <c r="E974" s="197"/>
      <c r="F974" s="198"/>
      <c r="G974" s="198"/>
      <c r="H974" s="196"/>
      <c r="I974" s="197"/>
      <c r="J974" s="177"/>
      <c r="K974" s="177"/>
      <c r="L974" s="177"/>
      <c r="M974" s="125"/>
      <c r="N974" s="125"/>
      <c r="O974" s="189"/>
      <c r="P974" s="157"/>
    </row>
    <row r="975" spans="1:16" ht="15.75" customHeight="1">
      <c r="A975" s="157"/>
      <c r="B975" s="190"/>
      <c r="C975" s="195"/>
      <c r="D975" s="196"/>
      <c r="E975" s="197"/>
      <c r="F975" s="198"/>
      <c r="G975" s="198"/>
      <c r="H975" s="196"/>
      <c r="I975" s="197"/>
      <c r="J975" s="177"/>
      <c r="K975" s="177"/>
      <c r="L975" s="177"/>
      <c r="M975" s="125"/>
      <c r="N975" s="125"/>
      <c r="O975" s="189"/>
      <c r="P975" s="157"/>
    </row>
    <row r="976" spans="1:16" ht="15.75" customHeight="1">
      <c r="A976" s="157"/>
      <c r="B976" s="190"/>
      <c r="C976" s="195"/>
      <c r="D976" s="196"/>
      <c r="E976" s="197"/>
      <c r="F976" s="198"/>
      <c r="G976" s="198"/>
      <c r="H976" s="196"/>
      <c r="I976" s="197"/>
      <c r="J976" s="177"/>
      <c r="K976" s="177"/>
      <c r="L976" s="177"/>
      <c r="M976" s="125"/>
      <c r="N976" s="125"/>
      <c r="O976" s="189"/>
      <c r="P976" s="157"/>
    </row>
    <row r="977" spans="1:16" ht="15.75" customHeight="1">
      <c r="A977" s="157"/>
      <c r="B977" s="190"/>
      <c r="C977" s="195"/>
      <c r="D977" s="196"/>
      <c r="E977" s="197"/>
      <c r="F977" s="198"/>
      <c r="G977" s="198"/>
      <c r="H977" s="196"/>
      <c r="I977" s="197"/>
      <c r="J977" s="177"/>
      <c r="K977" s="177"/>
      <c r="L977" s="177"/>
      <c r="M977" s="125"/>
      <c r="N977" s="125"/>
      <c r="O977" s="189"/>
      <c r="P977" s="157"/>
    </row>
    <row r="978" spans="1:16" ht="15.75" customHeight="1">
      <c r="A978" s="157"/>
      <c r="B978" s="190"/>
      <c r="C978" s="195"/>
      <c r="D978" s="196"/>
      <c r="E978" s="197"/>
      <c r="F978" s="198"/>
      <c r="G978" s="198"/>
      <c r="H978" s="196"/>
      <c r="I978" s="197"/>
      <c r="J978" s="177"/>
      <c r="K978" s="177"/>
      <c r="L978" s="177"/>
      <c r="M978" s="125"/>
      <c r="N978" s="125"/>
      <c r="O978" s="189"/>
      <c r="P978" s="157"/>
    </row>
    <row r="979" spans="1:16" ht="15.75" customHeight="1">
      <c r="A979" s="157"/>
      <c r="B979" s="190"/>
      <c r="C979" s="195"/>
      <c r="D979" s="196"/>
      <c r="E979" s="197"/>
      <c r="F979" s="198"/>
      <c r="G979" s="198"/>
      <c r="H979" s="196"/>
      <c r="I979" s="197"/>
      <c r="J979" s="177"/>
      <c r="K979" s="177"/>
      <c r="L979" s="177"/>
      <c r="M979" s="125"/>
      <c r="N979" s="125"/>
      <c r="O979" s="189"/>
      <c r="P979" s="157"/>
    </row>
    <row r="980" spans="1:16" ht="15.75" customHeight="1">
      <c r="A980" s="157"/>
      <c r="B980" s="190"/>
      <c r="C980" s="195"/>
      <c r="D980" s="196"/>
      <c r="E980" s="197"/>
      <c r="F980" s="198"/>
      <c r="G980" s="198"/>
      <c r="H980" s="196"/>
      <c r="I980" s="197"/>
      <c r="J980" s="177"/>
      <c r="K980" s="177"/>
      <c r="L980" s="177"/>
      <c r="M980" s="125"/>
      <c r="N980" s="125"/>
      <c r="O980" s="189"/>
      <c r="P980" s="157"/>
    </row>
    <row r="981" spans="1:16" ht="15.75" customHeight="1">
      <c r="A981" s="157"/>
      <c r="B981" s="190"/>
      <c r="C981" s="195"/>
      <c r="D981" s="196"/>
      <c r="E981" s="197"/>
      <c r="F981" s="198"/>
      <c r="G981" s="198"/>
      <c r="H981" s="196"/>
      <c r="I981" s="197"/>
      <c r="J981" s="177"/>
      <c r="K981" s="177"/>
      <c r="L981" s="177"/>
      <c r="M981" s="125"/>
      <c r="N981" s="125"/>
      <c r="O981" s="189"/>
      <c r="P981" s="157"/>
    </row>
    <row r="982" spans="1:16" ht="15.75" customHeight="1">
      <c r="A982" s="157"/>
      <c r="B982" s="190"/>
      <c r="C982" s="195"/>
      <c r="D982" s="196"/>
      <c r="E982" s="197"/>
      <c r="F982" s="198"/>
      <c r="G982" s="198"/>
      <c r="H982" s="196"/>
      <c r="I982" s="197"/>
      <c r="J982" s="177"/>
      <c r="K982" s="177"/>
      <c r="L982" s="177"/>
      <c r="M982" s="125"/>
      <c r="N982" s="125"/>
      <c r="O982" s="189"/>
      <c r="P982" s="157"/>
    </row>
    <row r="983" spans="1:16" ht="15.75" customHeight="1">
      <c r="A983" s="157"/>
      <c r="B983" s="190"/>
      <c r="C983" s="195"/>
      <c r="D983" s="196"/>
      <c r="E983" s="197"/>
      <c r="F983" s="198"/>
      <c r="G983" s="198"/>
      <c r="H983" s="196"/>
      <c r="I983" s="197"/>
      <c r="J983" s="177"/>
      <c r="K983" s="177"/>
      <c r="L983" s="177"/>
      <c r="M983" s="125"/>
      <c r="N983" s="125"/>
      <c r="O983" s="189"/>
      <c r="P983" s="157"/>
    </row>
    <row r="984" spans="1:16" ht="15.75" customHeight="1">
      <c r="A984" s="157"/>
      <c r="B984" s="190"/>
      <c r="C984" s="195"/>
      <c r="D984" s="196"/>
      <c r="E984" s="197"/>
      <c r="F984" s="198"/>
      <c r="G984" s="198"/>
      <c r="H984" s="196"/>
      <c r="I984" s="197"/>
      <c r="J984" s="177"/>
      <c r="K984" s="177"/>
      <c r="L984" s="177"/>
      <c r="M984" s="125"/>
      <c r="N984" s="125"/>
      <c r="O984" s="189"/>
      <c r="P984" s="157"/>
    </row>
    <row r="985" spans="1:16" ht="15.75" customHeight="1">
      <c r="A985" s="157"/>
      <c r="B985" s="190"/>
      <c r="C985" s="195"/>
      <c r="D985" s="196"/>
      <c r="E985" s="197"/>
      <c r="F985" s="198"/>
      <c r="G985" s="198"/>
      <c r="H985" s="196"/>
      <c r="I985" s="197"/>
      <c r="J985" s="177"/>
      <c r="K985" s="177"/>
      <c r="L985" s="177"/>
      <c r="M985" s="125"/>
      <c r="N985" s="125"/>
      <c r="O985" s="189"/>
      <c r="P985" s="157"/>
    </row>
    <row r="986" spans="1:16" ht="15.75" customHeight="1">
      <c r="A986" s="157"/>
      <c r="B986" s="190"/>
      <c r="C986" s="195"/>
      <c r="D986" s="196"/>
      <c r="E986" s="197"/>
      <c r="F986" s="198"/>
      <c r="G986" s="198"/>
      <c r="H986" s="196"/>
      <c r="I986" s="197"/>
      <c r="J986" s="177"/>
      <c r="K986" s="177"/>
      <c r="L986" s="177"/>
      <c r="M986" s="125"/>
      <c r="N986" s="125"/>
      <c r="O986" s="189"/>
      <c r="P986" s="157"/>
    </row>
    <row r="987" spans="1:16" ht="15.75" customHeight="1">
      <c r="A987" s="157"/>
      <c r="B987" s="190"/>
      <c r="C987" s="195"/>
      <c r="D987" s="196"/>
      <c r="E987" s="197"/>
      <c r="F987" s="198"/>
      <c r="G987" s="198"/>
      <c r="H987" s="196"/>
      <c r="I987" s="197"/>
      <c r="J987" s="177"/>
      <c r="K987" s="177"/>
      <c r="L987" s="177"/>
      <c r="M987" s="125"/>
      <c r="N987" s="125"/>
      <c r="O987" s="189"/>
      <c r="P987" s="157"/>
    </row>
    <row r="988" spans="1:16" ht="15.75" customHeight="1">
      <c r="A988" s="157"/>
      <c r="B988" s="190"/>
      <c r="C988" s="195"/>
      <c r="D988" s="196"/>
      <c r="E988" s="197"/>
      <c r="F988" s="198"/>
      <c r="G988" s="198"/>
      <c r="H988" s="196"/>
      <c r="I988" s="197"/>
      <c r="J988" s="177"/>
      <c r="K988" s="177"/>
      <c r="L988" s="177"/>
      <c r="M988" s="125"/>
      <c r="N988" s="125"/>
      <c r="O988" s="189"/>
      <c r="P988" s="157"/>
    </row>
    <row r="989" spans="1:16" ht="15.75" customHeight="1">
      <c r="A989" s="157"/>
      <c r="B989" s="190"/>
      <c r="C989" s="195"/>
      <c r="D989" s="196"/>
      <c r="E989" s="197"/>
      <c r="F989" s="198"/>
      <c r="G989" s="198"/>
      <c r="H989" s="196"/>
      <c r="I989" s="197"/>
      <c r="J989" s="177"/>
      <c r="K989" s="177"/>
      <c r="L989" s="177"/>
      <c r="M989" s="125"/>
      <c r="N989" s="125"/>
      <c r="O989" s="189"/>
      <c r="P989" s="157"/>
    </row>
    <row r="990" spans="1:16" ht="15.75" customHeight="1">
      <c r="A990" s="157"/>
      <c r="B990" s="190"/>
      <c r="C990" s="195"/>
      <c r="D990" s="196"/>
      <c r="E990" s="197"/>
      <c r="F990" s="198"/>
      <c r="G990" s="198"/>
      <c r="H990" s="196"/>
      <c r="I990" s="197"/>
      <c r="J990" s="177"/>
      <c r="K990" s="177"/>
      <c r="L990" s="177"/>
      <c r="M990" s="125"/>
      <c r="N990" s="125"/>
      <c r="O990" s="189"/>
      <c r="P990" s="157"/>
    </row>
    <row r="991" spans="1:16" ht="15.75" customHeight="1">
      <c r="A991" s="157"/>
      <c r="B991" s="190"/>
      <c r="C991" s="195"/>
      <c r="D991" s="196"/>
      <c r="E991" s="197"/>
      <c r="F991" s="198"/>
      <c r="G991" s="198"/>
      <c r="H991" s="196"/>
      <c r="I991" s="197"/>
      <c r="J991" s="177"/>
      <c r="K991" s="177"/>
      <c r="L991" s="177"/>
      <c r="M991" s="125"/>
      <c r="N991" s="125"/>
      <c r="O991" s="189"/>
      <c r="P991" s="157"/>
    </row>
    <row r="992" spans="1:16" ht="15.75" customHeight="1">
      <c r="A992" s="157"/>
      <c r="B992" s="190"/>
      <c r="C992" s="195"/>
      <c r="D992" s="196"/>
      <c r="E992" s="197"/>
      <c r="F992" s="198"/>
      <c r="G992" s="198"/>
      <c r="H992" s="196"/>
      <c r="I992" s="197"/>
      <c r="J992" s="177"/>
      <c r="K992" s="177"/>
      <c r="L992" s="177"/>
      <c r="M992" s="125"/>
      <c r="N992" s="125"/>
      <c r="O992" s="189"/>
      <c r="P992" s="157"/>
    </row>
    <row r="993" spans="1:16" ht="15.75" customHeight="1">
      <c r="A993" s="157"/>
      <c r="B993" s="190"/>
      <c r="C993" s="195"/>
      <c r="D993" s="196"/>
      <c r="E993" s="197"/>
      <c r="F993" s="198"/>
      <c r="G993" s="198"/>
      <c r="H993" s="196"/>
      <c r="I993" s="197"/>
      <c r="J993" s="177"/>
      <c r="K993" s="177"/>
      <c r="L993" s="177"/>
      <c r="M993" s="125"/>
      <c r="N993" s="125"/>
      <c r="O993" s="189"/>
      <c r="P993" s="157"/>
    </row>
    <row r="994" spans="1:16" ht="15.75" customHeight="1">
      <c r="A994" s="157"/>
      <c r="B994" s="190"/>
      <c r="C994" s="195"/>
      <c r="D994" s="196"/>
      <c r="E994" s="197"/>
      <c r="F994" s="198"/>
      <c r="G994" s="198"/>
      <c r="H994" s="196"/>
      <c r="I994" s="197"/>
      <c r="J994" s="177"/>
      <c r="K994" s="177"/>
      <c r="L994" s="177"/>
      <c r="M994" s="125"/>
      <c r="N994" s="125"/>
      <c r="O994" s="189"/>
      <c r="P994" s="157"/>
    </row>
    <row r="995" spans="1:16" ht="15.75" customHeight="1">
      <c r="A995" s="157"/>
      <c r="B995" s="190"/>
      <c r="C995" s="195"/>
      <c r="D995" s="196"/>
      <c r="E995" s="197"/>
      <c r="F995" s="198"/>
      <c r="G995" s="198"/>
      <c r="H995" s="196"/>
      <c r="I995" s="197"/>
      <c r="J995" s="177"/>
      <c r="K995" s="177"/>
      <c r="L995" s="177"/>
      <c r="M995" s="125"/>
      <c r="N995" s="125"/>
      <c r="O995" s="189"/>
      <c r="P995" s="157"/>
    </row>
    <row r="996" spans="1:16" ht="15.75" customHeight="1">
      <c r="A996" s="157"/>
      <c r="B996" s="190"/>
      <c r="C996" s="195"/>
      <c r="D996" s="196"/>
      <c r="E996" s="197"/>
      <c r="F996" s="198"/>
      <c r="G996" s="198"/>
      <c r="H996" s="196"/>
      <c r="I996" s="197"/>
      <c r="J996" s="177"/>
      <c r="K996" s="177"/>
      <c r="L996" s="177"/>
      <c r="M996" s="125"/>
      <c r="N996" s="125"/>
      <c r="O996" s="189"/>
      <c r="P996" s="157"/>
    </row>
    <row r="997" spans="1:16" ht="15.75" customHeight="1">
      <c r="A997" s="157"/>
      <c r="B997" s="190"/>
      <c r="C997" s="195"/>
      <c r="D997" s="196"/>
      <c r="E997" s="197"/>
      <c r="F997" s="198"/>
      <c r="G997" s="198"/>
      <c r="H997" s="196"/>
      <c r="I997" s="197"/>
      <c r="J997" s="177"/>
      <c r="K997" s="177"/>
      <c r="L997" s="177"/>
      <c r="M997" s="125"/>
      <c r="N997" s="125"/>
      <c r="O997" s="189"/>
      <c r="P997" s="157"/>
    </row>
    <row r="998" spans="1:16" ht="15.75" customHeight="1">
      <c r="A998" s="157"/>
      <c r="B998" s="190"/>
      <c r="C998" s="195"/>
      <c r="D998" s="196"/>
      <c r="E998" s="197"/>
      <c r="F998" s="198"/>
      <c r="G998" s="198"/>
      <c r="H998" s="196"/>
      <c r="I998" s="197"/>
      <c r="J998" s="177"/>
      <c r="K998" s="177"/>
      <c r="L998" s="177"/>
      <c r="M998" s="125"/>
      <c r="N998" s="125"/>
      <c r="O998" s="189"/>
      <c r="P998" s="157"/>
    </row>
    <row r="999" spans="1:16" ht="15.75" customHeight="1">
      <c r="A999" s="157"/>
      <c r="B999" s="190"/>
      <c r="C999" s="195"/>
      <c r="D999" s="196"/>
      <c r="E999" s="197"/>
      <c r="F999" s="198"/>
      <c r="G999" s="198"/>
      <c r="H999" s="196"/>
      <c r="I999" s="197"/>
      <c r="J999" s="177"/>
      <c r="K999" s="177"/>
      <c r="L999" s="177"/>
      <c r="M999" s="125"/>
      <c r="N999" s="125"/>
      <c r="O999" s="189"/>
      <c r="P999" s="157"/>
    </row>
    <row r="1000" spans="1:16" ht="15.75" customHeight="1">
      <c r="A1000" s="157"/>
      <c r="B1000" s="190"/>
      <c r="C1000" s="195"/>
      <c r="D1000" s="196"/>
      <c r="E1000" s="197"/>
      <c r="F1000" s="198"/>
      <c r="G1000" s="198"/>
      <c r="H1000" s="196"/>
      <c r="I1000" s="197"/>
      <c r="J1000" s="177"/>
      <c r="K1000" s="177"/>
      <c r="L1000" s="177"/>
      <c r="M1000" s="125"/>
      <c r="N1000" s="125"/>
      <c r="O1000" s="189"/>
      <c r="P1000" s="157"/>
    </row>
    <row r="1001" spans="1:16" ht="15.75" customHeight="1">
      <c r="A1001" s="157"/>
      <c r="B1001" s="190"/>
      <c r="C1001" s="195"/>
      <c r="D1001" s="196"/>
      <c r="E1001" s="197"/>
      <c r="F1001" s="198"/>
      <c r="G1001" s="198"/>
      <c r="H1001" s="196"/>
      <c r="I1001" s="197"/>
      <c r="J1001" s="177"/>
      <c r="K1001" s="177"/>
      <c r="L1001" s="177"/>
      <c r="M1001" s="125"/>
      <c r="N1001" s="125"/>
      <c r="O1001" s="189"/>
      <c r="P1001" s="157"/>
    </row>
    <row r="1002" spans="1:16" ht="15.75" customHeight="1">
      <c r="A1002" s="157"/>
      <c r="B1002" s="190"/>
      <c r="C1002" s="195"/>
      <c r="D1002" s="196"/>
      <c r="E1002" s="197"/>
      <c r="F1002" s="198"/>
      <c r="G1002" s="198"/>
      <c r="H1002" s="196"/>
      <c r="I1002" s="197"/>
      <c r="J1002" s="177"/>
      <c r="K1002" s="177"/>
      <c r="L1002" s="177"/>
      <c r="M1002" s="125"/>
      <c r="N1002" s="125"/>
      <c r="O1002" s="189"/>
      <c r="P1002" s="157"/>
    </row>
    <row r="1003" spans="1:16" ht="15.75" customHeight="1">
      <c r="A1003" s="157"/>
      <c r="B1003" s="190"/>
      <c r="C1003" s="195"/>
      <c r="D1003" s="196"/>
      <c r="E1003" s="197"/>
      <c r="F1003" s="198"/>
      <c r="G1003" s="198"/>
      <c r="H1003" s="196"/>
      <c r="I1003" s="197"/>
      <c r="J1003" s="177"/>
      <c r="K1003" s="177"/>
      <c r="L1003" s="177"/>
      <c r="M1003" s="125"/>
      <c r="N1003" s="125"/>
      <c r="O1003" s="189"/>
      <c r="P1003" s="157"/>
    </row>
    <row r="1004" spans="1:16" ht="15.75" customHeight="1">
      <c r="A1004" s="157"/>
      <c r="B1004" s="190"/>
      <c r="C1004" s="195"/>
      <c r="D1004" s="196"/>
      <c r="E1004" s="197"/>
      <c r="F1004" s="198"/>
      <c r="G1004" s="198"/>
      <c r="H1004" s="196"/>
      <c r="I1004" s="197"/>
      <c r="J1004" s="177"/>
      <c r="K1004" s="177"/>
      <c r="L1004" s="177"/>
      <c r="M1004" s="125"/>
      <c r="N1004" s="125"/>
      <c r="O1004" s="189"/>
      <c r="P1004" s="157"/>
    </row>
    <row r="1005" spans="1:16" ht="15.75" customHeight="1">
      <c r="A1005" s="157"/>
      <c r="B1005" s="190"/>
      <c r="C1005" s="195"/>
      <c r="D1005" s="196"/>
      <c r="E1005" s="197"/>
      <c r="F1005" s="198"/>
      <c r="G1005" s="198"/>
      <c r="H1005" s="196"/>
      <c r="I1005" s="197"/>
      <c r="J1005" s="177"/>
      <c r="K1005" s="177"/>
      <c r="L1005" s="177"/>
      <c r="M1005" s="125"/>
      <c r="N1005" s="125"/>
      <c r="O1005" s="189"/>
      <c r="P1005" s="157"/>
    </row>
    <row r="1006" spans="1:16" ht="15.75" customHeight="1">
      <c r="A1006" s="157"/>
      <c r="B1006" s="190"/>
      <c r="C1006" s="195"/>
      <c r="D1006" s="196"/>
      <c r="E1006" s="197"/>
      <c r="F1006" s="198"/>
      <c r="G1006" s="198"/>
      <c r="H1006" s="196"/>
      <c r="I1006" s="197"/>
      <c r="J1006" s="177"/>
      <c r="K1006" s="177"/>
      <c r="L1006" s="177"/>
      <c r="M1006" s="125"/>
      <c r="N1006" s="125"/>
      <c r="O1006" s="189"/>
      <c r="P1006" s="157"/>
    </row>
    <row r="1007" spans="1:16" ht="15.75" customHeight="1">
      <c r="A1007" s="157"/>
      <c r="B1007" s="190"/>
      <c r="C1007" s="195"/>
      <c r="D1007" s="196"/>
      <c r="E1007" s="197"/>
      <c r="F1007" s="198"/>
      <c r="G1007" s="198"/>
      <c r="H1007" s="196"/>
      <c r="I1007" s="197"/>
      <c r="J1007" s="177"/>
      <c r="K1007" s="177"/>
      <c r="L1007" s="177"/>
      <c r="M1007" s="125"/>
      <c r="N1007" s="125"/>
      <c r="O1007" s="189"/>
      <c r="P1007" s="157"/>
    </row>
    <row r="1008" spans="1:16" ht="15.75" customHeight="1">
      <c r="A1008" s="157"/>
      <c r="B1008" s="190"/>
      <c r="C1008" s="195"/>
      <c r="D1008" s="196"/>
      <c r="E1008" s="197"/>
      <c r="F1008" s="198"/>
      <c r="G1008" s="198"/>
      <c r="H1008" s="196"/>
      <c r="I1008" s="197"/>
      <c r="J1008" s="177"/>
      <c r="K1008" s="177"/>
      <c r="L1008" s="177"/>
      <c r="M1008" s="125"/>
      <c r="N1008" s="125"/>
      <c r="O1008" s="189"/>
      <c r="P1008" s="157"/>
    </row>
    <row r="1009" spans="1:16" ht="15.75" customHeight="1">
      <c r="A1009" s="157"/>
      <c r="B1009" s="190"/>
      <c r="C1009" s="195"/>
      <c r="D1009" s="196"/>
      <c r="E1009" s="197"/>
      <c r="F1009" s="198"/>
      <c r="G1009" s="198"/>
      <c r="H1009" s="196"/>
      <c r="I1009" s="197"/>
      <c r="J1009" s="177"/>
      <c r="K1009" s="177"/>
      <c r="L1009" s="177"/>
      <c r="M1009" s="125"/>
      <c r="N1009" s="125"/>
      <c r="O1009" s="189"/>
      <c r="P1009" s="157"/>
    </row>
    <row r="1010" spans="1:16" ht="15.75" customHeight="1">
      <c r="A1010" s="157"/>
      <c r="B1010" s="190"/>
      <c r="C1010" s="195"/>
      <c r="D1010" s="196"/>
      <c r="E1010" s="197"/>
      <c r="F1010" s="198"/>
      <c r="G1010" s="198"/>
      <c r="H1010" s="196"/>
      <c r="I1010" s="197"/>
      <c r="J1010" s="177"/>
      <c r="K1010" s="177"/>
      <c r="L1010" s="177"/>
      <c r="M1010" s="125"/>
      <c r="N1010" s="125"/>
      <c r="O1010" s="189"/>
      <c r="P1010" s="157"/>
    </row>
    <row r="1011" spans="1:16" ht="15.75" customHeight="1">
      <c r="A1011" s="157"/>
      <c r="B1011" s="190"/>
      <c r="C1011" s="195"/>
      <c r="D1011" s="196"/>
      <c r="E1011" s="197"/>
      <c r="F1011" s="198"/>
      <c r="G1011" s="198"/>
      <c r="H1011" s="196"/>
      <c r="I1011" s="197"/>
      <c r="J1011" s="177"/>
      <c r="K1011" s="177"/>
      <c r="L1011" s="177"/>
      <c r="M1011" s="125"/>
      <c r="N1011" s="125"/>
      <c r="O1011" s="189"/>
      <c r="P1011" s="157"/>
    </row>
    <row r="1012" spans="1:16" ht="15.75" customHeight="1">
      <c r="A1012" s="157"/>
      <c r="B1012" s="190"/>
      <c r="C1012" s="195"/>
      <c r="D1012" s="196"/>
      <c r="E1012" s="197"/>
      <c r="F1012" s="198"/>
      <c r="G1012" s="198"/>
      <c r="H1012" s="196"/>
      <c r="I1012" s="197"/>
      <c r="J1012" s="177"/>
      <c r="K1012" s="177"/>
      <c r="L1012" s="177"/>
      <c r="M1012" s="125"/>
      <c r="N1012" s="125"/>
      <c r="O1012" s="189"/>
      <c r="P1012" s="157"/>
    </row>
    <row r="1013" spans="1:16" ht="15.75" customHeight="1">
      <c r="A1013" s="157"/>
      <c r="B1013" s="190"/>
      <c r="C1013" s="195"/>
      <c r="D1013" s="196"/>
      <c r="E1013" s="197"/>
      <c r="F1013" s="198"/>
      <c r="G1013" s="198"/>
      <c r="H1013" s="196"/>
      <c r="I1013" s="197"/>
      <c r="J1013" s="177"/>
      <c r="K1013" s="177"/>
      <c r="L1013" s="177"/>
      <c r="M1013" s="125"/>
      <c r="N1013" s="125"/>
      <c r="O1013" s="189"/>
      <c r="P1013" s="15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2"/>
  <sheetViews>
    <sheetView tabSelected="1" workbookViewId="0">
      <pane ySplit="1" topLeftCell="A16" activePane="bottomLeft" state="frozen"/>
      <selection pane="bottomLeft" activeCell="Q38" sqref="Q38"/>
    </sheetView>
  </sheetViews>
  <sheetFormatPr defaultColWidth="11.125" defaultRowHeight="15" customHeight="1"/>
  <cols>
    <col min="1" max="1" width="11.625" customWidth="1"/>
    <col min="2" max="2" width="9.5" customWidth="1"/>
    <col min="3" max="3" width="8.875" customWidth="1"/>
    <col min="4" max="4" width="8.625" customWidth="1"/>
    <col min="5" max="5" width="7.5" customWidth="1"/>
    <col min="6" max="6" width="8.875" customWidth="1"/>
    <col min="7" max="7" width="8" customWidth="1"/>
    <col min="8" max="8" width="7.5" customWidth="1"/>
    <col min="9" max="9" width="7.125" customWidth="1"/>
    <col min="10" max="10" width="6.5" customWidth="1"/>
    <col min="11" max="11" width="7.875" customWidth="1"/>
    <col min="12" max="12" width="8.875" customWidth="1"/>
    <col min="13" max="16" width="7.875" customWidth="1"/>
    <col min="17" max="17" width="7.125" customWidth="1"/>
    <col min="18" max="19" width="6.375" customWidth="1"/>
    <col min="20" max="20" width="51" customWidth="1"/>
    <col min="21" max="27" width="10.5" customWidth="1"/>
  </cols>
  <sheetData>
    <row r="1" spans="1:27" ht="30.75" customHeight="1">
      <c r="A1" s="199" t="s">
        <v>0</v>
      </c>
      <c r="B1" s="200" t="s">
        <v>277</v>
      </c>
      <c r="C1" s="199" t="s">
        <v>278</v>
      </c>
      <c r="D1" s="199" t="s">
        <v>279</v>
      </c>
      <c r="E1" s="199" t="s">
        <v>280</v>
      </c>
      <c r="F1" s="201" t="s">
        <v>281</v>
      </c>
      <c r="G1" s="200" t="s">
        <v>282</v>
      </c>
      <c r="H1" s="199" t="s">
        <v>283</v>
      </c>
      <c r="I1" s="201" t="s">
        <v>284</v>
      </c>
      <c r="J1" s="199" t="s">
        <v>285</v>
      </c>
      <c r="K1" s="202" t="s">
        <v>286</v>
      </c>
      <c r="L1" s="202" t="s">
        <v>287</v>
      </c>
      <c r="M1" s="202" t="s">
        <v>288</v>
      </c>
      <c r="N1" s="202" t="s">
        <v>289</v>
      </c>
      <c r="O1" s="202" t="s">
        <v>290</v>
      </c>
      <c r="P1" s="202" t="s">
        <v>291</v>
      </c>
      <c r="Q1" s="201" t="s">
        <v>292</v>
      </c>
      <c r="R1" s="122" t="s">
        <v>14</v>
      </c>
      <c r="S1" s="199" t="s">
        <v>12</v>
      </c>
      <c r="T1" s="199" t="s">
        <v>140</v>
      </c>
      <c r="U1" s="203"/>
      <c r="V1" s="203"/>
      <c r="W1" s="203"/>
      <c r="X1" s="203"/>
      <c r="Y1" s="203"/>
      <c r="Z1" s="203"/>
      <c r="AA1" s="203"/>
    </row>
    <row r="2" spans="1:27" ht="32.25" customHeight="1">
      <c r="A2" s="204" t="s">
        <v>293</v>
      </c>
      <c r="B2" s="205" t="s">
        <v>17</v>
      </c>
      <c r="C2" s="205" t="s">
        <v>17</v>
      </c>
      <c r="D2" s="205" t="s">
        <v>17</v>
      </c>
      <c r="E2" s="205" t="s">
        <v>17</v>
      </c>
      <c r="F2" s="205" t="s">
        <v>17</v>
      </c>
      <c r="G2" s="206">
        <v>45210</v>
      </c>
      <c r="H2" s="205" t="s">
        <v>17</v>
      </c>
      <c r="I2" s="205" t="s">
        <v>17</v>
      </c>
      <c r="J2" s="207">
        <v>1</v>
      </c>
      <c r="K2" s="208">
        <v>2.3E-2</v>
      </c>
      <c r="L2" s="208">
        <v>2.3E-2</v>
      </c>
      <c r="M2" s="208">
        <v>2E-3</v>
      </c>
      <c r="N2" s="208">
        <v>1.2E-2</v>
      </c>
      <c r="O2" s="208">
        <v>1.2999999999999999E-2</v>
      </c>
      <c r="P2" s="208">
        <v>1E-3</v>
      </c>
      <c r="Q2" s="209">
        <f>((26.7*((K2-M2)-(O2-P2))*1000))</f>
        <v>240.29999999999993</v>
      </c>
      <c r="R2" s="210" t="s">
        <v>21</v>
      </c>
      <c r="S2" s="207" t="s">
        <v>25</v>
      </c>
      <c r="T2" s="211"/>
      <c r="U2" s="211"/>
      <c r="V2" s="211"/>
      <c r="W2" s="211"/>
      <c r="X2" s="211"/>
      <c r="Y2" s="211"/>
      <c r="Z2" s="211"/>
      <c r="AA2" s="211"/>
    </row>
    <row r="3" spans="1:27" ht="15.75" customHeight="1">
      <c r="A3" s="61" t="s">
        <v>294</v>
      </c>
      <c r="B3" s="12">
        <v>45188</v>
      </c>
      <c r="C3" s="13">
        <v>0.40763888888888888</v>
      </c>
      <c r="D3" s="12">
        <v>45188</v>
      </c>
      <c r="E3" s="212">
        <v>0.47986111111111113</v>
      </c>
      <c r="F3" s="205">
        <v>1046</v>
      </c>
      <c r="G3" s="206">
        <v>45210</v>
      </c>
      <c r="H3" s="212">
        <v>0.51180555555555551</v>
      </c>
      <c r="I3" s="205">
        <v>7</v>
      </c>
      <c r="J3" s="213">
        <v>1</v>
      </c>
      <c r="K3" s="214">
        <v>1.4E-2</v>
      </c>
      <c r="L3" s="214">
        <v>1.4999999999999999E-2</v>
      </c>
      <c r="M3" s="214">
        <v>4.0000000000000001E-3</v>
      </c>
      <c r="N3" s="214">
        <v>7.0000000000000001E-3</v>
      </c>
      <c r="O3" s="214">
        <v>8.0000000000000002E-3</v>
      </c>
      <c r="P3" s="215">
        <v>1E-3</v>
      </c>
      <c r="Q3" s="216">
        <f t="shared" ref="Q3:Q49" si="0">((26.7*((K3-M3)-(O3-P3))*I3)/(F3*J3))*1000</f>
        <v>0.5360420650095602</v>
      </c>
      <c r="R3" s="61" t="s">
        <v>21</v>
      </c>
      <c r="S3" s="213" t="s">
        <v>20</v>
      </c>
      <c r="T3" s="217"/>
      <c r="U3" s="94"/>
      <c r="V3" s="94"/>
      <c r="W3" s="94"/>
      <c r="X3" s="94"/>
      <c r="Y3" s="94"/>
      <c r="Z3" s="94"/>
      <c r="AA3" s="94"/>
    </row>
    <row r="4" spans="1:27" ht="15.75" customHeight="1">
      <c r="A4" s="61" t="s">
        <v>295</v>
      </c>
      <c r="B4" s="12">
        <v>45188</v>
      </c>
      <c r="C4" s="13">
        <v>0.33333333333333331</v>
      </c>
      <c r="D4" s="12">
        <v>45188</v>
      </c>
      <c r="E4" s="218">
        <v>0.48680555555555555</v>
      </c>
      <c r="F4" s="60">
        <v>1040</v>
      </c>
      <c r="G4" s="206">
        <v>45210</v>
      </c>
      <c r="H4" s="212">
        <v>0.51597222222222228</v>
      </c>
      <c r="I4" s="60">
        <v>7.5</v>
      </c>
      <c r="J4" s="213">
        <v>1</v>
      </c>
      <c r="K4" s="219">
        <v>1.7000000000000001E-2</v>
      </c>
      <c r="L4" s="219">
        <v>1.7000000000000001E-2</v>
      </c>
      <c r="M4" s="219">
        <v>1.0999999999999999E-2</v>
      </c>
      <c r="N4" s="219">
        <v>1.0999999999999999E-2</v>
      </c>
      <c r="O4" s="219">
        <v>0.01</v>
      </c>
      <c r="P4" s="219">
        <v>7.0000000000000001E-3</v>
      </c>
      <c r="Q4" s="216">
        <f t="shared" si="0"/>
        <v>0.5776442307692311</v>
      </c>
      <c r="R4" s="61" t="s">
        <v>21</v>
      </c>
      <c r="S4" s="213" t="s">
        <v>20</v>
      </c>
      <c r="T4" s="220"/>
      <c r="U4" s="94"/>
      <c r="V4" s="94"/>
      <c r="W4" s="94"/>
      <c r="X4" s="94"/>
      <c r="Y4" s="94"/>
      <c r="Z4" s="94"/>
      <c r="AA4" s="94"/>
    </row>
    <row r="5" spans="1:27" ht="15.75" customHeight="1">
      <c r="A5" s="61" t="s">
        <v>296</v>
      </c>
      <c r="B5" s="12">
        <v>45188</v>
      </c>
      <c r="C5" s="13">
        <v>0.375</v>
      </c>
      <c r="D5" s="12">
        <v>45188</v>
      </c>
      <c r="E5" s="218">
        <v>0.49652777777777779</v>
      </c>
      <c r="F5" s="60">
        <v>1045</v>
      </c>
      <c r="G5" s="206">
        <v>45210</v>
      </c>
      <c r="H5" s="212">
        <v>0.5131944444444444</v>
      </c>
      <c r="I5" s="60">
        <v>7.5</v>
      </c>
      <c r="J5" s="213">
        <v>1</v>
      </c>
      <c r="K5" s="219">
        <v>1.7000000000000001E-2</v>
      </c>
      <c r="L5" s="219">
        <v>1.7000000000000001E-2</v>
      </c>
      <c r="M5" s="219">
        <v>4.0000000000000001E-3</v>
      </c>
      <c r="N5" s="219">
        <v>0.01</v>
      </c>
      <c r="O5" s="219">
        <v>0.01</v>
      </c>
      <c r="P5" s="219">
        <v>2E-3</v>
      </c>
      <c r="Q5" s="216">
        <f t="shared" si="0"/>
        <v>0.95813397129186617</v>
      </c>
      <c r="R5" s="61" t="s">
        <v>21</v>
      </c>
      <c r="S5" s="213" t="s">
        <v>20</v>
      </c>
      <c r="T5" s="220"/>
      <c r="U5" s="94"/>
      <c r="V5" s="94"/>
      <c r="W5" s="94"/>
      <c r="X5" s="94"/>
      <c r="Y5" s="94"/>
      <c r="Z5" s="94"/>
      <c r="AA5" s="94"/>
    </row>
    <row r="6" spans="1:27" ht="15.75" customHeight="1">
      <c r="A6" s="61" t="s">
        <v>297</v>
      </c>
      <c r="B6" s="12">
        <v>45188</v>
      </c>
      <c r="C6" s="21">
        <v>0.42986111111111114</v>
      </c>
      <c r="D6" s="12">
        <v>45188</v>
      </c>
      <c r="E6" s="218">
        <v>0.50694444444444442</v>
      </c>
      <c r="F6" s="60">
        <v>1063</v>
      </c>
      <c r="G6" s="206">
        <v>45210</v>
      </c>
      <c r="H6" s="212">
        <v>0.51388888888888884</v>
      </c>
      <c r="I6" s="60">
        <v>7.8</v>
      </c>
      <c r="J6" s="213">
        <v>1</v>
      </c>
      <c r="K6" s="219">
        <v>8.0000000000000002E-3</v>
      </c>
      <c r="L6" s="219">
        <v>8.0000000000000002E-3</v>
      </c>
      <c r="M6" s="219">
        <v>1E-3</v>
      </c>
      <c r="N6" s="219">
        <v>4.0000000000000001E-3</v>
      </c>
      <c r="O6" s="219">
        <v>4.0000000000000001E-3</v>
      </c>
      <c r="P6" s="219">
        <v>-1E-3</v>
      </c>
      <c r="Q6" s="216">
        <f t="shared" si="0"/>
        <v>0.39183443085606778</v>
      </c>
      <c r="R6" s="61" t="s">
        <v>21</v>
      </c>
      <c r="S6" s="213" t="s">
        <v>20</v>
      </c>
      <c r="T6" s="220"/>
      <c r="U6" s="94"/>
      <c r="V6" s="94"/>
      <c r="W6" s="94"/>
      <c r="X6" s="94"/>
      <c r="Y6" s="94"/>
      <c r="Z6" s="94"/>
      <c r="AA6" s="94"/>
    </row>
    <row r="7" spans="1:27" ht="15.75" customHeight="1">
      <c r="A7" s="61" t="s">
        <v>298</v>
      </c>
      <c r="B7" s="12">
        <v>45189</v>
      </c>
      <c r="C7" s="62">
        <v>0.37152777777777779</v>
      </c>
      <c r="D7" s="12">
        <v>45189</v>
      </c>
      <c r="E7" s="218">
        <v>0.56458333333333333</v>
      </c>
      <c r="F7" s="60">
        <v>1056</v>
      </c>
      <c r="G7" s="206">
        <v>45210</v>
      </c>
      <c r="H7" s="212">
        <v>0.59861111111111109</v>
      </c>
      <c r="I7" s="60">
        <v>7</v>
      </c>
      <c r="J7" s="213">
        <v>1</v>
      </c>
      <c r="K7" s="219">
        <v>1.2999999999999999E-2</v>
      </c>
      <c r="L7" s="219">
        <v>1.2E-2</v>
      </c>
      <c r="M7" s="219">
        <v>8.9999999999999993E-3</v>
      </c>
      <c r="N7" s="219">
        <v>8.0000000000000002E-3</v>
      </c>
      <c r="O7" s="219">
        <v>8.0000000000000002E-3</v>
      </c>
      <c r="P7" s="219">
        <v>7.0000000000000001E-3</v>
      </c>
      <c r="Q7" s="216">
        <f t="shared" si="0"/>
        <v>0.53096590909090913</v>
      </c>
      <c r="R7" s="61" t="s">
        <v>21</v>
      </c>
      <c r="S7" s="213" t="s">
        <v>20</v>
      </c>
      <c r="U7" s="94"/>
      <c r="V7" s="94"/>
      <c r="W7" s="94"/>
      <c r="X7" s="94"/>
      <c r="Y7" s="94"/>
      <c r="Z7" s="94"/>
      <c r="AA7" s="94"/>
    </row>
    <row r="8" spans="1:27" ht="15.75" customHeight="1">
      <c r="A8" s="61" t="s">
        <v>299</v>
      </c>
      <c r="B8" s="12">
        <v>45189</v>
      </c>
      <c r="C8" s="221">
        <v>0.40972222222222221</v>
      </c>
      <c r="D8" s="12">
        <v>45189</v>
      </c>
      <c r="E8" s="218">
        <v>0.56944444444444442</v>
      </c>
      <c r="F8" s="205">
        <v>1056</v>
      </c>
      <c r="G8" s="206">
        <v>45210</v>
      </c>
      <c r="H8" s="212">
        <v>0.54305555555555551</v>
      </c>
      <c r="I8" s="205">
        <v>7</v>
      </c>
      <c r="J8" s="213">
        <v>1</v>
      </c>
      <c r="K8" s="214">
        <v>1.9E-2</v>
      </c>
      <c r="L8" s="214">
        <v>1.9E-2</v>
      </c>
      <c r="M8" s="214">
        <v>0</v>
      </c>
      <c r="N8" s="214">
        <v>1.2E-2</v>
      </c>
      <c r="O8" s="214">
        <v>1.2E-2</v>
      </c>
      <c r="P8" s="214">
        <v>1E-3</v>
      </c>
      <c r="Q8" s="216">
        <f t="shared" si="0"/>
        <v>1.415909090909091</v>
      </c>
      <c r="R8" s="61" t="s">
        <v>21</v>
      </c>
      <c r="S8" s="213" t="s">
        <v>20</v>
      </c>
      <c r="T8" s="222"/>
      <c r="U8" s="223"/>
      <c r="V8" s="94"/>
      <c r="W8" s="94"/>
      <c r="X8" s="94"/>
      <c r="Y8" s="94"/>
      <c r="Z8" s="94"/>
      <c r="AA8" s="94"/>
    </row>
    <row r="9" spans="1:27" ht="15.75" customHeight="1">
      <c r="A9" s="61" t="s">
        <v>300</v>
      </c>
      <c r="B9" s="12">
        <v>45189</v>
      </c>
      <c r="C9" s="221">
        <v>0.43402777777777779</v>
      </c>
      <c r="D9" s="12">
        <v>45189</v>
      </c>
      <c r="E9" s="218">
        <v>0.57430555555555551</v>
      </c>
      <c r="F9" s="205">
        <v>1058</v>
      </c>
      <c r="G9" s="206">
        <v>45210</v>
      </c>
      <c r="H9" s="212">
        <v>0.51458333333333328</v>
      </c>
      <c r="I9" s="205">
        <v>7.5</v>
      </c>
      <c r="J9" s="213">
        <v>1</v>
      </c>
      <c r="K9" s="214">
        <v>1.6E-2</v>
      </c>
      <c r="L9" s="214">
        <v>1.6E-2</v>
      </c>
      <c r="M9" s="214">
        <v>3.0000000000000001E-3</v>
      </c>
      <c r="N9" s="214">
        <v>8.9999999999999993E-3</v>
      </c>
      <c r="O9" s="214">
        <v>8.9999999999999993E-3</v>
      </c>
      <c r="P9" s="214">
        <v>1E-3</v>
      </c>
      <c r="Q9" s="216">
        <f t="shared" si="0"/>
        <v>0.9463610586011344</v>
      </c>
      <c r="R9" s="61" t="s">
        <v>21</v>
      </c>
      <c r="S9" s="213" t="s">
        <v>20</v>
      </c>
      <c r="T9" s="224"/>
      <c r="U9" s="223"/>
      <c r="V9" s="94"/>
      <c r="W9" s="94"/>
      <c r="X9" s="94"/>
      <c r="Y9" s="94"/>
      <c r="Z9" s="94"/>
      <c r="AA9" s="94"/>
    </row>
    <row r="10" spans="1:27" ht="15.75" customHeight="1">
      <c r="A10" s="61" t="s">
        <v>301</v>
      </c>
      <c r="B10" s="12">
        <v>45190</v>
      </c>
      <c r="C10" s="62">
        <v>0.47569444444444442</v>
      </c>
      <c r="D10" s="12">
        <v>45190</v>
      </c>
      <c r="E10" s="218">
        <v>0.57430555555555551</v>
      </c>
      <c r="F10" s="60">
        <v>1054</v>
      </c>
      <c r="G10" s="206">
        <v>45210</v>
      </c>
      <c r="H10" s="212">
        <v>0.53472222222222221</v>
      </c>
      <c r="I10" s="60">
        <v>7.6</v>
      </c>
      <c r="J10" s="213">
        <v>1</v>
      </c>
      <c r="K10" s="214">
        <v>5.0000000000000001E-3</v>
      </c>
      <c r="L10" s="214">
        <v>5.0000000000000001E-3</v>
      </c>
      <c r="M10" s="219">
        <v>1E-3</v>
      </c>
      <c r="N10" s="214">
        <v>3.0000000000000001E-3</v>
      </c>
      <c r="O10" s="214">
        <v>3.0000000000000001E-3</v>
      </c>
      <c r="P10" s="214">
        <v>1E-3</v>
      </c>
      <c r="Q10" s="60">
        <f t="shared" si="0"/>
        <v>0.38504743833017074</v>
      </c>
      <c r="R10" s="61" t="s">
        <v>21</v>
      </c>
      <c r="S10" s="213" t="s">
        <v>20</v>
      </c>
      <c r="T10" s="436"/>
      <c r="U10" s="94"/>
      <c r="V10" s="94"/>
      <c r="W10" s="94"/>
      <c r="X10" s="94"/>
      <c r="Y10" s="94"/>
      <c r="Z10" s="94"/>
      <c r="AA10" s="94"/>
    </row>
    <row r="11" spans="1:27" ht="15.75" customHeight="1">
      <c r="A11" s="61" t="s">
        <v>302</v>
      </c>
      <c r="B11" s="12">
        <v>45190</v>
      </c>
      <c r="C11" s="62">
        <v>0.44722222222222224</v>
      </c>
      <c r="D11" s="12">
        <v>45190</v>
      </c>
      <c r="E11" s="218">
        <v>0.57986111111111116</v>
      </c>
      <c r="F11" s="60">
        <v>1052</v>
      </c>
      <c r="G11" s="206">
        <v>45210</v>
      </c>
      <c r="H11" s="212">
        <v>0.5444444444444444</v>
      </c>
      <c r="I11" s="60">
        <v>7</v>
      </c>
      <c r="J11" s="213">
        <v>1</v>
      </c>
      <c r="K11" s="219">
        <v>4.0000000000000001E-3</v>
      </c>
      <c r="L11" s="219">
        <v>4.0000000000000001E-3</v>
      </c>
      <c r="M11" s="219">
        <v>1E-3</v>
      </c>
      <c r="N11" s="219">
        <v>3.0000000000000001E-3</v>
      </c>
      <c r="O11" s="219">
        <v>3.0000000000000001E-3</v>
      </c>
      <c r="P11" s="219">
        <v>1E-3</v>
      </c>
      <c r="Q11" s="60">
        <f t="shared" si="0"/>
        <v>0.17766159695817491</v>
      </c>
      <c r="R11" s="61" t="s">
        <v>21</v>
      </c>
      <c r="S11" s="213" t="s">
        <v>20</v>
      </c>
      <c r="T11" s="429"/>
      <c r="U11" s="94"/>
      <c r="V11" s="94"/>
      <c r="W11" s="94"/>
      <c r="X11" s="94"/>
      <c r="Y11" s="94"/>
      <c r="Z11" s="94"/>
      <c r="AA11" s="94"/>
    </row>
    <row r="12" spans="1:27" ht="15.75" customHeight="1">
      <c r="A12" s="61" t="s">
        <v>303</v>
      </c>
      <c r="B12" s="12">
        <v>45190</v>
      </c>
      <c r="C12" s="62">
        <v>0.36805555555555558</v>
      </c>
      <c r="D12" s="12">
        <v>45190</v>
      </c>
      <c r="E12" s="218">
        <v>0.58472222222222225</v>
      </c>
      <c r="F12" s="60">
        <v>1054</v>
      </c>
      <c r="G12" s="206">
        <v>45210</v>
      </c>
      <c r="H12" s="212">
        <v>0.51527777777777772</v>
      </c>
      <c r="I12" s="60">
        <v>7</v>
      </c>
      <c r="J12" s="213">
        <v>1</v>
      </c>
      <c r="K12" s="214">
        <v>6.0000000000000001E-3</v>
      </c>
      <c r="L12" s="214">
        <v>6.0000000000000001E-3</v>
      </c>
      <c r="M12" s="214">
        <v>1E-3</v>
      </c>
      <c r="N12" s="219">
        <v>4.0000000000000001E-3</v>
      </c>
      <c r="O12" s="219">
        <v>4.0000000000000001E-3</v>
      </c>
      <c r="P12" s="219">
        <v>1E-3</v>
      </c>
      <c r="Q12" s="60">
        <f t="shared" si="0"/>
        <v>0.35464895635673627</v>
      </c>
      <c r="R12" s="61" t="s">
        <v>21</v>
      </c>
      <c r="S12" s="213" t="s">
        <v>20</v>
      </c>
      <c r="T12" s="427"/>
      <c r="U12" s="94"/>
      <c r="V12" s="94"/>
      <c r="W12" s="94"/>
      <c r="X12" s="94"/>
      <c r="Y12" s="94"/>
      <c r="Z12" s="94"/>
      <c r="AA12" s="94"/>
    </row>
    <row r="13" spans="1:27" ht="15.75" customHeight="1">
      <c r="A13" s="61" t="s">
        <v>304</v>
      </c>
      <c r="B13" s="12">
        <v>45190</v>
      </c>
      <c r="C13" s="62">
        <v>0.40555555555555556</v>
      </c>
      <c r="D13" s="12">
        <v>45190</v>
      </c>
      <c r="E13" s="218">
        <v>0.58611111111111114</v>
      </c>
      <c r="F13" s="60">
        <v>1062</v>
      </c>
      <c r="G13" s="206">
        <v>45210</v>
      </c>
      <c r="H13" s="212">
        <v>0.54027777777777775</v>
      </c>
      <c r="I13" s="60">
        <v>7.3</v>
      </c>
      <c r="J13" s="213">
        <v>1</v>
      </c>
      <c r="K13" s="214">
        <v>6.0000000000000001E-3</v>
      </c>
      <c r="L13" s="214">
        <v>6.0000000000000001E-3</v>
      </c>
      <c r="M13" s="219">
        <v>2E-3</v>
      </c>
      <c r="N13" s="219">
        <v>5.0000000000000001E-3</v>
      </c>
      <c r="O13" s="219">
        <v>5.0000000000000001E-3</v>
      </c>
      <c r="P13" s="219">
        <v>3.0000000000000001E-3</v>
      </c>
      <c r="Q13" s="60">
        <f t="shared" si="0"/>
        <v>0.36706214689265537</v>
      </c>
      <c r="R13" s="61" t="s">
        <v>21</v>
      </c>
      <c r="S13" s="213" t="s">
        <v>20</v>
      </c>
      <c r="T13" s="436"/>
      <c r="U13" s="94"/>
      <c r="V13" s="94"/>
      <c r="W13" s="94"/>
      <c r="X13" s="94"/>
      <c r="Y13" s="94"/>
      <c r="Z13" s="94"/>
      <c r="AA13" s="94"/>
    </row>
    <row r="14" spans="1:27" ht="15.75" customHeight="1">
      <c r="A14" s="61" t="s">
        <v>305</v>
      </c>
      <c r="B14" s="12">
        <v>45203</v>
      </c>
      <c r="C14" s="62">
        <v>0.34236111111111112</v>
      </c>
      <c r="D14" s="12">
        <v>45203</v>
      </c>
      <c r="E14" s="218">
        <v>0.56319444444444444</v>
      </c>
      <c r="F14" s="60">
        <v>1062</v>
      </c>
      <c r="G14" s="206">
        <v>45210</v>
      </c>
      <c r="H14" s="212">
        <v>0.53819444444444442</v>
      </c>
      <c r="I14" s="60">
        <v>7</v>
      </c>
      <c r="J14" s="213">
        <v>1</v>
      </c>
      <c r="K14" s="214">
        <v>6.0000000000000001E-3</v>
      </c>
      <c r="L14" s="214">
        <v>6.0000000000000001E-3</v>
      </c>
      <c r="M14" s="219">
        <v>4.0000000000000001E-3</v>
      </c>
      <c r="N14" s="219">
        <v>4.0000000000000001E-3</v>
      </c>
      <c r="O14" s="219">
        <v>4.0000000000000001E-3</v>
      </c>
      <c r="P14" s="219">
        <v>4.0000000000000001E-3</v>
      </c>
      <c r="Q14" s="60">
        <f t="shared" si="0"/>
        <v>0.35197740112994352</v>
      </c>
      <c r="R14" s="61" t="s">
        <v>21</v>
      </c>
      <c r="S14" s="213" t="s">
        <v>20</v>
      </c>
      <c r="T14" s="427"/>
      <c r="U14" s="94"/>
      <c r="V14" s="94"/>
      <c r="W14" s="94"/>
      <c r="X14" s="94"/>
      <c r="Y14" s="94"/>
      <c r="Z14" s="94"/>
      <c r="AA14" s="94"/>
    </row>
    <row r="15" spans="1:27" ht="15.75" customHeight="1">
      <c r="A15" s="61" t="s">
        <v>306</v>
      </c>
      <c r="B15" s="12">
        <v>45203</v>
      </c>
      <c r="C15" s="62">
        <v>0.41666666666666669</v>
      </c>
      <c r="D15" s="12">
        <v>45203</v>
      </c>
      <c r="E15" s="218">
        <v>0.56805555555555554</v>
      </c>
      <c r="F15" s="60">
        <v>1062</v>
      </c>
      <c r="G15" s="206">
        <v>45210</v>
      </c>
      <c r="H15" s="212">
        <v>0.5395833333333333</v>
      </c>
      <c r="I15" s="60">
        <v>7.5</v>
      </c>
      <c r="J15" s="213">
        <v>1</v>
      </c>
      <c r="K15" s="219">
        <v>6.0000000000000001E-3</v>
      </c>
      <c r="L15" s="219">
        <v>8.0000000000000002E-3</v>
      </c>
      <c r="M15" s="219">
        <v>3.0000000000000001E-3</v>
      </c>
      <c r="N15" s="219">
        <v>5.0000000000000001E-3</v>
      </c>
      <c r="O15" s="225">
        <v>5.0000000000000001E-3</v>
      </c>
      <c r="P15" s="226">
        <v>2E-3</v>
      </c>
      <c r="Q15" s="60">
        <f t="shared" si="0"/>
        <v>0</v>
      </c>
      <c r="R15" s="61" t="s">
        <v>21</v>
      </c>
      <c r="S15" s="213" t="s">
        <v>20</v>
      </c>
      <c r="T15" s="435"/>
      <c r="U15" s="94"/>
      <c r="V15" s="94"/>
      <c r="W15" s="94"/>
      <c r="X15" s="94"/>
      <c r="Y15" s="94"/>
      <c r="Z15" s="94"/>
      <c r="AA15" s="94"/>
    </row>
    <row r="16" spans="1:27" ht="15.75" customHeight="1">
      <c r="A16" s="61" t="s">
        <v>307</v>
      </c>
      <c r="B16" s="12">
        <v>45203</v>
      </c>
      <c r="C16" s="62">
        <v>0.30555555555555558</v>
      </c>
      <c r="D16" s="12">
        <v>45203</v>
      </c>
      <c r="E16" s="218">
        <v>0.58472222222222225</v>
      </c>
      <c r="F16" s="60">
        <v>1062</v>
      </c>
      <c r="G16" s="206">
        <v>45210</v>
      </c>
      <c r="H16" s="212">
        <v>0.6020833333333333</v>
      </c>
      <c r="I16" s="60">
        <v>8</v>
      </c>
      <c r="J16" s="213">
        <v>1</v>
      </c>
      <c r="K16" s="219">
        <v>7.0000000000000001E-3</v>
      </c>
      <c r="L16" s="219">
        <v>7.0000000000000001E-3</v>
      </c>
      <c r="M16" s="219">
        <v>3.0000000000000001E-3</v>
      </c>
      <c r="N16" s="219">
        <v>5.0000000000000001E-3</v>
      </c>
      <c r="O16" s="225">
        <v>5.0000000000000001E-3</v>
      </c>
      <c r="P16" s="219">
        <v>3.0000000000000001E-3</v>
      </c>
      <c r="Q16" s="60">
        <f t="shared" si="0"/>
        <v>0.40225988700564974</v>
      </c>
      <c r="R16" s="61" t="s">
        <v>21</v>
      </c>
      <c r="S16" s="213" t="s">
        <v>20</v>
      </c>
      <c r="T16" s="427"/>
      <c r="U16" s="94"/>
      <c r="V16" s="94"/>
      <c r="W16" s="94"/>
      <c r="X16" s="94"/>
      <c r="Y16" s="94"/>
      <c r="Z16" s="94"/>
      <c r="AA16" s="94"/>
    </row>
    <row r="17" spans="1:27" ht="15.75" customHeight="1">
      <c r="A17" s="61" t="s">
        <v>308</v>
      </c>
      <c r="B17" s="12">
        <v>45203</v>
      </c>
      <c r="C17" s="62">
        <v>0.43472222222222223</v>
      </c>
      <c r="D17" s="12">
        <v>45203</v>
      </c>
      <c r="E17" s="218">
        <v>0.57361111111111107</v>
      </c>
      <c r="F17" s="60">
        <v>1062</v>
      </c>
      <c r="G17" s="206">
        <v>45210</v>
      </c>
      <c r="H17" s="212">
        <v>0.60347222222222219</v>
      </c>
      <c r="I17" s="227">
        <v>7.4</v>
      </c>
      <c r="J17" s="213">
        <v>1</v>
      </c>
      <c r="K17" s="219">
        <v>8.0000000000000002E-3</v>
      </c>
      <c r="L17" s="219">
        <v>7.0000000000000001E-3</v>
      </c>
      <c r="M17" s="219">
        <v>2E-3</v>
      </c>
      <c r="N17" s="219">
        <v>6.0000000000000001E-3</v>
      </c>
      <c r="O17" s="219">
        <v>5.0000000000000001E-3</v>
      </c>
      <c r="P17" s="219">
        <v>1E-3</v>
      </c>
      <c r="Q17" s="60">
        <f t="shared" si="0"/>
        <v>0.37209039548022604</v>
      </c>
      <c r="R17" s="61" t="s">
        <v>21</v>
      </c>
      <c r="S17" s="213" t="s">
        <v>20</v>
      </c>
      <c r="T17" s="101"/>
      <c r="U17" s="94"/>
      <c r="V17" s="94"/>
      <c r="W17" s="94"/>
      <c r="X17" s="94"/>
      <c r="Y17" s="94"/>
      <c r="Z17" s="94"/>
      <c r="AA17" s="94"/>
    </row>
    <row r="18" spans="1:27" ht="15.75" customHeight="1">
      <c r="A18" s="61" t="s">
        <v>309</v>
      </c>
      <c r="B18" s="12">
        <v>45203</v>
      </c>
      <c r="C18" s="62">
        <v>0.3840277777777778</v>
      </c>
      <c r="D18" s="12">
        <v>45203</v>
      </c>
      <c r="E18" s="218">
        <v>0.58194444444444449</v>
      </c>
      <c r="F18" s="60">
        <v>1062</v>
      </c>
      <c r="G18" s="206">
        <v>45210</v>
      </c>
      <c r="H18" s="212">
        <v>0.60416666666666663</v>
      </c>
      <c r="I18" s="227">
        <v>7.5</v>
      </c>
      <c r="J18" s="213">
        <v>1</v>
      </c>
      <c r="K18" s="219">
        <v>1.0999999999999999E-2</v>
      </c>
      <c r="L18" s="219">
        <v>0.01</v>
      </c>
      <c r="M18" s="219">
        <v>5.0000000000000001E-3</v>
      </c>
      <c r="N18" s="228">
        <v>8.9999999999999993E-3</v>
      </c>
      <c r="O18" s="228">
        <v>8.9999999999999993E-3</v>
      </c>
      <c r="P18" s="228">
        <v>5.0000000000000001E-3</v>
      </c>
      <c r="Q18" s="216">
        <f t="shared" si="0"/>
        <v>0.3771186440677966</v>
      </c>
      <c r="R18" s="61" t="s">
        <v>21</v>
      </c>
      <c r="S18" s="213" t="s">
        <v>20</v>
      </c>
      <c r="T18" s="104"/>
      <c r="U18" s="94"/>
      <c r="V18" s="94"/>
      <c r="W18" s="94"/>
      <c r="X18" s="94"/>
      <c r="Y18" s="94"/>
      <c r="Z18" s="94"/>
      <c r="AA18" s="94"/>
    </row>
    <row r="19" spans="1:27" ht="15.75" customHeight="1">
      <c r="A19" s="61" t="s">
        <v>310</v>
      </c>
      <c r="B19" s="12">
        <v>45203</v>
      </c>
      <c r="C19" s="62">
        <v>0.36736111111111114</v>
      </c>
      <c r="D19" s="12">
        <v>45203</v>
      </c>
      <c r="E19" s="218">
        <v>0.59027777777777779</v>
      </c>
      <c r="F19" s="60">
        <v>1062</v>
      </c>
      <c r="G19" s="206">
        <v>45210</v>
      </c>
      <c r="H19" s="212">
        <v>0.60555555555555551</v>
      </c>
      <c r="I19" s="227">
        <v>7</v>
      </c>
      <c r="J19" s="213">
        <v>1</v>
      </c>
      <c r="K19" s="219">
        <v>7.0000000000000001E-3</v>
      </c>
      <c r="L19" s="219">
        <v>7.0000000000000001E-3</v>
      </c>
      <c r="M19" s="219">
        <v>2E-3</v>
      </c>
      <c r="N19" s="219">
        <v>5.0000000000000001E-3</v>
      </c>
      <c r="O19" s="219">
        <v>5.0000000000000001E-3</v>
      </c>
      <c r="P19" s="219">
        <v>2E-3</v>
      </c>
      <c r="Q19" s="216">
        <f t="shared" si="0"/>
        <v>0.35197740112994352</v>
      </c>
      <c r="R19" s="61" t="s">
        <v>21</v>
      </c>
      <c r="S19" s="213" t="s">
        <v>20</v>
      </c>
      <c r="T19" s="104"/>
      <c r="U19" s="94"/>
      <c r="V19" s="94"/>
      <c r="W19" s="94"/>
      <c r="X19" s="94"/>
      <c r="Y19" s="94"/>
      <c r="Z19" s="94"/>
      <c r="AA19" s="94"/>
    </row>
    <row r="20" spans="1:27" ht="15.75" customHeight="1">
      <c r="A20" s="61" t="s">
        <v>311</v>
      </c>
      <c r="B20" s="12">
        <v>45204</v>
      </c>
      <c r="C20" s="62">
        <v>0.33958333333333335</v>
      </c>
      <c r="D20" s="12">
        <v>45204</v>
      </c>
      <c r="E20" s="218">
        <v>0.59444444444444444</v>
      </c>
      <c r="F20" s="60">
        <v>1062</v>
      </c>
      <c r="G20" s="206">
        <v>45210</v>
      </c>
      <c r="H20" s="212">
        <v>0.59930555555555554</v>
      </c>
      <c r="I20" s="227">
        <v>7.5</v>
      </c>
      <c r="J20" s="213">
        <v>1</v>
      </c>
      <c r="K20" s="219">
        <v>7.0000000000000001E-3</v>
      </c>
      <c r="L20" s="219">
        <v>7.0000000000000001E-3</v>
      </c>
      <c r="M20" s="219">
        <v>4.0000000000000001E-3</v>
      </c>
      <c r="N20" s="219">
        <v>5.0000000000000001E-3</v>
      </c>
      <c r="O20" s="219">
        <v>5.0000000000000001E-3</v>
      </c>
      <c r="P20" s="219">
        <v>4.0000000000000001E-3</v>
      </c>
      <c r="Q20" s="216">
        <f t="shared" si="0"/>
        <v>0.3771186440677966</v>
      </c>
      <c r="R20" s="61" t="s">
        <v>21</v>
      </c>
      <c r="S20" s="213" t="s">
        <v>20</v>
      </c>
      <c r="T20" s="104"/>
      <c r="U20" s="94"/>
      <c r="V20" s="94"/>
      <c r="W20" s="94"/>
      <c r="X20" s="94"/>
      <c r="Y20" s="94"/>
      <c r="Z20" s="94"/>
      <c r="AA20" s="94"/>
    </row>
    <row r="21" spans="1:27" ht="15.75" customHeight="1">
      <c r="A21" s="61" t="s">
        <v>312</v>
      </c>
      <c r="B21" s="12">
        <v>45204</v>
      </c>
      <c r="C21" s="62">
        <v>0.39583333333333331</v>
      </c>
      <c r="D21" s="12">
        <v>45204</v>
      </c>
      <c r="E21" s="218">
        <v>0.61111111111111116</v>
      </c>
      <c r="F21" s="60">
        <v>1062</v>
      </c>
      <c r="G21" s="206">
        <v>45210</v>
      </c>
      <c r="H21" s="212">
        <v>0.60486111111111107</v>
      </c>
      <c r="I21" s="227">
        <v>8.3000000000000007</v>
      </c>
      <c r="J21" s="213">
        <v>1</v>
      </c>
      <c r="K21" s="219">
        <v>5.0000000000000001E-3</v>
      </c>
      <c r="L21" s="219">
        <v>5.0000000000000001E-3</v>
      </c>
      <c r="M21" s="219">
        <v>2E-3</v>
      </c>
      <c r="N21" s="219">
        <v>3.0000000000000001E-3</v>
      </c>
      <c r="O21" s="219">
        <v>3.0000000000000001E-3</v>
      </c>
      <c r="P21" s="219">
        <v>2E-3</v>
      </c>
      <c r="Q21" s="216">
        <f t="shared" si="0"/>
        <v>0.41734463276836165</v>
      </c>
      <c r="R21" s="61" t="s">
        <v>21</v>
      </c>
      <c r="S21" s="213" t="s">
        <v>20</v>
      </c>
      <c r="T21" s="104"/>
      <c r="U21" s="94"/>
      <c r="V21" s="94"/>
      <c r="W21" s="94"/>
      <c r="X21" s="94"/>
      <c r="Y21" s="94"/>
      <c r="Z21" s="94"/>
      <c r="AA21" s="94"/>
    </row>
    <row r="22" spans="1:27" ht="15.75" customHeight="1">
      <c r="A22" s="61" t="s">
        <v>313</v>
      </c>
      <c r="B22" s="12">
        <v>45204</v>
      </c>
      <c r="C22" s="62">
        <v>0.42430555555555555</v>
      </c>
      <c r="D22" s="12">
        <v>45204</v>
      </c>
      <c r="E22" s="218">
        <v>0.6020833333333333</v>
      </c>
      <c r="F22" s="60">
        <v>1062</v>
      </c>
      <c r="G22" s="206">
        <v>45210</v>
      </c>
      <c r="H22" s="212">
        <v>0.60277777777777775</v>
      </c>
      <c r="I22" s="227">
        <v>8</v>
      </c>
      <c r="J22" s="213">
        <v>1</v>
      </c>
      <c r="K22" s="228">
        <v>6.0000000000000001E-3</v>
      </c>
      <c r="L22" s="228">
        <v>5.0000000000000001E-3</v>
      </c>
      <c r="M22" s="219">
        <v>3.0000000000000001E-3</v>
      </c>
      <c r="N22" s="219">
        <v>5.0000000000000001E-3</v>
      </c>
      <c r="O22" s="219">
        <v>5.0000000000000001E-3</v>
      </c>
      <c r="P22" s="219">
        <v>4.0000000000000001E-3</v>
      </c>
      <c r="Q22" s="216">
        <f t="shared" si="0"/>
        <v>0.40225988700564974</v>
      </c>
      <c r="R22" s="61" t="s">
        <v>21</v>
      </c>
      <c r="S22" s="213" t="s">
        <v>20</v>
      </c>
      <c r="T22" s="104"/>
      <c r="U22" s="94"/>
      <c r="V22" s="94"/>
      <c r="W22" s="94"/>
      <c r="X22" s="94"/>
      <c r="Y22" s="94"/>
      <c r="Z22" s="94"/>
      <c r="AA22" s="94"/>
    </row>
    <row r="23" spans="1:27" ht="15.75" customHeight="1">
      <c r="A23" s="61" t="s">
        <v>314</v>
      </c>
      <c r="B23" s="12">
        <v>45205</v>
      </c>
      <c r="C23" s="13">
        <v>0.27847222222222223</v>
      </c>
      <c r="D23" s="12">
        <v>45205</v>
      </c>
      <c r="E23" s="41">
        <v>0.67222222222222228</v>
      </c>
      <c r="F23" s="227">
        <v>1060</v>
      </c>
      <c r="G23" s="206">
        <v>45210</v>
      </c>
      <c r="H23" s="212">
        <v>0.60069444444444442</v>
      </c>
      <c r="I23" s="227">
        <v>7.2</v>
      </c>
      <c r="J23" s="213">
        <v>1</v>
      </c>
      <c r="K23" s="228">
        <v>6.0000000000000001E-3</v>
      </c>
      <c r="L23" s="228">
        <v>6.0000000000000001E-3</v>
      </c>
      <c r="M23" s="228">
        <v>2E-3</v>
      </c>
      <c r="N23" s="228">
        <v>5.0000000000000001E-3</v>
      </c>
      <c r="O23" s="228">
        <v>5.0000000000000001E-3</v>
      </c>
      <c r="P23" s="228">
        <v>4.0000000000000001E-3</v>
      </c>
      <c r="Q23" s="216">
        <f t="shared" si="0"/>
        <v>0.54407547169811321</v>
      </c>
      <c r="R23" s="61" t="s">
        <v>21</v>
      </c>
      <c r="S23" s="213" t="s">
        <v>20</v>
      </c>
      <c r="T23" s="104"/>
      <c r="U23" s="94"/>
      <c r="V23" s="94"/>
      <c r="W23" s="94"/>
      <c r="X23" s="94"/>
      <c r="Y23" s="94"/>
      <c r="Z23" s="94"/>
      <c r="AA23" s="94"/>
    </row>
    <row r="24" spans="1:27" ht="15.75" customHeight="1">
      <c r="A24" s="61" t="s">
        <v>315</v>
      </c>
      <c r="B24" s="12">
        <v>45205</v>
      </c>
      <c r="C24" s="108">
        <v>0.29722222222222222</v>
      </c>
      <c r="D24" s="12">
        <v>45205</v>
      </c>
      <c r="E24" s="41">
        <v>0.67708333333333337</v>
      </c>
      <c r="F24" s="227">
        <v>1062</v>
      </c>
      <c r="G24" s="206">
        <v>45210</v>
      </c>
      <c r="H24" s="212">
        <v>0.60138888888888886</v>
      </c>
      <c r="I24" s="227">
        <v>7.7</v>
      </c>
      <c r="J24" s="213">
        <v>1</v>
      </c>
      <c r="K24" s="219">
        <v>8.9999999999999993E-3</v>
      </c>
      <c r="L24" s="219">
        <v>8.9999999999999993E-3</v>
      </c>
      <c r="M24" s="228">
        <v>6.0000000000000001E-3</v>
      </c>
      <c r="N24" s="219">
        <v>4.0000000000000001E-3</v>
      </c>
      <c r="O24" s="219">
        <v>4.0000000000000001E-3</v>
      </c>
      <c r="P24" s="219">
        <v>2E-3</v>
      </c>
      <c r="Q24" s="216">
        <f t="shared" si="0"/>
        <v>0.19358757062146875</v>
      </c>
      <c r="R24" s="61" t="s">
        <v>21</v>
      </c>
      <c r="S24" s="213" t="s">
        <v>20</v>
      </c>
      <c r="T24" s="104"/>
      <c r="U24" s="94"/>
      <c r="V24" s="94"/>
      <c r="W24" s="94"/>
      <c r="X24" s="94"/>
      <c r="Y24" s="94"/>
      <c r="Z24" s="94"/>
      <c r="AA24" s="94"/>
    </row>
    <row r="25" spans="1:27" ht="15.75" customHeight="1">
      <c r="A25" s="61" t="s">
        <v>316</v>
      </c>
      <c r="B25" s="12">
        <v>45205</v>
      </c>
      <c r="C25" s="13">
        <v>0.3972222222222222</v>
      </c>
      <c r="D25" s="12">
        <v>45205</v>
      </c>
      <c r="E25" s="13">
        <v>0.67708333333333337</v>
      </c>
      <c r="F25" s="227">
        <v>1059</v>
      </c>
      <c r="G25" s="206">
        <v>45210</v>
      </c>
      <c r="H25" s="212">
        <v>0.6</v>
      </c>
      <c r="I25" s="227">
        <v>8</v>
      </c>
      <c r="J25" s="213">
        <v>1</v>
      </c>
      <c r="K25" s="228">
        <v>0.01</v>
      </c>
      <c r="L25" s="228">
        <v>1.0999999999999999E-2</v>
      </c>
      <c r="M25" s="219">
        <v>5.0000000000000001E-3</v>
      </c>
      <c r="N25" s="228">
        <v>8.0000000000000002E-3</v>
      </c>
      <c r="O25" s="228">
        <v>8.0000000000000002E-3</v>
      </c>
      <c r="P25" s="219">
        <v>5.0000000000000001E-3</v>
      </c>
      <c r="Q25" s="216">
        <f t="shared" si="0"/>
        <v>0.40339943342776208</v>
      </c>
      <c r="R25" s="61" t="s">
        <v>21</v>
      </c>
      <c r="S25" s="213" t="s">
        <v>20</v>
      </c>
      <c r="T25" s="229"/>
      <c r="U25" s="94"/>
      <c r="V25" s="94"/>
      <c r="W25" s="94"/>
      <c r="X25" s="94"/>
      <c r="Y25" s="94"/>
      <c r="Z25" s="94"/>
      <c r="AA25" s="94"/>
    </row>
    <row r="26" spans="1:27" ht="15.75" customHeight="1">
      <c r="A26" s="61" t="s">
        <v>317</v>
      </c>
      <c r="B26" s="230">
        <v>45212</v>
      </c>
      <c r="C26" s="231">
        <v>0.3</v>
      </c>
      <c r="D26" s="230">
        <v>45212</v>
      </c>
      <c r="E26" s="212">
        <v>0.76041666666666663</v>
      </c>
      <c r="F26" s="205">
        <v>1040</v>
      </c>
      <c r="G26" s="232">
        <v>45231</v>
      </c>
      <c r="H26" s="41">
        <v>0.43402777777777779</v>
      </c>
      <c r="I26" s="205">
        <v>9</v>
      </c>
      <c r="J26" s="233">
        <v>1</v>
      </c>
      <c r="K26" s="214">
        <v>3.0000000000000001E-3</v>
      </c>
      <c r="L26" s="214">
        <v>3.0000000000000001E-3</v>
      </c>
      <c r="M26" s="214">
        <v>2E-3</v>
      </c>
      <c r="N26" s="214">
        <v>2E-3</v>
      </c>
      <c r="O26" s="214">
        <v>2E-3</v>
      </c>
      <c r="P26" s="214">
        <v>2E-3</v>
      </c>
      <c r="Q26" s="216">
        <f t="shared" si="0"/>
        <v>0.23105769230769233</v>
      </c>
      <c r="R26" s="61" t="s">
        <v>21</v>
      </c>
      <c r="S26" s="213" t="s">
        <v>20</v>
      </c>
      <c r="T26" s="104"/>
      <c r="U26" s="94"/>
      <c r="V26" s="94"/>
      <c r="W26" s="94"/>
      <c r="X26" s="94"/>
      <c r="Y26" s="94"/>
      <c r="Z26" s="94"/>
      <c r="AA26" s="94"/>
    </row>
    <row r="27" spans="1:27" ht="15.75" customHeight="1">
      <c r="A27" s="61" t="s">
        <v>318</v>
      </c>
      <c r="B27" s="230">
        <v>45212</v>
      </c>
      <c r="C27" s="231">
        <v>0.3263888888888889</v>
      </c>
      <c r="D27" s="230">
        <v>45212</v>
      </c>
      <c r="E27" s="41">
        <v>0.76944444444444449</v>
      </c>
      <c r="F27" s="227">
        <v>1030</v>
      </c>
      <c r="G27" s="232">
        <v>45231</v>
      </c>
      <c r="H27" s="41">
        <v>0.44027777777777777</v>
      </c>
      <c r="I27" s="227">
        <v>7</v>
      </c>
      <c r="J27" s="233">
        <v>1</v>
      </c>
      <c r="K27" s="219">
        <v>4.0000000000000001E-3</v>
      </c>
      <c r="L27" s="219">
        <v>4.0000000000000001E-3</v>
      </c>
      <c r="M27" s="219">
        <v>2E-3</v>
      </c>
      <c r="N27" s="228">
        <v>3.0000000000000001E-3</v>
      </c>
      <c r="O27" s="228">
        <v>3.0000000000000001E-3</v>
      </c>
      <c r="P27" s="219">
        <v>2E-3</v>
      </c>
      <c r="Q27" s="216">
        <f t="shared" si="0"/>
        <v>0.18145631067961165</v>
      </c>
      <c r="R27" s="61" t="s">
        <v>21</v>
      </c>
      <c r="S27" s="213" t="s">
        <v>20</v>
      </c>
      <c r="T27" s="435"/>
      <c r="U27" s="94"/>
      <c r="V27" s="94"/>
      <c r="W27" s="94"/>
      <c r="X27" s="94"/>
      <c r="Y27" s="94"/>
      <c r="Z27" s="94"/>
      <c r="AA27" s="94"/>
    </row>
    <row r="28" spans="1:27" ht="15.75" customHeight="1">
      <c r="A28" s="61" t="s">
        <v>319</v>
      </c>
      <c r="B28" s="230">
        <v>45212</v>
      </c>
      <c r="C28" s="231">
        <v>0.33333333333333331</v>
      </c>
      <c r="D28" s="230">
        <v>45212</v>
      </c>
      <c r="E28" s="41">
        <v>0.76666666666666672</v>
      </c>
      <c r="F28" s="227">
        <v>1055</v>
      </c>
      <c r="G28" s="232">
        <v>45231</v>
      </c>
      <c r="H28" s="41">
        <v>0.45</v>
      </c>
      <c r="I28" s="227">
        <v>8</v>
      </c>
      <c r="J28" s="233">
        <v>1</v>
      </c>
      <c r="K28" s="219">
        <v>0</v>
      </c>
      <c r="L28" s="219">
        <v>0</v>
      </c>
      <c r="M28" s="219">
        <v>-1E-3</v>
      </c>
      <c r="N28" s="219">
        <v>-1E-3</v>
      </c>
      <c r="O28" s="219">
        <v>-1E-3</v>
      </c>
      <c r="P28" s="219">
        <v>-1E-3</v>
      </c>
      <c r="Q28" s="216">
        <f t="shared" si="0"/>
        <v>0.20246445497630333</v>
      </c>
      <c r="R28" s="61" t="s">
        <v>21</v>
      </c>
      <c r="S28" s="213" t="s">
        <v>20</v>
      </c>
      <c r="T28" s="429"/>
      <c r="U28" s="94"/>
      <c r="V28" s="94"/>
      <c r="W28" s="94"/>
      <c r="X28" s="94"/>
      <c r="Y28" s="94"/>
      <c r="Z28" s="94"/>
      <c r="AA28" s="94"/>
    </row>
    <row r="29" spans="1:27" ht="15.75" customHeight="1">
      <c r="A29" s="61" t="s">
        <v>320</v>
      </c>
      <c r="B29" s="12">
        <v>45212</v>
      </c>
      <c r="C29" s="231">
        <v>0.39166666666666666</v>
      </c>
      <c r="D29" s="12">
        <v>45212</v>
      </c>
      <c r="E29" s="41">
        <v>0.77638888888888891</v>
      </c>
      <c r="F29" s="227">
        <v>1052</v>
      </c>
      <c r="G29" s="232">
        <v>45231</v>
      </c>
      <c r="H29" s="41">
        <v>0.45416666666666666</v>
      </c>
      <c r="I29" s="227">
        <v>6</v>
      </c>
      <c r="J29" s="233">
        <v>1</v>
      </c>
      <c r="K29" s="219">
        <v>0</v>
      </c>
      <c r="L29" s="219">
        <v>1E-3</v>
      </c>
      <c r="M29" s="219">
        <v>-1E-3</v>
      </c>
      <c r="N29" s="219">
        <v>0</v>
      </c>
      <c r="O29" s="219">
        <v>0</v>
      </c>
      <c r="P29" s="219">
        <v>0</v>
      </c>
      <c r="Q29" s="216">
        <f t="shared" si="0"/>
        <v>0.15228136882129278</v>
      </c>
      <c r="R29" s="61" t="s">
        <v>21</v>
      </c>
      <c r="S29" s="213" t="s">
        <v>20</v>
      </c>
      <c r="T29" s="427"/>
      <c r="U29" s="94"/>
      <c r="V29" s="94"/>
      <c r="W29" s="94"/>
      <c r="X29" s="94"/>
      <c r="Y29" s="94"/>
      <c r="Z29" s="94"/>
      <c r="AA29" s="94"/>
    </row>
    <row r="30" spans="1:27" ht="15.75" customHeight="1">
      <c r="A30" s="61" t="s">
        <v>321</v>
      </c>
      <c r="B30" s="12">
        <v>45213</v>
      </c>
      <c r="C30" s="212">
        <v>0.31805555555555554</v>
      </c>
      <c r="D30" s="12">
        <v>45213</v>
      </c>
      <c r="E30" s="21">
        <v>0.31805555555555554</v>
      </c>
      <c r="F30" s="227">
        <v>1000</v>
      </c>
      <c r="G30" s="232">
        <v>45231</v>
      </c>
      <c r="H30" s="41">
        <v>0.45833333333333331</v>
      </c>
      <c r="I30" s="227">
        <v>7.8</v>
      </c>
      <c r="J30" s="233">
        <v>1</v>
      </c>
      <c r="K30" s="219">
        <v>1E-3</v>
      </c>
      <c r="L30" s="219">
        <v>0</v>
      </c>
      <c r="M30" s="219">
        <v>-1E-3</v>
      </c>
      <c r="N30" s="219">
        <v>0</v>
      </c>
      <c r="O30" s="219">
        <v>0</v>
      </c>
      <c r="P30" s="219">
        <v>1E-3</v>
      </c>
      <c r="Q30" s="216">
        <f t="shared" si="0"/>
        <v>0.62478</v>
      </c>
      <c r="R30" s="61" t="s">
        <v>21</v>
      </c>
      <c r="S30" s="213" t="s">
        <v>20</v>
      </c>
      <c r="T30" s="104"/>
      <c r="U30" s="94"/>
      <c r="V30" s="94"/>
      <c r="W30" s="94"/>
      <c r="X30" s="94"/>
      <c r="Y30" s="94"/>
      <c r="Z30" s="94"/>
      <c r="AA30" s="94"/>
    </row>
    <row r="31" spans="1:27" ht="15.75" customHeight="1">
      <c r="A31" s="61" t="s">
        <v>322</v>
      </c>
      <c r="B31" s="12">
        <v>45213</v>
      </c>
      <c r="C31" s="13">
        <v>0.38541666666666669</v>
      </c>
      <c r="D31" s="12">
        <v>45213</v>
      </c>
      <c r="E31" s="41">
        <v>0.32083333333333336</v>
      </c>
      <c r="F31" s="227">
        <v>1051</v>
      </c>
      <c r="G31" s="232">
        <v>45231</v>
      </c>
      <c r="H31" s="41">
        <v>0.46388888888888891</v>
      </c>
      <c r="I31" s="227">
        <v>7</v>
      </c>
      <c r="J31" s="233">
        <v>1</v>
      </c>
      <c r="K31" s="219">
        <v>2E-3</v>
      </c>
      <c r="L31" s="219">
        <v>2E-3</v>
      </c>
      <c r="M31" s="219">
        <v>0</v>
      </c>
      <c r="N31" s="219">
        <v>0</v>
      </c>
      <c r="O31" s="219">
        <v>1E-3</v>
      </c>
      <c r="P31" s="219">
        <v>0</v>
      </c>
      <c r="Q31" s="216">
        <f t="shared" si="0"/>
        <v>0.17783063748810657</v>
      </c>
      <c r="R31" s="61" t="s">
        <v>21</v>
      </c>
      <c r="S31" s="213" t="s">
        <v>20</v>
      </c>
      <c r="T31" s="104"/>
      <c r="U31" s="94"/>
      <c r="V31" s="94"/>
      <c r="W31" s="94"/>
      <c r="X31" s="94"/>
      <c r="Y31" s="94"/>
      <c r="Z31" s="94"/>
      <c r="AA31" s="94"/>
    </row>
    <row r="32" spans="1:27" ht="15.75" customHeight="1">
      <c r="A32" s="61" t="s">
        <v>323</v>
      </c>
      <c r="B32" s="12">
        <v>45213</v>
      </c>
      <c r="C32" s="13">
        <v>0.42499999999999999</v>
      </c>
      <c r="D32" s="12">
        <v>45213</v>
      </c>
      <c r="E32" s="41">
        <v>0.33611111111111114</v>
      </c>
      <c r="F32" s="227">
        <v>1052</v>
      </c>
      <c r="G32" s="232">
        <v>45231</v>
      </c>
      <c r="H32" s="41">
        <v>0.46875</v>
      </c>
      <c r="I32" s="227">
        <v>7.5</v>
      </c>
      <c r="J32" s="233">
        <v>1</v>
      </c>
      <c r="K32" s="219">
        <v>2E-3</v>
      </c>
      <c r="L32" s="219">
        <v>1E-3</v>
      </c>
      <c r="M32" s="219">
        <v>1E-3</v>
      </c>
      <c r="N32" s="219">
        <v>0</v>
      </c>
      <c r="O32" s="219">
        <v>-1E-3</v>
      </c>
      <c r="P32" s="219">
        <v>0</v>
      </c>
      <c r="Q32" s="216">
        <f t="shared" si="0"/>
        <v>0.38070342205323199</v>
      </c>
      <c r="R32" s="61" t="s">
        <v>21</v>
      </c>
      <c r="S32" s="213" t="s">
        <v>20</v>
      </c>
      <c r="T32" s="104"/>
      <c r="U32" s="94"/>
      <c r="V32" s="94"/>
      <c r="W32" s="94"/>
      <c r="X32" s="94"/>
      <c r="Y32" s="94"/>
      <c r="Z32" s="94"/>
      <c r="AA32" s="94"/>
    </row>
    <row r="33" spans="1:27" ht="15.75" customHeight="1">
      <c r="A33" s="61" t="s">
        <v>324</v>
      </c>
      <c r="B33" s="12">
        <v>45214</v>
      </c>
      <c r="C33" s="13">
        <v>0.28541666666666665</v>
      </c>
      <c r="D33" s="12">
        <v>45214</v>
      </c>
      <c r="E33" s="41">
        <v>0.2986111111111111</v>
      </c>
      <c r="F33" s="227">
        <v>1040</v>
      </c>
      <c r="G33" s="232">
        <v>45231</v>
      </c>
      <c r="H33" s="41">
        <v>0.47430555555555554</v>
      </c>
      <c r="I33" s="227">
        <v>6.5</v>
      </c>
      <c r="J33" s="233">
        <v>1</v>
      </c>
      <c r="K33" s="219">
        <v>8.0000000000000002E-3</v>
      </c>
      <c r="L33" s="219">
        <v>8.0000000000000002E-3</v>
      </c>
      <c r="M33" s="219">
        <v>4.0000000000000001E-3</v>
      </c>
      <c r="N33" s="219">
        <v>6.0000000000000001E-3</v>
      </c>
      <c r="O33" s="219">
        <v>6.0000000000000001E-3</v>
      </c>
      <c r="P33" s="219">
        <v>3.0000000000000001E-3</v>
      </c>
      <c r="Q33" s="216">
        <f t="shared" si="0"/>
        <v>0.166875</v>
      </c>
      <c r="R33" s="61" t="s">
        <v>21</v>
      </c>
      <c r="S33" s="213" t="s">
        <v>20</v>
      </c>
      <c r="T33" s="104"/>
      <c r="U33" s="94"/>
      <c r="V33" s="94"/>
      <c r="W33" s="94"/>
      <c r="X33" s="94"/>
      <c r="Y33" s="94"/>
      <c r="Z33" s="94"/>
      <c r="AA33" s="94"/>
    </row>
    <row r="34" spans="1:27" ht="15.75" customHeight="1">
      <c r="A34" s="61" t="s">
        <v>325</v>
      </c>
      <c r="B34" s="12">
        <v>45214</v>
      </c>
      <c r="C34" s="13">
        <v>0.32291666666666669</v>
      </c>
      <c r="D34" s="12">
        <v>45214</v>
      </c>
      <c r="E34" s="41">
        <v>0.30555555555555558</v>
      </c>
      <c r="F34" s="227">
        <v>1065</v>
      </c>
      <c r="G34" s="232">
        <v>45231</v>
      </c>
      <c r="H34" s="41">
        <v>0.47916666666666669</v>
      </c>
      <c r="I34" s="227">
        <v>6.5</v>
      </c>
      <c r="J34" s="233">
        <v>1</v>
      </c>
      <c r="K34" s="219">
        <v>0</v>
      </c>
      <c r="L34" s="219">
        <v>0</v>
      </c>
      <c r="M34" s="219">
        <v>-2E-3</v>
      </c>
      <c r="N34" s="219">
        <v>0</v>
      </c>
      <c r="O34" s="219">
        <v>0</v>
      </c>
      <c r="P34" s="219">
        <v>-1E-3</v>
      </c>
      <c r="Q34" s="216">
        <f t="shared" si="0"/>
        <v>0.16295774647887323</v>
      </c>
      <c r="R34" s="61" t="s">
        <v>21</v>
      </c>
      <c r="S34" s="213" t="s">
        <v>20</v>
      </c>
      <c r="T34" s="104"/>
      <c r="U34" s="94"/>
      <c r="V34" s="94"/>
      <c r="W34" s="94"/>
      <c r="X34" s="94"/>
      <c r="Y34" s="94"/>
      <c r="Z34" s="94"/>
      <c r="AA34" s="94"/>
    </row>
    <row r="35" spans="1:27" ht="15.75" customHeight="1">
      <c r="A35" s="61" t="s">
        <v>326</v>
      </c>
      <c r="B35" s="12">
        <v>45214</v>
      </c>
      <c r="C35" s="13">
        <v>0.3527777777777778</v>
      </c>
      <c r="D35" s="12">
        <v>45214</v>
      </c>
      <c r="E35" s="41">
        <v>0.3</v>
      </c>
      <c r="F35" s="227">
        <v>1065</v>
      </c>
      <c r="G35" s="232">
        <v>45231</v>
      </c>
      <c r="H35" s="41">
        <v>0.48402777777777778</v>
      </c>
      <c r="I35" s="227">
        <v>9.5</v>
      </c>
      <c r="J35" s="233">
        <v>1</v>
      </c>
      <c r="K35" s="219">
        <v>6.0000000000000001E-3</v>
      </c>
      <c r="L35" s="219">
        <v>7.0000000000000001E-3</v>
      </c>
      <c r="M35" s="219">
        <v>5.0000000000000001E-3</v>
      </c>
      <c r="N35" s="219">
        <v>2E-3</v>
      </c>
      <c r="O35" s="219">
        <v>1E-3</v>
      </c>
      <c r="P35" s="219">
        <v>2E-3</v>
      </c>
      <c r="Q35" s="216">
        <f t="shared" si="0"/>
        <v>0.47633802816901416</v>
      </c>
      <c r="R35" s="61" t="s">
        <v>21</v>
      </c>
      <c r="S35" s="213" t="s">
        <v>20</v>
      </c>
      <c r="T35" s="104"/>
      <c r="U35" s="94"/>
      <c r="V35" s="94"/>
      <c r="W35" s="94"/>
      <c r="X35" s="94"/>
      <c r="Y35" s="94"/>
      <c r="Z35" s="94"/>
      <c r="AA35" s="94"/>
    </row>
    <row r="36" spans="1:27" ht="15.75" customHeight="1">
      <c r="A36" s="61" t="s">
        <v>327</v>
      </c>
      <c r="B36" s="12">
        <v>45214</v>
      </c>
      <c r="C36" s="41">
        <v>0.39791666666666664</v>
      </c>
      <c r="D36" s="12">
        <v>45214</v>
      </c>
      <c r="E36" s="41">
        <v>0.30555555555555558</v>
      </c>
      <c r="F36" s="227">
        <v>1053</v>
      </c>
      <c r="G36" s="232">
        <v>45231</v>
      </c>
      <c r="H36" s="41">
        <v>0.48819444444444443</v>
      </c>
      <c r="I36" s="227">
        <v>6.8</v>
      </c>
      <c r="J36" s="233">
        <v>1</v>
      </c>
      <c r="K36" s="228">
        <v>7.0000000000000001E-3</v>
      </c>
      <c r="L36" s="228">
        <v>7.0000000000000001E-3</v>
      </c>
      <c r="M36" s="228">
        <v>2E-3</v>
      </c>
      <c r="N36" s="219">
        <v>3.0000000000000001E-3</v>
      </c>
      <c r="O36" s="219">
        <v>2E-3</v>
      </c>
      <c r="P36" s="219">
        <v>0</v>
      </c>
      <c r="Q36" s="216">
        <f t="shared" si="0"/>
        <v>0.51726495726495736</v>
      </c>
      <c r="R36" s="61" t="s">
        <v>21</v>
      </c>
      <c r="S36" s="213" t="s">
        <v>20</v>
      </c>
      <c r="T36" s="104"/>
      <c r="U36" s="94"/>
      <c r="V36" s="94"/>
      <c r="W36" s="94"/>
      <c r="X36" s="94"/>
      <c r="Y36" s="94"/>
      <c r="Z36" s="94"/>
      <c r="AA36" s="94"/>
    </row>
    <row r="37" spans="1:27" ht="15.75" customHeight="1">
      <c r="A37" s="234" t="s">
        <v>328</v>
      </c>
      <c r="B37" s="12">
        <v>45222</v>
      </c>
      <c r="C37" s="13">
        <v>0.3972222222222222</v>
      </c>
      <c r="D37" s="12">
        <v>45222</v>
      </c>
      <c r="E37" s="41">
        <v>0.61805555555555558</v>
      </c>
      <c r="F37" s="227">
        <v>1058</v>
      </c>
      <c r="G37" s="232">
        <v>45231</v>
      </c>
      <c r="H37" s="41">
        <v>0.53194444444444444</v>
      </c>
      <c r="I37" s="227">
        <v>6.5</v>
      </c>
      <c r="J37" s="233">
        <v>1</v>
      </c>
      <c r="K37" s="228">
        <v>5.0000000000000001E-3</v>
      </c>
      <c r="L37" s="228">
        <v>1E-3</v>
      </c>
      <c r="M37" s="228">
        <v>2E-3</v>
      </c>
      <c r="N37" s="219">
        <v>-1E-3</v>
      </c>
      <c r="O37" s="219">
        <v>1E-3</v>
      </c>
      <c r="P37" s="219">
        <v>-1E-3</v>
      </c>
      <c r="Q37" s="216">
        <f t="shared" si="0"/>
        <v>0.1640359168241966</v>
      </c>
      <c r="R37" s="61" t="s">
        <v>21</v>
      </c>
      <c r="S37" s="213" t="s">
        <v>20</v>
      </c>
      <c r="T37" s="104"/>
      <c r="U37" s="94"/>
      <c r="V37" s="94"/>
      <c r="W37" s="94"/>
      <c r="X37" s="94"/>
      <c r="Y37" s="94"/>
      <c r="Z37" s="94"/>
      <c r="AA37" s="94"/>
    </row>
    <row r="38" spans="1:27" ht="15.75" customHeight="1">
      <c r="A38" s="234" t="s">
        <v>329</v>
      </c>
      <c r="B38" s="12">
        <v>45222</v>
      </c>
      <c r="C38" s="13">
        <v>0.42777777777777776</v>
      </c>
      <c r="D38" s="12">
        <v>45222</v>
      </c>
      <c r="E38" s="41">
        <v>0.6069444444444444</v>
      </c>
      <c r="F38" s="227">
        <v>1054</v>
      </c>
      <c r="G38" s="232">
        <v>45231</v>
      </c>
      <c r="H38" s="41">
        <v>0.53680555555555554</v>
      </c>
      <c r="I38" s="227">
        <v>6.4</v>
      </c>
      <c r="J38" s="233">
        <v>1</v>
      </c>
      <c r="K38" s="228">
        <v>0</v>
      </c>
      <c r="L38" s="228">
        <v>0</v>
      </c>
      <c r="M38" s="228">
        <v>0</v>
      </c>
      <c r="N38" s="228">
        <v>-1E-3</v>
      </c>
      <c r="O38" s="228">
        <v>-1E-3</v>
      </c>
      <c r="P38" s="228">
        <v>-1E-3</v>
      </c>
      <c r="Q38" s="216">
        <f t="shared" si="0"/>
        <v>0</v>
      </c>
      <c r="R38" s="61" t="s">
        <v>21</v>
      </c>
      <c r="S38" s="213" t="s">
        <v>20</v>
      </c>
      <c r="T38" s="104"/>
      <c r="U38" s="94"/>
      <c r="V38" s="94"/>
      <c r="W38" s="94"/>
      <c r="X38" s="94"/>
      <c r="Y38" s="94"/>
      <c r="Z38" s="94"/>
      <c r="AA38" s="94"/>
    </row>
    <row r="39" spans="1:27" ht="15.75" customHeight="1">
      <c r="A39" s="234" t="s">
        <v>330</v>
      </c>
      <c r="B39" s="12">
        <v>45222</v>
      </c>
      <c r="C39" s="13">
        <v>0.45763888888888887</v>
      </c>
      <c r="D39" s="235">
        <v>45222</v>
      </c>
      <c r="E39" s="41">
        <v>0.62847222222222221</v>
      </c>
      <c r="F39" s="227">
        <v>1056</v>
      </c>
      <c r="G39" s="232">
        <v>45231</v>
      </c>
      <c r="H39" s="41">
        <v>0.54305555555555551</v>
      </c>
      <c r="I39" s="227">
        <v>7</v>
      </c>
      <c r="J39" s="233">
        <v>1</v>
      </c>
      <c r="K39" s="219">
        <v>1E-3</v>
      </c>
      <c r="L39" s="219">
        <v>1E-3</v>
      </c>
      <c r="M39" s="219">
        <v>1E-3</v>
      </c>
      <c r="N39" s="228">
        <v>-2E-3</v>
      </c>
      <c r="O39" s="228">
        <v>-2E-3</v>
      </c>
      <c r="P39" s="228">
        <v>-1E-3</v>
      </c>
      <c r="Q39" s="216">
        <f t="shared" si="0"/>
        <v>0.17698863636363638</v>
      </c>
      <c r="R39" s="61" t="s">
        <v>21</v>
      </c>
      <c r="S39" s="213" t="s">
        <v>20</v>
      </c>
      <c r="T39" s="104"/>
      <c r="U39" s="94"/>
      <c r="V39" s="94"/>
      <c r="W39" s="94"/>
      <c r="X39" s="94"/>
      <c r="Y39" s="94"/>
      <c r="Z39" s="94"/>
      <c r="AA39" s="94"/>
    </row>
    <row r="40" spans="1:27" ht="15.75" customHeight="1">
      <c r="A40" s="234" t="s">
        <v>331</v>
      </c>
      <c r="B40" s="12">
        <v>45222</v>
      </c>
      <c r="C40" s="41">
        <v>0.57499999999999996</v>
      </c>
      <c r="D40" s="236">
        <v>45222</v>
      </c>
      <c r="E40" s="237">
        <v>0.60972222222222228</v>
      </c>
      <c r="F40" s="238">
        <v>1053</v>
      </c>
      <c r="G40" s="232">
        <v>45231</v>
      </c>
      <c r="H40" s="237">
        <v>0.54861111111111116</v>
      </c>
      <c r="I40" s="238">
        <v>6.8</v>
      </c>
      <c r="J40" s="233">
        <v>1</v>
      </c>
      <c r="K40" s="226">
        <v>8.9999999999999993E-3</v>
      </c>
      <c r="L40" s="226">
        <v>1.1999999999999999E-3</v>
      </c>
      <c r="M40" s="226">
        <v>7.0000000000000001E-3</v>
      </c>
      <c r="N40" s="239">
        <v>8.9999999999999993E-3</v>
      </c>
      <c r="O40" s="239">
        <v>8.0000000000000002E-3</v>
      </c>
      <c r="P40" s="226">
        <v>7.0000000000000001E-3</v>
      </c>
      <c r="Q40" s="216">
        <f t="shared" si="0"/>
        <v>0.17242165242165225</v>
      </c>
      <c r="R40" s="61" t="s">
        <v>21</v>
      </c>
      <c r="S40" s="213" t="s">
        <v>20</v>
      </c>
      <c r="T40" s="437"/>
      <c r="U40" s="94"/>
      <c r="V40" s="94"/>
      <c r="W40" s="94"/>
      <c r="X40" s="94"/>
      <c r="Y40" s="94"/>
      <c r="Z40" s="94"/>
      <c r="AA40" s="94"/>
    </row>
    <row r="41" spans="1:27" ht="15.75" customHeight="1">
      <c r="A41" s="234" t="s">
        <v>332</v>
      </c>
      <c r="B41" s="12">
        <v>45222</v>
      </c>
      <c r="C41" s="41">
        <v>0.68055555555555558</v>
      </c>
      <c r="D41" s="236">
        <v>45222</v>
      </c>
      <c r="E41" s="237">
        <v>0.67222222222222228</v>
      </c>
      <c r="F41" s="238">
        <v>1057</v>
      </c>
      <c r="G41" s="232">
        <v>45231</v>
      </c>
      <c r="H41" s="237">
        <v>0.55902777777777779</v>
      </c>
      <c r="I41" s="238">
        <v>7</v>
      </c>
      <c r="J41" s="233">
        <v>1</v>
      </c>
      <c r="K41" s="226">
        <v>2E-3</v>
      </c>
      <c r="L41" s="226">
        <v>2E-3</v>
      </c>
      <c r="M41" s="226">
        <v>-1E-3</v>
      </c>
      <c r="N41" s="226">
        <v>1E-3</v>
      </c>
      <c r="O41" s="226">
        <v>1E-3</v>
      </c>
      <c r="P41" s="226">
        <v>-1E-3</v>
      </c>
      <c r="Q41" s="216">
        <f t="shared" si="0"/>
        <v>0.17682119205298014</v>
      </c>
      <c r="R41" s="61" t="s">
        <v>21</v>
      </c>
      <c r="S41" s="213" t="s">
        <v>20</v>
      </c>
      <c r="T41" s="427"/>
      <c r="U41" s="94"/>
      <c r="V41" s="94"/>
      <c r="W41" s="94"/>
      <c r="X41" s="94"/>
      <c r="Y41" s="94"/>
      <c r="Z41" s="94"/>
      <c r="AA41" s="94"/>
    </row>
    <row r="42" spans="1:27" ht="15.75" customHeight="1">
      <c r="A42" s="234" t="s">
        <v>333</v>
      </c>
      <c r="B42" s="12">
        <v>45223</v>
      </c>
      <c r="C42" s="41">
        <v>0.38541666666666669</v>
      </c>
      <c r="D42" s="230">
        <v>45223</v>
      </c>
      <c r="E42" s="212">
        <v>0.57499999999999996</v>
      </c>
      <c r="F42" s="205">
        <v>1058</v>
      </c>
      <c r="G42" s="232">
        <v>45231</v>
      </c>
      <c r="H42" s="41">
        <v>0.5625</v>
      </c>
      <c r="I42" s="227">
        <v>6.5</v>
      </c>
      <c r="J42" s="233">
        <v>1</v>
      </c>
      <c r="K42" s="214">
        <v>6.0000000000000001E-3</v>
      </c>
      <c r="L42" s="214">
        <v>6.0000000000000001E-3</v>
      </c>
      <c r="M42" s="214">
        <v>3.0000000000000001E-3</v>
      </c>
      <c r="N42" s="214">
        <v>4.0000000000000001E-3</v>
      </c>
      <c r="O42" s="214">
        <v>4.0000000000000001E-3</v>
      </c>
      <c r="P42" s="214">
        <v>2E-3</v>
      </c>
      <c r="Q42" s="216">
        <f t="shared" si="0"/>
        <v>0.1640359168241966</v>
      </c>
      <c r="R42" s="61" t="s">
        <v>21</v>
      </c>
      <c r="S42" s="213" t="s">
        <v>20</v>
      </c>
      <c r="T42" s="104"/>
      <c r="U42" s="94"/>
      <c r="V42" s="94"/>
      <c r="W42" s="94"/>
      <c r="X42" s="94"/>
      <c r="Y42" s="94"/>
      <c r="Z42" s="94"/>
      <c r="AA42" s="94"/>
    </row>
    <row r="43" spans="1:27" ht="15.75" customHeight="1">
      <c r="A43" s="234" t="s">
        <v>334</v>
      </c>
      <c r="B43" s="12">
        <v>45223</v>
      </c>
      <c r="C43" s="21">
        <v>0.40972222222222221</v>
      </c>
      <c r="D43" s="240">
        <v>45223</v>
      </c>
      <c r="E43" s="237">
        <v>0.57638888888888884</v>
      </c>
      <c r="F43" s="238">
        <v>1040</v>
      </c>
      <c r="G43" s="232">
        <v>45231</v>
      </c>
      <c r="H43" s="237">
        <v>0.56736111111111109</v>
      </c>
      <c r="I43" s="238">
        <v>8</v>
      </c>
      <c r="J43" s="233">
        <v>1</v>
      </c>
      <c r="K43" s="214">
        <v>2E-3</v>
      </c>
      <c r="L43" s="214">
        <v>2E-3</v>
      </c>
      <c r="M43" s="214">
        <v>-1E-3</v>
      </c>
      <c r="N43" s="214">
        <v>0</v>
      </c>
      <c r="O43" s="214">
        <v>0</v>
      </c>
      <c r="P43" s="214">
        <v>-1E-3</v>
      </c>
      <c r="Q43" s="216">
        <f t="shared" si="0"/>
        <v>0.41076923076923078</v>
      </c>
      <c r="R43" s="61" t="s">
        <v>21</v>
      </c>
      <c r="S43" s="213" t="s">
        <v>20</v>
      </c>
      <c r="T43" s="104"/>
      <c r="U43" s="94"/>
      <c r="V43" s="94"/>
      <c r="W43" s="94"/>
      <c r="X43" s="94"/>
      <c r="Y43" s="94"/>
      <c r="Z43" s="94"/>
      <c r="AA43" s="94"/>
    </row>
    <row r="44" spans="1:27" ht="15.75" customHeight="1">
      <c r="A44" s="234" t="s">
        <v>335</v>
      </c>
      <c r="B44" s="12">
        <v>45223</v>
      </c>
      <c r="C44" s="13">
        <v>0.43541666666666667</v>
      </c>
      <c r="D44" s="240">
        <v>45223</v>
      </c>
      <c r="E44" s="237">
        <v>0.59027777777777779</v>
      </c>
      <c r="F44" s="238">
        <v>1065</v>
      </c>
      <c r="G44" s="232">
        <v>45231</v>
      </c>
      <c r="H44" s="237">
        <v>0.57152777777777775</v>
      </c>
      <c r="I44" s="238">
        <v>8</v>
      </c>
      <c r="J44" s="233">
        <v>1</v>
      </c>
      <c r="K44" s="239">
        <v>2E-3</v>
      </c>
      <c r="L44" s="239">
        <v>2E-3</v>
      </c>
      <c r="M44" s="239">
        <v>-1E-3</v>
      </c>
      <c r="N44" s="239">
        <v>2E-3</v>
      </c>
      <c r="O44" s="239">
        <v>2E-3</v>
      </c>
      <c r="P44" s="239">
        <v>1E-3</v>
      </c>
      <c r="Q44" s="216">
        <f t="shared" si="0"/>
        <v>0.40112676056338031</v>
      </c>
      <c r="R44" s="61" t="s">
        <v>21</v>
      </c>
      <c r="S44" s="213" t="s">
        <v>20</v>
      </c>
      <c r="T44" s="104"/>
      <c r="U44" s="94"/>
      <c r="V44" s="94"/>
      <c r="W44" s="94"/>
      <c r="X44" s="94"/>
      <c r="Y44" s="94"/>
      <c r="Z44" s="94"/>
      <c r="AA44" s="94"/>
    </row>
    <row r="45" spans="1:27" ht="15.75" customHeight="1">
      <c r="A45" s="234" t="s">
        <v>336</v>
      </c>
      <c r="B45" s="12">
        <v>45223</v>
      </c>
      <c r="C45" s="21">
        <v>0.48194444444444445</v>
      </c>
      <c r="D45" s="240">
        <v>45223</v>
      </c>
      <c r="E45" s="237">
        <v>0.59166666666666667</v>
      </c>
      <c r="F45" s="238">
        <v>1064</v>
      </c>
      <c r="G45" s="232">
        <v>45231</v>
      </c>
      <c r="H45" s="32">
        <v>0.57777777777777772</v>
      </c>
      <c r="I45" s="238">
        <v>6.5</v>
      </c>
      <c r="J45" s="233">
        <v>1</v>
      </c>
      <c r="K45" s="239">
        <v>3.0000000000000001E-3</v>
      </c>
      <c r="L45" s="239">
        <v>3.0000000000000001E-3</v>
      </c>
      <c r="M45" s="239">
        <v>-1E-3</v>
      </c>
      <c r="N45" s="239">
        <v>0</v>
      </c>
      <c r="O45" s="239">
        <v>0</v>
      </c>
      <c r="P45" s="239">
        <v>-1E-3</v>
      </c>
      <c r="Q45" s="216">
        <f t="shared" si="0"/>
        <v>0.48933270676691731</v>
      </c>
      <c r="R45" s="61" t="s">
        <v>21</v>
      </c>
      <c r="S45" s="213" t="s">
        <v>20</v>
      </c>
      <c r="T45" s="104"/>
      <c r="U45" s="94"/>
      <c r="V45" s="94"/>
      <c r="W45" s="94"/>
      <c r="X45" s="94"/>
      <c r="Y45" s="94"/>
      <c r="Z45" s="94"/>
      <c r="AA45" s="94"/>
    </row>
    <row r="46" spans="1:27" ht="15.75" customHeight="1">
      <c r="A46" s="234" t="s">
        <v>337</v>
      </c>
      <c r="B46" s="45">
        <v>45224</v>
      </c>
      <c r="C46" s="13">
        <v>0.37569444444444444</v>
      </c>
      <c r="D46" s="240">
        <v>45224</v>
      </c>
      <c r="E46" s="237">
        <v>0.50694444444444442</v>
      </c>
      <c r="F46" s="238">
        <v>1052</v>
      </c>
      <c r="G46" s="232">
        <v>45231</v>
      </c>
      <c r="H46" s="237">
        <v>0.5854166666666667</v>
      </c>
      <c r="I46" s="238">
        <v>8</v>
      </c>
      <c r="J46" s="233">
        <v>1</v>
      </c>
      <c r="K46" s="239">
        <v>1E-3</v>
      </c>
      <c r="L46" s="239">
        <v>1E-3</v>
      </c>
      <c r="M46" s="239">
        <v>-1E-3</v>
      </c>
      <c r="N46" s="239">
        <v>-1E-3</v>
      </c>
      <c r="O46" s="239">
        <v>0</v>
      </c>
      <c r="P46" s="239">
        <v>-1E-3</v>
      </c>
      <c r="Q46" s="216">
        <f t="shared" si="0"/>
        <v>0.20304182509505705</v>
      </c>
      <c r="R46" s="61" t="s">
        <v>21</v>
      </c>
      <c r="S46" s="213" t="s">
        <v>20</v>
      </c>
      <c r="T46" s="104"/>
      <c r="U46" s="94"/>
      <c r="V46" s="94"/>
      <c r="W46" s="94"/>
      <c r="X46" s="94"/>
      <c r="Y46" s="94"/>
      <c r="Z46" s="94"/>
      <c r="AA46" s="94"/>
    </row>
    <row r="47" spans="1:27" ht="15.75" customHeight="1">
      <c r="A47" s="234" t="s">
        <v>338</v>
      </c>
      <c r="B47" s="45">
        <v>45224</v>
      </c>
      <c r="C47" s="21">
        <v>0.34722222222222221</v>
      </c>
      <c r="D47" s="236">
        <v>45224</v>
      </c>
      <c r="E47" s="237">
        <v>0.5083333333333333</v>
      </c>
      <c r="F47" s="238">
        <v>10563</v>
      </c>
      <c r="G47" s="232">
        <v>45231</v>
      </c>
      <c r="H47" s="237">
        <v>0.58819444444444446</v>
      </c>
      <c r="I47" s="238">
        <v>8.8000000000000007</v>
      </c>
      <c r="J47" s="233">
        <v>1</v>
      </c>
      <c r="K47" s="239">
        <v>1E-3</v>
      </c>
      <c r="L47" s="239">
        <v>1E-3</v>
      </c>
      <c r="M47" s="239">
        <v>-1E-3</v>
      </c>
      <c r="N47" s="239">
        <v>0</v>
      </c>
      <c r="O47" s="239">
        <v>1E-3</v>
      </c>
      <c r="P47" s="239">
        <v>0</v>
      </c>
      <c r="Q47" s="216">
        <f t="shared" si="0"/>
        <v>2.2243680772507813E-2</v>
      </c>
      <c r="R47" s="61" t="s">
        <v>21</v>
      </c>
      <c r="S47" s="213" t="s">
        <v>20</v>
      </c>
      <c r="T47" s="104"/>
      <c r="U47" s="94"/>
      <c r="V47" s="94"/>
      <c r="W47" s="94"/>
      <c r="X47" s="94"/>
      <c r="Y47" s="94"/>
      <c r="Z47" s="94"/>
      <c r="AA47" s="94"/>
    </row>
    <row r="48" spans="1:27" ht="15.75" customHeight="1">
      <c r="A48" s="234" t="s">
        <v>339</v>
      </c>
      <c r="B48" s="45">
        <v>45224</v>
      </c>
      <c r="C48" s="21">
        <v>0.41319444444444442</v>
      </c>
      <c r="D48" s="236">
        <v>45224</v>
      </c>
      <c r="E48" s="237">
        <v>0.51249999999999996</v>
      </c>
      <c r="F48" s="238">
        <v>1063</v>
      </c>
      <c r="G48" s="232">
        <v>45231</v>
      </c>
      <c r="H48" s="237">
        <v>0.59305555555555556</v>
      </c>
      <c r="I48" s="238">
        <v>7</v>
      </c>
      <c r="J48" s="233">
        <v>1</v>
      </c>
      <c r="K48" s="239">
        <v>3.0000000000000001E-3</v>
      </c>
      <c r="L48" s="239">
        <v>3.0000000000000001E-3</v>
      </c>
      <c r="M48" s="239">
        <v>-1E-3</v>
      </c>
      <c r="N48" s="239">
        <v>1E-3</v>
      </c>
      <c r="O48" s="239">
        <v>2E-3</v>
      </c>
      <c r="P48" s="239">
        <v>-1E-3</v>
      </c>
      <c r="Q48" s="216">
        <f t="shared" si="0"/>
        <v>0.17582314205079966</v>
      </c>
      <c r="R48" s="61" t="s">
        <v>21</v>
      </c>
      <c r="S48" s="213" t="s">
        <v>20</v>
      </c>
      <c r="T48" s="104"/>
      <c r="U48" s="94"/>
      <c r="V48" s="94"/>
      <c r="W48" s="94"/>
      <c r="X48" s="94"/>
      <c r="Y48" s="94"/>
      <c r="Z48" s="94"/>
      <c r="AA48" s="94"/>
    </row>
    <row r="49" spans="1:27" ht="15.75" customHeight="1">
      <c r="A49" s="234" t="s">
        <v>340</v>
      </c>
      <c r="B49" s="45">
        <v>45224</v>
      </c>
      <c r="C49" s="21">
        <v>0.32500000000000001</v>
      </c>
      <c r="D49" s="236">
        <v>45224</v>
      </c>
      <c r="E49" s="237">
        <v>0.51388888888888884</v>
      </c>
      <c r="F49" s="238">
        <v>1040</v>
      </c>
      <c r="G49" s="232">
        <v>45231</v>
      </c>
      <c r="H49" s="237">
        <v>0.59791666666666665</v>
      </c>
      <c r="I49" s="238">
        <v>8</v>
      </c>
      <c r="J49" s="233">
        <v>1</v>
      </c>
      <c r="K49" s="239">
        <v>1E-3</v>
      </c>
      <c r="L49" s="239">
        <v>1E-3</v>
      </c>
      <c r="M49" s="239">
        <v>-1E-3</v>
      </c>
      <c r="N49" s="239">
        <v>0</v>
      </c>
      <c r="O49" s="239">
        <v>0</v>
      </c>
      <c r="P49" s="239">
        <v>-1E-3</v>
      </c>
      <c r="Q49" s="216">
        <f t="shared" si="0"/>
        <v>0.20538461538461539</v>
      </c>
      <c r="R49" s="61" t="s">
        <v>21</v>
      </c>
      <c r="S49" s="213" t="s">
        <v>20</v>
      </c>
      <c r="T49" s="104"/>
      <c r="U49" s="94"/>
      <c r="V49" s="94"/>
      <c r="W49" s="94"/>
      <c r="X49" s="94"/>
      <c r="Y49" s="94"/>
      <c r="Z49" s="94"/>
      <c r="AA49" s="94"/>
    </row>
    <row r="50" spans="1:27" ht="32.25" customHeight="1">
      <c r="A50" s="204" t="s">
        <v>341</v>
      </c>
      <c r="B50" s="205" t="s">
        <v>17</v>
      </c>
      <c r="C50" s="205" t="s">
        <v>17</v>
      </c>
      <c r="D50" s="205" t="s">
        <v>17</v>
      </c>
      <c r="E50" s="205" t="s">
        <v>17</v>
      </c>
      <c r="F50" s="205" t="s">
        <v>17</v>
      </c>
      <c r="G50" s="232">
        <v>45231</v>
      </c>
      <c r="H50" s="205" t="s">
        <v>17</v>
      </c>
      <c r="I50" s="205" t="s">
        <v>17</v>
      </c>
      <c r="J50" s="207">
        <v>1</v>
      </c>
      <c r="K50" s="208">
        <v>2E-3</v>
      </c>
      <c r="L50" s="208">
        <v>2E-3</v>
      </c>
      <c r="M50" s="208">
        <v>0</v>
      </c>
      <c r="N50" s="208">
        <v>0</v>
      </c>
      <c r="O50" s="208">
        <v>-1E-3</v>
      </c>
      <c r="P50" s="208">
        <v>-2E-3</v>
      </c>
      <c r="Q50" s="209">
        <f>((26.7*((K50-M50)-(O50-P50))*1000))</f>
        <v>26.700000000000003</v>
      </c>
      <c r="R50" s="210" t="s">
        <v>21</v>
      </c>
      <c r="S50" s="207" t="s">
        <v>25</v>
      </c>
      <c r="T50" s="153"/>
      <c r="U50" s="211"/>
      <c r="V50" s="211"/>
      <c r="W50" s="211"/>
      <c r="X50" s="211"/>
      <c r="Y50" s="211"/>
      <c r="Z50" s="211"/>
      <c r="AA50" s="211"/>
    </row>
    <row r="51" spans="1:27" ht="15.75" customHeight="1">
      <c r="A51" s="241"/>
      <c r="B51" s="240"/>
      <c r="C51" s="237"/>
      <c r="D51" s="240"/>
      <c r="E51" s="237"/>
      <c r="F51" s="238"/>
      <c r="G51" s="232"/>
      <c r="H51" s="237"/>
      <c r="I51" s="238"/>
      <c r="J51" s="242"/>
      <c r="K51" s="239"/>
      <c r="L51" s="239"/>
      <c r="M51" s="239"/>
      <c r="N51" s="239"/>
      <c r="O51" s="239"/>
      <c r="P51" s="239"/>
      <c r="Q51" s="243"/>
      <c r="R51" s="61"/>
      <c r="S51" s="242"/>
      <c r="T51" s="104"/>
      <c r="U51" s="94"/>
      <c r="V51" s="94"/>
      <c r="W51" s="94"/>
      <c r="X51" s="94"/>
      <c r="Y51" s="94"/>
      <c r="Z51" s="94"/>
      <c r="AA51" s="94"/>
    </row>
    <row r="52" spans="1:27" ht="15.75" customHeight="1">
      <c r="A52" s="241"/>
      <c r="B52" s="240"/>
      <c r="C52" s="237"/>
      <c r="D52" s="240"/>
      <c r="E52" s="237"/>
      <c r="F52" s="238"/>
      <c r="G52" s="232"/>
      <c r="H52" s="237"/>
      <c r="I52" s="238"/>
      <c r="J52" s="242"/>
      <c r="K52" s="239"/>
      <c r="L52" s="239"/>
      <c r="M52" s="239"/>
      <c r="N52" s="239"/>
      <c r="O52" s="239"/>
      <c r="P52" s="239"/>
      <c r="Q52" s="243"/>
      <c r="R52" s="61"/>
      <c r="S52" s="242"/>
      <c r="T52" s="104"/>
      <c r="U52" s="94"/>
      <c r="V52" s="94"/>
      <c r="W52" s="94"/>
      <c r="X52" s="94"/>
      <c r="Y52" s="94"/>
      <c r="Z52" s="94"/>
      <c r="AA52" s="94"/>
    </row>
    <row r="53" spans="1:27" ht="15.75" customHeight="1">
      <c r="A53" s="241"/>
      <c r="B53" s="240"/>
      <c r="C53" s="237"/>
      <c r="D53" s="240"/>
      <c r="E53" s="237"/>
      <c r="F53" s="238"/>
      <c r="G53" s="232"/>
      <c r="H53" s="237"/>
      <c r="I53" s="238"/>
      <c r="J53" s="242"/>
      <c r="K53" s="239"/>
      <c r="L53" s="239"/>
      <c r="M53" s="239"/>
      <c r="N53" s="239"/>
      <c r="O53" s="239"/>
      <c r="P53" s="239"/>
      <c r="Q53" s="243"/>
      <c r="R53" s="61"/>
      <c r="S53" s="242"/>
      <c r="T53" s="104"/>
      <c r="U53" s="94"/>
      <c r="V53" s="94"/>
      <c r="W53" s="94"/>
      <c r="X53" s="94"/>
      <c r="Y53" s="94"/>
      <c r="Z53" s="94"/>
      <c r="AA53" s="94"/>
    </row>
    <row r="54" spans="1:27" ht="15.75" customHeight="1">
      <c r="A54" s="241"/>
      <c r="B54" s="240"/>
      <c r="C54" s="237"/>
      <c r="D54" s="240"/>
      <c r="E54" s="237"/>
      <c r="F54" s="238"/>
      <c r="G54" s="232"/>
      <c r="H54" s="237"/>
      <c r="I54" s="238"/>
      <c r="J54" s="242"/>
      <c r="K54" s="239"/>
      <c r="L54" s="239"/>
      <c r="M54" s="239"/>
      <c r="N54" s="239"/>
      <c r="O54" s="239"/>
      <c r="P54" s="239"/>
      <c r="Q54" s="243"/>
      <c r="R54" s="61"/>
      <c r="S54" s="242"/>
      <c r="T54" s="104"/>
      <c r="U54" s="94"/>
      <c r="V54" s="94"/>
      <c r="W54" s="94"/>
      <c r="X54" s="94"/>
      <c r="Y54" s="94"/>
      <c r="Z54" s="94"/>
      <c r="AA54" s="94"/>
    </row>
    <row r="55" spans="1:27" ht="15.75" customHeight="1">
      <c r="A55" s="241"/>
      <c r="B55" s="240"/>
      <c r="C55" s="237"/>
      <c r="D55" s="240"/>
      <c r="E55" s="237"/>
      <c r="F55" s="238"/>
      <c r="G55" s="232"/>
      <c r="H55" s="237"/>
      <c r="I55" s="238"/>
      <c r="J55" s="242"/>
      <c r="K55" s="239"/>
      <c r="L55" s="239"/>
      <c r="M55" s="239"/>
      <c r="N55" s="239"/>
      <c r="O55" s="239"/>
      <c r="P55" s="239"/>
      <c r="Q55" s="243"/>
      <c r="R55" s="61"/>
      <c r="S55" s="242"/>
      <c r="T55" s="104"/>
      <c r="U55" s="94"/>
      <c r="V55" s="94"/>
      <c r="W55" s="94"/>
      <c r="X55" s="94"/>
      <c r="Y55" s="94"/>
      <c r="Z55" s="94"/>
      <c r="AA55" s="94"/>
    </row>
    <row r="56" spans="1:27" ht="15.75" customHeight="1">
      <c r="A56" s="241"/>
      <c r="B56" s="240"/>
      <c r="C56" s="58"/>
      <c r="D56" s="240"/>
      <c r="E56" s="237"/>
      <c r="F56" s="238"/>
      <c r="G56" s="232"/>
      <c r="H56" s="237"/>
      <c r="I56" s="238"/>
      <c r="J56" s="242"/>
      <c r="K56" s="239"/>
      <c r="L56" s="239"/>
      <c r="M56" s="239"/>
      <c r="N56" s="239"/>
      <c r="O56" s="239"/>
      <c r="P56" s="239"/>
      <c r="Q56" s="243"/>
      <c r="R56" s="61"/>
      <c r="S56" s="242"/>
      <c r="T56" s="104"/>
      <c r="U56" s="94"/>
      <c r="V56" s="94"/>
      <c r="W56" s="94"/>
      <c r="X56" s="94"/>
      <c r="Y56" s="94"/>
      <c r="Z56" s="94"/>
      <c r="AA56" s="94"/>
    </row>
    <row r="57" spans="1:27" ht="15.75" customHeight="1">
      <c r="A57" s="241"/>
      <c r="B57" s="240"/>
      <c r="C57" s="58"/>
      <c r="D57" s="240"/>
      <c r="E57" s="237"/>
      <c r="F57" s="238"/>
      <c r="G57" s="232"/>
      <c r="H57" s="237"/>
      <c r="I57" s="238"/>
      <c r="J57" s="242"/>
      <c r="K57" s="239"/>
      <c r="L57" s="239"/>
      <c r="M57" s="239"/>
      <c r="N57" s="239"/>
      <c r="O57" s="239"/>
      <c r="P57" s="239"/>
      <c r="Q57" s="243"/>
      <c r="R57" s="61"/>
      <c r="S57" s="242"/>
      <c r="T57" s="104"/>
      <c r="U57" s="94"/>
      <c r="V57" s="94"/>
      <c r="W57" s="94"/>
      <c r="X57" s="94"/>
      <c r="Y57" s="94"/>
      <c r="Z57" s="94"/>
      <c r="AA57" s="94"/>
    </row>
    <row r="58" spans="1:27" ht="15.75" customHeight="1">
      <c r="A58" s="244"/>
      <c r="B58" s="245"/>
      <c r="C58" s="244"/>
      <c r="D58" s="244"/>
      <c r="E58" s="244"/>
      <c r="F58" s="246"/>
      <c r="G58" s="245"/>
      <c r="H58" s="244"/>
      <c r="I58" s="246"/>
      <c r="J58" s="244"/>
      <c r="K58" s="247"/>
      <c r="L58" s="247"/>
      <c r="M58" s="247"/>
      <c r="N58" s="247"/>
      <c r="O58" s="247"/>
      <c r="P58" s="247"/>
      <c r="Q58" s="246"/>
      <c r="R58" s="244"/>
      <c r="S58" s="244"/>
      <c r="T58" s="68"/>
      <c r="U58" s="94"/>
      <c r="V58" s="94"/>
      <c r="W58" s="94"/>
      <c r="X58" s="94"/>
      <c r="Y58" s="94"/>
      <c r="Z58" s="94"/>
      <c r="AA58" s="94"/>
    </row>
    <row r="59" spans="1:27" ht="15.75" customHeight="1">
      <c r="A59" s="94"/>
      <c r="B59" s="248"/>
      <c r="C59" s="94"/>
      <c r="D59" s="94"/>
      <c r="E59" s="94"/>
      <c r="F59" s="249"/>
      <c r="G59" s="248"/>
      <c r="H59" s="94"/>
      <c r="I59" s="249"/>
      <c r="J59" s="94"/>
      <c r="K59" s="250"/>
      <c r="L59" s="250"/>
      <c r="M59" s="250"/>
      <c r="N59" s="250"/>
      <c r="O59" s="250"/>
      <c r="P59" s="250"/>
      <c r="Q59" s="249"/>
      <c r="R59" s="94"/>
      <c r="S59" s="94"/>
      <c r="T59" s="251"/>
      <c r="U59" s="94"/>
      <c r="V59" s="94"/>
      <c r="W59" s="94"/>
      <c r="X59" s="94"/>
      <c r="Y59" s="94"/>
      <c r="Z59" s="94"/>
      <c r="AA59" s="94"/>
    </row>
    <row r="60" spans="1:27" ht="15.75" customHeight="1">
      <c r="A60" s="94"/>
      <c r="B60" s="248"/>
      <c r="C60" s="94"/>
      <c r="D60" s="94"/>
      <c r="E60" s="94"/>
      <c r="F60" s="249"/>
      <c r="G60" s="248"/>
      <c r="H60" s="94"/>
      <c r="I60" s="249"/>
      <c r="J60" s="94"/>
      <c r="K60" s="250"/>
      <c r="L60" s="250"/>
      <c r="M60" s="250"/>
      <c r="N60" s="250"/>
      <c r="O60" s="250"/>
      <c r="P60" s="250"/>
      <c r="Q60" s="249"/>
      <c r="R60" s="94"/>
      <c r="S60" s="94"/>
      <c r="T60" s="251"/>
      <c r="U60" s="94"/>
      <c r="V60" s="94"/>
      <c r="W60" s="94"/>
      <c r="X60" s="94"/>
      <c r="Y60" s="94"/>
      <c r="Z60" s="94"/>
      <c r="AA60" s="94"/>
    </row>
    <row r="61" spans="1:27" ht="15.75" customHeight="1">
      <c r="A61" s="94"/>
      <c r="B61" s="248"/>
      <c r="C61" s="94"/>
      <c r="D61" s="94"/>
      <c r="E61" s="94"/>
      <c r="F61" s="249"/>
      <c r="G61" s="248"/>
      <c r="H61" s="94"/>
      <c r="I61" s="249"/>
      <c r="J61" s="94"/>
      <c r="K61" s="250"/>
      <c r="L61" s="250"/>
      <c r="M61" s="250"/>
      <c r="N61" s="250"/>
      <c r="O61" s="250"/>
      <c r="P61" s="250"/>
      <c r="Q61" s="249"/>
      <c r="R61" s="94"/>
      <c r="S61" s="94"/>
      <c r="T61" s="251"/>
      <c r="U61" s="94"/>
      <c r="V61" s="94"/>
      <c r="W61" s="94"/>
      <c r="X61" s="94"/>
      <c r="Y61" s="94"/>
      <c r="Z61" s="94"/>
      <c r="AA61" s="94"/>
    </row>
    <row r="62" spans="1:27" ht="15.75" customHeight="1">
      <c r="A62" s="94"/>
      <c r="B62" s="248"/>
      <c r="C62" s="94"/>
      <c r="D62" s="94"/>
      <c r="E62" s="94"/>
      <c r="F62" s="249"/>
      <c r="G62" s="248"/>
      <c r="H62" s="94"/>
      <c r="I62" s="249"/>
      <c r="J62" s="94"/>
      <c r="K62" s="250"/>
      <c r="L62" s="250"/>
      <c r="M62" s="250"/>
      <c r="N62" s="250"/>
      <c r="O62" s="250"/>
      <c r="P62" s="250"/>
      <c r="Q62" s="249"/>
      <c r="R62" s="94"/>
      <c r="S62" s="94"/>
      <c r="T62" s="251"/>
      <c r="U62" s="94"/>
      <c r="V62" s="94"/>
      <c r="W62" s="94"/>
      <c r="X62" s="94"/>
      <c r="Y62" s="94"/>
      <c r="Z62" s="94"/>
      <c r="AA62" s="94"/>
    </row>
    <row r="63" spans="1:27" ht="15.75" customHeight="1">
      <c r="A63" s="94"/>
      <c r="B63" s="248"/>
      <c r="C63" s="94"/>
      <c r="D63" s="94"/>
      <c r="E63" s="94"/>
      <c r="F63" s="249"/>
      <c r="G63" s="248"/>
      <c r="H63" s="94"/>
      <c r="I63" s="249"/>
      <c r="J63" s="94"/>
      <c r="K63" s="250"/>
      <c r="L63" s="250"/>
      <c r="M63" s="250"/>
      <c r="N63" s="250"/>
      <c r="O63" s="250"/>
      <c r="P63" s="250"/>
      <c r="Q63" s="249"/>
      <c r="R63" s="94"/>
      <c r="S63" s="94"/>
      <c r="T63" s="251"/>
      <c r="U63" s="94"/>
      <c r="V63" s="94"/>
      <c r="W63" s="94"/>
      <c r="X63" s="94"/>
      <c r="Y63" s="94"/>
      <c r="Z63" s="94"/>
      <c r="AA63" s="94"/>
    </row>
    <row r="64" spans="1:27" ht="15.75" customHeight="1">
      <c r="A64" s="94"/>
      <c r="B64" s="248"/>
      <c r="C64" s="94"/>
      <c r="D64" s="94"/>
      <c r="E64" s="94"/>
      <c r="F64" s="249"/>
      <c r="G64" s="248"/>
      <c r="H64" s="94"/>
      <c r="I64" s="249"/>
      <c r="J64" s="94"/>
      <c r="K64" s="250"/>
      <c r="L64" s="250"/>
      <c r="M64" s="250"/>
      <c r="N64" s="250"/>
      <c r="O64" s="250"/>
      <c r="P64" s="250"/>
      <c r="Q64" s="249"/>
      <c r="R64" s="94"/>
      <c r="S64" s="94"/>
      <c r="T64" s="251"/>
      <c r="U64" s="94"/>
      <c r="V64" s="94"/>
      <c r="W64" s="94"/>
      <c r="X64" s="94"/>
      <c r="Y64" s="94"/>
      <c r="Z64" s="94"/>
      <c r="AA64" s="94"/>
    </row>
    <row r="65" spans="1:27" ht="15.75" customHeight="1">
      <c r="A65" s="94"/>
      <c r="B65" s="248"/>
      <c r="C65" s="94"/>
      <c r="D65" s="94"/>
      <c r="E65" s="94"/>
      <c r="F65" s="249"/>
      <c r="G65" s="248"/>
      <c r="H65" s="94"/>
      <c r="I65" s="249"/>
      <c r="J65" s="94"/>
      <c r="K65" s="250"/>
      <c r="L65" s="250"/>
      <c r="M65" s="250"/>
      <c r="N65" s="250"/>
      <c r="O65" s="250"/>
      <c r="P65" s="250"/>
      <c r="Q65" s="249"/>
      <c r="R65" s="94"/>
      <c r="S65" s="94"/>
      <c r="T65" s="251"/>
      <c r="U65" s="94"/>
      <c r="V65" s="94"/>
      <c r="W65" s="94"/>
      <c r="X65" s="94"/>
      <c r="Y65" s="94"/>
      <c r="Z65" s="94"/>
      <c r="AA65" s="94"/>
    </row>
    <row r="66" spans="1:27" ht="15.75" customHeight="1">
      <c r="A66" s="94"/>
      <c r="B66" s="248"/>
      <c r="C66" s="94"/>
      <c r="D66" s="94"/>
      <c r="E66" s="94"/>
      <c r="F66" s="249"/>
      <c r="G66" s="248"/>
      <c r="H66" s="94"/>
      <c r="I66" s="249"/>
      <c r="J66" s="94"/>
      <c r="K66" s="250"/>
      <c r="L66" s="250"/>
      <c r="M66" s="250"/>
      <c r="N66" s="250"/>
      <c r="O66" s="250"/>
      <c r="P66" s="250"/>
      <c r="Q66" s="249"/>
      <c r="R66" s="94"/>
      <c r="S66" s="94"/>
      <c r="T66" s="251"/>
      <c r="U66" s="94"/>
      <c r="V66" s="94"/>
      <c r="W66" s="94"/>
      <c r="X66" s="94"/>
      <c r="Y66" s="94"/>
      <c r="Z66" s="94"/>
      <c r="AA66" s="94"/>
    </row>
    <row r="67" spans="1:27" ht="15.75" customHeight="1">
      <c r="A67" s="94"/>
      <c r="B67" s="248"/>
      <c r="C67" s="94"/>
      <c r="D67" s="94"/>
      <c r="E67" s="94"/>
      <c r="F67" s="249"/>
      <c r="G67" s="248"/>
      <c r="H67" s="94"/>
      <c r="I67" s="249"/>
      <c r="J67" s="94"/>
      <c r="K67" s="250"/>
      <c r="L67" s="250"/>
      <c r="M67" s="250"/>
      <c r="N67" s="250"/>
      <c r="O67" s="250"/>
      <c r="P67" s="250"/>
      <c r="Q67" s="249"/>
      <c r="R67" s="94"/>
      <c r="S67" s="94"/>
      <c r="T67" s="251"/>
      <c r="U67" s="94"/>
      <c r="V67" s="94"/>
      <c r="W67" s="94"/>
      <c r="X67" s="94"/>
      <c r="Y67" s="94"/>
      <c r="Z67" s="94"/>
      <c r="AA67" s="94"/>
    </row>
    <row r="68" spans="1:27" ht="15.75" customHeight="1">
      <c r="A68" s="94"/>
      <c r="B68" s="248"/>
      <c r="C68" s="94"/>
      <c r="D68" s="94"/>
      <c r="E68" s="94"/>
      <c r="F68" s="249"/>
      <c r="G68" s="248"/>
      <c r="H68" s="94"/>
      <c r="I68" s="249"/>
      <c r="J68" s="94"/>
      <c r="K68" s="250"/>
      <c r="L68" s="250"/>
      <c r="M68" s="250"/>
      <c r="N68" s="250"/>
      <c r="O68" s="250"/>
      <c r="P68" s="250"/>
      <c r="Q68" s="249"/>
      <c r="R68" s="94"/>
      <c r="S68" s="94"/>
      <c r="T68" s="251"/>
      <c r="U68" s="94"/>
      <c r="V68" s="94"/>
      <c r="W68" s="94"/>
      <c r="X68" s="94"/>
      <c r="Y68" s="94"/>
      <c r="Z68" s="94"/>
      <c r="AA68" s="94"/>
    </row>
    <row r="69" spans="1:27" ht="15.75" customHeight="1">
      <c r="A69" s="94"/>
      <c r="B69" s="248"/>
      <c r="C69" s="94"/>
      <c r="D69" s="94"/>
      <c r="E69" s="94"/>
      <c r="F69" s="249"/>
      <c r="G69" s="248"/>
      <c r="H69" s="94"/>
      <c r="I69" s="249"/>
      <c r="J69" s="94"/>
      <c r="K69" s="250"/>
      <c r="L69" s="250"/>
      <c r="M69" s="250"/>
      <c r="N69" s="250"/>
      <c r="O69" s="250"/>
      <c r="P69" s="250"/>
      <c r="Q69" s="249"/>
      <c r="R69" s="94"/>
      <c r="S69" s="94"/>
      <c r="T69" s="251"/>
      <c r="U69" s="94"/>
      <c r="V69" s="94"/>
      <c r="W69" s="94"/>
      <c r="X69" s="94"/>
      <c r="Y69" s="94"/>
      <c r="Z69" s="94"/>
      <c r="AA69" s="94"/>
    </row>
    <row r="70" spans="1:27" ht="15.75" customHeight="1">
      <c r="A70" s="94"/>
      <c r="B70" s="248"/>
      <c r="C70" s="94"/>
      <c r="D70" s="94"/>
      <c r="E70" s="94"/>
      <c r="F70" s="249"/>
      <c r="G70" s="248"/>
      <c r="H70" s="94"/>
      <c r="I70" s="249"/>
      <c r="J70" s="94"/>
      <c r="K70" s="250"/>
      <c r="L70" s="250"/>
      <c r="M70" s="250"/>
      <c r="N70" s="250"/>
      <c r="O70" s="250"/>
      <c r="P70" s="250"/>
      <c r="Q70" s="249"/>
      <c r="R70" s="94"/>
      <c r="S70" s="94"/>
      <c r="T70" s="251"/>
      <c r="U70" s="94"/>
      <c r="V70" s="94"/>
      <c r="W70" s="94"/>
      <c r="X70" s="94"/>
      <c r="Y70" s="94"/>
      <c r="Z70" s="94"/>
      <c r="AA70" s="94"/>
    </row>
    <row r="71" spans="1:27" ht="15.75" customHeight="1">
      <c r="A71" s="94"/>
      <c r="B71" s="248"/>
      <c r="C71" s="94"/>
      <c r="D71" s="94"/>
      <c r="E71" s="94"/>
      <c r="F71" s="249"/>
      <c r="G71" s="248"/>
      <c r="H71" s="94"/>
      <c r="I71" s="249"/>
      <c r="J71" s="94"/>
      <c r="K71" s="250"/>
      <c r="L71" s="250"/>
      <c r="M71" s="250"/>
      <c r="N71" s="250"/>
      <c r="O71" s="250"/>
      <c r="P71" s="250"/>
      <c r="Q71" s="249"/>
      <c r="R71" s="94"/>
      <c r="S71" s="94"/>
      <c r="T71" s="251"/>
      <c r="U71" s="94"/>
      <c r="V71" s="94"/>
      <c r="W71" s="94"/>
      <c r="X71" s="94"/>
      <c r="Y71" s="94"/>
      <c r="Z71" s="94"/>
      <c r="AA71" s="94"/>
    </row>
    <row r="72" spans="1:27" ht="15.75" customHeight="1">
      <c r="A72" s="94"/>
      <c r="B72" s="248"/>
      <c r="C72" s="94"/>
      <c r="D72" s="94"/>
      <c r="E72" s="94"/>
      <c r="F72" s="249"/>
      <c r="G72" s="248"/>
      <c r="H72" s="94"/>
      <c r="I72" s="249"/>
      <c r="J72" s="94"/>
      <c r="K72" s="250"/>
      <c r="L72" s="250"/>
      <c r="M72" s="250"/>
      <c r="N72" s="250"/>
      <c r="O72" s="250"/>
      <c r="P72" s="250"/>
      <c r="Q72" s="249"/>
      <c r="R72" s="94"/>
      <c r="S72" s="94"/>
      <c r="T72" s="251"/>
      <c r="U72" s="94"/>
      <c r="V72" s="94"/>
      <c r="W72" s="94"/>
      <c r="X72" s="94"/>
      <c r="Y72" s="94"/>
      <c r="Z72" s="94"/>
      <c r="AA72" s="94"/>
    </row>
    <row r="73" spans="1:27" ht="15.75" customHeight="1">
      <c r="A73" s="94"/>
      <c r="B73" s="248"/>
      <c r="C73" s="94"/>
      <c r="D73" s="94"/>
      <c r="E73" s="94"/>
      <c r="F73" s="249"/>
      <c r="G73" s="248"/>
      <c r="H73" s="94"/>
      <c r="I73" s="249"/>
      <c r="J73" s="94"/>
      <c r="K73" s="250"/>
      <c r="L73" s="250"/>
      <c r="M73" s="250"/>
      <c r="N73" s="250"/>
      <c r="O73" s="250"/>
      <c r="P73" s="250"/>
      <c r="Q73" s="249"/>
      <c r="R73" s="94"/>
      <c r="S73" s="94"/>
      <c r="T73" s="251"/>
      <c r="U73" s="94"/>
      <c r="V73" s="94"/>
      <c r="W73" s="94"/>
      <c r="X73" s="94"/>
      <c r="Y73" s="94"/>
      <c r="Z73" s="94"/>
      <c r="AA73" s="94"/>
    </row>
    <row r="74" spans="1:27" ht="15.75" customHeight="1">
      <c r="A74" s="94"/>
      <c r="B74" s="248"/>
      <c r="C74" s="94"/>
      <c r="D74" s="94"/>
      <c r="E74" s="94"/>
      <c r="F74" s="249"/>
      <c r="G74" s="248"/>
      <c r="H74" s="94"/>
      <c r="I74" s="249"/>
      <c r="J74" s="94"/>
      <c r="K74" s="250"/>
      <c r="L74" s="250"/>
      <c r="M74" s="250"/>
      <c r="N74" s="250"/>
      <c r="O74" s="250"/>
      <c r="P74" s="250"/>
      <c r="Q74" s="249"/>
      <c r="R74" s="94"/>
      <c r="S74" s="94"/>
      <c r="T74" s="251"/>
      <c r="U74" s="94"/>
      <c r="V74" s="94"/>
      <c r="W74" s="94"/>
      <c r="X74" s="94"/>
      <c r="Y74" s="94"/>
      <c r="Z74" s="94"/>
      <c r="AA74" s="94"/>
    </row>
    <row r="75" spans="1:27" ht="15.75" customHeight="1">
      <c r="A75" s="94"/>
      <c r="B75" s="248"/>
      <c r="C75" s="94"/>
      <c r="D75" s="94"/>
      <c r="E75" s="94"/>
      <c r="F75" s="249"/>
      <c r="G75" s="248"/>
      <c r="H75" s="94"/>
      <c r="I75" s="249"/>
      <c r="J75" s="94"/>
      <c r="K75" s="250"/>
      <c r="L75" s="250"/>
      <c r="M75" s="250"/>
      <c r="N75" s="250"/>
      <c r="O75" s="250"/>
      <c r="P75" s="250"/>
      <c r="Q75" s="249"/>
      <c r="R75" s="94"/>
      <c r="S75" s="94"/>
      <c r="T75" s="251"/>
      <c r="U75" s="94"/>
      <c r="V75" s="94"/>
      <c r="W75" s="94"/>
      <c r="X75" s="94"/>
      <c r="Y75" s="94"/>
      <c r="Z75" s="94"/>
      <c r="AA75" s="94"/>
    </row>
    <row r="76" spans="1:27" ht="15.75" customHeight="1">
      <c r="A76" s="94"/>
      <c r="B76" s="248"/>
      <c r="C76" s="94"/>
      <c r="D76" s="94"/>
      <c r="E76" s="94"/>
      <c r="F76" s="249"/>
      <c r="G76" s="248"/>
      <c r="H76" s="94"/>
      <c r="I76" s="249"/>
      <c r="J76" s="94"/>
      <c r="K76" s="250"/>
      <c r="L76" s="250"/>
      <c r="M76" s="250"/>
      <c r="N76" s="250"/>
      <c r="O76" s="250"/>
      <c r="P76" s="250"/>
      <c r="Q76" s="249"/>
      <c r="R76" s="94"/>
      <c r="S76" s="94"/>
      <c r="T76" s="251"/>
      <c r="U76" s="94"/>
      <c r="V76" s="94"/>
      <c r="W76" s="94"/>
      <c r="X76" s="94"/>
      <c r="Y76" s="94"/>
      <c r="Z76" s="94"/>
      <c r="AA76" s="94"/>
    </row>
    <row r="77" spans="1:27" ht="15.75" customHeight="1">
      <c r="A77" s="94"/>
      <c r="B77" s="248"/>
      <c r="C77" s="94"/>
      <c r="D77" s="94"/>
      <c r="E77" s="94"/>
      <c r="F77" s="249"/>
      <c r="G77" s="248"/>
      <c r="H77" s="94"/>
      <c r="I77" s="249"/>
      <c r="J77" s="94"/>
      <c r="K77" s="250"/>
      <c r="L77" s="250"/>
      <c r="M77" s="250"/>
      <c r="N77" s="250"/>
      <c r="O77" s="250"/>
      <c r="P77" s="250"/>
      <c r="Q77" s="249"/>
      <c r="R77" s="94"/>
      <c r="S77" s="94"/>
      <c r="T77" s="251"/>
      <c r="U77" s="94"/>
      <c r="V77" s="94"/>
      <c r="W77" s="94"/>
      <c r="X77" s="94"/>
      <c r="Y77" s="94"/>
      <c r="Z77" s="94"/>
      <c r="AA77" s="94"/>
    </row>
    <row r="78" spans="1:27" ht="15.75" customHeight="1">
      <c r="A78" s="94"/>
      <c r="B78" s="248"/>
      <c r="C78" s="94"/>
      <c r="D78" s="94"/>
      <c r="E78" s="94"/>
      <c r="F78" s="249"/>
      <c r="G78" s="248"/>
      <c r="H78" s="94"/>
      <c r="I78" s="249"/>
      <c r="J78" s="94"/>
      <c r="K78" s="250"/>
      <c r="L78" s="250"/>
      <c r="M78" s="250"/>
      <c r="N78" s="250"/>
      <c r="O78" s="250"/>
      <c r="P78" s="250"/>
      <c r="Q78" s="249"/>
      <c r="R78" s="94"/>
      <c r="S78" s="94"/>
      <c r="T78" s="251"/>
      <c r="U78" s="94"/>
      <c r="V78" s="94"/>
      <c r="W78" s="94"/>
      <c r="X78" s="94"/>
      <c r="Y78" s="94"/>
      <c r="Z78" s="94"/>
      <c r="AA78" s="94"/>
    </row>
    <row r="79" spans="1:27" ht="15.75" customHeight="1">
      <c r="A79" s="94"/>
      <c r="B79" s="248"/>
      <c r="C79" s="94"/>
      <c r="D79" s="94"/>
      <c r="E79" s="94"/>
      <c r="F79" s="249"/>
      <c r="G79" s="248"/>
      <c r="H79" s="94"/>
      <c r="I79" s="249"/>
      <c r="J79" s="94"/>
      <c r="K79" s="250"/>
      <c r="L79" s="250"/>
      <c r="M79" s="250"/>
      <c r="N79" s="250"/>
      <c r="O79" s="250"/>
      <c r="P79" s="250"/>
      <c r="Q79" s="249"/>
      <c r="R79" s="94"/>
      <c r="S79" s="94"/>
      <c r="T79" s="251"/>
      <c r="U79" s="94"/>
      <c r="V79" s="94"/>
      <c r="W79" s="94"/>
      <c r="X79" s="94"/>
      <c r="Y79" s="94"/>
      <c r="Z79" s="94"/>
      <c r="AA79" s="94"/>
    </row>
    <row r="80" spans="1:27" ht="15.75" customHeight="1">
      <c r="A80" s="94"/>
      <c r="B80" s="248"/>
      <c r="C80" s="94"/>
      <c r="D80" s="94"/>
      <c r="E80" s="94"/>
      <c r="F80" s="249"/>
      <c r="G80" s="248"/>
      <c r="H80" s="94"/>
      <c r="I80" s="249"/>
      <c r="J80" s="94"/>
      <c r="K80" s="250"/>
      <c r="L80" s="250"/>
      <c r="M80" s="250"/>
      <c r="N80" s="250"/>
      <c r="O80" s="250"/>
      <c r="P80" s="250"/>
      <c r="Q80" s="249"/>
      <c r="R80" s="94"/>
      <c r="S80" s="94"/>
      <c r="T80" s="251"/>
      <c r="U80" s="94"/>
      <c r="V80" s="94"/>
      <c r="W80" s="94"/>
      <c r="X80" s="94"/>
      <c r="Y80" s="94"/>
      <c r="Z80" s="94"/>
      <c r="AA80" s="94"/>
    </row>
    <row r="81" spans="1:27" ht="15.75" customHeight="1">
      <c r="A81" s="94"/>
      <c r="B81" s="248"/>
      <c r="C81" s="94"/>
      <c r="D81" s="94"/>
      <c r="E81" s="94"/>
      <c r="F81" s="249"/>
      <c r="G81" s="248"/>
      <c r="H81" s="94"/>
      <c r="I81" s="249"/>
      <c r="J81" s="94"/>
      <c r="K81" s="250"/>
      <c r="L81" s="250"/>
      <c r="M81" s="250"/>
      <c r="N81" s="250"/>
      <c r="O81" s="250"/>
      <c r="P81" s="250"/>
      <c r="Q81" s="249"/>
      <c r="R81" s="94"/>
      <c r="S81" s="94"/>
      <c r="T81" s="251"/>
      <c r="U81" s="94"/>
      <c r="V81" s="94"/>
      <c r="W81" s="94"/>
      <c r="X81" s="94"/>
      <c r="Y81" s="94"/>
      <c r="Z81" s="94"/>
      <c r="AA81" s="94"/>
    </row>
    <row r="82" spans="1:27" ht="15.75" customHeight="1">
      <c r="A82" s="94"/>
      <c r="B82" s="248"/>
      <c r="C82" s="94"/>
      <c r="D82" s="94"/>
      <c r="E82" s="94"/>
      <c r="F82" s="249"/>
      <c r="G82" s="248"/>
      <c r="H82" s="94"/>
      <c r="I82" s="249"/>
      <c r="J82" s="94"/>
      <c r="K82" s="250"/>
      <c r="L82" s="250"/>
      <c r="M82" s="250"/>
      <c r="N82" s="250"/>
      <c r="O82" s="250"/>
      <c r="P82" s="250"/>
      <c r="Q82" s="249"/>
      <c r="R82" s="94"/>
      <c r="S82" s="94"/>
      <c r="T82" s="251"/>
      <c r="U82" s="94"/>
      <c r="V82" s="94"/>
      <c r="W82" s="94"/>
      <c r="X82" s="94"/>
      <c r="Y82" s="94"/>
      <c r="Z82" s="94"/>
      <c r="AA82" s="94"/>
    </row>
    <row r="83" spans="1:27" ht="15.75" customHeight="1">
      <c r="A83" s="94"/>
      <c r="B83" s="248"/>
      <c r="C83" s="94"/>
      <c r="D83" s="94"/>
      <c r="E83" s="94"/>
      <c r="F83" s="249"/>
      <c r="G83" s="248"/>
      <c r="H83" s="94"/>
      <c r="I83" s="249"/>
      <c r="J83" s="94"/>
      <c r="K83" s="250"/>
      <c r="L83" s="250"/>
      <c r="M83" s="250"/>
      <c r="N83" s="250"/>
      <c r="O83" s="250"/>
      <c r="P83" s="250"/>
      <c r="Q83" s="249"/>
      <c r="R83" s="94"/>
      <c r="S83" s="94"/>
      <c r="T83" s="251"/>
      <c r="U83" s="94"/>
      <c r="V83" s="94"/>
      <c r="W83" s="94"/>
      <c r="X83" s="94"/>
      <c r="Y83" s="94"/>
      <c r="Z83" s="94"/>
      <c r="AA83" s="94"/>
    </row>
    <row r="84" spans="1:27" ht="15.75" customHeight="1">
      <c r="A84" s="94"/>
      <c r="B84" s="248"/>
      <c r="C84" s="94"/>
      <c r="D84" s="94"/>
      <c r="E84" s="94"/>
      <c r="F84" s="249"/>
      <c r="G84" s="248"/>
      <c r="H84" s="94"/>
      <c r="I84" s="249"/>
      <c r="J84" s="94"/>
      <c r="K84" s="250"/>
      <c r="L84" s="250"/>
      <c r="M84" s="250"/>
      <c r="N84" s="250"/>
      <c r="O84" s="250"/>
      <c r="P84" s="250"/>
      <c r="Q84" s="249"/>
      <c r="R84" s="94"/>
      <c r="S84" s="94"/>
      <c r="T84" s="251"/>
      <c r="U84" s="94"/>
      <c r="V84" s="94"/>
      <c r="W84" s="94"/>
      <c r="X84" s="94"/>
      <c r="Y84" s="94"/>
      <c r="Z84" s="94"/>
      <c r="AA84" s="94"/>
    </row>
    <row r="85" spans="1:27" ht="15.75" customHeight="1">
      <c r="A85" s="94"/>
      <c r="B85" s="248"/>
      <c r="C85" s="94"/>
      <c r="D85" s="94"/>
      <c r="E85" s="94"/>
      <c r="F85" s="249"/>
      <c r="G85" s="248"/>
      <c r="H85" s="94"/>
      <c r="I85" s="249"/>
      <c r="J85" s="94"/>
      <c r="K85" s="250"/>
      <c r="L85" s="250"/>
      <c r="M85" s="250"/>
      <c r="N85" s="250"/>
      <c r="O85" s="250"/>
      <c r="P85" s="250"/>
      <c r="Q85" s="249"/>
      <c r="R85" s="94"/>
      <c r="S85" s="94"/>
      <c r="T85" s="251"/>
      <c r="U85" s="94"/>
      <c r="V85" s="94"/>
      <c r="W85" s="94"/>
      <c r="X85" s="94"/>
      <c r="Y85" s="94"/>
      <c r="Z85" s="94"/>
      <c r="AA85" s="94"/>
    </row>
    <row r="86" spans="1:27" ht="15.75" customHeight="1">
      <c r="A86" s="94"/>
      <c r="B86" s="248"/>
      <c r="C86" s="94"/>
      <c r="D86" s="94"/>
      <c r="E86" s="94"/>
      <c r="F86" s="249"/>
      <c r="G86" s="248"/>
      <c r="H86" s="94"/>
      <c r="I86" s="249"/>
      <c r="J86" s="94"/>
      <c r="K86" s="250"/>
      <c r="L86" s="250"/>
      <c r="M86" s="250"/>
      <c r="N86" s="250"/>
      <c r="O86" s="250"/>
      <c r="P86" s="250"/>
      <c r="Q86" s="249"/>
      <c r="R86" s="94"/>
      <c r="S86" s="94"/>
      <c r="T86" s="251"/>
      <c r="U86" s="94"/>
      <c r="V86" s="94"/>
      <c r="W86" s="94"/>
      <c r="X86" s="94"/>
      <c r="Y86" s="94"/>
      <c r="Z86" s="94"/>
      <c r="AA86" s="94"/>
    </row>
    <row r="87" spans="1:27" ht="15.75" customHeight="1">
      <c r="A87" s="94"/>
      <c r="B87" s="248"/>
      <c r="C87" s="94"/>
      <c r="D87" s="94"/>
      <c r="E87" s="94"/>
      <c r="F87" s="249"/>
      <c r="G87" s="248"/>
      <c r="H87" s="94"/>
      <c r="I87" s="249"/>
      <c r="J87" s="94"/>
      <c r="K87" s="250"/>
      <c r="L87" s="250"/>
      <c r="M87" s="250"/>
      <c r="N87" s="250"/>
      <c r="O87" s="250"/>
      <c r="P87" s="250"/>
      <c r="Q87" s="249"/>
      <c r="R87" s="94"/>
      <c r="S87" s="94"/>
      <c r="T87" s="251"/>
      <c r="U87" s="94"/>
      <c r="V87" s="94"/>
      <c r="W87" s="94"/>
      <c r="X87" s="94"/>
      <c r="Y87" s="94"/>
      <c r="Z87" s="94"/>
      <c r="AA87" s="94"/>
    </row>
    <row r="88" spans="1:27" ht="15.75" customHeight="1">
      <c r="A88" s="94"/>
      <c r="B88" s="248"/>
      <c r="C88" s="94"/>
      <c r="D88" s="94"/>
      <c r="E88" s="94"/>
      <c r="F88" s="249"/>
      <c r="G88" s="248"/>
      <c r="H88" s="94"/>
      <c r="I88" s="249"/>
      <c r="J88" s="94"/>
      <c r="K88" s="250"/>
      <c r="L88" s="250"/>
      <c r="M88" s="250"/>
      <c r="N88" s="250"/>
      <c r="O88" s="250"/>
      <c r="P88" s="250"/>
      <c r="Q88" s="249"/>
      <c r="R88" s="94"/>
      <c r="S88" s="94"/>
      <c r="T88" s="251"/>
      <c r="U88" s="94"/>
      <c r="V88" s="94"/>
      <c r="W88" s="94"/>
      <c r="X88" s="94"/>
      <c r="Y88" s="94"/>
      <c r="Z88" s="94"/>
      <c r="AA88" s="94"/>
    </row>
    <row r="89" spans="1:27" ht="15.75" customHeight="1">
      <c r="A89" s="94"/>
      <c r="B89" s="248"/>
      <c r="C89" s="94"/>
      <c r="D89" s="94"/>
      <c r="E89" s="94"/>
      <c r="F89" s="249"/>
      <c r="G89" s="248"/>
      <c r="H89" s="94"/>
      <c r="I89" s="249"/>
      <c r="J89" s="94"/>
      <c r="K89" s="250"/>
      <c r="L89" s="250"/>
      <c r="M89" s="250"/>
      <c r="N89" s="250"/>
      <c r="O89" s="250"/>
      <c r="P89" s="250"/>
      <c r="Q89" s="249"/>
      <c r="R89" s="94"/>
      <c r="S89" s="94"/>
      <c r="T89" s="251"/>
      <c r="U89" s="94"/>
      <c r="V89" s="94"/>
      <c r="W89" s="94"/>
      <c r="X89" s="94"/>
      <c r="Y89" s="94"/>
      <c r="Z89" s="94"/>
      <c r="AA89" s="94"/>
    </row>
    <row r="90" spans="1:27" ht="15.75" customHeight="1">
      <c r="A90" s="94"/>
      <c r="B90" s="248"/>
      <c r="C90" s="94"/>
      <c r="D90" s="94"/>
      <c r="E90" s="94"/>
      <c r="F90" s="249"/>
      <c r="G90" s="248"/>
      <c r="H90" s="94"/>
      <c r="I90" s="249"/>
      <c r="J90" s="94"/>
      <c r="K90" s="250"/>
      <c r="L90" s="250"/>
      <c r="M90" s="250"/>
      <c r="N90" s="250"/>
      <c r="O90" s="250"/>
      <c r="P90" s="250"/>
      <c r="Q90" s="249"/>
      <c r="R90" s="94"/>
      <c r="S90" s="94"/>
      <c r="T90" s="251"/>
      <c r="U90" s="94"/>
      <c r="V90" s="94"/>
      <c r="W90" s="94"/>
      <c r="X90" s="94"/>
      <c r="Y90" s="94"/>
      <c r="Z90" s="94"/>
      <c r="AA90" s="94"/>
    </row>
    <row r="91" spans="1:27" ht="15.75" customHeight="1">
      <c r="A91" s="94"/>
      <c r="B91" s="248"/>
      <c r="C91" s="94"/>
      <c r="D91" s="94"/>
      <c r="E91" s="94"/>
      <c r="F91" s="249"/>
      <c r="G91" s="248"/>
      <c r="H91" s="94"/>
      <c r="I91" s="249"/>
      <c r="J91" s="94"/>
      <c r="K91" s="250"/>
      <c r="L91" s="250"/>
      <c r="M91" s="250"/>
      <c r="N91" s="250"/>
      <c r="O91" s="250"/>
      <c r="P91" s="250"/>
      <c r="Q91" s="249"/>
      <c r="R91" s="94"/>
      <c r="S91" s="94"/>
      <c r="T91" s="251"/>
      <c r="U91" s="94"/>
      <c r="V91" s="94"/>
      <c r="W91" s="94"/>
      <c r="X91" s="94"/>
      <c r="Y91" s="94"/>
      <c r="Z91" s="94"/>
      <c r="AA91" s="94"/>
    </row>
    <row r="92" spans="1:27" ht="15.75" customHeight="1">
      <c r="A92" s="94"/>
      <c r="B92" s="248"/>
      <c r="C92" s="94"/>
      <c r="D92" s="94"/>
      <c r="E92" s="94"/>
      <c r="F92" s="249"/>
      <c r="G92" s="248"/>
      <c r="H92" s="94"/>
      <c r="I92" s="249"/>
      <c r="J92" s="94"/>
      <c r="K92" s="250"/>
      <c r="L92" s="250"/>
      <c r="M92" s="250"/>
      <c r="N92" s="250"/>
      <c r="O92" s="250"/>
      <c r="P92" s="250"/>
      <c r="Q92" s="249"/>
      <c r="R92" s="94"/>
      <c r="S92" s="94"/>
      <c r="T92" s="251"/>
      <c r="U92" s="94"/>
      <c r="V92" s="94"/>
      <c r="W92" s="94"/>
      <c r="X92" s="94"/>
      <c r="Y92" s="94"/>
      <c r="Z92" s="94"/>
      <c r="AA92" s="94"/>
    </row>
    <row r="93" spans="1:27" ht="15.75" customHeight="1">
      <c r="A93" s="94"/>
      <c r="B93" s="248"/>
      <c r="C93" s="94"/>
      <c r="D93" s="94"/>
      <c r="E93" s="94"/>
      <c r="F93" s="249"/>
      <c r="G93" s="248"/>
      <c r="H93" s="94"/>
      <c r="I93" s="249"/>
      <c r="J93" s="94"/>
      <c r="K93" s="250"/>
      <c r="L93" s="250"/>
      <c r="M93" s="250"/>
      <c r="N93" s="250"/>
      <c r="O93" s="250"/>
      <c r="P93" s="250"/>
      <c r="Q93" s="249"/>
      <c r="R93" s="94"/>
      <c r="S93" s="94"/>
      <c r="T93" s="251"/>
      <c r="U93" s="94"/>
      <c r="V93" s="94"/>
      <c r="W93" s="94"/>
      <c r="X93" s="94"/>
      <c r="Y93" s="94"/>
      <c r="Z93" s="94"/>
      <c r="AA93" s="94"/>
    </row>
    <row r="94" spans="1:27" ht="15.75" customHeight="1">
      <c r="A94" s="94"/>
      <c r="B94" s="248"/>
      <c r="C94" s="94"/>
      <c r="D94" s="94"/>
      <c r="E94" s="94"/>
      <c r="F94" s="249"/>
      <c r="G94" s="248"/>
      <c r="H94" s="94"/>
      <c r="I94" s="249"/>
      <c r="J94" s="94"/>
      <c r="K94" s="250"/>
      <c r="L94" s="250"/>
      <c r="M94" s="250"/>
      <c r="N94" s="250"/>
      <c r="O94" s="250"/>
      <c r="P94" s="250"/>
      <c r="Q94" s="249"/>
      <c r="R94" s="94"/>
      <c r="S94" s="94"/>
      <c r="T94" s="251"/>
      <c r="U94" s="94"/>
      <c r="V94" s="94"/>
      <c r="W94" s="94"/>
      <c r="X94" s="94"/>
      <c r="Y94" s="94"/>
      <c r="Z94" s="94"/>
      <c r="AA94" s="94"/>
    </row>
    <row r="95" spans="1:27" ht="15.75" customHeight="1">
      <c r="A95" s="94"/>
      <c r="B95" s="248"/>
      <c r="C95" s="94"/>
      <c r="D95" s="94"/>
      <c r="E95" s="94"/>
      <c r="F95" s="249"/>
      <c r="G95" s="248"/>
      <c r="H95" s="94"/>
      <c r="I95" s="249"/>
      <c r="J95" s="94"/>
      <c r="K95" s="250"/>
      <c r="L95" s="250"/>
      <c r="M95" s="250"/>
      <c r="N95" s="250"/>
      <c r="O95" s="250"/>
      <c r="P95" s="250"/>
      <c r="Q95" s="249"/>
      <c r="R95" s="94"/>
      <c r="S95" s="94"/>
      <c r="T95" s="251"/>
      <c r="U95" s="94"/>
      <c r="V95" s="94"/>
      <c r="W95" s="94"/>
      <c r="X95" s="94"/>
      <c r="Y95" s="94"/>
      <c r="Z95" s="94"/>
      <c r="AA95" s="94"/>
    </row>
    <row r="96" spans="1:27" ht="15.75" customHeight="1">
      <c r="A96" s="94"/>
      <c r="B96" s="248"/>
      <c r="C96" s="94"/>
      <c r="D96" s="94"/>
      <c r="E96" s="94"/>
      <c r="F96" s="249"/>
      <c r="G96" s="248"/>
      <c r="H96" s="94"/>
      <c r="I96" s="249"/>
      <c r="J96" s="94"/>
      <c r="K96" s="250"/>
      <c r="L96" s="250"/>
      <c r="M96" s="250"/>
      <c r="N96" s="250"/>
      <c r="O96" s="250"/>
      <c r="P96" s="250"/>
      <c r="Q96" s="249"/>
      <c r="R96" s="94"/>
      <c r="S96" s="94"/>
      <c r="T96" s="251"/>
      <c r="U96" s="94"/>
      <c r="V96" s="94"/>
      <c r="W96" s="94"/>
      <c r="X96" s="94"/>
      <c r="Y96" s="94"/>
      <c r="Z96" s="94"/>
      <c r="AA96" s="94"/>
    </row>
    <row r="97" spans="1:27" ht="15.75" customHeight="1">
      <c r="A97" s="94"/>
      <c r="B97" s="248"/>
      <c r="C97" s="94"/>
      <c r="D97" s="94"/>
      <c r="E97" s="94"/>
      <c r="F97" s="249"/>
      <c r="G97" s="248"/>
      <c r="H97" s="94"/>
      <c r="I97" s="249"/>
      <c r="J97" s="94"/>
      <c r="K97" s="250"/>
      <c r="L97" s="250"/>
      <c r="M97" s="250"/>
      <c r="N97" s="250"/>
      <c r="O97" s="250"/>
      <c r="P97" s="250"/>
      <c r="Q97" s="249"/>
      <c r="R97" s="94"/>
      <c r="S97" s="94"/>
      <c r="T97" s="251"/>
      <c r="U97" s="94"/>
      <c r="V97" s="94"/>
      <c r="W97" s="94"/>
      <c r="X97" s="94"/>
      <c r="Y97" s="94"/>
      <c r="Z97" s="94"/>
      <c r="AA97" s="94"/>
    </row>
    <row r="98" spans="1:27" ht="15.75" customHeight="1">
      <c r="A98" s="94"/>
      <c r="B98" s="248"/>
      <c r="C98" s="94"/>
      <c r="D98" s="94"/>
      <c r="E98" s="94"/>
      <c r="F98" s="249"/>
      <c r="G98" s="248"/>
      <c r="H98" s="94"/>
      <c r="I98" s="249"/>
      <c r="J98" s="94"/>
      <c r="K98" s="250"/>
      <c r="L98" s="250"/>
      <c r="M98" s="250"/>
      <c r="N98" s="250"/>
      <c r="O98" s="250"/>
      <c r="P98" s="250"/>
      <c r="Q98" s="249"/>
      <c r="R98" s="94"/>
      <c r="S98" s="94"/>
      <c r="T98" s="251"/>
      <c r="U98" s="94"/>
      <c r="V98" s="94"/>
      <c r="W98" s="94"/>
      <c r="X98" s="94"/>
      <c r="Y98" s="94"/>
      <c r="Z98" s="94"/>
      <c r="AA98" s="94"/>
    </row>
    <row r="99" spans="1:27" ht="15.75" customHeight="1">
      <c r="A99" s="94"/>
      <c r="B99" s="248"/>
      <c r="C99" s="94"/>
      <c r="D99" s="94"/>
      <c r="E99" s="94"/>
      <c r="F99" s="249"/>
      <c r="G99" s="248"/>
      <c r="H99" s="94"/>
      <c r="I99" s="249"/>
      <c r="J99" s="94"/>
      <c r="K99" s="250"/>
      <c r="L99" s="250"/>
      <c r="M99" s="250"/>
      <c r="N99" s="250"/>
      <c r="O99" s="250"/>
      <c r="P99" s="250"/>
      <c r="Q99" s="249"/>
      <c r="R99" s="94"/>
      <c r="S99" s="94"/>
      <c r="T99" s="251"/>
      <c r="U99" s="94"/>
      <c r="V99" s="94"/>
      <c r="W99" s="94"/>
      <c r="X99" s="94"/>
      <c r="Y99" s="94"/>
      <c r="Z99" s="94"/>
      <c r="AA99" s="94"/>
    </row>
    <row r="100" spans="1:27" ht="15.75" customHeight="1">
      <c r="A100" s="94"/>
      <c r="B100" s="248"/>
      <c r="C100" s="94"/>
      <c r="D100" s="94"/>
      <c r="E100" s="94"/>
      <c r="F100" s="249"/>
      <c r="G100" s="248"/>
      <c r="H100" s="94"/>
      <c r="I100" s="249"/>
      <c r="J100" s="94"/>
      <c r="K100" s="250"/>
      <c r="L100" s="250"/>
      <c r="M100" s="250"/>
      <c r="N100" s="250"/>
      <c r="O100" s="250"/>
      <c r="P100" s="250"/>
      <c r="Q100" s="249"/>
      <c r="R100" s="94"/>
      <c r="S100" s="94"/>
      <c r="T100" s="251"/>
      <c r="U100" s="94"/>
      <c r="V100" s="94"/>
      <c r="W100" s="94"/>
      <c r="X100" s="94"/>
      <c r="Y100" s="94"/>
      <c r="Z100" s="94"/>
      <c r="AA100" s="94"/>
    </row>
    <row r="101" spans="1:27" ht="15.75" customHeight="1">
      <c r="A101" s="94"/>
      <c r="B101" s="248"/>
      <c r="C101" s="94"/>
      <c r="D101" s="94"/>
      <c r="E101" s="94"/>
      <c r="F101" s="249"/>
      <c r="G101" s="248"/>
      <c r="H101" s="94"/>
      <c r="I101" s="249"/>
      <c r="J101" s="94"/>
      <c r="K101" s="250"/>
      <c r="L101" s="250"/>
      <c r="M101" s="250"/>
      <c r="N101" s="250"/>
      <c r="O101" s="250"/>
      <c r="P101" s="250"/>
      <c r="Q101" s="249"/>
      <c r="R101" s="94"/>
      <c r="S101" s="94"/>
      <c r="T101" s="251"/>
      <c r="U101" s="94"/>
      <c r="V101" s="94"/>
      <c r="W101" s="94"/>
      <c r="X101" s="94"/>
      <c r="Y101" s="94"/>
      <c r="Z101" s="94"/>
      <c r="AA101" s="94"/>
    </row>
    <row r="102" spans="1:27" ht="15.75" customHeight="1">
      <c r="A102" s="94"/>
      <c r="B102" s="248"/>
      <c r="C102" s="94"/>
      <c r="D102" s="94"/>
      <c r="E102" s="94"/>
      <c r="F102" s="249"/>
      <c r="G102" s="248"/>
      <c r="H102" s="94"/>
      <c r="I102" s="249"/>
      <c r="J102" s="94"/>
      <c r="K102" s="250"/>
      <c r="L102" s="250"/>
      <c r="M102" s="250"/>
      <c r="N102" s="250"/>
      <c r="O102" s="250"/>
      <c r="P102" s="250"/>
      <c r="Q102" s="249"/>
      <c r="R102" s="94"/>
      <c r="S102" s="94"/>
      <c r="T102" s="251"/>
      <c r="U102" s="94"/>
      <c r="V102" s="94"/>
      <c r="W102" s="94"/>
      <c r="X102" s="94"/>
      <c r="Y102" s="94"/>
      <c r="Z102" s="94"/>
      <c r="AA102" s="94"/>
    </row>
    <row r="103" spans="1:27" ht="15.75" customHeight="1">
      <c r="A103" s="94"/>
      <c r="B103" s="248"/>
      <c r="C103" s="94"/>
      <c r="D103" s="94"/>
      <c r="E103" s="94"/>
      <c r="F103" s="249"/>
      <c r="G103" s="248"/>
      <c r="H103" s="94"/>
      <c r="I103" s="249"/>
      <c r="J103" s="94"/>
      <c r="K103" s="250"/>
      <c r="L103" s="250"/>
      <c r="M103" s="250"/>
      <c r="N103" s="250"/>
      <c r="O103" s="250"/>
      <c r="P103" s="250"/>
      <c r="Q103" s="249"/>
      <c r="R103" s="94"/>
      <c r="S103" s="94"/>
      <c r="T103" s="251"/>
      <c r="U103" s="94"/>
      <c r="V103" s="94"/>
      <c r="W103" s="94"/>
      <c r="X103" s="94"/>
      <c r="Y103" s="94"/>
      <c r="Z103" s="94"/>
      <c r="AA103" s="94"/>
    </row>
    <row r="104" spans="1:27" ht="15.75" customHeight="1">
      <c r="A104" s="94"/>
      <c r="B104" s="248"/>
      <c r="C104" s="94"/>
      <c r="D104" s="94"/>
      <c r="E104" s="94"/>
      <c r="F104" s="249"/>
      <c r="G104" s="248"/>
      <c r="H104" s="94"/>
      <c r="I104" s="249"/>
      <c r="J104" s="94"/>
      <c r="K104" s="250"/>
      <c r="L104" s="250"/>
      <c r="M104" s="250"/>
      <c r="N104" s="250"/>
      <c r="O104" s="250"/>
      <c r="P104" s="250"/>
      <c r="Q104" s="249"/>
      <c r="R104" s="94"/>
      <c r="S104" s="94"/>
      <c r="T104" s="251"/>
      <c r="U104" s="94"/>
      <c r="V104" s="94"/>
      <c r="W104" s="94"/>
      <c r="X104" s="94"/>
      <c r="Y104" s="94"/>
      <c r="Z104" s="94"/>
      <c r="AA104" s="94"/>
    </row>
    <row r="105" spans="1:27" ht="15.75" customHeight="1">
      <c r="A105" s="94"/>
      <c r="B105" s="248"/>
      <c r="C105" s="94"/>
      <c r="D105" s="94"/>
      <c r="E105" s="94"/>
      <c r="F105" s="249"/>
      <c r="G105" s="248"/>
      <c r="H105" s="94"/>
      <c r="I105" s="249"/>
      <c r="J105" s="94"/>
      <c r="K105" s="250"/>
      <c r="L105" s="250"/>
      <c r="M105" s="250"/>
      <c r="N105" s="250"/>
      <c r="O105" s="250"/>
      <c r="P105" s="250"/>
      <c r="Q105" s="249"/>
      <c r="R105" s="94"/>
      <c r="S105" s="94"/>
      <c r="T105" s="251"/>
      <c r="U105" s="94"/>
      <c r="V105" s="94"/>
      <c r="W105" s="94"/>
      <c r="X105" s="94"/>
      <c r="Y105" s="94"/>
      <c r="Z105" s="94"/>
      <c r="AA105" s="94"/>
    </row>
    <row r="106" spans="1:27" ht="15.75" customHeight="1">
      <c r="A106" s="94"/>
      <c r="B106" s="248"/>
      <c r="C106" s="94"/>
      <c r="D106" s="94"/>
      <c r="E106" s="94"/>
      <c r="F106" s="249"/>
      <c r="G106" s="248"/>
      <c r="H106" s="94"/>
      <c r="I106" s="249"/>
      <c r="J106" s="94"/>
      <c r="K106" s="250"/>
      <c r="L106" s="250"/>
      <c r="M106" s="250"/>
      <c r="N106" s="250"/>
      <c r="O106" s="250"/>
      <c r="P106" s="250"/>
      <c r="Q106" s="249"/>
      <c r="R106" s="94"/>
      <c r="S106" s="94"/>
      <c r="T106" s="251"/>
      <c r="U106" s="94"/>
      <c r="V106" s="94"/>
      <c r="W106" s="94"/>
      <c r="X106" s="94"/>
      <c r="Y106" s="94"/>
      <c r="Z106" s="94"/>
      <c r="AA106" s="94"/>
    </row>
    <row r="107" spans="1:27" ht="15.75" customHeight="1">
      <c r="A107" s="94"/>
      <c r="B107" s="248"/>
      <c r="C107" s="94"/>
      <c r="D107" s="94"/>
      <c r="E107" s="94"/>
      <c r="F107" s="249"/>
      <c r="G107" s="248"/>
      <c r="H107" s="94"/>
      <c r="I107" s="249"/>
      <c r="J107" s="94"/>
      <c r="K107" s="250"/>
      <c r="L107" s="250"/>
      <c r="M107" s="250"/>
      <c r="N107" s="250"/>
      <c r="O107" s="250"/>
      <c r="P107" s="250"/>
      <c r="Q107" s="249"/>
      <c r="R107" s="94"/>
      <c r="S107" s="94"/>
      <c r="T107" s="251"/>
      <c r="U107" s="94"/>
      <c r="V107" s="94"/>
      <c r="W107" s="94"/>
      <c r="X107" s="94"/>
      <c r="Y107" s="94"/>
      <c r="Z107" s="94"/>
      <c r="AA107" s="94"/>
    </row>
    <row r="108" spans="1:27" ht="15.75" customHeight="1">
      <c r="A108" s="94"/>
      <c r="B108" s="248"/>
      <c r="C108" s="94"/>
      <c r="D108" s="94"/>
      <c r="E108" s="94"/>
      <c r="F108" s="249"/>
      <c r="G108" s="248"/>
      <c r="H108" s="94"/>
      <c r="I108" s="249"/>
      <c r="J108" s="94"/>
      <c r="K108" s="250"/>
      <c r="L108" s="250"/>
      <c r="M108" s="250"/>
      <c r="N108" s="250"/>
      <c r="O108" s="250"/>
      <c r="P108" s="250"/>
      <c r="Q108" s="249"/>
      <c r="R108" s="94"/>
      <c r="S108" s="94"/>
      <c r="T108" s="251"/>
      <c r="U108" s="94"/>
      <c r="V108" s="94"/>
      <c r="W108" s="94"/>
      <c r="X108" s="94"/>
      <c r="Y108" s="94"/>
      <c r="Z108" s="94"/>
      <c r="AA108" s="94"/>
    </row>
    <row r="109" spans="1:27" ht="15.75" customHeight="1">
      <c r="A109" s="94"/>
      <c r="B109" s="248"/>
      <c r="C109" s="94"/>
      <c r="D109" s="94"/>
      <c r="E109" s="94"/>
      <c r="F109" s="249"/>
      <c r="G109" s="248"/>
      <c r="H109" s="94"/>
      <c r="I109" s="249"/>
      <c r="J109" s="94"/>
      <c r="K109" s="250"/>
      <c r="L109" s="250"/>
      <c r="M109" s="250"/>
      <c r="N109" s="250"/>
      <c r="O109" s="250"/>
      <c r="P109" s="250"/>
      <c r="Q109" s="249"/>
      <c r="R109" s="94"/>
      <c r="S109" s="94"/>
      <c r="T109" s="251"/>
      <c r="U109" s="94"/>
      <c r="V109" s="94"/>
      <c r="W109" s="94"/>
      <c r="X109" s="94"/>
      <c r="Y109" s="94"/>
      <c r="Z109" s="94"/>
      <c r="AA109" s="94"/>
    </row>
    <row r="110" spans="1:27" ht="15.75" customHeight="1">
      <c r="A110" s="94"/>
      <c r="B110" s="248"/>
      <c r="C110" s="94"/>
      <c r="D110" s="94"/>
      <c r="E110" s="94"/>
      <c r="F110" s="249"/>
      <c r="G110" s="248"/>
      <c r="H110" s="94"/>
      <c r="I110" s="249"/>
      <c r="J110" s="94"/>
      <c r="K110" s="250"/>
      <c r="L110" s="250"/>
      <c r="M110" s="250"/>
      <c r="N110" s="250"/>
      <c r="O110" s="250"/>
      <c r="P110" s="250"/>
      <c r="Q110" s="249"/>
      <c r="R110" s="94"/>
      <c r="S110" s="94"/>
      <c r="T110" s="251"/>
      <c r="U110" s="94"/>
      <c r="V110" s="94"/>
      <c r="W110" s="94"/>
      <c r="X110" s="94"/>
      <c r="Y110" s="94"/>
      <c r="Z110" s="94"/>
      <c r="AA110" s="94"/>
    </row>
    <row r="111" spans="1:27" ht="15.75" customHeight="1">
      <c r="A111" s="94"/>
      <c r="B111" s="248"/>
      <c r="C111" s="94"/>
      <c r="D111" s="94"/>
      <c r="E111" s="94"/>
      <c r="F111" s="249"/>
      <c r="G111" s="248"/>
      <c r="H111" s="94"/>
      <c r="I111" s="249"/>
      <c r="J111" s="94"/>
      <c r="K111" s="250"/>
      <c r="L111" s="250"/>
      <c r="M111" s="250"/>
      <c r="N111" s="250"/>
      <c r="O111" s="250"/>
      <c r="P111" s="250"/>
      <c r="Q111" s="249"/>
      <c r="R111" s="94"/>
      <c r="S111" s="94"/>
      <c r="T111" s="251"/>
      <c r="U111" s="94"/>
      <c r="V111" s="94"/>
      <c r="W111" s="94"/>
      <c r="X111" s="94"/>
      <c r="Y111" s="94"/>
      <c r="Z111" s="94"/>
      <c r="AA111" s="94"/>
    </row>
    <row r="112" spans="1:27" ht="15.75" customHeight="1">
      <c r="A112" s="94"/>
      <c r="B112" s="248"/>
      <c r="C112" s="94"/>
      <c r="D112" s="94"/>
      <c r="E112" s="94"/>
      <c r="F112" s="249"/>
      <c r="G112" s="248"/>
      <c r="H112" s="94"/>
      <c r="I112" s="249"/>
      <c r="J112" s="94"/>
      <c r="K112" s="250"/>
      <c r="L112" s="250"/>
      <c r="M112" s="250"/>
      <c r="N112" s="250"/>
      <c r="O112" s="250"/>
      <c r="P112" s="250"/>
      <c r="Q112" s="249"/>
      <c r="R112" s="94"/>
      <c r="S112" s="94"/>
      <c r="T112" s="251"/>
      <c r="U112" s="94"/>
      <c r="V112" s="94"/>
      <c r="W112" s="94"/>
      <c r="X112" s="94"/>
      <c r="Y112" s="94"/>
      <c r="Z112" s="94"/>
      <c r="AA112" s="94"/>
    </row>
    <row r="113" spans="1:27" ht="15.75" customHeight="1">
      <c r="A113" s="94"/>
      <c r="B113" s="248"/>
      <c r="C113" s="94"/>
      <c r="D113" s="94"/>
      <c r="E113" s="94"/>
      <c r="F113" s="249"/>
      <c r="G113" s="248"/>
      <c r="H113" s="94"/>
      <c r="I113" s="249"/>
      <c r="J113" s="94"/>
      <c r="K113" s="250"/>
      <c r="L113" s="250"/>
      <c r="M113" s="250"/>
      <c r="N113" s="250"/>
      <c r="O113" s="250"/>
      <c r="P113" s="250"/>
      <c r="Q113" s="249"/>
      <c r="R113" s="94"/>
      <c r="S113" s="94"/>
      <c r="T113" s="251"/>
      <c r="U113" s="94"/>
      <c r="V113" s="94"/>
      <c r="W113" s="94"/>
      <c r="X113" s="94"/>
      <c r="Y113" s="94"/>
      <c r="Z113" s="94"/>
      <c r="AA113" s="94"/>
    </row>
    <row r="114" spans="1:27" ht="15.75" customHeight="1">
      <c r="A114" s="94"/>
      <c r="B114" s="248"/>
      <c r="C114" s="94"/>
      <c r="D114" s="94"/>
      <c r="E114" s="94"/>
      <c r="F114" s="249"/>
      <c r="G114" s="248"/>
      <c r="H114" s="94"/>
      <c r="I114" s="249"/>
      <c r="J114" s="94"/>
      <c r="K114" s="250"/>
      <c r="L114" s="250"/>
      <c r="M114" s="250"/>
      <c r="N114" s="250"/>
      <c r="O114" s="250"/>
      <c r="P114" s="250"/>
      <c r="Q114" s="249"/>
      <c r="R114" s="94"/>
      <c r="S114" s="94"/>
      <c r="T114" s="251"/>
      <c r="U114" s="94"/>
      <c r="V114" s="94"/>
      <c r="W114" s="94"/>
      <c r="X114" s="94"/>
      <c r="Y114" s="94"/>
      <c r="Z114" s="94"/>
      <c r="AA114" s="94"/>
    </row>
    <row r="115" spans="1:27" ht="15.75" customHeight="1">
      <c r="A115" s="94"/>
      <c r="B115" s="248"/>
      <c r="C115" s="94"/>
      <c r="D115" s="94"/>
      <c r="E115" s="94"/>
      <c r="F115" s="249"/>
      <c r="G115" s="248"/>
      <c r="H115" s="94"/>
      <c r="I115" s="249"/>
      <c r="J115" s="94"/>
      <c r="K115" s="250"/>
      <c r="L115" s="250"/>
      <c r="M115" s="250"/>
      <c r="N115" s="250"/>
      <c r="O115" s="250"/>
      <c r="P115" s="250"/>
      <c r="Q115" s="249"/>
      <c r="R115" s="94"/>
      <c r="S115" s="94"/>
      <c r="T115" s="251"/>
      <c r="U115" s="94"/>
      <c r="V115" s="94"/>
      <c r="W115" s="94"/>
      <c r="X115" s="94"/>
      <c r="Y115" s="94"/>
      <c r="Z115" s="94"/>
      <c r="AA115" s="94"/>
    </row>
    <row r="116" spans="1:27" ht="15.75" customHeight="1">
      <c r="A116" s="94"/>
      <c r="B116" s="248"/>
      <c r="C116" s="94"/>
      <c r="D116" s="94"/>
      <c r="E116" s="94"/>
      <c r="F116" s="249"/>
      <c r="G116" s="248"/>
      <c r="H116" s="94"/>
      <c r="I116" s="249"/>
      <c r="J116" s="94"/>
      <c r="K116" s="250"/>
      <c r="L116" s="250"/>
      <c r="M116" s="250"/>
      <c r="N116" s="250"/>
      <c r="O116" s="250"/>
      <c r="P116" s="250"/>
      <c r="Q116" s="249"/>
      <c r="R116" s="94"/>
      <c r="S116" s="94"/>
      <c r="T116" s="251"/>
      <c r="U116" s="94"/>
      <c r="V116" s="94"/>
      <c r="W116" s="94"/>
      <c r="X116" s="94"/>
      <c r="Y116" s="94"/>
      <c r="Z116" s="94"/>
      <c r="AA116" s="94"/>
    </row>
    <row r="117" spans="1:27" ht="15.75" customHeight="1">
      <c r="A117" s="94"/>
      <c r="B117" s="248"/>
      <c r="C117" s="94"/>
      <c r="D117" s="94"/>
      <c r="E117" s="94"/>
      <c r="F117" s="249"/>
      <c r="G117" s="248"/>
      <c r="H117" s="94"/>
      <c r="I117" s="249"/>
      <c r="J117" s="94"/>
      <c r="K117" s="250"/>
      <c r="L117" s="250"/>
      <c r="M117" s="250"/>
      <c r="N117" s="250"/>
      <c r="O117" s="250"/>
      <c r="P117" s="250"/>
      <c r="Q117" s="249"/>
      <c r="R117" s="94"/>
      <c r="S117" s="94"/>
      <c r="T117" s="251"/>
      <c r="U117" s="94"/>
      <c r="V117" s="94"/>
      <c r="W117" s="94"/>
      <c r="X117" s="94"/>
      <c r="Y117" s="94"/>
      <c r="Z117" s="94"/>
      <c r="AA117" s="94"/>
    </row>
    <row r="118" spans="1:27" ht="15.75" customHeight="1">
      <c r="A118" s="94"/>
      <c r="B118" s="248"/>
      <c r="C118" s="94"/>
      <c r="D118" s="94"/>
      <c r="E118" s="94"/>
      <c r="F118" s="249"/>
      <c r="G118" s="248"/>
      <c r="H118" s="94"/>
      <c r="I118" s="249"/>
      <c r="J118" s="94"/>
      <c r="K118" s="250"/>
      <c r="L118" s="250"/>
      <c r="M118" s="250"/>
      <c r="N118" s="250"/>
      <c r="O118" s="250"/>
      <c r="P118" s="250"/>
      <c r="Q118" s="249"/>
      <c r="R118" s="94"/>
      <c r="S118" s="94"/>
      <c r="T118" s="251"/>
      <c r="U118" s="94"/>
      <c r="V118" s="94"/>
      <c r="W118" s="94"/>
      <c r="X118" s="94"/>
      <c r="Y118" s="94"/>
      <c r="Z118" s="94"/>
      <c r="AA118" s="94"/>
    </row>
    <row r="119" spans="1:27" ht="15.75" customHeight="1">
      <c r="A119" s="94"/>
      <c r="B119" s="248"/>
      <c r="C119" s="94"/>
      <c r="D119" s="94"/>
      <c r="E119" s="94"/>
      <c r="F119" s="249"/>
      <c r="G119" s="248"/>
      <c r="H119" s="94"/>
      <c r="I119" s="249"/>
      <c r="J119" s="94"/>
      <c r="K119" s="250"/>
      <c r="L119" s="250"/>
      <c r="M119" s="250"/>
      <c r="N119" s="250"/>
      <c r="O119" s="250"/>
      <c r="P119" s="250"/>
      <c r="Q119" s="249"/>
      <c r="R119" s="94"/>
      <c r="S119" s="94"/>
      <c r="T119" s="251"/>
      <c r="U119" s="94"/>
      <c r="V119" s="94"/>
      <c r="W119" s="94"/>
      <c r="X119" s="94"/>
      <c r="Y119" s="94"/>
      <c r="Z119" s="94"/>
      <c r="AA119" s="94"/>
    </row>
    <row r="120" spans="1:27" ht="15.75" customHeight="1">
      <c r="A120" s="94"/>
      <c r="B120" s="248"/>
      <c r="C120" s="94"/>
      <c r="D120" s="94"/>
      <c r="E120" s="94"/>
      <c r="F120" s="249"/>
      <c r="G120" s="248"/>
      <c r="H120" s="94"/>
      <c r="I120" s="249"/>
      <c r="J120" s="94"/>
      <c r="K120" s="250"/>
      <c r="L120" s="250"/>
      <c r="M120" s="250"/>
      <c r="N120" s="250"/>
      <c r="O120" s="250"/>
      <c r="P120" s="250"/>
      <c r="Q120" s="249"/>
      <c r="R120" s="94"/>
      <c r="S120" s="94"/>
      <c r="T120" s="251"/>
      <c r="U120" s="94"/>
      <c r="V120" s="94"/>
      <c r="W120" s="94"/>
      <c r="X120" s="94"/>
      <c r="Y120" s="94"/>
      <c r="Z120" s="94"/>
      <c r="AA120" s="94"/>
    </row>
    <row r="121" spans="1:27" ht="15.75" customHeight="1">
      <c r="A121" s="94"/>
      <c r="B121" s="248"/>
      <c r="C121" s="94"/>
      <c r="D121" s="94"/>
      <c r="E121" s="94"/>
      <c r="F121" s="249"/>
      <c r="G121" s="248"/>
      <c r="H121" s="94"/>
      <c r="I121" s="249"/>
      <c r="J121" s="94"/>
      <c r="K121" s="250"/>
      <c r="L121" s="250"/>
      <c r="M121" s="250"/>
      <c r="N121" s="250"/>
      <c r="O121" s="250"/>
      <c r="P121" s="250"/>
      <c r="Q121" s="249"/>
      <c r="R121" s="94"/>
      <c r="S121" s="94"/>
      <c r="T121" s="251"/>
      <c r="U121" s="94"/>
      <c r="V121" s="94"/>
      <c r="W121" s="94"/>
      <c r="X121" s="94"/>
      <c r="Y121" s="94"/>
      <c r="Z121" s="94"/>
      <c r="AA121" s="94"/>
    </row>
    <row r="122" spans="1:27" ht="15.75" customHeight="1">
      <c r="A122" s="94"/>
      <c r="B122" s="248"/>
      <c r="C122" s="94"/>
      <c r="D122" s="94"/>
      <c r="E122" s="94"/>
      <c r="F122" s="249"/>
      <c r="G122" s="248"/>
      <c r="H122" s="94"/>
      <c r="I122" s="249"/>
      <c r="J122" s="94"/>
      <c r="K122" s="250"/>
      <c r="L122" s="250"/>
      <c r="M122" s="250"/>
      <c r="N122" s="250"/>
      <c r="O122" s="250"/>
      <c r="P122" s="250"/>
      <c r="Q122" s="249"/>
      <c r="R122" s="94"/>
      <c r="S122" s="94"/>
      <c r="T122" s="251"/>
      <c r="U122" s="94"/>
      <c r="V122" s="94"/>
      <c r="W122" s="94"/>
      <c r="X122" s="94"/>
      <c r="Y122" s="94"/>
      <c r="Z122" s="94"/>
      <c r="AA122" s="94"/>
    </row>
    <row r="123" spans="1:27" ht="15.75" customHeight="1">
      <c r="A123" s="94"/>
      <c r="B123" s="248"/>
      <c r="C123" s="94"/>
      <c r="D123" s="94"/>
      <c r="E123" s="94"/>
      <c r="F123" s="249"/>
      <c r="G123" s="248"/>
      <c r="H123" s="94"/>
      <c r="I123" s="249"/>
      <c r="J123" s="94"/>
      <c r="K123" s="250"/>
      <c r="L123" s="250"/>
      <c r="M123" s="250"/>
      <c r="N123" s="250"/>
      <c r="O123" s="250"/>
      <c r="P123" s="250"/>
      <c r="Q123" s="249"/>
      <c r="R123" s="94"/>
      <c r="S123" s="94"/>
      <c r="T123" s="251"/>
      <c r="U123" s="94"/>
      <c r="V123" s="94"/>
      <c r="W123" s="94"/>
      <c r="X123" s="94"/>
      <c r="Y123" s="94"/>
      <c r="Z123" s="94"/>
      <c r="AA123" s="94"/>
    </row>
    <row r="124" spans="1:27" ht="15.75" customHeight="1">
      <c r="A124" s="94"/>
      <c r="B124" s="248"/>
      <c r="C124" s="94"/>
      <c r="D124" s="94"/>
      <c r="E124" s="94"/>
      <c r="F124" s="249"/>
      <c r="G124" s="248"/>
      <c r="H124" s="94"/>
      <c r="I124" s="249"/>
      <c r="J124" s="94"/>
      <c r="K124" s="250"/>
      <c r="L124" s="250"/>
      <c r="M124" s="250"/>
      <c r="N124" s="250"/>
      <c r="O124" s="250"/>
      <c r="P124" s="250"/>
      <c r="Q124" s="249"/>
      <c r="R124" s="94"/>
      <c r="S124" s="94"/>
      <c r="T124" s="251"/>
      <c r="U124" s="94"/>
      <c r="V124" s="94"/>
      <c r="W124" s="94"/>
      <c r="X124" s="94"/>
      <c r="Y124" s="94"/>
      <c r="Z124" s="94"/>
      <c r="AA124" s="94"/>
    </row>
    <row r="125" spans="1:27" ht="15.75" customHeight="1">
      <c r="A125" s="94"/>
      <c r="B125" s="248"/>
      <c r="C125" s="94"/>
      <c r="D125" s="94"/>
      <c r="E125" s="94"/>
      <c r="F125" s="249"/>
      <c r="G125" s="248"/>
      <c r="H125" s="94"/>
      <c r="I125" s="249"/>
      <c r="J125" s="94"/>
      <c r="K125" s="250"/>
      <c r="L125" s="250"/>
      <c r="M125" s="250"/>
      <c r="N125" s="250"/>
      <c r="O125" s="250"/>
      <c r="P125" s="250"/>
      <c r="Q125" s="249"/>
      <c r="R125" s="94"/>
      <c r="S125" s="94"/>
      <c r="T125" s="251"/>
      <c r="U125" s="94"/>
      <c r="V125" s="94"/>
      <c r="W125" s="94"/>
      <c r="X125" s="94"/>
      <c r="Y125" s="94"/>
      <c r="Z125" s="94"/>
      <c r="AA125" s="94"/>
    </row>
    <row r="126" spans="1:27" ht="15.75" customHeight="1">
      <c r="A126" s="94"/>
      <c r="B126" s="248"/>
      <c r="C126" s="94"/>
      <c r="D126" s="94"/>
      <c r="E126" s="94"/>
      <c r="F126" s="249"/>
      <c r="G126" s="248"/>
      <c r="H126" s="94"/>
      <c r="I126" s="249"/>
      <c r="J126" s="94"/>
      <c r="K126" s="250"/>
      <c r="L126" s="250"/>
      <c r="M126" s="250"/>
      <c r="N126" s="250"/>
      <c r="O126" s="250"/>
      <c r="P126" s="250"/>
      <c r="Q126" s="249"/>
      <c r="R126" s="94"/>
      <c r="S126" s="94"/>
      <c r="T126" s="251"/>
      <c r="U126" s="94"/>
      <c r="V126" s="94"/>
      <c r="W126" s="94"/>
      <c r="X126" s="94"/>
      <c r="Y126" s="94"/>
      <c r="Z126" s="94"/>
      <c r="AA126" s="94"/>
    </row>
    <row r="127" spans="1:27" ht="15.75" customHeight="1">
      <c r="A127" s="94"/>
      <c r="B127" s="248"/>
      <c r="C127" s="94"/>
      <c r="D127" s="94"/>
      <c r="E127" s="94"/>
      <c r="F127" s="249"/>
      <c r="G127" s="248"/>
      <c r="H127" s="94"/>
      <c r="I127" s="249"/>
      <c r="J127" s="94"/>
      <c r="K127" s="250"/>
      <c r="L127" s="250"/>
      <c r="M127" s="250"/>
      <c r="N127" s="250"/>
      <c r="O127" s="250"/>
      <c r="P127" s="250"/>
      <c r="Q127" s="249"/>
      <c r="R127" s="94"/>
      <c r="S127" s="94"/>
      <c r="T127" s="251"/>
      <c r="U127" s="94"/>
      <c r="V127" s="94"/>
      <c r="W127" s="94"/>
      <c r="X127" s="94"/>
      <c r="Y127" s="94"/>
      <c r="Z127" s="94"/>
      <c r="AA127" s="94"/>
    </row>
    <row r="128" spans="1:27" ht="15.75" customHeight="1">
      <c r="A128" s="94"/>
      <c r="B128" s="248"/>
      <c r="C128" s="94"/>
      <c r="D128" s="94"/>
      <c r="E128" s="94"/>
      <c r="F128" s="249"/>
      <c r="G128" s="248"/>
      <c r="H128" s="94"/>
      <c r="I128" s="249"/>
      <c r="J128" s="94"/>
      <c r="K128" s="250"/>
      <c r="L128" s="250"/>
      <c r="M128" s="250"/>
      <c r="N128" s="250"/>
      <c r="O128" s="250"/>
      <c r="P128" s="250"/>
      <c r="Q128" s="249"/>
      <c r="R128" s="94"/>
      <c r="S128" s="94"/>
      <c r="T128" s="251"/>
      <c r="U128" s="94"/>
      <c r="V128" s="94"/>
      <c r="W128" s="94"/>
      <c r="X128" s="94"/>
      <c r="Y128" s="94"/>
      <c r="Z128" s="94"/>
      <c r="AA128" s="94"/>
    </row>
    <row r="129" spans="1:27" ht="15.75" customHeight="1">
      <c r="A129" s="94"/>
      <c r="B129" s="248"/>
      <c r="C129" s="94"/>
      <c r="D129" s="94"/>
      <c r="E129" s="94"/>
      <c r="F129" s="249"/>
      <c r="G129" s="248"/>
      <c r="H129" s="94"/>
      <c r="I129" s="249"/>
      <c r="J129" s="94"/>
      <c r="K129" s="250"/>
      <c r="L129" s="250"/>
      <c r="M129" s="250"/>
      <c r="N129" s="250"/>
      <c r="O129" s="250"/>
      <c r="P129" s="250"/>
      <c r="Q129" s="249"/>
      <c r="R129" s="94"/>
      <c r="S129" s="94"/>
      <c r="T129" s="251"/>
      <c r="U129" s="94"/>
      <c r="V129" s="94"/>
      <c r="W129" s="94"/>
      <c r="X129" s="94"/>
      <c r="Y129" s="94"/>
      <c r="Z129" s="94"/>
      <c r="AA129" s="94"/>
    </row>
    <row r="130" spans="1:27" ht="15.75" customHeight="1">
      <c r="A130" s="94"/>
      <c r="B130" s="248"/>
      <c r="C130" s="94"/>
      <c r="D130" s="94"/>
      <c r="E130" s="94"/>
      <c r="F130" s="249"/>
      <c r="G130" s="248"/>
      <c r="H130" s="94"/>
      <c r="I130" s="249"/>
      <c r="J130" s="94"/>
      <c r="K130" s="250"/>
      <c r="L130" s="250"/>
      <c r="M130" s="250"/>
      <c r="N130" s="250"/>
      <c r="O130" s="250"/>
      <c r="P130" s="250"/>
      <c r="Q130" s="249"/>
      <c r="R130" s="94"/>
      <c r="S130" s="94"/>
      <c r="T130" s="251"/>
      <c r="U130" s="94"/>
      <c r="V130" s="94"/>
      <c r="W130" s="94"/>
      <c r="X130" s="94"/>
      <c r="Y130" s="94"/>
      <c r="Z130" s="94"/>
      <c r="AA130" s="94"/>
    </row>
    <row r="131" spans="1:27" ht="15.75" customHeight="1">
      <c r="A131" s="94"/>
      <c r="B131" s="248"/>
      <c r="C131" s="94"/>
      <c r="D131" s="94"/>
      <c r="E131" s="94"/>
      <c r="F131" s="249"/>
      <c r="G131" s="248"/>
      <c r="H131" s="94"/>
      <c r="I131" s="249"/>
      <c r="J131" s="94"/>
      <c r="K131" s="250"/>
      <c r="L131" s="250"/>
      <c r="M131" s="250"/>
      <c r="N131" s="250"/>
      <c r="O131" s="250"/>
      <c r="P131" s="250"/>
      <c r="Q131" s="249"/>
      <c r="R131" s="94"/>
      <c r="S131" s="94"/>
      <c r="T131" s="251"/>
      <c r="U131" s="94"/>
      <c r="V131" s="94"/>
      <c r="W131" s="94"/>
      <c r="X131" s="94"/>
      <c r="Y131" s="94"/>
      <c r="Z131" s="94"/>
      <c r="AA131" s="94"/>
    </row>
    <row r="132" spans="1:27" ht="15.75" customHeight="1">
      <c r="A132" s="94"/>
      <c r="B132" s="248"/>
      <c r="C132" s="94"/>
      <c r="D132" s="94"/>
      <c r="E132" s="94"/>
      <c r="F132" s="249"/>
      <c r="G132" s="248"/>
      <c r="H132" s="94"/>
      <c r="I132" s="249"/>
      <c r="J132" s="94"/>
      <c r="K132" s="250"/>
      <c r="L132" s="250"/>
      <c r="M132" s="250"/>
      <c r="N132" s="250"/>
      <c r="O132" s="250"/>
      <c r="P132" s="250"/>
      <c r="Q132" s="249"/>
      <c r="R132" s="94"/>
      <c r="S132" s="94"/>
      <c r="T132" s="251"/>
      <c r="U132" s="94"/>
      <c r="V132" s="94"/>
      <c r="W132" s="94"/>
      <c r="X132" s="94"/>
      <c r="Y132" s="94"/>
      <c r="Z132" s="94"/>
      <c r="AA132" s="94"/>
    </row>
    <row r="133" spans="1:27" ht="15.75" customHeight="1">
      <c r="A133" s="94"/>
      <c r="B133" s="248"/>
      <c r="C133" s="94"/>
      <c r="D133" s="94"/>
      <c r="E133" s="94"/>
      <c r="F133" s="249"/>
      <c r="G133" s="248"/>
      <c r="H133" s="94"/>
      <c r="I133" s="249"/>
      <c r="J133" s="94"/>
      <c r="K133" s="250"/>
      <c r="L133" s="250"/>
      <c r="M133" s="250"/>
      <c r="N133" s="250"/>
      <c r="O133" s="250"/>
      <c r="P133" s="250"/>
      <c r="Q133" s="249"/>
      <c r="R133" s="94"/>
      <c r="S133" s="94"/>
      <c r="T133" s="251"/>
      <c r="U133" s="94"/>
      <c r="V133" s="94"/>
      <c r="W133" s="94"/>
      <c r="X133" s="94"/>
      <c r="Y133" s="94"/>
      <c r="Z133" s="94"/>
      <c r="AA133" s="94"/>
    </row>
    <row r="134" spans="1:27" ht="15.75" customHeight="1">
      <c r="A134" s="94"/>
      <c r="B134" s="248"/>
      <c r="C134" s="94"/>
      <c r="D134" s="94"/>
      <c r="E134" s="94"/>
      <c r="F134" s="249"/>
      <c r="G134" s="248"/>
      <c r="H134" s="94"/>
      <c r="I134" s="249"/>
      <c r="J134" s="94"/>
      <c r="K134" s="250"/>
      <c r="L134" s="250"/>
      <c r="M134" s="250"/>
      <c r="N134" s="250"/>
      <c r="O134" s="250"/>
      <c r="P134" s="250"/>
      <c r="Q134" s="249"/>
      <c r="R134" s="94"/>
      <c r="S134" s="94"/>
      <c r="T134" s="251"/>
      <c r="U134" s="94"/>
      <c r="V134" s="94"/>
      <c r="W134" s="94"/>
      <c r="X134" s="94"/>
      <c r="Y134" s="94"/>
      <c r="Z134" s="94"/>
      <c r="AA134" s="94"/>
    </row>
    <row r="135" spans="1:27" ht="15.75" customHeight="1">
      <c r="A135" s="94"/>
      <c r="B135" s="248"/>
      <c r="C135" s="94"/>
      <c r="D135" s="94"/>
      <c r="E135" s="94"/>
      <c r="F135" s="249"/>
      <c r="G135" s="248"/>
      <c r="H135" s="94"/>
      <c r="I135" s="249"/>
      <c r="J135" s="94"/>
      <c r="K135" s="250"/>
      <c r="L135" s="250"/>
      <c r="M135" s="250"/>
      <c r="N135" s="250"/>
      <c r="O135" s="250"/>
      <c r="P135" s="250"/>
      <c r="Q135" s="249"/>
      <c r="R135" s="94"/>
      <c r="S135" s="94"/>
      <c r="T135" s="251"/>
      <c r="U135" s="94"/>
      <c r="V135" s="94"/>
      <c r="W135" s="94"/>
      <c r="X135" s="94"/>
      <c r="Y135" s="94"/>
      <c r="Z135" s="94"/>
      <c r="AA135" s="94"/>
    </row>
    <row r="136" spans="1:27" ht="15.75" customHeight="1">
      <c r="A136" s="94"/>
      <c r="B136" s="248"/>
      <c r="C136" s="94"/>
      <c r="D136" s="94"/>
      <c r="E136" s="94"/>
      <c r="F136" s="249"/>
      <c r="G136" s="248"/>
      <c r="H136" s="94"/>
      <c r="I136" s="249"/>
      <c r="J136" s="94"/>
      <c r="K136" s="250"/>
      <c r="L136" s="250"/>
      <c r="M136" s="250"/>
      <c r="N136" s="250"/>
      <c r="O136" s="250"/>
      <c r="P136" s="250"/>
      <c r="Q136" s="249"/>
      <c r="R136" s="94"/>
      <c r="S136" s="94"/>
      <c r="T136" s="251"/>
      <c r="U136" s="94"/>
      <c r="V136" s="94"/>
      <c r="W136" s="94"/>
      <c r="X136" s="94"/>
      <c r="Y136" s="94"/>
      <c r="Z136" s="94"/>
      <c r="AA136" s="94"/>
    </row>
    <row r="137" spans="1:27" ht="15.75" customHeight="1">
      <c r="A137" s="94"/>
      <c r="B137" s="248"/>
      <c r="C137" s="94"/>
      <c r="D137" s="94"/>
      <c r="E137" s="94"/>
      <c r="F137" s="249"/>
      <c r="G137" s="248"/>
      <c r="H137" s="94"/>
      <c r="I137" s="249"/>
      <c r="J137" s="94"/>
      <c r="K137" s="250"/>
      <c r="L137" s="250"/>
      <c r="M137" s="250"/>
      <c r="N137" s="250"/>
      <c r="O137" s="250"/>
      <c r="P137" s="250"/>
      <c r="Q137" s="249"/>
      <c r="R137" s="94"/>
      <c r="S137" s="94"/>
      <c r="T137" s="251"/>
      <c r="U137" s="94"/>
      <c r="V137" s="94"/>
      <c r="W137" s="94"/>
      <c r="X137" s="94"/>
      <c r="Y137" s="94"/>
      <c r="Z137" s="94"/>
      <c r="AA137" s="94"/>
    </row>
    <row r="138" spans="1:27" ht="15.75" customHeight="1">
      <c r="A138" s="94"/>
      <c r="B138" s="248"/>
      <c r="C138" s="94"/>
      <c r="D138" s="94"/>
      <c r="E138" s="94"/>
      <c r="F138" s="249"/>
      <c r="G138" s="248"/>
      <c r="H138" s="94"/>
      <c r="I138" s="249"/>
      <c r="J138" s="94"/>
      <c r="K138" s="250"/>
      <c r="L138" s="250"/>
      <c r="M138" s="250"/>
      <c r="N138" s="250"/>
      <c r="O138" s="250"/>
      <c r="P138" s="250"/>
      <c r="Q138" s="249"/>
      <c r="R138" s="94"/>
      <c r="S138" s="94"/>
      <c r="T138" s="251"/>
      <c r="U138" s="94"/>
      <c r="V138" s="94"/>
      <c r="W138" s="94"/>
      <c r="X138" s="94"/>
      <c r="Y138" s="94"/>
      <c r="Z138" s="94"/>
      <c r="AA138" s="94"/>
    </row>
    <row r="139" spans="1:27" ht="15.75" customHeight="1">
      <c r="A139" s="94"/>
      <c r="B139" s="248"/>
      <c r="C139" s="94"/>
      <c r="D139" s="94"/>
      <c r="E139" s="94"/>
      <c r="F139" s="249"/>
      <c r="G139" s="248"/>
      <c r="H139" s="94"/>
      <c r="I139" s="249"/>
      <c r="J139" s="94"/>
      <c r="K139" s="250"/>
      <c r="L139" s="250"/>
      <c r="M139" s="250"/>
      <c r="N139" s="250"/>
      <c r="O139" s="250"/>
      <c r="P139" s="250"/>
      <c r="Q139" s="249"/>
      <c r="R139" s="94"/>
      <c r="S139" s="94"/>
      <c r="T139" s="251"/>
      <c r="U139" s="94"/>
      <c r="V139" s="94"/>
      <c r="W139" s="94"/>
      <c r="X139" s="94"/>
      <c r="Y139" s="94"/>
      <c r="Z139" s="94"/>
      <c r="AA139" s="94"/>
    </row>
    <row r="140" spans="1:27" ht="15.75" customHeight="1">
      <c r="A140" s="94"/>
      <c r="B140" s="248"/>
      <c r="C140" s="94"/>
      <c r="D140" s="94"/>
      <c r="E140" s="94"/>
      <c r="F140" s="249"/>
      <c r="G140" s="248"/>
      <c r="H140" s="94"/>
      <c r="I140" s="249"/>
      <c r="J140" s="94"/>
      <c r="K140" s="250"/>
      <c r="L140" s="250"/>
      <c r="M140" s="250"/>
      <c r="N140" s="250"/>
      <c r="O140" s="250"/>
      <c r="P140" s="250"/>
      <c r="Q140" s="249"/>
      <c r="R140" s="94"/>
      <c r="S140" s="94"/>
      <c r="T140" s="251"/>
      <c r="U140" s="94"/>
      <c r="V140" s="94"/>
      <c r="W140" s="94"/>
      <c r="X140" s="94"/>
      <c r="Y140" s="94"/>
      <c r="Z140" s="94"/>
      <c r="AA140" s="94"/>
    </row>
    <row r="141" spans="1:27" ht="15.75" customHeight="1">
      <c r="A141" s="94"/>
      <c r="B141" s="248"/>
      <c r="C141" s="94"/>
      <c r="D141" s="94"/>
      <c r="E141" s="94"/>
      <c r="F141" s="249"/>
      <c r="G141" s="248"/>
      <c r="H141" s="94"/>
      <c r="I141" s="249"/>
      <c r="J141" s="94"/>
      <c r="K141" s="250"/>
      <c r="L141" s="250"/>
      <c r="M141" s="250"/>
      <c r="N141" s="250"/>
      <c r="O141" s="250"/>
      <c r="P141" s="250"/>
      <c r="Q141" s="249"/>
      <c r="R141" s="94"/>
      <c r="S141" s="94"/>
      <c r="T141" s="251"/>
      <c r="U141" s="94"/>
      <c r="V141" s="94"/>
      <c r="W141" s="94"/>
      <c r="X141" s="94"/>
      <c r="Y141" s="94"/>
      <c r="Z141" s="94"/>
      <c r="AA141" s="94"/>
    </row>
    <row r="142" spans="1:27" ht="15.75" customHeight="1">
      <c r="A142" s="94"/>
      <c r="B142" s="248"/>
      <c r="C142" s="94"/>
      <c r="D142" s="94"/>
      <c r="E142" s="94"/>
      <c r="F142" s="249"/>
      <c r="G142" s="248"/>
      <c r="H142" s="94"/>
      <c r="I142" s="249"/>
      <c r="J142" s="94"/>
      <c r="K142" s="250"/>
      <c r="L142" s="250"/>
      <c r="M142" s="250"/>
      <c r="N142" s="250"/>
      <c r="O142" s="250"/>
      <c r="P142" s="250"/>
      <c r="Q142" s="249"/>
      <c r="R142" s="94"/>
      <c r="S142" s="94"/>
      <c r="T142" s="251"/>
      <c r="U142" s="94"/>
      <c r="V142" s="94"/>
      <c r="W142" s="94"/>
      <c r="X142" s="94"/>
      <c r="Y142" s="94"/>
      <c r="Z142" s="94"/>
      <c r="AA142" s="94"/>
    </row>
    <row r="143" spans="1:27" ht="15.75" customHeight="1">
      <c r="A143" s="94"/>
      <c r="B143" s="248"/>
      <c r="C143" s="94"/>
      <c r="D143" s="94"/>
      <c r="E143" s="94"/>
      <c r="F143" s="249"/>
      <c r="G143" s="248"/>
      <c r="H143" s="94"/>
      <c r="I143" s="249"/>
      <c r="J143" s="94"/>
      <c r="K143" s="250"/>
      <c r="L143" s="250"/>
      <c r="M143" s="250"/>
      <c r="N143" s="250"/>
      <c r="O143" s="250"/>
      <c r="P143" s="250"/>
      <c r="Q143" s="249"/>
      <c r="R143" s="94"/>
      <c r="S143" s="94"/>
      <c r="T143" s="251"/>
      <c r="U143" s="94"/>
      <c r="V143" s="94"/>
      <c r="W143" s="94"/>
      <c r="X143" s="94"/>
      <c r="Y143" s="94"/>
      <c r="Z143" s="94"/>
      <c r="AA143" s="94"/>
    </row>
    <row r="144" spans="1:27" ht="15.75" customHeight="1">
      <c r="A144" s="94"/>
      <c r="B144" s="248"/>
      <c r="C144" s="94"/>
      <c r="D144" s="94"/>
      <c r="E144" s="94"/>
      <c r="F144" s="249"/>
      <c r="G144" s="248"/>
      <c r="H144" s="94"/>
      <c r="I144" s="249"/>
      <c r="J144" s="94"/>
      <c r="K144" s="250"/>
      <c r="L144" s="250"/>
      <c r="M144" s="250"/>
      <c r="N144" s="250"/>
      <c r="O144" s="250"/>
      <c r="P144" s="250"/>
      <c r="Q144" s="249"/>
      <c r="R144" s="94"/>
      <c r="S144" s="94"/>
      <c r="T144" s="251"/>
      <c r="U144" s="94"/>
      <c r="V144" s="94"/>
      <c r="W144" s="94"/>
      <c r="X144" s="94"/>
      <c r="Y144" s="94"/>
      <c r="Z144" s="94"/>
      <c r="AA144" s="94"/>
    </row>
    <row r="145" spans="1:27" ht="15.75" customHeight="1">
      <c r="A145" s="94"/>
      <c r="B145" s="248"/>
      <c r="C145" s="94"/>
      <c r="D145" s="94"/>
      <c r="E145" s="94"/>
      <c r="F145" s="249"/>
      <c r="G145" s="248"/>
      <c r="H145" s="94"/>
      <c r="I145" s="249"/>
      <c r="J145" s="94"/>
      <c r="K145" s="250"/>
      <c r="L145" s="250"/>
      <c r="M145" s="250"/>
      <c r="N145" s="250"/>
      <c r="O145" s="250"/>
      <c r="P145" s="250"/>
      <c r="Q145" s="249"/>
      <c r="R145" s="94"/>
      <c r="S145" s="94"/>
      <c r="T145" s="251"/>
      <c r="U145" s="94"/>
      <c r="V145" s="94"/>
      <c r="W145" s="94"/>
      <c r="X145" s="94"/>
      <c r="Y145" s="94"/>
      <c r="Z145" s="94"/>
      <c r="AA145" s="94"/>
    </row>
    <row r="146" spans="1:27" ht="15.75" customHeight="1">
      <c r="A146" s="94"/>
      <c r="B146" s="248"/>
      <c r="C146" s="94"/>
      <c r="D146" s="94"/>
      <c r="E146" s="94"/>
      <c r="F146" s="249"/>
      <c r="G146" s="248"/>
      <c r="H146" s="94"/>
      <c r="I146" s="249"/>
      <c r="J146" s="94"/>
      <c r="K146" s="250"/>
      <c r="L146" s="250"/>
      <c r="M146" s="250"/>
      <c r="N146" s="250"/>
      <c r="O146" s="250"/>
      <c r="P146" s="250"/>
      <c r="Q146" s="249"/>
      <c r="R146" s="94"/>
      <c r="S146" s="94"/>
      <c r="T146" s="251"/>
      <c r="U146" s="94"/>
      <c r="V146" s="94"/>
      <c r="W146" s="94"/>
      <c r="X146" s="94"/>
      <c r="Y146" s="94"/>
      <c r="Z146" s="94"/>
      <c r="AA146" s="94"/>
    </row>
    <row r="147" spans="1:27" ht="15.75" customHeight="1">
      <c r="A147" s="94"/>
      <c r="B147" s="248"/>
      <c r="C147" s="94"/>
      <c r="D147" s="94"/>
      <c r="E147" s="94"/>
      <c r="F147" s="249"/>
      <c r="G147" s="248"/>
      <c r="H147" s="94"/>
      <c r="I147" s="249"/>
      <c r="J147" s="94"/>
      <c r="K147" s="250"/>
      <c r="L147" s="250"/>
      <c r="M147" s="250"/>
      <c r="N147" s="250"/>
      <c r="O147" s="250"/>
      <c r="P147" s="250"/>
      <c r="Q147" s="249"/>
      <c r="R147" s="94"/>
      <c r="S147" s="94"/>
      <c r="T147" s="251"/>
      <c r="U147" s="94"/>
      <c r="V147" s="94"/>
      <c r="W147" s="94"/>
      <c r="X147" s="94"/>
      <c r="Y147" s="94"/>
      <c r="Z147" s="94"/>
      <c r="AA147" s="94"/>
    </row>
    <row r="148" spans="1:27" ht="15.75" customHeight="1">
      <c r="A148" s="94"/>
      <c r="B148" s="248"/>
      <c r="C148" s="94"/>
      <c r="D148" s="94"/>
      <c r="E148" s="94"/>
      <c r="F148" s="249"/>
      <c r="G148" s="248"/>
      <c r="H148" s="94"/>
      <c r="I148" s="249"/>
      <c r="J148" s="94"/>
      <c r="K148" s="250"/>
      <c r="L148" s="250"/>
      <c r="M148" s="250"/>
      <c r="N148" s="250"/>
      <c r="O148" s="250"/>
      <c r="P148" s="250"/>
      <c r="Q148" s="249"/>
      <c r="R148" s="94"/>
      <c r="S148" s="94"/>
      <c r="T148" s="251"/>
      <c r="U148" s="94"/>
      <c r="V148" s="94"/>
      <c r="W148" s="94"/>
      <c r="X148" s="94"/>
      <c r="Y148" s="94"/>
      <c r="Z148" s="94"/>
      <c r="AA148" s="94"/>
    </row>
    <row r="149" spans="1:27" ht="15.75" customHeight="1">
      <c r="A149" s="94"/>
      <c r="B149" s="248"/>
      <c r="C149" s="94"/>
      <c r="D149" s="94"/>
      <c r="E149" s="94"/>
      <c r="F149" s="249"/>
      <c r="G149" s="248"/>
      <c r="H149" s="94"/>
      <c r="I149" s="249"/>
      <c r="J149" s="94"/>
      <c r="K149" s="250"/>
      <c r="L149" s="250"/>
      <c r="M149" s="250"/>
      <c r="N149" s="250"/>
      <c r="O149" s="250"/>
      <c r="P149" s="250"/>
      <c r="Q149" s="249"/>
      <c r="R149" s="94"/>
      <c r="S149" s="94"/>
      <c r="T149" s="251"/>
      <c r="U149" s="94"/>
      <c r="V149" s="94"/>
      <c r="W149" s="94"/>
      <c r="X149" s="94"/>
      <c r="Y149" s="94"/>
      <c r="Z149" s="94"/>
      <c r="AA149" s="94"/>
    </row>
    <row r="150" spans="1:27" ht="15.75" customHeight="1">
      <c r="A150" s="94"/>
      <c r="B150" s="248"/>
      <c r="C150" s="94"/>
      <c r="D150" s="94"/>
      <c r="E150" s="94"/>
      <c r="F150" s="249"/>
      <c r="G150" s="248"/>
      <c r="H150" s="94"/>
      <c r="I150" s="249"/>
      <c r="J150" s="94"/>
      <c r="K150" s="250"/>
      <c r="L150" s="250"/>
      <c r="M150" s="250"/>
      <c r="N150" s="250"/>
      <c r="O150" s="250"/>
      <c r="P150" s="250"/>
      <c r="Q150" s="249"/>
      <c r="R150" s="94"/>
      <c r="S150" s="94"/>
      <c r="T150" s="251"/>
      <c r="U150" s="94"/>
      <c r="V150" s="94"/>
      <c r="W150" s="94"/>
      <c r="X150" s="94"/>
      <c r="Y150" s="94"/>
      <c r="Z150" s="94"/>
      <c r="AA150" s="94"/>
    </row>
    <row r="151" spans="1:27" ht="15.75" customHeight="1">
      <c r="A151" s="94"/>
      <c r="B151" s="248"/>
      <c r="C151" s="94"/>
      <c r="D151" s="94"/>
      <c r="E151" s="94"/>
      <c r="F151" s="249"/>
      <c r="G151" s="248"/>
      <c r="H151" s="94"/>
      <c r="I151" s="249"/>
      <c r="J151" s="94"/>
      <c r="K151" s="250"/>
      <c r="L151" s="250"/>
      <c r="M151" s="250"/>
      <c r="N151" s="250"/>
      <c r="O151" s="250"/>
      <c r="P151" s="250"/>
      <c r="Q151" s="249"/>
      <c r="R151" s="94"/>
      <c r="S151" s="94"/>
      <c r="T151" s="251"/>
      <c r="U151" s="94"/>
      <c r="V151" s="94"/>
      <c r="W151" s="94"/>
      <c r="X151" s="94"/>
      <c r="Y151" s="94"/>
      <c r="Z151" s="94"/>
      <c r="AA151" s="94"/>
    </row>
    <row r="152" spans="1:27" ht="15.75" customHeight="1">
      <c r="A152" s="94"/>
      <c r="B152" s="248"/>
      <c r="C152" s="94"/>
      <c r="D152" s="94"/>
      <c r="E152" s="94"/>
      <c r="F152" s="249"/>
      <c r="G152" s="248"/>
      <c r="H152" s="94"/>
      <c r="I152" s="249"/>
      <c r="J152" s="94"/>
      <c r="K152" s="250"/>
      <c r="L152" s="250"/>
      <c r="M152" s="250"/>
      <c r="N152" s="250"/>
      <c r="O152" s="250"/>
      <c r="P152" s="250"/>
      <c r="Q152" s="249"/>
      <c r="R152" s="94"/>
      <c r="S152" s="94"/>
      <c r="T152" s="251"/>
      <c r="U152" s="94"/>
      <c r="V152" s="94"/>
      <c r="W152" s="94"/>
      <c r="X152" s="94"/>
      <c r="Y152" s="94"/>
      <c r="Z152" s="94"/>
      <c r="AA152" s="94"/>
    </row>
    <row r="153" spans="1:27" ht="15.75" customHeight="1">
      <c r="A153" s="94"/>
      <c r="B153" s="248"/>
      <c r="C153" s="94"/>
      <c r="D153" s="94"/>
      <c r="E153" s="94"/>
      <c r="F153" s="249"/>
      <c r="G153" s="248"/>
      <c r="H153" s="94"/>
      <c r="I153" s="249"/>
      <c r="J153" s="94"/>
      <c r="K153" s="250"/>
      <c r="L153" s="250"/>
      <c r="M153" s="250"/>
      <c r="N153" s="250"/>
      <c r="O153" s="250"/>
      <c r="P153" s="250"/>
      <c r="Q153" s="249"/>
      <c r="R153" s="94"/>
      <c r="S153" s="94"/>
      <c r="T153" s="251"/>
      <c r="U153" s="94"/>
      <c r="V153" s="94"/>
      <c r="W153" s="94"/>
      <c r="X153" s="94"/>
      <c r="Y153" s="94"/>
      <c r="Z153" s="94"/>
      <c r="AA153" s="94"/>
    </row>
    <row r="154" spans="1:27" ht="15.75" customHeight="1">
      <c r="A154" s="94"/>
      <c r="B154" s="248"/>
      <c r="C154" s="94"/>
      <c r="D154" s="94"/>
      <c r="E154" s="94"/>
      <c r="F154" s="249"/>
      <c r="G154" s="248"/>
      <c r="H154" s="94"/>
      <c r="I154" s="249"/>
      <c r="J154" s="94"/>
      <c r="K154" s="250"/>
      <c r="L154" s="250"/>
      <c r="M154" s="250"/>
      <c r="N154" s="250"/>
      <c r="O154" s="250"/>
      <c r="P154" s="250"/>
      <c r="Q154" s="249"/>
      <c r="R154" s="94"/>
      <c r="S154" s="94"/>
      <c r="T154" s="251"/>
      <c r="U154" s="94"/>
      <c r="V154" s="94"/>
      <c r="W154" s="94"/>
      <c r="X154" s="94"/>
      <c r="Y154" s="94"/>
      <c r="Z154" s="94"/>
      <c r="AA154" s="94"/>
    </row>
    <row r="155" spans="1:27" ht="15.75" customHeight="1">
      <c r="A155" s="94"/>
      <c r="B155" s="248"/>
      <c r="C155" s="94"/>
      <c r="D155" s="94"/>
      <c r="E155" s="94"/>
      <c r="F155" s="249"/>
      <c r="G155" s="248"/>
      <c r="H155" s="94"/>
      <c r="I155" s="249"/>
      <c r="J155" s="94"/>
      <c r="K155" s="250"/>
      <c r="L155" s="250"/>
      <c r="M155" s="250"/>
      <c r="N155" s="250"/>
      <c r="O155" s="250"/>
      <c r="P155" s="250"/>
      <c r="Q155" s="249"/>
      <c r="R155" s="94"/>
      <c r="S155" s="94"/>
      <c r="T155" s="251"/>
      <c r="U155" s="94"/>
      <c r="V155" s="94"/>
      <c r="W155" s="94"/>
      <c r="X155" s="94"/>
      <c r="Y155" s="94"/>
      <c r="Z155" s="94"/>
      <c r="AA155" s="94"/>
    </row>
    <row r="156" spans="1:27" ht="15.75" customHeight="1">
      <c r="A156" s="94"/>
      <c r="B156" s="248"/>
      <c r="C156" s="94"/>
      <c r="D156" s="94"/>
      <c r="E156" s="94"/>
      <c r="F156" s="249"/>
      <c r="G156" s="248"/>
      <c r="H156" s="94"/>
      <c r="I156" s="249"/>
      <c r="J156" s="94"/>
      <c r="K156" s="250"/>
      <c r="L156" s="250"/>
      <c r="M156" s="250"/>
      <c r="N156" s="250"/>
      <c r="O156" s="250"/>
      <c r="P156" s="250"/>
      <c r="Q156" s="249"/>
      <c r="R156" s="94"/>
      <c r="S156" s="94"/>
      <c r="T156" s="251"/>
      <c r="U156" s="94"/>
      <c r="V156" s="94"/>
      <c r="W156" s="94"/>
      <c r="X156" s="94"/>
      <c r="Y156" s="94"/>
      <c r="Z156" s="94"/>
      <c r="AA156" s="94"/>
    </row>
    <row r="157" spans="1:27" ht="15.75" customHeight="1">
      <c r="A157" s="94"/>
      <c r="B157" s="248"/>
      <c r="C157" s="94"/>
      <c r="D157" s="94"/>
      <c r="E157" s="94"/>
      <c r="F157" s="249"/>
      <c r="G157" s="248"/>
      <c r="H157" s="94"/>
      <c r="I157" s="249"/>
      <c r="J157" s="94"/>
      <c r="K157" s="250"/>
      <c r="L157" s="250"/>
      <c r="M157" s="250"/>
      <c r="N157" s="250"/>
      <c r="O157" s="250"/>
      <c r="P157" s="250"/>
      <c r="Q157" s="249"/>
      <c r="R157" s="94"/>
      <c r="S157" s="94"/>
      <c r="T157" s="251"/>
      <c r="U157" s="94"/>
      <c r="V157" s="94"/>
      <c r="W157" s="94"/>
      <c r="X157" s="94"/>
      <c r="Y157" s="94"/>
      <c r="Z157" s="94"/>
      <c r="AA157" s="94"/>
    </row>
    <row r="158" spans="1:27" ht="15.75" customHeight="1">
      <c r="A158" s="94"/>
      <c r="B158" s="248"/>
      <c r="C158" s="94"/>
      <c r="D158" s="94"/>
      <c r="E158" s="94"/>
      <c r="F158" s="249"/>
      <c r="G158" s="248"/>
      <c r="H158" s="94"/>
      <c r="I158" s="249"/>
      <c r="J158" s="94"/>
      <c r="K158" s="250"/>
      <c r="L158" s="250"/>
      <c r="M158" s="250"/>
      <c r="N158" s="250"/>
      <c r="O158" s="250"/>
      <c r="P158" s="250"/>
      <c r="Q158" s="249"/>
      <c r="R158" s="94"/>
      <c r="S158" s="94"/>
      <c r="T158" s="251"/>
      <c r="U158" s="94"/>
      <c r="V158" s="94"/>
      <c r="W158" s="94"/>
      <c r="X158" s="94"/>
      <c r="Y158" s="94"/>
      <c r="Z158" s="94"/>
      <c r="AA158" s="94"/>
    </row>
    <row r="159" spans="1:27" ht="15.75" customHeight="1">
      <c r="A159" s="94"/>
      <c r="B159" s="248"/>
      <c r="C159" s="94"/>
      <c r="D159" s="94"/>
      <c r="E159" s="94"/>
      <c r="F159" s="249"/>
      <c r="G159" s="248"/>
      <c r="H159" s="94"/>
      <c r="I159" s="249"/>
      <c r="J159" s="94"/>
      <c r="K159" s="250"/>
      <c r="L159" s="250"/>
      <c r="M159" s="250"/>
      <c r="N159" s="250"/>
      <c r="O159" s="250"/>
      <c r="P159" s="250"/>
      <c r="Q159" s="249"/>
      <c r="R159" s="94"/>
      <c r="S159" s="94"/>
      <c r="T159" s="251"/>
      <c r="U159" s="94"/>
      <c r="V159" s="94"/>
      <c r="W159" s="94"/>
      <c r="X159" s="94"/>
      <c r="Y159" s="94"/>
      <c r="Z159" s="94"/>
      <c r="AA159" s="94"/>
    </row>
    <row r="160" spans="1:27" ht="15.75" customHeight="1">
      <c r="A160" s="94"/>
      <c r="B160" s="248"/>
      <c r="C160" s="94"/>
      <c r="D160" s="94"/>
      <c r="E160" s="94"/>
      <c r="F160" s="249"/>
      <c r="G160" s="248"/>
      <c r="H160" s="94"/>
      <c r="I160" s="249"/>
      <c r="J160" s="94"/>
      <c r="K160" s="250"/>
      <c r="L160" s="250"/>
      <c r="M160" s="250"/>
      <c r="N160" s="250"/>
      <c r="O160" s="250"/>
      <c r="P160" s="250"/>
      <c r="Q160" s="249"/>
      <c r="R160" s="94"/>
      <c r="S160" s="94"/>
      <c r="T160" s="251"/>
      <c r="U160" s="94"/>
      <c r="V160" s="94"/>
      <c r="W160" s="94"/>
      <c r="X160" s="94"/>
      <c r="Y160" s="94"/>
      <c r="Z160" s="94"/>
      <c r="AA160" s="94"/>
    </row>
    <row r="161" spans="1:27" ht="15.75" customHeight="1">
      <c r="A161" s="94"/>
      <c r="B161" s="248"/>
      <c r="C161" s="94"/>
      <c r="D161" s="94"/>
      <c r="E161" s="94"/>
      <c r="F161" s="249"/>
      <c r="G161" s="248"/>
      <c r="H161" s="94"/>
      <c r="I161" s="249"/>
      <c r="J161" s="94"/>
      <c r="K161" s="250"/>
      <c r="L161" s="250"/>
      <c r="M161" s="250"/>
      <c r="N161" s="250"/>
      <c r="O161" s="250"/>
      <c r="P161" s="250"/>
      <c r="Q161" s="249"/>
      <c r="R161" s="94"/>
      <c r="S161" s="94"/>
      <c r="T161" s="251"/>
      <c r="U161" s="94"/>
      <c r="V161" s="94"/>
      <c r="W161" s="94"/>
      <c r="X161" s="94"/>
      <c r="Y161" s="94"/>
      <c r="Z161" s="94"/>
      <c r="AA161" s="94"/>
    </row>
    <row r="162" spans="1:27" ht="15.75" customHeight="1">
      <c r="A162" s="94"/>
      <c r="B162" s="248"/>
      <c r="C162" s="94"/>
      <c r="D162" s="94"/>
      <c r="E162" s="94"/>
      <c r="F162" s="249"/>
      <c r="G162" s="248"/>
      <c r="H162" s="94"/>
      <c r="I162" s="249"/>
      <c r="J162" s="94"/>
      <c r="K162" s="250"/>
      <c r="L162" s="250"/>
      <c r="M162" s="250"/>
      <c r="N162" s="250"/>
      <c r="O162" s="250"/>
      <c r="P162" s="250"/>
      <c r="Q162" s="249"/>
      <c r="R162" s="94"/>
      <c r="S162" s="94"/>
      <c r="T162" s="251"/>
      <c r="U162" s="94"/>
      <c r="V162" s="94"/>
      <c r="W162" s="94"/>
      <c r="X162" s="94"/>
      <c r="Y162" s="94"/>
      <c r="Z162" s="94"/>
      <c r="AA162" s="94"/>
    </row>
    <row r="163" spans="1:27" ht="15.75" customHeight="1">
      <c r="A163" s="94"/>
      <c r="B163" s="248"/>
      <c r="C163" s="94"/>
      <c r="D163" s="94"/>
      <c r="E163" s="94"/>
      <c r="F163" s="249"/>
      <c r="G163" s="248"/>
      <c r="H163" s="94"/>
      <c r="I163" s="249"/>
      <c r="J163" s="94"/>
      <c r="K163" s="250"/>
      <c r="L163" s="250"/>
      <c r="M163" s="250"/>
      <c r="N163" s="250"/>
      <c r="O163" s="250"/>
      <c r="P163" s="250"/>
      <c r="Q163" s="249"/>
      <c r="R163" s="94"/>
      <c r="S163" s="94"/>
      <c r="T163" s="251"/>
      <c r="U163" s="94"/>
      <c r="V163" s="94"/>
      <c r="W163" s="94"/>
      <c r="X163" s="94"/>
      <c r="Y163" s="94"/>
      <c r="Z163" s="94"/>
      <c r="AA163" s="94"/>
    </row>
    <row r="164" spans="1:27" ht="15.75" customHeight="1">
      <c r="A164" s="94"/>
      <c r="B164" s="248"/>
      <c r="C164" s="94"/>
      <c r="D164" s="94"/>
      <c r="E164" s="94"/>
      <c r="F164" s="249"/>
      <c r="G164" s="248"/>
      <c r="H164" s="94"/>
      <c r="I164" s="249"/>
      <c r="J164" s="94"/>
      <c r="K164" s="250"/>
      <c r="L164" s="250"/>
      <c r="M164" s="250"/>
      <c r="N164" s="250"/>
      <c r="O164" s="250"/>
      <c r="P164" s="250"/>
      <c r="Q164" s="249"/>
      <c r="R164" s="94"/>
      <c r="S164" s="94"/>
      <c r="T164" s="251"/>
      <c r="U164" s="94"/>
      <c r="V164" s="94"/>
      <c r="W164" s="94"/>
      <c r="X164" s="94"/>
      <c r="Y164" s="94"/>
      <c r="Z164" s="94"/>
      <c r="AA164" s="94"/>
    </row>
    <row r="165" spans="1:27" ht="15.75" customHeight="1">
      <c r="A165" s="94"/>
      <c r="B165" s="248"/>
      <c r="C165" s="94"/>
      <c r="D165" s="94"/>
      <c r="E165" s="94"/>
      <c r="F165" s="249"/>
      <c r="G165" s="248"/>
      <c r="H165" s="94"/>
      <c r="I165" s="249"/>
      <c r="J165" s="94"/>
      <c r="K165" s="250"/>
      <c r="L165" s="250"/>
      <c r="M165" s="250"/>
      <c r="N165" s="250"/>
      <c r="O165" s="250"/>
      <c r="P165" s="250"/>
      <c r="Q165" s="249"/>
      <c r="R165" s="94"/>
      <c r="S165" s="94"/>
      <c r="T165" s="251"/>
      <c r="U165" s="94"/>
      <c r="V165" s="94"/>
      <c r="W165" s="94"/>
      <c r="X165" s="94"/>
      <c r="Y165" s="94"/>
      <c r="Z165" s="94"/>
      <c r="AA165" s="94"/>
    </row>
    <row r="166" spans="1:27" ht="15.75" customHeight="1">
      <c r="A166" s="94"/>
      <c r="B166" s="248"/>
      <c r="C166" s="94"/>
      <c r="D166" s="94"/>
      <c r="E166" s="94"/>
      <c r="F166" s="249"/>
      <c r="G166" s="248"/>
      <c r="H166" s="94"/>
      <c r="I166" s="249"/>
      <c r="J166" s="94"/>
      <c r="K166" s="250"/>
      <c r="L166" s="250"/>
      <c r="M166" s="250"/>
      <c r="N166" s="250"/>
      <c r="O166" s="250"/>
      <c r="P166" s="250"/>
      <c r="Q166" s="249"/>
      <c r="R166" s="94"/>
      <c r="S166" s="94"/>
      <c r="T166" s="251"/>
      <c r="U166" s="94"/>
      <c r="V166" s="94"/>
      <c r="W166" s="94"/>
      <c r="X166" s="94"/>
      <c r="Y166" s="94"/>
      <c r="Z166" s="94"/>
      <c r="AA166" s="94"/>
    </row>
    <row r="167" spans="1:27" ht="15.75" customHeight="1">
      <c r="A167" s="94"/>
      <c r="B167" s="248"/>
      <c r="C167" s="94"/>
      <c r="D167" s="94"/>
      <c r="E167" s="94"/>
      <c r="F167" s="249"/>
      <c r="G167" s="248"/>
      <c r="H167" s="94"/>
      <c r="I167" s="249"/>
      <c r="J167" s="94"/>
      <c r="K167" s="250"/>
      <c r="L167" s="250"/>
      <c r="M167" s="250"/>
      <c r="N167" s="250"/>
      <c r="O167" s="250"/>
      <c r="P167" s="250"/>
      <c r="Q167" s="249"/>
      <c r="R167" s="94"/>
      <c r="S167" s="94"/>
      <c r="T167" s="251"/>
      <c r="U167" s="94"/>
      <c r="V167" s="94"/>
      <c r="W167" s="94"/>
      <c r="X167" s="94"/>
      <c r="Y167" s="94"/>
      <c r="Z167" s="94"/>
      <c r="AA167" s="94"/>
    </row>
    <row r="168" spans="1:27" ht="15.75" customHeight="1">
      <c r="A168" s="94"/>
      <c r="B168" s="248"/>
      <c r="C168" s="94"/>
      <c r="D168" s="94"/>
      <c r="E168" s="94"/>
      <c r="F168" s="249"/>
      <c r="G168" s="248"/>
      <c r="H168" s="94"/>
      <c r="I168" s="249"/>
      <c r="J168" s="94"/>
      <c r="K168" s="250"/>
      <c r="L168" s="250"/>
      <c r="M168" s="250"/>
      <c r="N168" s="250"/>
      <c r="O168" s="250"/>
      <c r="P168" s="250"/>
      <c r="Q168" s="249"/>
      <c r="R168" s="94"/>
      <c r="S168" s="94"/>
      <c r="T168" s="251"/>
      <c r="U168" s="94"/>
      <c r="V168" s="94"/>
      <c r="W168" s="94"/>
      <c r="X168" s="94"/>
      <c r="Y168" s="94"/>
      <c r="Z168" s="94"/>
      <c r="AA168" s="94"/>
    </row>
    <row r="169" spans="1:27" ht="15.75" customHeight="1">
      <c r="A169" s="94"/>
      <c r="B169" s="248"/>
      <c r="C169" s="94"/>
      <c r="D169" s="94"/>
      <c r="E169" s="94"/>
      <c r="F169" s="249"/>
      <c r="G169" s="248"/>
      <c r="H169" s="94"/>
      <c r="I169" s="249"/>
      <c r="J169" s="94"/>
      <c r="K169" s="250"/>
      <c r="L169" s="250"/>
      <c r="M169" s="250"/>
      <c r="N169" s="250"/>
      <c r="O169" s="250"/>
      <c r="P169" s="250"/>
      <c r="Q169" s="249"/>
      <c r="R169" s="94"/>
      <c r="S169" s="94"/>
      <c r="T169" s="251"/>
      <c r="U169" s="94"/>
      <c r="V169" s="94"/>
      <c r="W169" s="94"/>
      <c r="X169" s="94"/>
      <c r="Y169" s="94"/>
      <c r="Z169" s="94"/>
      <c r="AA169" s="94"/>
    </row>
    <row r="170" spans="1:27" ht="15.75" customHeight="1">
      <c r="A170" s="94"/>
      <c r="B170" s="248"/>
      <c r="C170" s="94"/>
      <c r="D170" s="94"/>
      <c r="E170" s="94"/>
      <c r="F170" s="249"/>
      <c r="G170" s="248"/>
      <c r="H170" s="94"/>
      <c r="I170" s="249"/>
      <c r="J170" s="94"/>
      <c r="K170" s="250"/>
      <c r="L170" s="250"/>
      <c r="M170" s="250"/>
      <c r="N170" s="250"/>
      <c r="O170" s="250"/>
      <c r="P170" s="250"/>
      <c r="Q170" s="249"/>
      <c r="R170" s="94"/>
      <c r="S170" s="94"/>
      <c r="T170" s="251"/>
      <c r="U170" s="94"/>
      <c r="V170" s="94"/>
      <c r="W170" s="94"/>
      <c r="X170" s="94"/>
      <c r="Y170" s="94"/>
      <c r="Z170" s="94"/>
      <c r="AA170" s="94"/>
    </row>
    <row r="171" spans="1:27" ht="15.75" customHeight="1">
      <c r="A171" s="94"/>
      <c r="B171" s="248"/>
      <c r="C171" s="94"/>
      <c r="D171" s="94"/>
      <c r="E171" s="94"/>
      <c r="F171" s="249"/>
      <c r="G171" s="248"/>
      <c r="H171" s="94"/>
      <c r="I171" s="249"/>
      <c r="J171" s="94"/>
      <c r="K171" s="250"/>
      <c r="L171" s="250"/>
      <c r="M171" s="250"/>
      <c r="N171" s="250"/>
      <c r="O171" s="250"/>
      <c r="P171" s="250"/>
      <c r="Q171" s="249"/>
      <c r="R171" s="94"/>
      <c r="S171" s="94"/>
      <c r="T171" s="251"/>
      <c r="U171" s="94"/>
      <c r="V171" s="94"/>
      <c r="W171" s="94"/>
      <c r="X171" s="94"/>
      <c r="Y171" s="94"/>
      <c r="Z171" s="94"/>
      <c r="AA171" s="94"/>
    </row>
    <row r="172" spans="1:27" ht="15.75" customHeight="1">
      <c r="A172" s="94"/>
      <c r="B172" s="248"/>
      <c r="C172" s="94"/>
      <c r="D172" s="94"/>
      <c r="E172" s="94"/>
      <c r="F172" s="249"/>
      <c r="G172" s="248"/>
      <c r="H172" s="94"/>
      <c r="I172" s="249"/>
      <c r="J172" s="94"/>
      <c r="K172" s="250"/>
      <c r="L172" s="250"/>
      <c r="M172" s="250"/>
      <c r="N172" s="250"/>
      <c r="O172" s="250"/>
      <c r="P172" s="250"/>
      <c r="Q172" s="249"/>
      <c r="R172" s="94"/>
      <c r="S172" s="94"/>
      <c r="T172" s="251"/>
      <c r="U172" s="94"/>
      <c r="V172" s="94"/>
      <c r="W172" s="94"/>
      <c r="X172" s="94"/>
      <c r="Y172" s="94"/>
      <c r="Z172" s="94"/>
      <c r="AA172" s="94"/>
    </row>
    <row r="173" spans="1:27" ht="15.75" customHeight="1">
      <c r="A173" s="94"/>
      <c r="B173" s="248"/>
      <c r="C173" s="94"/>
      <c r="D173" s="94"/>
      <c r="E173" s="94"/>
      <c r="F173" s="249"/>
      <c r="G173" s="248"/>
      <c r="H173" s="94"/>
      <c r="I173" s="249"/>
      <c r="J173" s="94"/>
      <c r="K173" s="250"/>
      <c r="L173" s="250"/>
      <c r="M173" s="250"/>
      <c r="N173" s="250"/>
      <c r="O173" s="250"/>
      <c r="P173" s="250"/>
      <c r="Q173" s="249"/>
      <c r="R173" s="94"/>
      <c r="S173" s="94"/>
      <c r="T173" s="251"/>
      <c r="U173" s="94"/>
      <c r="V173" s="94"/>
      <c r="W173" s="94"/>
      <c r="X173" s="94"/>
      <c r="Y173" s="94"/>
      <c r="Z173" s="94"/>
      <c r="AA173" s="94"/>
    </row>
    <row r="174" spans="1:27" ht="15.75" customHeight="1">
      <c r="A174" s="94"/>
      <c r="B174" s="248"/>
      <c r="C174" s="94"/>
      <c r="D174" s="94"/>
      <c r="E174" s="94"/>
      <c r="F174" s="249"/>
      <c r="G174" s="248"/>
      <c r="H174" s="94"/>
      <c r="I174" s="249"/>
      <c r="J174" s="94"/>
      <c r="K174" s="250"/>
      <c r="L174" s="250"/>
      <c r="M174" s="250"/>
      <c r="N174" s="250"/>
      <c r="O174" s="250"/>
      <c r="P174" s="250"/>
      <c r="Q174" s="249"/>
      <c r="R174" s="94"/>
      <c r="S174" s="94"/>
      <c r="T174" s="251"/>
      <c r="U174" s="94"/>
      <c r="V174" s="94"/>
      <c r="W174" s="94"/>
      <c r="X174" s="94"/>
      <c r="Y174" s="94"/>
      <c r="Z174" s="94"/>
      <c r="AA174" s="94"/>
    </row>
    <row r="175" spans="1:27" ht="15.75" customHeight="1">
      <c r="A175" s="94"/>
      <c r="B175" s="248"/>
      <c r="C175" s="94"/>
      <c r="D175" s="94"/>
      <c r="E175" s="94"/>
      <c r="F175" s="249"/>
      <c r="G175" s="248"/>
      <c r="H175" s="94"/>
      <c r="I175" s="249"/>
      <c r="J175" s="94"/>
      <c r="K175" s="250"/>
      <c r="L175" s="250"/>
      <c r="M175" s="250"/>
      <c r="N175" s="250"/>
      <c r="O175" s="250"/>
      <c r="P175" s="250"/>
      <c r="Q175" s="249"/>
      <c r="R175" s="94"/>
      <c r="S175" s="94"/>
      <c r="T175" s="251"/>
      <c r="U175" s="94"/>
      <c r="V175" s="94"/>
      <c r="W175" s="94"/>
      <c r="X175" s="94"/>
      <c r="Y175" s="94"/>
      <c r="Z175" s="94"/>
      <c r="AA175" s="94"/>
    </row>
    <row r="176" spans="1:27" ht="15.75" customHeight="1">
      <c r="A176" s="94"/>
      <c r="B176" s="248"/>
      <c r="C176" s="94"/>
      <c r="D176" s="94"/>
      <c r="E176" s="94"/>
      <c r="F176" s="249"/>
      <c r="G176" s="248"/>
      <c r="H176" s="94"/>
      <c r="I176" s="249"/>
      <c r="J176" s="94"/>
      <c r="K176" s="250"/>
      <c r="L176" s="250"/>
      <c r="M176" s="250"/>
      <c r="N176" s="250"/>
      <c r="O176" s="250"/>
      <c r="P176" s="250"/>
      <c r="Q176" s="249"/>
      <c r="R176" s="94"/>
      <c r="S176" s="94"/>
      <c r="T176" s="251"/>
      <c r="U176" s="94"/>
      <c r="V176" s="94"/>
      <c r="W176" s="94"/>
      <c r="X176" s="94"/>
      <c r="Y176" s="94"/>
      <c r="Z176" s="94"/>
      <c r="AA176" s="94"/>
    </row>
    <row r="177" spans="1:27" ht="15.75" customHeight="1">
      <c r="A177" s="94"/>
      <c r="B177" s="248"/>
      <c r="C177" s="94"/>
      <c r="D177" s="94"/>
      <c r="E177" s="94"/>
      <c r="F177" s="249"/>
      <c r="G177" s="248"/>
      <c r="H177" s="94"/>
      <c r="I177" s="249"/>
      <c r="J177" s="94"/>
      <c r="K177" s="250"/>
      <c r="L177" s="250"/>
      <c r="M177" s="250"/>
      <c r="N177" s="250"/>
      <c r="O177" s="250"/>
      <c r="P177" s="250"/>
      <c r="Q177" s="249"/>
      <c r="R177" s="94"/>
      <c r="S177" s="94"/>
      <c r="T177" s="251"/>
      <c r="U177" s="94"/>
      <c r="V177" s="94"/>
      <c r="W177" s="94"/>
      <c r="X177" s="94"/>
      <c r="Y177" s="94"/>
      <c r="Z177" s="94"/>
      <c r="AA177" s="94"/>
    </row>
    <row r="178" spans="1:27" ht="15.75" customHeight="1">
      <c r="A178" s="94"/>
      <c r="B178" s="248"/>
      <c r="C178" s="94"/>
      <c r="D178" s="94"/>
      <c r="E178" s="94"/>
      <c r="F178" s="249"/>
      <c r="G178" s="248"/>
      <c r="H178" s="94"/>
      <c r="I178" s="249"/>
      <c r="J178" s="94"/>
      <c r="K178" s="250"/>
      <c r="L178" s="250"/>
      <c r="M178" s="250"/>
      <c r="N178" s="250"/>
      <c r="O178" s="250"/>
      <c r="P178" s="250"/>
      <c r="Q178" s="249"/>
      <c r="R178" s="94"/>
      <c r="S178" s="94"/>
      <c r="T178" s="251"/>
      <c r="U178" s="94"/>
      <c r="V178" s="94"/>
      <c r="W178" s="94"/>
      <c r="X178" s="94"/>
      <c r="Y178" s="94"/>
      <c r="Z178" s="94"/>
      <c r="AA178" s="94"/>
    </row>
    <row r="179" spans="1:27" ht="15.75" customHeight="1">
      <c r="A179" s="94"/>
      <c r="B179" s="248"/>
      <c r="C179" s="94"/>
      <c r="D179" s="94"/>
      <c r="E179" s="94"/>
      <c r="F179" s="249"/>
      <c r="G179" s="248"/>
      <c r="H179" s="94"/>
      <c r="I179" s="249"/>
      <c r="J179" s="94"/>
      <c r="K179" s="250"/>
      <c r="L179" s="250"/>
      <c r="M179" s="250"/>
      <c r="N179" s="250"/>
      <c r="O179" s="250"/>
      <c r="P179" s="250"/>
      <c r="Q179" s="249"/>
      <c r="R179" s="94"/>
      <c r="S179" s="94"/>
      <c r="T179" s="251"/>
      <c r="U179" s="94"/>
      <c r="V179" s="94"/>
      <c r="W179" s="94"/>
      <c r="X179" s="94"/>
      <c r="Y179" s="94"/>
      <c r="Z179" s="94"/>
      <c r="AA179" s="94"/>
    </row>
    <row r="180" spans="1:27" ht="15.75" customHeight="1">
      <c r="A180" s="94"/>
      <c r="B180" s="248"/>
      <c r="C180" s="94"/>
      <c r="D180" s="94"/>
      <c r="E180" s="94"/>
      <c r="F180" s="249"/>
      <c r="G180" s="248"/>
      <c r="H180" s="94"/>
      <c r="I180" s="249"/>
      <c r="J180" s="94"/>
      <c r="K180" s="250"/>
      <c r="L180" s="250"/>
      <c r="M180" s="250"/>
      <c r="N180" s="250"/>
      <c r="O180" s="250"/>
      <c r="P180" s="250"/>
      <c r="Q180" s="249"/>
      <c r="R180" s="94"/>
      <c r="S180" s="94"/>
      <c r="T180" s="251"/>
      <c r="U180" s="94"/>
      <c r="V180" s="94"/>
      <c r="W180" s="94"/>
      <c r="X180" s="94"/>
      <c r="Y180" s="94"/>
      <c r="Z180" s="94"/>
      <c r="AA180" s="94"/>
    </row>
    <row r="181" spans="1:27" ht="15.75" customHeight="1">
      <c r="A181" s="94"/>
      <c r="B181" s="248"/>
      <c r="C181" s="94"/>
      <c r="D181" s="94"/>
      <c r="E181" s="94"/>
      <c r="F181" s="249"/>
      <c r="G181" s="248"/>
      <c r="H181" s="94"/>
      <c r="I181" s="249"/>
      <c r="J181" s="94"/>
      <c r="K181" s="250"/>
      <c r="L181" s="250"/>
      <c r="M181" s="250"/>
      <c r="N181" s="250"/>
      <c r="O181" s="250"/>
      <c r="P181" s="250"/>
      <c r="Q181" s="249"/>
      <c r="R181" s="94"/>
      <c r="S181" s="94"/>
      <c r="T181" s="251"/>
      <c r="U181" s="94"/>
      <c r="V181" s="94"/>
      <c r="W181" s="94"/>
      <c r="X181" s="94"/>
      <c r="Y181" s="94"/>
      <c r="Z181" s="94"/>
      <c r="AA181" s="94"/>
    </row>
    <row r="182" spans="1:27" ht="15.75" customHeight="1">
      <c r="A182" s="94"/>
      <c r="B182" s="248"/>
      <c r="C182" s="94"/>
      <c r="D182" s="94"/>
      <c r="E182" s="94"/>
      <c r="F182" s="249"/>
      <c r="G182" s="248"/>
      <c r="H182" s="94"/>
      <c r="I182" s="249"/>
      <c r="J182" s="94"/>
      <c r="K182" s="250"/>
      <c r="L182" s="250"/>
      <c r="M182" s="250"/>
      <c r="N182" s="250"/>
      <c r="O182" s="250"/>
      <c r="P182" s="250"/>
      <c r="Q182" s="249"/>
      <c r="R182" s="94"/>
      <c r="S182" s="94"/>
      <c r="T182" s="251"/>
      <c r="U182" s="94"/>
      <c r="V182" s="94"/>
      <c r="W182" s="94"/>
      <c r="X182" s="94"/>
      <c r="Y182" s="94"/>
      <c r="Z182" s="94"/>
      <c r="AA182" s="94"/>
    </row>
    <row r="183" spans="1:27" ht="15.75" customHeight="1">
      <c r="A183" s="94"/>
      <c r="B183" s="248"/>
      <c r="C183" s="94"/>
      <c r="D183" s="94"/>
      <c r="E183" s="94"/>
      <c r="F183" s="249"/>
      <c r="G183" s="248"/>
      <c r="H183" s="94"/>
      <c r="I183" s="249"/>
      <c r="J183" s="94"/>
      <c r="K183" s="250"/>
      <c r="L183" s="250"/>
      <c r="M183" s="250"/>
      <c r="N183" s="250"/>
      <c r="O183" s="250"/>
      <c r="P183" s="250"/>
      <c r="Q183" s="249"/>
      <c r="R183" s="94"/>
      <c r="S183" s="94"/>
      <c r="T183" s="251"/>
      <c r="U183" s="94"/>
      <c r="V183" s="94"/>
      <c r="W183" s="94"/>
      <c r="X183" s="94"/>
      <c r="Y183" s="94"/>
      <c r="Z183" s="94"/>
      <c r="AA183" s="94"/>
    </row>
    <row r="184" spans="1:27" ht="15.75" customHeight="1">
      <c r="A184" s="94"/>
      <c r="B184" s="248"/>
      <c r="C184" s="94"/>
      <c r="D184" s="94"/>
      <c r="E184" s="94"/>
      <c r="F184" s="249"/>
      <c r="G184" s="248"/>
      <c r="H184" s="94"/>
      <c r="I184" s="249"/>
      <c r="J184" s="94"/>
      <c r="K184" s="250"/>
      <c r="L184" s="250"/>
      <c r="M184" s="250"/>
      <c r="N184" s="250"/>
      <c r="O184" s="250"/>
      <c r="P184" s="250"/>
      <c r="Q184" s="249"/>
      <c r="R184" s="94"/>
      <c r="S184" s="94"/>
      <c r="T184" s="251"/>
      <c r="U184" s="94"/>
      <c r="V184" s="94"/>
      <c r="W184" s="94"/>
      <c r="X184" s="94"/>
      <c r="Y184" s="94"/>
      <c r="Z184" s="94"/>
      <c r="AA184" s="94"/>
    </row>
    <row r="185" spans="1:27" ht="15.75" customHeight="1">
      <c r="A185" s="94"/>
      <c r="B185" s="248"/>
      <c r="C185" s="94"/>
      <c r="D185" s="94"/>
      <c r="E185" s="94"/>
      <c r="F185" s="249"/>
      <c r="G185" s="248"/>
      <c r="H185" s="94"/>
      <c r="I185" s="249"/>
      <c r="J185" s="94"/>
      <c r="K185" s="250"/>
      <c r="L185" s="250"/>
      <c r="M185" s="250"/>
      <c r="N185" s="250"/>
      <c r="O185" s="250"/>
      <c r="P185" s="250"/>
      <c r="Q185" s="249"/>
      <c r="R185" s="94"/>
      <c r="S185" s="94"/>
      <c r="T185" s="251"/>
      <c r="U185" s="94"/>
      <c r="V185" s="94"/>
      <c r="W185" s="94"/>
      <c r="X185" s="94"/>
      <c r="Y185" s="94"/>
      <c r="Z185" s="94"/>
      <c r="AA185" s="94"/>
    </row>
    <row r="186" spans="1:27" ht="15.75" customHeight="1">
      <c r="A186" s="94"/>
      <c r="B186" s="248"/>
      <c r="C186" s="94"/>
      <c r="D186" s="94"/>
      <c r="E186" s="94"/>
      <c r="F186" s="249"/>
      <c r="G186" s="248"/>
      <c r="H186" s="94"/>
      <c r="I186" s="249"/>
      <c r="J186" s="94"/>
      <c r="K186" s="250"/>
      <c r="L186" s="250"/>
      <c r="M186" s="250"/>
      <c r="N186" s="250"/>
      <c r="O186" s="250"/>
      <c r="P186" s="250"/>
      <c r="Q186" s="249"/>
      <c r="R186" s="94"/>
      <c r="S186" s="94"/>
      <c r="T186" s="251"/>
      <c r="U186" s="94"/>
      <c r="V186" s="94"/>
      <c r="W186" s="94"/>
      <c r="X186" s="94"/>
      <c r="Y186" s="94"/>
      <c r="Z186" s="94"/>
      <c r="AA186" s="94"/>
    </row>
    <row r="187" spans="1:27" ht="15.75" customHeight="1">
      <c r="A187" s="94"/>
      <c r="B187" s="248"/>
      <c r="C187" s="94"/>
      <c r="D187" s="94"/>
      <c r="E187" s="94"/>
      <c r="F187" s="249"/>
      <c r="G187" s="248"/>
      <c r="H187" s="94"/>
      <c r="I187" s="249"/>
      <c r="J187" s="94"/>
      <c r="K187" s="250"/>
      <c r="L187" s="250"/>
      <c r="M187" s="250"/>
      <c r="N187" s="250"/>
      <c r="O187" s="250"/>
      <c r="P187" s="250"/>
      <c r="Q187" s="249"/>
      <c r="R187" s="94"/>
      <c r="S187" s="94"/>
      <c r="T187" s="251"/>
      <c r="U187" s="94"/>
      <c r="V187" s="94"/>
      <c r="W187" s="94"/>
      <c r="X187" s="94"/>
      <c r="Y187" s="94"/>
      <c r="Z187" s="94"/>
      <c r="AA187" s="94"/>
    </row>
    <row r="188" spans="1:27" ht="15.75" customHeight="1">
      <c r="A188" s="94"/>
      <c r="B188" s="248"/>
      <c r="C188" s="94"/>
      <c r="D188" s="94"/>
      <c r="E188" s="94"/>
      <c r="F188" s="249"/>
      <c r="G188" s="248"/>
      <c r="H188" s="94"/>
      <c r="I188" s="249"/>
      <c r="J188" s="94"/>
      <c r="K188" s="250"/>
      <c r="L188" s="250"/>
      <c r="M188" s="250"/>
      <c r="N188" s="250"/>
      <c r="O188" s="250"/>
      <c r="P188" s="250"/>
      <c r="Q188" s="249"/>
      <c r="R188" s="94"/>
      <c r="S188" s="94"/>
      <c r="T188" s="251"/>
      <c r="U188" s="94"/>
      <c r="V188" s="94"/>
      <c r="W188" s="94"/>
      <c r="X188" s="94"/>
      <c r="Y188" s="94"/>
      <c r="Z188" s="94"/>
      <c r="AA188" s="94"/>
    </row>
    <row r="189" spans="1:27" ht="15.75" customHeight="1">
      <c r="A189" s="94"/>
      <c r="B189" s="248"/>
      <c r="C189" s="94"/>
      <c r="D189" s="94"/>
      <c r="E189" s="94"/>
      <c r="F189" s="249"/>
      <c r="G189" s="248"/>
      <c r="H189" s="94"/>
      <c r="I189" s="249"/>
      <c r="J189" s="94"/>
      <c r="K189" s="250"/>
      <c r="L189" s="250"/>
      <c r="M189" s="250"/>
      <c r="N189" s="250"/>
      <c r="O189" s="250"/>
      <c r="P189" s="250"/>
      <c r="Q189" s="249"/>
      <c r="R189" s="94"/>
      <c r="S189" s="94"/>
      <c r="T189" s="251"/>
      <c r="U189" s="94"/>
      <c r="V189" s="94"/>
      <c r="W189" s="94"/>
      <c r="X189" s="94"/>
      <c r="Y189" s="94"/>
      <c r="Z189" s="94"/>
      <c r="AA189" s="94"/>
    </row>
    <row r="190" spans="1:27" ht="15.75" customHeight="1">
      <c r="A190" s="94"/>
      <c r="B190" s="248"/>
      <c r="C190" s="94"/>
      <c r="D190" s="94"/>
      <c r="E190" s="94"/>
      <c r="F190" s="249"/>
      <c r="G190" s="248"/>
      <c r="H190" s="94"/>
      <c r="I190" s="249"/>
      <c r="J190" s="94"/>
      <c r="K190" s="250"/>
      <c r="L190" s="250"/>
      <c r="M190" s="250"/>
      <c r="N190" s="250"/>
      <c r="O190" s="250"/>
      <c r="P190" s="250"/>
      <c r="Q190" s="249"/>
      <c r="R190" s="94"/>
      <c r="S190" s="94"/>
      <c r="T190" s="251"/>
      <c r="U190" s="94"/>
      <c r="V190" s="94"/>
      <c r="W190" s="94"/>
      <c r="X190" s="94"/>
      <c r="Y190" s="94"/>
      <c r="Z190" s="94"/>
      <c r="AA190" s="94"/>
    </row>
    <row r="191" spans="1:27" ht="15.75" customHeight="1">
      <c r="A191" s="94"/>
      <c r="B191" s="248"/>
      <c r="C191" s="94"/>
      <c r="D191" s="94"/>
      <c r="E191" s="94"/>
      <c r="F191" s="249"/>
      <c r="G191" s="248"/>
      <c r="H191" s="94"/>
      <c r="I191" s="249"/>
      <c r="J191" s="94"/>
      <c r="K191" s="250"/>
      <c r="L191" s="250"/>
      <c r="M191" s="250"/>
      <c r="N191" s="250"/>
      <c r="O191" s="250"/>
      <c r="P191" s="250"/>
      <c r="Q191" s="249"/>
      <c r="R191" s="94"/>
      <c r="S191" s="94"/>
      <c r="T191" s="251"/>
      <c r="U191" s="94"/>
      <c r="V191" s="94"/>
      <c r="W191" s="94"/>
      <c r="X191" s="94"/>
      <c r="Y191" s="94"/>
      <c r="Z191" s="94"/>
      <c r="AA191" s="94"/>
    </row>
    <row r="192" spans="1:27" ht="15.75" customHeight="1">
      <c r="A192" s="94"/>
      <c r="B192" s="248"/>
      <c r="C192" s="94"/>
      <c r="D192" s="94"/>
      <c r="E192" s="94"/>
      <c r="F192" s="249"/>
      <c r="G192" s="248"/>
      <c r="H192" s="94"/>
      <c r="I192" s="249"/>
      <c r="J192" s="94"/>
      <c r="K192" s="250"/>
      <c r="L192" s="250"/>
      <c r="M192" s="250"/>
      <c r="N192" s="250"/>
      <c r="O192" s="250"/>
      <c r="P192" s="250"/>
      <c r="Q192" s="249"/>
      <c r="R192" s="94"/>
      <c r="S192" s="94"/>
      <c r="T192" s="251"/>
      <c r="U192" s="94"/>
      <c r="V192" s="94"/>
      <c r="W192" s="94"/>
      <c r="X192" s="94"/>
      <c r="Y192" s="94"/>
      <c r="Z192" s="94"/>
      <c r="AA192" s="94"/>
    </row>
    <row r="193" spans="1:27" ht="15.75" customHeight="1">
      <c r="A193" s="94"/>
      <c r="B193" s="248"/>
      <c r="C193" s="94"/>
      <c r="D193" s="94"/>
      <c r="E193" s="94"/>
      <c r="F193" s="249"/>
      <c r="G193" s="248"/>
      <c r="H193" s="94"/>
      <c r="I193" s="249"/>
      <c r="J193" s="94"/>
      <c r="K193" s="250"/>
      <c r="L193" s="250"/>
      <c r="M193" s="250"/>
      <c r="N193" s="250"/>
      <c r="O193" s="250"/>
      <c r="P193" s="250"/>
      <c r="Q193" s="249"/>
      <c r="R193" s="94"/>
      <c r="S193" s="94"/>
      <c r="T193" s="251"/>
      <c r="U193" s="94"/>
      <c r="V193" s="94"/>
      <c r="W193" s="94"/>
      <c r="X193" s="94"/>
      <c r="Y193" s="94"/>
      <c r="Z193" s="94"/>
      <c r="AA193" s="94"/>
    </row>
    <row r="194" spans="1:27" ht="15.75" customHeight="1">
      <c r="A194" s="94"/>
      <c r="B194" s="248"/>
      <c r="C194" s="94"/>
      <c r="D194" s="94"/>
      <c r="E194" s="94"/>
      <c r="F194" s="249"/>
      <c r="G194" s="248"/>
      <c r="H194" s="94"/>
      <c r="I194" s="249"/>
      <c r="J194" s="94"/>
      <c r="K194" s="250"/>
      <c r="L194" s="250"/>
      <c r="M194" s="250"/>
      <c r="N194" s="250"/>
      <c r="O194" s="250"/>
      <c r="P194" s="250"/>
      <c r="Q194" s="249"/>
      <c r="R194" s="94"/>
      <c r="S194" s="94"/>
      <c r="T194" s="251"/>
      <c r="U194" s="94"/>
      <c r="V194" s="94"/>
      <c r="W194" s="94"/>
      <c r="X194" s="94"/>
      <c r="Y194" s="94"/>
      <c r="Z194" s="94"/>
      <c r="AA194" s="94"/>
    </row>
    <row r="195" spans="1:27" ht="15.75" customHeight="1">
      <c r="A195" s="94"/>
      <c r="B195" s="248"/>
      <c r="C195" s="94"/>
      <c r="D195" s="94"/>
      <c r="E195" s="94"/>
      <c r="F195" s="249"/>
      <c r="G195" s="248"/>
      <c r="H195" s="94"/>
      <c r="I195" s="249"/>
      <c r="J195" s="94"/>
      <c r="K195" s="250"/>
      <c r="L195" s="250"/>
      <c r="M195" s="250"/>
      <c r="N195" s="250"/>
      <c r="O195" s="250"/>
      <c r="P195" s="250"/>
      <c r="Q195" s="249"/>
      <c r="R195" s="94"/>
      <c r="S195" s="94"/>
      <c r="T195" s="251"/>
      <c r="U195" s="94"/>
      <c r="V195" s="94"/>
      <c r="W195" s="94"/>
      <c r="X195" s="94"/>
      <c r="Y195" s="94"/>
      <c r="Z195" s="94"/>
      <c r="AA195" s="94"/>
    </row>
    <row r="196" spans="1:27" ht="15.75" customHeight="1">
      <c r="A196" s="94"/>
      <c r="B196" s="248"/>
      <c r="C196" s="94"/>
      <c r="D196" s="94"/>
      <c r="E196" s="94"/>
      <c r="F196" s="249"/>
      <c r="G196" s="248"/>
      <c r="H196" s="94"/>
      <c r="I196" s="249"/>
      <c r="J196" s="94"/>
      <c r="K196" s="250"/>
      <c r="L196" s="250"/>
      <c r="M196" s="250"/>
      <c r="N196" s="250"/>
      <c r="O196" s="250"/>
      <c r="P196" s="250"/>
      <c r="Q196" s="249"/>
      <c r="R196" s="94"/>
      <c r="S196" s="94"/>
      <c r="T196" s="251"/>
      <c r="U196" s="94"/>
      <c r="V196" s="94"/>
      <c r="W196" s="94"/>
      <c r="X196" s="94"/>
      <c r="Y196" s="94"/>
      <c r="Z196" s="94"/>
      <c r="AA196" s="94"/>
    </row>
    <row r="197" spans="1:27" ht="15.75" customHeight="1">
      <c r="A197" s="94"/>
      <c r="B197" s="248"/>
      <c r="C197" s="94"/>
      <c r="D197" s="94"/>
      <c r="E197" s="94"/>
      <c r="F197" s="249"/>
      <c r="G197" s="248"/>
      <c r="H197" s="94"/>
      <c r="I197" s="249"/>
      <c r="J197" s="94"/>
      <c r="K197" s="250"/>
      <c r="L197" s="250"/>
      <c r="M197" s="250"/>
      <c r="N197" s="250"/>
      <c r="O197" s="250"/>
      <c r="P197" s="250"/>
      <c r="Q197" s="249"/>
      <c r="R197" s="94"/>
      <c r="S197" s="94"/>
      <c r="T197" s="251"/>
      <c r="U197" s="94"/>
      <c r="V197" s="94"/>
      <c r="W197" s="94"/>
      <c r="X197" s="94"/>
      <c r="Y197" s="94"/>
      <c r="Z197" s="94"/>
      <c r="AA197" s="94"/>
    </row>
    <row r="198" spans="1:27" ht="15.75" customHeight="1">
      <c r="A198" s="94"/>
      <c r="B198" s="248"/>
      <c r="C198" s="94"/>
      <c r="D198" s="94"/>
      <c r="E198" s="94"/>
      <c r="F198" s="249"/>
      <c r="G198" s="248"/>
      <c r="H198" s="94"/>
      <c r="I198" s="249"/>
      <c r="J198" s="94"/>
      <c r="K198" s="250"/>
      <c r="L198" s="250"/>
      <c r="M198" s="250"/>
      <c r="N198" s="250"/>
      <c r="O198" s="250"/>
      <c r="P198" s="250"/>
      <c r="Q198" s="249"/>
      <c r="R198" s="94"/>
      <c r="S198" s="94"/>
      <c r="T198" s="251"/>
      <c r="U198" s="94"/>
      <c r="V198" s="94"/>
      <c r="W198" s="94"/>
      <c r="X198" s="94"/>
      <c r="Y198" s="94"/>
      <c r="Z198" s="94"/>
      <c r="AA198" s="94"/>
    </row>
    <row r="199" spans="1:27" ht="15.75" customHeight="1">
      <c r="A199" s="94"/>
      <c r="B199" s="248"/>
      <c r="C199" s="94"/>
      <c r="D199" s="94"/>
      <c r="E199" s="94"/>
      <c r="F199" s="249"/>
      <c r="G199" s="248"/>
      <c r="H199" s="94"/>
      <c r="I199" s="249"/>
      <c r="J199" s="94"/>
      <c r="K199" s="250"/>
      <c r="L199" s="250"/>
      <c r="M199" s="250"/>
      <c r="N199" s="250"/>
      <c r="O199" s="250"/>
      <c r="P199" s="250"/>
      <c r="Q199" s="249"/>
      <c r="R199" s="94"/>
      <c r="S199" s="94"/>
      <c r="T199" s="251"/>
      <c r="U199" s="94"/>
      <c r="V199" s="94"/>
      <c r="W199" s="94"/>
      <c r="X199" s="94"/>
      <c r="Y199" s="94"/>
      <c r="Z199" s="94"/>
      <c r="AA199" s="94"/>
    </row>
    <row r="200" spans="1:27" ht="15.75" customHeight="1">
      <c r="A200" s="94"/>
      <c r="B200" s="248"/>
      <c r="C200" s="94"/>
      <c r="D200" s="94"/>
      <c r="E200" s="94"/>
      <c r="F200" s="249"/>
      <c r="G200" s="248"/>
      <c r="H200" s="94"/>
      <c r="I200" s="249"/>
      <c r="J200" s="94"/>
      <c r="K200" s="250"/>
      <c r="L200" s="250"/>
      <c r="M200" s="250"/>
      <c r="N200" s="250"/>
      <c r="O200" s="250"/>
      <c r="P200" s="250"/>
      <c r="Q200" s="249"/>
      <c r="R200" s="94"/>
      <c r="S200" s="94"/>
      <c r="T200" s="251"/>
      <c r="U200" s="94"/>
      <c r="V200" s="94"/>
      <c r="W200" s="94"/>
      <c r="X200" s="94"/>
      <c r="Y200" s="94"/>
      <c r="Z200" s="94"/>
      <c r="AA200" s="94"/>
    </row>
    <row r="201" spans="1:27" ht="15.75" customHeight="1">
      <c r="A201" s="94"/>
      <c r="B201" s="248"/>
      <c r="C201" s="94"/>
      <c r="D201" s="94"/>
      <c r="E201" s="94"/>
      <c r="F201" s="249"/>
      <c r="G201" s="248"/>
      <c r="H201" s="94"/>
      <c r="I201" s="249"/>
      <c r="J201" s="94"/>
      <c r="K201" s="250"/>
      <c r="L201" s="250"/>
      <c r="M201" s="250"/>
      <c r="N201" s="250"/>
      <c r="O201" s="250"/>
      <c r="P201" s="250"/>
      <c r="Q201" s="249"/>
      <c r="R201" s="94"/>
      <c r="S201" s="94"/>
      <c r="T201" s="251"/>
      <c r="U201" s="94"/>
      <c r="V201" s="94"/>
      <c r="W201" s="94"/>
      <c r="X201" s="94"/>
      <c r="Y201" s="94"/>
      <c r="Z201" s="94"/>
      <c r="AA201" s="94"/>
    </row>
    <row r="202" spans="1:27" ht="15.75" customHeight="1">
      <c r="A202" s="94"/>
      <c r="B202" s="248"/>
      <c r="C202" s="94"/>
      <c r="D202" s="94"/>
      <c r="E202" s="94"/>
      <c r="F202" s="249"/>
      <c r="G202" s="248"/>
      <c r="H202" s="94"/>
      <c r="I202" s="249"/>
      <c r="J202" s="94"/>
      <c r="K202" s="250"/>
      <c r="L202" s="250"/>
      <c r="M202" s="250"/>
      <c r="N202" s="250"/>
      <c r="O202" s="250"/>
      <c r="P202" s="250"/>
      <c r="Q202" s="249"/>
      <c r="R202" s="94"/>
      <c r="S202" s="94"/>
      <c r="T202" s="251"/>
      <c r="U202" s="94"/>
      <c r="V202" s="94"/>
      <c r="W202" s="94"/>
      <c r="X202" s="94"/>
      <c r="Y202" s="94"/>
      <c r="Z202" s="94"/>
      <c r="AA202" s="94"/>
    </row>
    <row r="203" spans="1:27" ht="15.75" customHeight="1">
      <c r="A203" s="94"/>
      <c r="B203" s="248"/>
      <c r="C203" s="94"/>
      <c r="D203" s="94"/>
      <c r="E203" s="94"/>
      <c r="F203" s="249"/>
      <c r="G203" s="248"/>
      <c r="H203" s="94"/>
      <c r="I203" s="249"/>
      <c r="J203" s="94"/>
      <c r="K203" s="250"/>
      <c r="L203" s="250"/>
      <c r="M203" s="250"/>
      <c r="N203" s="250"/>
      <c r="O203" s="250"/>
      <c r="P203" s="250"/>
      <c r="Q203" s="249"/>
      <c r="R203" s="94"/>
      <c r="S203" s="94"/>
      <c r="T203" s="251"/>
      <c r="U203" s="94"/>
      <c r="V203" s="94"/>
      <c r="W203" s="94"/>
      <c r="X203" s="94"/>
      <c r="Y203" s="94"/>
      <c r="Z203" s="94"/>
      <c r="AA203" s="94"/>
    </row>
    <row r="204" spans="1:27" ht="15.75" customHeight="1">
      <c r="A204" s="94"/>
      <c r="B204" s="248"/>
      <c r="C204" s="94"/>
      <c r="D204" s="94"/>
      <c r="E204" s="94"/>
      <c r="F204" s="249"/>
      <c r="G204" s="248"/>
      <c r="H204" s="94"/>
      <c r="I204" s="249"/>
      <c r="J204" s="94"/>
      <c r="K204" s="250"/>
      <c r="L204" s="250"/>
      <c r="M204" s="250"/>
      <c r="N204" s="250"/>
      <c r="O204" s="250"/>
      <c r="P204" s="250"/>
      <c r="Q204" s="249"/>
      <c r="R204" s="94"/>
      <c r="S204" s="94"/>
      <c r="T204" s="251"/>
      <c r="U204" s="94"/>
      <c r="V204" s="94"/>
      <c r="W204" s="94"/>
      <c r="X204" s="94"/>
      <c r="Y204" s="94"/>
      <c r="Z204" s="94"/>
      <c r="AA204" s="94"/>
    </row>
    <row r="205" spans="1:27" ht="15.75" customHeight="1">
      <c r="A205" s="94"/>
      <c r="B205" s="248"/>
      <c r="C205" s="94"/>
      <c r="D205" s="94"/>
      <c r="E205" s="94"/>
      <c r="F205" s="249"/>
      <c r="G205" s="248"/>
      <c r="H205" s="94"/>
      <c r="I205" s="249"/>
      <c r="J205" s="94"/>
      <c r="K205" s="250"/>
      <c r="L205" s="250"/>
      <c r="M205" s="250"/>
      <c r="N205" s="250"/>
      <c r="O205" s="250"/>
      <c r="P205" s="250"/>
      <c r="Q205" s="249"/>
      <c r="R205" s="94"/>
      <c r="S205" s="94"/>
      <c r="T205" s="251"/>
      <c r="U205" s="94"/>
      <c r="V205" s="94"/>
      <c r="W205" s="94"/>
      <c r="X205" s="94"/>
      <c r="Y205" s="94"/>
      <c r="Z205" s="94"/>
      <c r="AA205" s="94"/>
    </row>
    <row r="206" spans="1:27" ht="15.75" customHeight="1">
      <c r="A206" s="94"/>
      <c r="B206" s="248"/>
      <c r="C206" s="94"/>
      <c r="D206" s="94"/>
      <c r="E206" s="94"/>
      <c r="F206" s="249"/>
      <c r="G206" s="248"/>
      <c r="H206" s="94"/>
      <c r="I206" s="249"/>
      <c r="J206" s="94"/>
      <c r="K206" s="250"/>
      <c r="L206" s="250"/>
      <c r="M206" s="250"/>
      <c r="N206" s="250"/>
      <c r="O206" s="250"/>
      <c r="P206" s="250"/>
      <c r="Q206" s="249"/>
      <c r="R206" s="94"/>
      <c r="S206" s="94"/>
      <c r="T206" s="251"/>
      <c r="U206" s="94"/>
      <c r="V206" s="94"/>
      <c r="W206" s="94"/>
      <c r="X206" s="94"/>
      <c r="Y206" s="94"/>
      <c r="Z206" s="94"/>
      <c r="AA206" s="94"/>
    </row>
    <row r="207" spans="1:27" ht="15.75" customHeight="1">
      <c r="A207" s="94"/>
      <c r="B207" s="248"/>
      <c r="C207" s="94"/>
      <c r="D207" s="94"/>
      <c r="E207" s="94"/>
      <c r="F207" s="249"/>
      <c r="G207" s="248"/>
      <c r="H207" s="94"/>
      <c r="I207" s="249"/>
      <c r="J207" s="94"/>
      <c r="K207" s="250"/>
      <c r="L207" s="250"/>
      <c r="M207" s="250"/>
      <c r="N207" s="250"/>
      <c r="O207" s="250"/>
      <c r="P207" s="250"/>
      <c r="Q207" s="249"/>
      <c r="R207" s="94"/>
      <c r="S207" s="94"/>
      <c r="T207" s="251"/>
      <c r="U207" s="94"/>
      <c r="V207" s="94"/>
      <c r="W207" s="94"/>
      <c r="X207" s="94"/>
      <c r="Y207" s="94"/>
      <c r="Z207" s="94"/>
      <c r="AA207" s="94"/>
    </row>
    <row r="208" spans="1:27" ht="15.75" customHeight="1">
      <c r="A208" s="94"/>
      <c r="B208" s="248"/>
      <c r="C208" s="94"/>
      <c r="D208" s="94"/>
      <c r="E208" s="94"/>
      <c r="F208" s="249"/>
      <c r="G208" s="248"/>
      <c r="H208" s="94"/>
      <c r="I208" s="249"/>
      <c r="J208" s="94"/>
      <c r="K208" s="250"/>
      <c r="L208" s="250"/>
      <c r="M208" s="250"/>
      <c r="N208" s="250"/>
      <c r="O208" s="250"/>
      <c r="P208" s="250"/>
      <c r="Q208" s="249"/>
      <c r="R208" s="94"/>
      <c r="S208" s="94"/>
      <c r="T208" s="251"/>
      <c r="U208" s="94"/>
      <c r="V208" s="94"/>
      <c r="W208" s="94"/>
      <c r="X208" s="94"/>
      <c r="Y208" s="94"/>
      <c r="Z208" s="94"/>
      <c r="AA208" s="94"/>
    </row>
    <row r="209" spans="1:27" ht="15.75" customHeight="1">
      <c r="A209" s="94"/>
      <c r="B209" s="248"/>
      <c r="C209" s="94"/>
      <c r="D209" s="94"/>
      <c r="E209" s="94"/>
      <c r="F209" s="249"/>
      <c r="G209" s="248"/>
      <c r="H209" s="94"/>
      <c r="I209" s="249"/>
      <c r="J209" s="94"/>
      <c r="K209" s="250"/>
      <c r="L209" s="250"/>
      <c r="M209" s="250"/>
      <c r="N209" s="250"/>
      <c r="O209" s="250"/>
      <c r="P209" s="250"/>
      <c r="Q209" s="249"/>
      <c r="R209" s="94"/>
      <c r="S209" s="94"/>
      <c r="T209" s="251"/>
      <c r="U209" s="94"/>
      <c r="V209" s="94"/>
      <c r="W209" s="94"/>
      <c r="X209" s="94"/>
      <c r="Y209" s="94"/>
      <c r="Z209" s="94"/>
      <c r="AA209" s="94"/>
    </row>
    <row r="210" spans="1:27" ht="15.75" customHeight="1">
      <c r="A210" s="94"/>
      <c r="B210" s="248"/>
      <c r="C210" s="94"/>
      <c r="D210" s="94"/>
      <c r="E210" s="94"/>
      <c r="F210" s="249"/>
      <c r="G210" s="248"/>
      <c r="H210" s="94"/>
      <c r="I210" s="249"/>
      <c r="J210" s="94"/>
      <c r="K210" s="250"/>
      <c r="L210" s="250"/>
      <c r="M210" s="250"/>
      <c r="N210" s="250"/>
      <c r="O210" s="250"/>
      <c r="P210" s="250"/>
      <c r="Q210" s="249"/>
      <c r="R210" s="94"/>
      <c r="S210" s="94"/>
      <c r="T210" s="251"/>
      <c r="U210" s="94"/>
      <c r="V210" s="94"/>
      <c r="W210" s="94"/>
      <c r="X210" s="94"/>
      <c r="Y210" s="94"/>
      <c r="Z210" s="94"/>
      <c r="AA210" s="94"/>
    </row>
    <row r="211" spans="1:27" ht="15.75" customHeight="1">
      <c r="A211" s="94"/>
      <c r="B211" s="248"/>
      <c r="C211" s="94"/>
      <c r="D211" s="94"/>
      <c r="E211" s="94"/>
      <c r="F211" s="249"/>
      <c r="G211" s="248"/>
      <c r="H211" s="94"/>
      <c r="I211" s="249"/>
      <c r="J211" s="94"/>
      <c r="K211" s="250"/>
      <c r="L211" s="250"/>
      <c r="M211" s="250"/>
      <c r="N211" s="250"/>
      <c r="O211" s="250"/>
      <c r="P211" s="250"/>
      <c r="Q211" s="249"/>
      <c r="R211" s="94"/>
      <c r="S211" s="94"/>
      <c r="T211" s="251"/>
      <c r="U211" s="94"/>
      <c r="V211" s="94"/>
      <c r="W211" s="94"/>
      <c r="X211" s="94"/>
      <c r="Y211" s="94"/>
      <c r="Z211" s="94"/>
      <c r="AA211" s="94"/>
    </row>
    <row r="212" spans="1:27" ht="15.75" customHeight="1">
      <c r="A212" s="94"/>
      <c r="B212" s="248"/>
      <c r="C212" s="94"/>
      <c r="D212" s="94"/>
      <c r="E212" s="94"/>
      <c r="F212" s="249"/>
      <c r="G212" s="248"/>
      <c r="H212" s="94"/>
      <c r="I212" s="249"/>
      <c r="J212" s="94"/>
      <c r="K212" s="250"/>
      <c r="L212" s="250"/>
      <c r="M212" s="250"/>
      <c r="N212" s="250"/>
      <c r="O212" s="250"/>
      <c r="P212" s="250"/>
      <c r="Q212" s="249"/>
      <c r="R212" s="94"/>
      <c r="S212" s="94"/>
      <c r="T212" s="251"/>
      <c r="U212" s="94"/>
      <c r="V212" s="94"/>
      <c r="W212" s="94"/>
      <c r="X212" s="94"/>
      <c r="Y212" s="94"/>
      <c r="Z212" s="94"/>
      <c r="AA212" s="94"/>
    </row>
    <row r="213" spans="1:27" ht="15.75" customHeight="1">
      <c r="A213" s="94"/>
      <c r="B213" s="248"/>
      <c r="C213" s="94"/>
      <c r="D213" s="94"/>
      <c r="E213" s="94"/>
      <c r="F213" s="249"/>
      <c r="G213" s="248"/>
      <c r="H213" s="94"/>
      <c r="I213" s="249"/>
      <c r="J213" s="94"/>
      <c r="K213" s="250"/>
      <c r="L213" s="250"/>
      <c r="M213" s="250"/>
      <c r="N213" s="250"/>
      <c r="O213" s="250"/>
      <c r="P213" s="250"/>
      <c r="Q213" s="249"/>
      <c r="R213" s="94"/>
      <c r="S213" s="94"/>
      <c r="T213" s="251"/>
      <c r="U213" s="94"/>
      <c r="V213" s="94"/>
      <c r="W213" s="94"/>
      <c r="X213" s="94"/>
      <c r="Y213" s="94"/>
      <c r="Z213" s="94"/>
      <c r="AA213" s="94"/>
    </row>
    <row r="214" spans="1:27" ht="15.75" customHeight="1">
      <c r="A214" s="94"/>
      <c r="B214" s="248"/>
      <c r="C214" s="94"/>
      <c r="D214" s="94"/>
      <c r="E214" s="94"/>
      <c r="F214" s="249"/>
      <c r="G214" s="248"/>
      <c r="H214" s="94"/>
      <c r="I214" s="249"/>
      <c r="J214" s="94"/>
      <c r="K214" s="250"/>
      <c r="L214" s="250"/>
      <c r="M214" s="250"/>
      <c r="N214" s="250"/>
      <c r="O214" s="250"/>
      <c r="P214" s="250"/>
      <c r="Q214" s="249"/>
      <c r="R214" s="94"/>
      <c r="S214" s="94"/>
      <c r="T214" s="251"/>
      <c r="U214" s="94"/>
      <c r="V214" s="94"/>
      <c r="W214" s="94"/>
      <c r="X214" s="94"/>
      <c r="Y214" s="94"/>
      <c r="Z214" s="94"/>
      <c r="AA214" s="94"/>
    </row>
    <row r="215" spans="1:27" ht="15.75" customHeight="1">
      <c r="A215" s="94"/>
      <c r="B215" s="248"/>
      <c r="C215" s="94"/>
      <c r="D215" s="94"/>
      <c r="E215" s="94"/>
      <c r="F215" s="249"/>
      <c r="G215" s="248"/>
      <c r="H215" s="94"/>
      <c r="I215" s="249"/>
      <c r="J215" s="94"/>
      <c r="K215" s="250"/>
      <c r="L215" s="250"/>
      <c r="M215" s="250"/>
      <c r="N215" s="250"/>
      <c r="O215" s="250"/>
      <c r="P215" s="250"/>
      <c r="Q215" s="249"/>
      <c r="R215" s="94"/>
      <c r="S215" s="94"/>
      <c r="T215" s="251"/>
      <c r="U215" s="94"/>
      <c r="V215" s="94"/>
      <c r="W215" s="94"/>
      <c r="X215" s="94"/>
      <c r="Y215" s="94"/>
      <c r="Z215" s="94"/>
      <c r="AA215" s="94"/>
    </row>
    <row r="216" spans="1:27" ht="15.75" customHeight="1">
      <c r="A216" s="94"/>
      <c r="B216" s="248"/>
      <c r="C216" s="94"/>
      <c r="D216" s="94"/>
      <c r="E216" s="94"/>
      <c r="F216" s="249"/>
      <c r="G216" s="248"/>
      <c r="H216" s="94"/>
      <c r="I216" s="249"/>
      <c r="J216" s="94"/>
      <c r="K216" s="250"/>
      <c r="L216" s="250"/>
      <c r="M216" s="250"/>
      <c r="N216" s="250"/>
      <c r="O216" s="250"/>
      <c r="P216" s="250"/>
      <c r="Q216" s="249"/>
      <c r="R216" s="94"/>
      <c r="S216" s="94"/>
      <c r="T216" s="251"/>
      <c r="U216" s="94"/>
      <c r="V216" s="94"/>
      <c r="W216" s="94"/>
      <c r="X216" s="94"/>
      <c r="Y216" s="94"/>
      <c r="Z216" s="94"/>
      <c r="AA216" s="94"/>
    </row>
    <row r="217" spans="1:27" ht="15.75" customHeight="1">
      <c r="A217" s="94"/>
      <c r="B217" s="248"/>
      <c r="C217" s="94"/>
      <c r="D217" s="94"/>
      <c r="E217" s="94"/>
      <c r="F217" s="249"/>
      <c r="G217" s="248"/>
      <c r="H217" s="94"/>
      <c r="I217" s="249"/>
      <c r="J217" s="94"/>
      <c r="K217" s="250"/>
      <c r="L217" s="250"/>
      <c r="M217" s="250"/>
      <c r="N217" s="250"/>
      <c r="O217" s="250"/>
      <c r="P217" s="250"/>
      <c r="Q217" s="249"/>
      <c r="R217" s="94"/>
      <c r="S217" s="94"/>
      <c r="T217" s="251"/>
      <c r="U217" s="94"/>
      <c r="V217" s="94"/>
      <c r="W217" s="94"/>
      <c r="X217" s="94"/>
      <c r="Y217" s="94"/>
      <c r="Z217" s="94"/>
      <c r="AA217" s="94"/>
    </row>
    <row r="218" spans="1:27" ht="15.75" customHeight="1">
      <c r="A218" s="94"/>
      <c r="B218" s="248"/>
      <c r="C218" s="94"/>
      <c r="D218" s="94"/>
      <c r="E218" s="94"/>
      <c r="F218" s="249"/>
      <c r="G218" s="248"/>
      <c r="H218" s="94"/>
      <c r="I218" s="249"/>
      <c r="J218" s="94"/>
      <c r="K218" s="250"/>
      <c r="L218" s="250"/>
      <c r="M218" s="250"/>
      <c r="N218" s="250"/>
      <c r="O218" s="250"/>
      <c r="P218" s="250"/>
      <c r="Q218" s="249"/>
      <c r="R218" s="94"/>
      <c r="S218" s="94"/>
      <c r="T218" s="251"/>
      <c r="U218" s="94"/>
      <c r="V218" s="94"/>
      <c r="W218" s="94"/>
      <c r="X218" s="94"/>
      <c r="Y218" s="94"/>
      <c r="Z218" s="94"/>
      <c r="AA218" s="94"/>
    </row>
    <row r="219" spans="1:27" ht="15.75" customHeight="1">
      <c r="A219" s="94"/>
      <c r="B219" s="248"/>
      <c r="C219" s="94"/>
      <c r="D219" s="94"/>
      <c r="E219" s="94"/>
      <c r="F219" s="249"/>
      <c r="G219" s="248"/>
      <c r="H219" s="94"/>
      <c r="I219" s="249"/>
      <c r="J219" s="94"/>
      <c r="K219" s="250"/>
      <c r="L219" s="250"/>
      <c r="M219" s="250"/>
      <c r="N219" s="250"/>
      <c r="O219" s="250"/>
      <c r="P219" s="250"/>
      <c r="Q219" s="249"/>
      <c r="R219" s="94"/>
      <c r="S219" s="94"/>
      <c r="T219" s="251"/>
      <c r="U219" s="94"/>
      <c r="V219" s="94"/>
      <c r="W219" s="94"/>
      <c r="X219" s="94"/>
      <c r="Y219" s="94"/>
      <c r="Z219" s="94"/>
      <c r="AA219" s="94"/>
    </row>
    <row r="220" spans="1:27" ht="15.75" customHeight="1">
      <c r="A220" s="94"/>
      <c r="B220" s="248"/>
      <c r="C220" s="94"/>
      <c r="D220" s="94"/>
      <c r="E220" s="94"/>
      <c r="F220" s="249"/>
      <c r="G220" s="248"/>
      <c r="H220" s="94"/>
      <c r="I220" s="249"/>
      <c r="J220" s="94"/>
      <c r="K220" s="250"/>
      <c r="L220" s="250"/>
      <c r="M220" s="250"/>
      <c r="N220" s="250"/>
      <c r="O220" s="250"/>
      <c r="P220" s="250"/>
      <c r="Q220" s="249"/>
      <c r="R220" s="94"/>
      <c r="S220" s="94"/>
      <c r="T220" s="251"/>
      <c r="U220" s="94"/>
      <c r="V220" s="94"/>
      <c r="W220" s="94"/>
      <c r="X220" s="94"/>
      <c r="Y220" s="94"/>
      <c r="Z220" s="94"/>
      <c r="AA220" s="94"/>
    </row>
    <row r="221" spans="1:27" ht="15.75" customHeight="1">
      <c r="A221" s="94"/>
      <c r="B221" s="248"/>
      <c r="C221" s="94"/>
      <c r="D221" s="94"/>
      <c r="E221" s="94"/>
      <c r="F221" s="249"/>
      <c r="G221" s="248"/>
      <c r="H221" s="94"/>
      <c r="I221" s="249"/>
      <c r="J221" s="94"/>
      <c r="K221" s="250"/>
      <c r="L221" s="250"/>
      <c r="M221" s="250"/>
      <c r="N221" s="250"/>
      <c r="O221" s="250"/>
      <c r="P221" s="250"/>
      <c r="Q221" s="249"/>
      <c r="R221" s="94"/>
      <c r="S221" s="94"/>
      <c r="T221" s="251"/>
      <c r="U221" s="94"/>
      <c r="V221" s="94"/>
      <c r="W221" s="94"/>
      <c r="X221" s="94"/>
      <c r="Y221" s="94"/>
      <c r="Z221" s="94"/>
      <c r="AA221" s="94"/>
    </row>
    <row r="222" spans="1:27" ht="15.75" customHeight="1">
      <c r="A222" s="94"/>
      <c r="B222" s="248"/>
      <c r="C222" s="94"/>
      <c r="D222" s="94"/>
      <c r="E222" s="94"/>
      <c r="F222" s="249"/>
      <c r="G222" s="248"/>
      <c r="H222" s="94"/>
      <c r="I222" s="249"/>
      <c r="J222" s="94"/>
      <c r="K222" s="250"/>
      <c r="L222" s="250"/>
      <c r="M222" s="250"/>
      <c r="N222" s="250"/>
      <c r="O222" s="250"/>
      <c r="P222" s="250"/>
      <c r="Q222" s="249"/>
      <c r="R222" s="94"/>
      <c r="S222" s="94"/>
      <c r="T222" s="251"/>
      <c r="U222" s="94"/>
      <c r="V222" s="94"/>
      <c r="W222" s="94"/>
      <c r="X222" s="94"/>
      <c r="Y222" s="94"/>
      <c r="Z222" s="94"/>
      <c r="AA222" s="94"/>
    </row>
    <row r="223" spans="1:27" ht="15.75" customHeight="1">
      <c r="A223" s="94"/>
      <c r="B223" s="248"/>
      <c r="C223" s="94"/>
      <c r="D223" s="94"/>
      <c r="E223" s="94"/>
      <c r="F223" s="249"/>
      <c r="G223" s="248"/>
      <c r="H223" s="94"/>
      <c r="I223" s="249"/>
      <c r="J223" s="94"/>
      <c r="K223" s="250"/>
      <c r="L223" s="250"/>
      <c r="M223" s="250"/>
      <c r="N223" s="250"/>
      <c r="O223" s="250"/>
      <c r="P223" s="250"/>
      <c r="Q223" s="249"/>
      <c r="R223" s="94"/>
      <c r="S223" s="94"/>
      <c r="T223" s="251"/>
      <c r="U223" s="94"/>
      <c r="V223" s="94"/>
      <c r="W223" s="94"/>
      <c r="X223" s="94"/>
      <c r="Y223" s="94"/>
      <c r="Z223" s="94"/>
      <c r="AA223" s="94"/>
    </row>
    <row r="224" spans="1:27" ht="15.75" customHeight="1">
      <c r="A224" s="94"/>
      <c r="B224" s="248"/>
      <c r="C224" s="94"/>
      <c r="D224" s="94"/>
      <c r="E224" s="94"/>
      <c r="F224" s="249"/>
      <c r="G224" s="248"/>
      <c r="H224" s="94"/>
      <c r="I224" s="249"/>
      <c r="J224" s="94"/>
      <c r="K224" s="250"/>
      <c r="L224" s="250"/>
      <c r="M224" s="250"/>
      <c r="N224" s="250"/>
      <c r="O224" s="250"/>
      <c r="P224" s="250"/>
      <c r="Q224" s="249"/>
      <c r="R224" s="94"/>
      <c r="S224" s="94"/>
      <c r="T224" s="251"/>
      <c r="U224" s="94"/>
      <c r="V224" s="94"/>
      <c r="W224" s="94"/>
      <c r="X224" s="94"/>
      <c r="Y224" s="94"/>
      <c r="Z224" s="94"/>
      <c r="AA224" s="94"/>
    </row>
    <row r="225" spans="1:27" ht="15.75" customHeight="1">
      <c r="A225" s="94"/>
      <c r="B225" s="248"/>
      <c r="C225" s="94"/>
      <c r="D225" s="94"/>
      <c r="E225" s="94"/>
      <c r="F225" s="249"/>
      <c r="G225" s="248"/>
      <c r="H225" s="94"/>
      <c r="I225" s="249"/>
      <c r="J225" s="94"/>
      <c r="K225" s="250"/>
      <c r="L225" s="250"/>
      <c r="M225" s="250"/>
      <c r="N225" s="250"/>
      <c r="O225" s="250"/>
      <c r="P225" s="250"/>
      <c r="Q225" s="249"/>
      <c r="R225" s="94"/>
      <c r="S225" s="94"/>
      <c r="T225" s="251"/>
      <c r="U225" s="94"/>
      <c r="V225" s="94"/>
      <c r="W225" s="94"/>
      <c r="X225" s="94"/>
      <c r="Y225" s="94"/>
      <c r="Z225" s="94"/>
      <c r="AA225" s="94"/>
    </row>
    <row r="226" spans="1:27" ht="15.75" customHeight="1">
      <c r="A226" s="94"/>
      <c r="B226" s="248"/>
      <c r="C226" s="94"/>
      <c r="D226" s="94"/>
      <c r="E226" s="94"/>
      <c r="F226" s="249"/>
      <c r="G226" s="248"/>
      <c r="H226" s="94"/>
      <c r="I226" s="249"/>
      <c r="J226" s="94"/>
      <c r="K226" s="250"/>
      <c r="L226" s="250"/>
      <c r="M226" s="250"/>
      <c r="N226" s="250"/>
      <c r="O226" s="250"/>
      <c r="P226" s="250"/>
      <c r="Q226" s="249"/>
      <c r="R226" s="94"/>
      <c r="S226" s="94"/>
      <c r="T226" s="251"/>
      <c r="U226" s="94"/>
      <c r="V226" s="94"/>
      <c r="W226" s="94"/>
      <c r="X226" s="94"/>
      <c r="Y226" s="94"/>
      <c r="Z226" s="94"/>
      <c r="AA226" s="94"/>
    </row>
    <row r="227" spans="1:27" ht="15.75" customHeight="1">
      <c r="A227" s="94"/>
      <c r="B227" s="248"/>
      <c r="C227" s="94"/>
      <c r="D227" s="94"/>
      <c r="E227" s="94"/>
      <c r="F227" s="249"/>
      <c r="G227" s="248"/>
      <c r="H227" s="94"/>
      <c r="I227" s="249"/>
      <c r="J227" s="94"/>
      <c r="K227" s="250"/>
      <c r="L227" s="250"/>
      <c r="M227" s="250"/>
      <c r="N227" s="250"/>
      <c r="O227" s="250"/>
      <c r="P227" s="250"/>
      <c r="Q227" s="249"/>
      <c r="R227" s="94"/>
      <c r="S227" s="94"/>
      <c r="T227" s="251"/>
      <c r="U227" s="94"/>
      <c r="V227" s="94"/>
      <c r="W227" s="94"/>
      <c r="X227" s="94"/>
      <c r="Y227" s="94"/>
      <c r="Z227" s="94"/>
      <c r="AA227" s="94"/>
    </row>
    <row r="228" spans="1:27" ht="15.75" customHeight="1">
      <c r="A228" s="94"/>
      <c r="B228" s="248"/>
      <c r="C228" s="94"/>
      <c r="D228" s="94"/>
      <c r="E228" s="94"/>
      <c r="F228" s="249"/>
      <c r="G228" s="248"/>
      <c r="H228" s="94"/>
      <c r="I228" s="249"/>
      <c r="J228" s="94"/>
      <c r="K228" s="250"/>
      <c r="L228" s="250"/>
      <c r="M228" s="250"/>
      <c r="N228" s="250"/>
      <c r="O228" s="250"/>
      <c r="P228" s="250"/>
      <c r="Q228" s="249"/>
      <c r="R228" s="94"/>
      <c r="S228" s="94"/>
      <c r="T228" s="251"/>
      <c r="U228" s="94"/>
      <c r="V228" s="94"/>
      <c r="W228" s="94"/>
      <c r="X228" s="94"/>
      <c r="Y228" s="94"/>
      <c r="Z228" s="94"/>
      <c r="AA228" s="94"/>
    </row>
    <row r="229" spans="1:27" ht="15.75" customHeight="1">
      <c r="A229" s="94"/>
      <c r="B229" s="248"/>
      <c r="C229" s="94"/>
      <c r="D229" s="94"/>
      <c r="E229" s="94"/>
      <c r="F229" s="249"/>
      <c r="G229" s="248"/>
      <c r="H229" s="94"/>
      <c r="I229" s="249"/>
      <c r="J229" s="94"/>
      <c r="K229" s="250"/>
      <c r="L229" s="250"/>
      <c r="M229" s="250"/>
      <c r="N229" s="250"/>
      <c r="O229" s="250"/>
      <c r="P229" s="250"/>
      <c r="Q229" s="249"/>
      <c r="R229" s="94"/>
      <c r="S229" s="94"/>
      <c r="T229" s="251"/>
      <c r="U229" s="94"/>
      <c r="V229" s="94"/>
      <c r="W229" s="94"/>
      <c r="X229" s="94"/>
      <c r="Y229" s="94"/>
      <c r="Z229" s="94"/>
      <c r="AA229" s="94"/>
    </row>
    <row r="230" spans="1:27" ht="15.75" customHeight="1">
      <c r="A230" s="94"/>
      <c r="B230" s="248"/>
      <c r="C230" s="94"/>
      <c r="D230" s="94"/>
      <c r="E230" s="94"/>
      <c r="F230" s="249"/>
      <c r="G230" s="248"/>
      <c r="H230" s="94"/>
      <c r="I230" s="249"/>
      <c r="J230" s="94"/>
      <c r="K230" s="250"/>
      <c r="L230" s="250"/>
      <c r="M230" s="250"/>
      <c r="N230" s="250"/>
      <c r="O230" s="250"/>
      <c r="P230" s="250"/>
      <c r="Q230" s="249"/>
      <c r="R230" s="94"/>
      <c r="S230" s="94"/>
      <c r="T230" s="251"/>
      <c r="U230" s="94"/>
      <c r="V230" s="94"/>
      <c r="W230" s="94"/>
      <c r="X230" s="94"/>
      <c r="Y230" s="94"/>
      <c r="Z230" s="94"/>
      <c r="AA230" s="94"/>
    </row>
    <row r="231" spans="1:27" ht="15.75" customHeight="1">
      <c r="A231" s="94"/>
      <c r="B231" s="248"/>
      <c r="C231" s="94"/>
      <c r="D231" s="94"/>
      <c r="E231" s="94"/>
      <c r="F231" s="249"/>
      <c r="G231" s="248"/>
      <c r="H231" s="94"/>
      <c r="I231" s="249"/>
      <c r="J231" s="94"/>
      <c r="K231" s="250"/>
      <c r="L231" s="250"/>
      <c r="M231" s="250"/>
      <c r="N231" s="250"/>
      <c r="O231" s="250"/>
      <c r="P231" s="250"/>
      <c r="Q231" s="249"/>
      <c r="R231" s="94"/>
      <c r="S231" s="94"/>
      <c r="T231" s="251"/>
      <c r="U231" s="94"/>
      <c r="V231" s="94"/>
      <c r="W231" s="94"/>
      <c r="X231" s="94"/>
      <c r="Y231" s="94"/>
      <c r="Z231" s="94"/>
      <c r="AA231" s="94"/>
    </row>
    <row r="232" spans="1:27" ht="15.75" customHeight="1">
      <c r="A232" s="94"/>
      <c r="B232" s="248"/>
      <c r="C232" s="94"/>
      <c r="D232" s="94"/>
      <c r="E232" s="94"/>
      <c r="F232" s="249"/>
      <c r="G232" s="248"/>
      <c r="H232" s="94"/>
      <c r="I232" s="249"/>
      <c r="J232" s="94"/>
      <c r="K232" s="250"/>
      <c r="L232" s="250"/>
      <c r="M232" s="250"/>
      <c r="N232" s="250"/>
      <c r="O232" s="250"/>
      <c r="P232" s="250"/>
      <c r="Q232" s="249"/>
      <c r="R232" s="94"/>
      <c r="S232" s="94"/>
      <c r="T232" s="251"/>
      <c r="U232" s="94"/>
      <c r="V232" s="94"/>
      <c r="W232" s="94"/>
      <c r="X232" s="94"/>
      <c r="Y232" s="94"/>
      <c r="Z232" s="94"/>
      <c r="AA232" s="94"/>
    </row>
    <row r="233" spans="1:27" ht="15.75" customHeight="1">
      <c r="A233" s="94"/>
      <c r="B233" s="248"/>
      <c r="C233" s="94"/>
      <c r="D233" s="94"/>
      <c r="E233" s="94"/>
      <c r="F233" s="249"/>
      <c r="G233" s="248"/>
      <c r="H233" s="94"/>
      <c r="I233" s="249"/>
      <c r="J233" s="94"/>
      <c r="K233" s="250"/>
      <c r="L233" s="250"/>
      <c r="M233" s="250"/>
      <c r="N233" s="250"/>
      <c r="O233" s="250"/>
      <c r="P233" s="250"/>
      <c r="Q233" s="249"/>
      <c r="R233" s="94"/>
      <c r="S233" s="94"/>
      <c r="T233" s="251"/>
      <c r="U233" s="94"/>
      <c r="V233" s="94"/>
      <c r="W233" s="94"/>
      <c r="X233" s="94"/>
      <c r="Y233" s="94"/>
      <c r="Z233" s="94"/>
      <c r="AA233" s="94"/>
    </row>
    <row r="234" spans="1:27" ht="15.75" customHeight="1">
      <c r="A234" s="94"/>
      <c r="B234" s="248"/>
      <c r="C234" s="94"/>
      <c r="D234" s="94"/>
      <c r="E234" s="94"/>
      <c r="F234" s="249"/>
      <c r="G234" s="248"/>
      <c r="H234" s="94"/>
      <c r="I234" s="249"/>
      <c r="J234" s="94"/>
      <c r="K234" s="250"/>
      <c r="L234" s="250"/>
      <c r="M234" s="250"/>
      <c r="N234" s="250"/>
      <c r="O234" s="250"/>
      <c r="P234" s="250"/>
      <c r="Q234" s="249"/>
      <c r="R234" s="94"/>
      <c r="S234" s="94"/>
      <c r="T234" s="251"/>
      <c r="U234" s="94"/>
      <c r="V234" s="94"/>
      <c r="W234" s="94"/>
      <c r="X234" s="94"/>
      <c r="Y234" s="94"/>
      <c r="Z234" s="94"/>
      <c r="AA234" s="94"/>
    </row>
    <row r="235" spans="1:27" ht="15.75" customHeight="1">
      <c r="A235" s="94"/>
      <c r="B235" s="248"/>
      <c r="C235" s="94"/>
      <c r="D235" s="94"/>
      <c r="E235" s="94"/>
      <c r="F235" s="249"/>
      <c r="G235" s="248"/>
      <c r="H235" s="94"/>
      <c r="I235" s="249"/>
      <c r="J235" s="94"/>
      <c r="K235" s="250"/>
      <c r="L235" s="250"/>
      <c r="M235" s="250"/>
      <c r="N235" s="250"/>
      <c r="O235" s="250"/>
      <c r="P235" s="250"/>
      <c r="Q235" s="249"/>
      <c r="R235" s="94"/>
      <c r="S235" s="94"/>
      <c r="T235" s="251"/>
      <c r="U235" s="94"/>
      <c r="V235" s="94"/>
      <c r="W235" s="94"/>
      <c r="X235" s="94"/>
      <c r="Y235" s="94"/>
      <c r="Z235" s="94"/>
      <c r="AA235" s="94"/>
    </row>
    <row r="236" spans="1:27" ht="15.75" customHeight="1">
      <c r="A236" s="94"/>
      <c r="B236" s="248"/>
      <c r="C236" s="94"/>
      <c r="D236" s="94"/>
      <c r="E236" s="94"/>
      <c r="F236" s="249"/>
      <c r="G236" s="248"/>
      <c r="H236" s="94"/>
      <c r="I236" s="249"/>
      <c r="J236" s="94"/>
      <c r="K236" s="250"/>
      <c r="L236" s="250"/>
      <c r="M236" s="250"/>
      <c r="N236" s="250"/>
      <c r="O236" s="250"/>
      <c r="P236" s="250"/>
      <c r="Q236" s="249"/>
      <c r="R236" s="94"/>
      <c r="S236" s="94"/>
      <c r="T236" s="251"/>
      <c r="U236" s="94"/>
      <c r="V236" s="94"/>
      <c r="W236" s="94"/>
      <c r="X236" s="94"/>
      <c r="Y236" s="94"/>
      <c r="Z236" s="94"/>
      <c r="AA236" s="94"/>
    </row>
    <row r="237" spans="1:27" ht="15.75" customHeight="1">
      <c r="A237" s="94"/>
      <c r="B237" s="248"/>
      <c r="C237" s="94"/>
      <c r="D237" s="94"/>
      <c r="E237" s="94"/>
      <c r="F237" s="249"/>
      <c r="G237" s="248"/>
      <c r="H237" s="94"/>
      <c r="I237" s="249"/>
      <c r="J237" s="94"/>
      <c r="K237" s="250"/>
      <c r="L237" s="250"/>
      <c r="M237" s="250"/>
      <c r="N237" s="250"/>
      <c r="O237" s="250"/>
      <c r="P237" s="250"/>
      <c r="Q237" s="249"/>
      <c r="R237" s="94"/>
      <c r="S237" s="94"/>
      <c r="T237" s="251"/>
      <c r="U237" s="94"/>
      <c r="V237" s="94"/>
      <c r="W237" s="94"/>
      <c r="X237" s="94"/>
      <c r="Y237" s="94"/>
      <c r="Z237" s="94"/>
      <c r="AA237" s="94"/>
    </row>
    <row r="238" spans="1:27" ht="15.75" customHeight="1">
      <c r="A238" s="94"/>
      <c r="B238" s="248"/>
      <c r="C238" s="94"/>
      <c r="D238" s="94"/>
      <c r="E238" s="94"/>
      <c r="F238" s="249"/>
      <c r="G238" s="248"/>
      <c r="H238" s="94"/>
      <c r="I238" s="249"/>
      <c r="J238" s="94"/>
      <c r="K238" s="250"/>
      <c r="L238" s="250"/>
      <c r="M238" s="250"/>
      <c r="N238" s="250"/>
      <c r="O238" s="250"/>
      <c r="P238" s="250"/>
      <c r="Q238" s="249"/>
      <c r="R238" s="94"/>
      <c r="S238" s="94"/>
      <c r="T238" s="251"/>
      <c r="U238" s="94"/>
      <c r="V238" s="94"/>
      <c r="W238" s="94"/>
      <c r="X238" s="94"/>
      <c r="Y238" s="94"/>
      <c r="Z238" s="94"/>
      <c r="AA238" s="94"/>
    </row>
    <row r="239" spans="1:27" ht="15.75" customHeight="1">
      <c r="A239" s="94"/>
      <c r="B239" s="248"/>
      <c r="C239" s="94"/>
      <c r="D239" s="94"/>
      <c r="E239" s="94"/>
      <c r="F239" s="249"/>
      <c r="G239" s="248"/>
      <c r="H239" s="94"/>
      <c r="I239" s="249"/>
      <c r="J239" s="94"/>
      <c r="K239" s="250"/>
      <c r="L239" s="250"/>
      <c r="M239" s="250"/>
      <c r="N239" s="250"/>
      <c r="O239" s="250"/>
      <c r="P239" s="250"/>
      <c r="Q239" s="249"/>
      <c r="R239" s="94"/>
      <c r="S239" s="94"/>
      <c r="T239" s="251"/>
      <c r="U239" s="94"/>
      <c r="V239" s="94"/>
      <c r="W239" s="94"/>
      <c r="X239" s="94"/>
      <c r="Y239" s="94"/>
      <c r="Z239" s="94"/>
      <c r="AA239" s="94"/>
    </row>
    <row r="240" spans="1:27" ht="15.75" customHeight="1">
      <c r="A240" s="94"/>
      <c r="B240" s="248"/>
      <c r="C240" s="94"/>
      <c r="D240" s="94"/>
      <c r="E240" s="94"/>
      <c r="F240" s="249"/>
      <c r="G240" s="248"/>
      <c r="H240" s="94"/>
      <c r="I240" s="249"/>
      <c r="J240" s="94"/>
      <c r="K240" s="250"/>
      <c r="L240" s="250"/>
      <c r="M240" s="250"/>
      <c r="N240" s="250"/>
      <c r="O240" s="250"/>
      <c r="P240" s="250"/>
      <c r="Q240" s="249"/>
      <c r="R240" s="94"/>
      <c r="S240" s="94"/>
      <c r="T240" s="251"/>
      <c r="U240" s="94"/>
      <c r="V240" s="94"/>
      <c r="W240" s="94"/>
      <c r="X240" s="94"/>
      <c r="Y240" s="94"/>
      <c r="Z240" s="94"/>
      <c r="AA240" s="94"/>
    </row>
    <row r="241" spans="1:27" ht="15.75" customHeight="1">
      <c r="A241" s="94"/>
      <c r="B241" s="248"/>
      <c r="C241" s="94"/>
      <c r="D241" s="94"/>
      <c r="E241" s="94"/>
      <c r="F241" s="249"/>
      <c r="G241" s="248"/>
      <c r="H241" s="94"/>
      <c r="I241" s="249"/>
      <c r="J241" s="94"/>
      <c r="K241" s="250"/>
      <c r="L241" s="250"/>
      <c r="M241" s="250"/>
      <c r="N241" s="250"/>
      <c r="O241" s="250"/>
      <c r="P241" s="250"/>
      <c r="Q241" s="249"/>
      <c r="R241" s="94"/>
      <c r="S241" s="94"/>
      <c r="T241" s="251"/>
      <c r="U241" s="94"/>
      <c r="V241" s="94"/>
      <c r="W241" s="94"/>
      <c r="X241" s="94"/>
      <c r="Y241" s="94"/>
      <c r="Z241" s="94"/>
      <c r="AA241" s="94"/>
    </row>
    <row r="242" spans="1:27" ht="15.75" customHeight="1">
      <c r="A242" s="94"/>
      <c r="B242" s="248"/>
      <c r="C242" s="94"/>
      <c r="D242" s="94"/>
      <c r="E242" s="94"/>
      <c r="F242" s="249"/>
      <c r="G242" s="248"/>
      <c r="H242" s="94"/>
      <c r="I242" s="249"/>
      <c r="J242" s="94"/>
      <c r="K242" s="250"/>
      <c r="L242" s="250"/>
      <c r="M242" s="250"/>
      <c r="N242" s="250"/>
      <c r="O242" s="250"/>
      <c r="P242" s="250"/>
      <c r="Q242" s="249"/>
      <c r="R242" s="94"/>
      <c r="S242" s="94"/>
      <c r="T242" s="251"/>
      <c r="U242" s="94"/>
      <c r="V242" s="94"/>
      <c r="W242" s="94"/>
      <c r="X242" s="94"/>
      <c r="Y242" s="94"/>
      <c r="Z242" s="94"/>
      <c r="AA242" s="94"/>
    </row>
    <row r="243" spans="1:27" ht="15.75" customHeight="1">
      <c r="A243" s="94"/>
      <c r="B243" s="248"/>
      <c r="C243" s="94"/>
      <c r="D243" s="94"/>
      <c r="E243" s="94"/>
      <c r="F243" s="249"/>
      <c r="G243" s="248"/>
      <c r="H243" s="94"/>
      <c r="I243" s="249"/>
      <c r="J243" s="94"/>
      <c r="K243" s="250"/>
      <c r="L243" s="250"/>
      <c r="M243" s="250"/>
      <c r="N243" s="250"/>
      <c r="O243" s="250"/>
      <c r="P243" s="250"/>
      <c r="Q243" s="249"/>
      <c r="R243" s="94"/>
      <c r="S243" s="94"/>
      <c r="T243" s="251"/>
      <c r="U243" s="94"/>
      <c r="V243" s="94"/>
      <c r="W243" s="94"/>
      <c r="X243" s="94"/>
      <c r="Y243" s="94"/>
      <c r="Z243" s="94"/>
      <c r="AA243" s="94"/>
    </row>
    <row r="244" spans="1:27" ht="15.75" customHeight="1">
      <c r="A244" s="94"/>
      <c r="B244" s="248"/>
      <c r="C244" s="94"/>
      <c r="D244" s="94"/>
      <c r="E244" s="94"/>
      <c r="F244" s="249"/>
      <c r="G244" s="248"/>
      <c r="H244" s="94"/>
      <c r="I244" s="249"/>
      <c r="J244" s="94"/>
      <c r="K244" s="250"/>
      <c r="L244" s="250"/>
      <c r="M244" s="250"/>
      <c r="N244" s="250"/>
      <c r="O244" s="250"/>
      <c r="P244" s="250"/>
      <c r="Q244" s="249"/>
      <c r="R244" s="94"/>
      <c r="S244" s="94"/>
      <c r="T244" s="251"/>
      <c r="U244" s="94"/>
      <c r="V244" s="94"/>
      <c r="W244" s="94"/>
      <c r="X244" s="94"/>
      <c r="Y244" s="94"/>
      <c r="Z244" s="94"/>
      <c r="AA244" s="94"/>
    </row>
    <row r="245" spans="1:27" ht="15.75" customHeight="1">
      <c r="A245" s="94"/>
      <c r="B245" s="248"/>
      <c r="C245" s="94"/>
      <c r="D245" s="94"/>
      <c r="E245" s="94"/>
      <c r="F245" s="249"/>
      <c r="G245" s="248"/>
      <c r="H245" s="94"/>
      <c r="I245" s="249"/>
      <c r="J245" s="94"/>
      <c r="K245" s="250"/>
      <c r="L245" s="250"/>
      <c r="M245" s="250"/>
      <c r="N245" s="250"/>
      <c r="O245" s="250"/>
      <c r="P245" s="250"/>
      <c r="Q245" s="249"/>
      <c r="R245" s="94"/>
      <c r="S245" s="94"/>
      <c r="T245" s="251"/>
      <c r="U245" s="94"/>
      <c r="V245" s="94"/>
      <c r="W245" s="94"/>
      <c r="X245" s="94"/>
      <c r="Y245" s="94"/>
      <c r="Z245" s="94"/>
      <c r="AA245" s="94"/>
    </row>
    <row r="246" spans="1:27" ht="15.75" customHeight="1">
      <c r="A246" s="94"/>
      <c r="B246" s="248"/>
      <c r="C246" s="94"/>
      <c r="D246" s="94"/>
      <c r="E246" s="94"/>
      <c r="F246" s="249"/>
      <c r="G246" s="248"/>
      <c r="H246" s="94"/>
      <c r="I246" s="249"/>
      <c r="J246" s="94"/>
      <c r="K246" s="250"/>
      <c r="L246" s="250"/>
      <c r="M246" s="250"/>
      <c r="N246" s="250"/>
      <c r="O246" s="250"/>
      <c r="P246" s="250"/>
      <c r="Q246" s="249"/>
      <c r="R246" s="94"/>
      <c r="S246" s="94"/>
      <c r="T246" s="251"/>
      <c r="U246" s="94"/>
      <c r="V246" s="94"/>
      <c r="W246" s="94"/>
      <c r="X246" s="94"/>
      <c r="Y246" s="94"/>
      <c r="Z246" s="94"/>
      <c r="AA246" s="94"/>
    </row>
    <row r="247" spans="1:27" ht="15.75" customHeight="1">
      <c r="A247" s="94"/>
      <c r="B247" s="248"/>
      <c r="C247" s="94"/>
      <c r="D247" s="94"/>
      <c r="E247" s="94"/>
      <c r="F247" s="249"/>
      <c r="G247" s="248"/>
      <c r="H247" s="94"/>
      <c r="I247" s="249"/>
      <c r="J247" s="94"/>
      <c r="K247" s="250"/>
      <c r="L247" s="250"/>
      <c r="M247" s="250"/>
      <c r="N247" s="250"/>
      <c r="O247" s="250"/>
      <c r="P247" s="250"/>
      <c r="Q247" s="249"/>
      <c r="R247" s="94"/>
      <c r="S247" s="94"/>
      <c r="T247" s="251"/>
      <c r="U247" s="94"/>
      <c r="V247" s="94"/>
      <c r="W247" s="94"/>
      <c r="X247" s="94"/>
      <c r="Y247" s="94"/>
      <c r="Z247" s="94"/>
      <c r="AA247" s="94"/>
    </row>
    <row r="248" spans="1:27" ht="15.75" customHeight="1">
      <c r="A248" s="94"/>
      <c r="B248" s="248"/>
      <c r="C248" s="94"/>
      <c r="D248" s="94"/>
      <c r="E248" s="94"/>
      <c r="F248" s="249"/>
      <c r="G248" s="248"/>
      <c r="H248" s="94"/>
      <c r="I248" s="249"/>
      <c r="J248" s="94"/>
      <c r="K248" s="250"/>
      <c r="L248" s="250"/>
      <c r="M248" s="250"/>
      <c r="N248" s="250"/>
      <c r="O248" s="250"/>
      <c r="P248" s="250"/>
      <c r="Q248" s="249"/>
      <c r="R248" s="94"/>
      <c r="S248" s="94"/>
      <c r="T248" s="251"/>
      <c r="U248" s="94"/>
      <c r="V248" s="94"/>
      <c r="W248" s="94"/>
      <c r="X248" s="94"/>
      <c r="Y248" s="94"/>
      <c r="Z248" s="94"/>
      <c r="AA248" s="94"/>
    </row>
    <row r="249" spans="1:27" ht="15.75" customHeight="1">
      <c r="A249" s="94"/>
      <c r="B249" s="248"/>
      <c r="C249" s="94"/>
      <c r="D249" s="94"/>
      <c r="E249" s="94"/>
      <c r="F249" s="249"/>
      <c r="G249" s="248"/>
      <c r="H249" s="94"/>
      <c r="I249" s="249"/>
      <c r="J249" s="94"/>
      <c r="K249" s="250"/>
      <c r="L249" s="250"/>
      <c r="M249" s="250"/>
      <c r="N249" s="250"/>
      <c r="O249" s="250"/>
      <c r="P249" s="250"/>
      <c r="Q249" s="249"/>
      <c r="R249" s="94"/>
      <c r="S249" s="94"/>
      <c r="T249" s="251"/>
      <c r="U249" s="94"/>
      <c r="V249" s="94"/>
      <c r="W249" s="94"/>
      <c r="X249" s="94"/>
      <c r="Y249" s="94"/>
      <c r="Z249" s="94"/>
      <c r="AA249" s="94"/>
    </row>
    <row r="250" spans="1:27" ht="15.75" customHeight="1">
      <c r="A250" s="94"/>
      <c r="B250" s="248"/>
      <c r="C250" s="94"/>
      <c r="D250" s="94"/>
      <c r="E250" s="94"/>
      <c r="F250" s="249"/>
      <c r="G250" s="248"/>
      <c r="H250" s="94"/>
      <c r="I250" s="249"/>
      <c r="J250" s="94"/>
      <c r="K250" s="250"/>
      <c r="L250" s="250"/>
      <c r="M250" s="250"/>
      <c r="N250" s="250"/>
      <c r="O250" s="250"/>
      <c r="P250" s="250"/>
      <c r="Q250" s="249"/>
      <c r="R250" s="94"/>
      <c r="S250" s="94"/>
      <c r="T250" s="251"/>
      <c r="U250" s="94"/>
      <c r="V250" s="94"/>
      <c r="W250" s="94"/>
      <c r="X250" s="94"/>
      <c r="Y250" s="94"/>
      <c r="Z250" s="94"/>
      <c r="AA250" s="94"/>
    </row>
    <row r="251" spans="1:27" ht="15.75" customHeight="1">
      <c r="A251" s="94"/>
      <c r="B251" s="248"/>
      <c r="C251" s="94"/>
      <c r="D251" s="94"/>
      <c r="E251" s="94"/>
      <c r="F251" s="249"/>
      <c r="G251" s="248"/>
      <c r="H251" s="94"/>
      <c r="I251" s="249"/>
      <c r="J251" s="94"/>
      <c r="K251" s="250"/>
      <c r="L251" s="250"/>
      <c r="M251" s="250"/>
      <c r="N251" s="250"/>
      <c r="O251" s="250"/>
      <c r="P251" s="250"/>
      <c r="Q251" s="249"/>
      <c r="R251" s="94"/>
      <c r="S251" s="94"/>
      <c r="T251" s="251"/>
      <c r="U251" s="94"/>
      <c r="V251" s="94"/>
      <c r="W251" s="94"/>
      <c r="X251" s="94"/>
      <c r="Y251" s="94"/>
      <c r="Z251" s="94"/>
      <c r="AA251" s="94"/>
    </row>
    <row r="252" spans="1:27" ht="15.75" customHeight="1">
      <c r="A252" s="94"/>
      <c r="B252" s="248"/>
      <c r="C252" s="94"/>
      <c r="D252" s="94"/>
      <c r="E252" s="94"/>
      <c r="F252" s="249"/>
      <c r="G252" s="248"/>
      <c r="H252" s="94"/>
      <c r="I252" s="249"/>
      <c r="J252" s="94"/>
      <c r="K252" s="250"/>
      <c r="L252" s="250"/>
      <c r="M252" s="250"/>
      <c r="N252" s="250"/>
      <c r="O252" s="250"/>
      <c r="P252" s="250"/>
      <c r="Q252" s="249"/>
      <c r="R252" s="94"/>
      <c r="S252" s="94"/>
      <c r="T252" s="251"/>
      <c r="U252" s="94"/>
      <c r="V252" s="94"/>
      <c r="W252" s="94"/>
      <c r="X252" s="94"/>
      <c r="Y252" s="94"/>
      <c r="Z252" s="94"/>
      <c r="AA252" s="94"/>
    </row>
    <row r="253" spans="1:27" ht="15.75" customHeight="1">
      <c r="A253" s="94"/>
      <c r="B253" s="248"/>
      <c r="C253" s="94"/>
      <c r="D253" s="94"/>
      <c r="E253" s="94"/>
      <c r="F253" s="249"/>
      <c r="G253" s="248"/>
      <c r="H253" s="94"/>
      <c r="I253" s="249"/>
      <c r="J253" s="94"/>
      <c r="K253" s="250"/>
      <c r="L253" s="250"/>
      <c r="M253" s="250"/>
      <c r="N253" s="250"/>
      <c r="O253" s="250"/>
      <c r="P253" s="250"/>
      <c r="Q253" s="249"/>
      <c r="R253" s="94"/>
      <c r="S253" s="94"/>
      <c r="T253" s="251"/>
      <c r="U253" s="94"/>
      <c r="V253" s="94"/>
      <c r="W253" s="94"/>
      <c r="X253" s="94"/>
      <c r="Y253" s="94"/>
      <c r="Z253" s="94"/>
      <c r="AA253" s="94"/>
    </row>
    <row r="254" spans="1:27" ht="15.75" customHeight="1">
      <c r="A254" s="94"/>
      <c r="B254" s="248"/>
      <c r="C254" s="94"/>
      <c r="D254" s="94"/>
      <c r="E254" s="94"/>
      <c r="F254" s="249"/>
      <c r="G254" s="248"/>
      <c r="H254" s="94"/>
      <c r="I254" s="249"/>
      <c r="J254" s="94"/>
      <c r="K254" s="250"/>
      <c r="L254" s="250"/>
      <c r="M254" s="250"/>
      <c r="N254" s="250"/>
      <c r="O254" s="250"/>
      <c r="P254" s="250"/>
      <c r="Q254" s="249"/>
      <c r="R254" s="94"/>
      <c r="S254" s="94"/>
      <c r="T254" s="251"/>
      <c r="U254" s="94"/>
      <c r="V254" s="94"/>
      <c r="W254" s="94"/>
      <c r="X254" s="94"/>
      <c r="Y254" s="94"/>
      <c r="Z254" s="94"/>
      <c r="AA254" s="94"/>
    </row>
    <row r="255" spans="1:27" ht="15.75" customHeight="1">
      <c r="A255" s="94"/>
      <c r="B255" s="248"/>
      <c r="C255" s="94"/>
      <c r="D255" s="94"/>
      <c r="E255" s="94"/>
      <c r="F255" s="249"/>
      <c r="G255" s="248"/>
      <c r="H255" s="94"/>
      <c r="I255" s="249"/>
      <c r="J255" s="94"/>
      <c r="K255" s="250"/>
      <c r="L255" s="250"/>
      <c r="M255" s="250"/>
      <c r="N255" s="250"/>
      <c r="O255" s="250"/>
      <c r="P255" s="250"/>
      <c r="Q255" s="249"/>
      <c r="R255" s="94"/>
      <c r="S255" s="94"/>
      <c r="T255" s="251"/>
      <c r="U255" s="94"/>
      <c r="V255" s="94"/>
      <c r="W255" s="94"/>
      <c r="X255" s="94"/>
      <c r="Y255" s="94"/>
      <c r="Z255" s="94"/>
      <c r="AA255" s="94"/>
    </row>
    <row r="256" spans="1:27" ht="15.75" customHeight="1">
      <c r="A256" s="94"/>
      <c r="B256" s="248"/>
      <c r="C256" s="94"/>
      <c r="D256" s="94"/>
      <c r="E256" s="94"/>
      <c r="F256" s="249"/>
      <c r="G256" s="248"/>
      <c r="H256" s="94"/>
      <c r="I256" s="249"/>
      <c r="J256" s="94"/>
      <c r="K256" s="250"/>
      <c r="L256" s="250"/>
      <c r="M256" s="250"/>
      <c r="N256" s="250"/>
      <c r="O256" s="250"/>
      <c r="P256" s="250"/>
      <c r="Q256" s="249"/>
      <c r="R256" s="94"/>
      <c r="S256" s="94"/>
      <c r="T256" s="251"/>
      <c r="U256" s="94"/>
      <c r="V256" s="94"/>
      <c r="W256" s="94"/>
      <c r="X256" s="94"/>
      <c r="Y256" s="94"/>
      <c r="Z256" s="94"/>
      <c r="AA256" s="94"/>
    </row>
    <row r="257" spans="1:27" ht="15.75" customHeight="1">
      <c r="A257" s="94"/>
      <c r="B257" s="248"/>
      <c r="C257" s="94"/>
      <c r="D257" s="94"/>
      <c r="E257" s="94"/>
      <c r="F257" s="249"/>
      <c r="G257" s="248"/>
      <c r="H257" s="94"/>
      <c r="I257" s="249"/>
      <c r="J257" s="94"/>
      <c r="K257" s="250"/>
      <c r="L257" s="250"/>
      <c r="M257" s="250"/>
      <c r="N257" s="250"/>
      <c r="O257" s="250"/>
      <c r="P257" s="250"/>
      <c r="Q257" s="249"/>
      <c r="R257" s="94"/>
      <c r="S257" s="94"/>
      <c r="T257" s="251"/>
      <c r="U257" s="94"/>
      <c r="V257" s="94"/>
      <c r="W257" s="94"/>
      <c r="X257" s="94"/>
      <c r="Y257" s="94"/>
      <c r="Z257" s="94"/>
      <c r="AA257" s="94"/>
    </row>
    <row r="258" spans="1:27" ht="15.75" customHeight="1">
      <c r="A258" s="94"/>
      <c r="B258" s="248"/>
      <c r="C258" s="94"/>
      <c r="D258" s="94"/>
      <c r="E258" s="94"/>
      <c r="F258" s="249"/>
      <c r="G258" s="248"/>
      <c r="H258" s="94"/>
      <c r="I258" s="249"/>
      <c r="J258" s="94"/>
      <c r="K258" s="250"/>
      <c r="L258" s="250"/>
      <c r="M258" s="250"/>
      <c r="N258" s="250"/>
      <c r="O258" s="250"/>
      <c r="P258" s="250"/>
      <c r="Q258" s="249"/>
      <c r="R258" s="94"/>
      <c r="S258" s="94"/>
      <c r="T258" s="251"/>
      <c r="U258" s="94"/>
      <c r="V258" s="94"/>
      <c r="W258" s="94"/>
      <c r="X258" s="94"/>
      <c r="Y258" s="94"/>
      <c r="Z258" s="94"/>
      <c r="AA258" s="94"/>
    </row>
    <row r="259" spans="1:27" ht="15.75" customHeight="1">
      <c r="A259" s="94"/>
      <c r="B259" s="248"/>
      <c r="C259" s="94"/>
      <c r="D259" s="94"/>
      <c r="E259" s="94"/>
      <c r="F259" s="249"/>
      <c r="G259" s="248"/>
      <c r="H259" s="94"/>
      <c r="I259" s="249"/>
      <c r="J259" s="94"/>
      <c r="K259" s="250"/>
      <c r="L259" s="250"/>
      <c r="M259" s="250"/>
      <c r="N259" s="250"/>
      <c r="O259" s="250"/>
      <c r="P259" s="250"/>
      <c r="Q259" s="249"/>
      <c r="R259" s="94"/>
      <c r="S259" s="94"/>
      <c r="T259" s="251"/>
      <c r="U259" s="94"/>
      <c r="V259" s="94"/>
      <c r="W259" s="94"/>
      <c r="X259" s="94"/>
      <c r="Y259" s="94"/>
      <c r="Z259" s="94"/>
      <c r="AA259" s="94"/>
    </row>
    <row r="260" spans="1:27" ht="15.75" customHeight="1">
      <c r="A260" s="94"/>
      <c r="B260" s="248"/>
      <c r="C260" s="94"/>
      <c r="D260" s="94"/>
      <c r="E260" s="94"/>
      <c r="F260" s="249"/>
      <c r="G260" s="248"/>
      <c r="H260" s="94"/>
      <c r="I260" s="249"/>
      <c r="J260" s="94"/>
      <c r="K260" s="250"/>
      <c r="L260" s="250"/>
      <c r="M260" s="250"/>
      <c r="N260" s="250"/>
      <c r="O260" s="250"/>
      <c r="P260" s="250"/>
      <c r="Q260" s="249"/>
      <c r="R260" s="94"/>
      <c r="S260" s="94"/>
      <c r="T260" s="251"/>
      <c r="U260" s="94"/>
      <c r="V260" s="94"/>
      <c r="W260" s="94"/>
      <c r="X260" s="94"/>
      <c r="Y260" s="94"/>
      <c r="Z260" s="94"/>
      <c r="AA260" s="94"/>
    </row>
    <row r="261" spans="1:27" ht="15.75" customHeight="1">
      <c r="A261" s="94"/>
      <c r="B261" s="248"/>
      <c r="C261" s="94"/>
      <c r="D261" s="94"/>
      <c r="E261" s="94"/>
      <c r="F261" s="249"/>
      <c r="G261" s="248"/>
      <c r="H261" s="94"/>
      <c r="I261" s="249"/>
      <c r="J261" s="94"/>
      <c r="K261" s="250"/>
      <c r="L261" s="250"/>
      <c r="M261" s="250"/>
      <c r="N261" s="250"/>
      <c r="O261" s="250"/>
      <c r="P261" s="250"/>
      <c r="Q261" s="249"/>
      <c r="R261" s="94"/>
      <c r="S261" s="94"/>
      <c r="T261" s="251"/>
      <c r="U261" s="94"/>
      <c r="V261" s="94"/>
      <c r="W261" s="94"/>
      <c r="X261" s="94"/>
      <c r="Y261" s="94"/>
      <c r="Z261" s="94"/>
      <c r="AA261" s="94"/>
    </row>
    <row r="262" spans="1:27" ht="15.75" customHeight="1">
      <c r="A262" s="94"/>
      <c r="B262" s="248"/>
      <c r="C262" s="94"/>
      <c r="D262" s="94"/>
      <c r="E262" s="94"/>
      <c r="F262" s="249"/>
      <c r="G262" s="248"/>
      <c r="H262" s="94"/>
      <c r="I262" s="249"/>
      <c r="J262" s="94"/>
      <c r="K262" s="250"/>
      <c r="L262" s="250"/>
      <c r="M262" s="250"/>
      <c r="N262" s="250"/>
      <c r="O262" s="250"/>
      <c r="P262" s="250"/>
      <c r="Q262" s="249"/>
      <c r="R262" s="94"/>
      <c r="S262" s="94"/>
      <c r="T262" s="251"/>
      <c r="U262" s="94"/>
      <c r="V262" s="94"/>
      <c r="W262" s="94"/>
      <c r="X262" s="94"/>
      <c r="Y262" s="94"/>
      <c r="Z262" s="94"/>
      <c r="AA262" s="94"/>
    </row>
    <row r="263" spans="1:27" ht="15.75" customHeight="1">
      <c r="A263" s="94"/>
      <c r="B263" s="248"/>
      <c r="C263" s="94"/>
      <c r="D263" s="94"/>
      <c r="E263" s="94"/>
      <c r="F263" s="249"/>
      <c r="G263" s="248"/>
      <c r="H263" s="94"/>
      <c r="I263" s="249"/>
      <c r="J263" s="94"/>
      <c r="K263" s="250"/>
      <c r="L263" s="250"/>
      <c r="M263" s="250"/>
      <c r="N263" s="250"/>
      <c r="O263" s="250"/>
      <c r="P263" s="250"/>
      <c r="Q263" s="249"/>
      <c r="R263" s="94"/>
      <c r="S263" s="94"/>
      <c r="T263" s="251"/>
      <c r="U263" s="94"/>
      <c r="V263" s="94"/>
      <c r="W263" s="94"/>
      <c r="X263" s="94"/>
      <c r="Y263" s="94"/>
      <c r="Z263" s="94"/>
      <c r="AA263" s="94"/>
    </row>
    <row r="264" spans="1:27" ht="15.75" customHeight="1">
      <c r="A264" s="94"/>
      <c r="B264" s="248"/>
      <c r="C264" s="94"/>
      <c r="D264" s="94"/>
      <c r="E264" s="94"/>
      <c r="F264" s="249"/>
      <c r="G264" s="248"/>
      <c r="H264" s="94"/>
      <c r="I264" s="249"/>
      <c r="J264" s="94"/>
      <c r="K264" s="250"/>
      <c r="L264" s="250"/>
      <c r="M264" s="250"/>
      <c r="N264" s="250"/>
      <c r="O264" s="250"/>
      <c r="P264" s="250"/>
      <c r="Q264" s="249"/>
      <c r="R264" s="94"/>
      <c r="S264" s="94"/>
      <c r="T264" s="251"/>
      <c r="U264" s="94"/>
      <c r="V264" s="94"/>
      <c r="W264" s="94"/>
      <c r="X264" s="94"/>
      <c r="Y264" s="94"/>
      <c r="Z264" s="94"/>
      <c r="AA264" s="94"/>
    </row>
    <row r="265" spans="1:27" ht="15.75" customHeight="1">
      <c r="A265" s="94"/>
      <c r="B265" s="248"/>
      <c r="C265" s="94"/>
      <c r="D265" s="94"/>
      <c r="E265" s="94"/>
      <c r="F265" s="249"/>
      <c r="G265" s="248"/>
      <c r="H265" s="94"/>
      <c r="I265" s="249"/>
      <c r="J265" s="94"/>
      <c r="K265" s="250"/>
      <c r="L265" s="250"/>
      <c r="M265" s="250"/>
      <c r="N265" s="250"/>
      <c r="O265" s="250"/>
      <c r="P265" s="250"/>
      <c r="Q265" s="249"/>
      <c r="R265" s="94"/>
      <c r="S265" s="94"/>
      <c r="T265" s="251"/>
      <c r="U265" s="94"/>
      <c r="V265" s="94"/>
      <c r="W265" s="94"/>
      <c r="X265" s="94"/>
      <c r="Y265" s="94"/>
      <c r="Z265" s="94"/>
      <c r="AA265" s="94"/>
    </row>
    <row r="266" spans="1:27" ht="15.75" customHeight="1">
      <c r="A266" s="94"/>
      <c r="B266" s="248"/>
      <c r="C266" s="94"/>
      <c r="D266" s="94"/>
      <c r="E266" s="94"/>
      <c r="F266" s="249"/>
      <c r="G266" s="248"/>
      <c r="H266" s="94"/>
      <c r="I266" s="249"/>
      <c r="J266" s="94"/>
      <c r="K266" s="250"/>
      <c r="L266" s="250"/>
      <c r="M266" s="250"/>
      <c r="N266" s="250"/>
      <c r="O266" s="250"/>
      <c r="P266" s="250"/>
      <c r="Q266" s="249"/>
      <c r="R266" s="94"/>
      <c r="S266" s="94"/>
      <c r="T266" s="251"/>
      <c r="U266" s="94"/>
      <c r="V266" s="94"/>
      <c r="W266" s="94"/>
      <c r="X266" s="94"/>
      <c r="Y266" s="94"/>
      <c r="Z266" s="94"/>
      <c r="AA266" s="94"/>
    </row>
    <row r="267" spans="1:27" ht="15.75" customHeight="1">
      <c r="A267" s="94"/>
      <c r="B267" s="248"/>
      <c r="C267" s="94"/>
      <c r="D267" s="94"/>
      <c r="E267" s="94"/>
      <c r="F267" s="249"/>
      <c r="G267" s="248"/>
      <c r="H267" s="94"/>
      <c r="I267" s="249"/>
      <c r="J267" s="94"/>
      <c r="K267" s="250"/>
      <c r="L267" s="250"/>
      <c r="M267" s="250"/>
      <c r="N267" s="250"/>
      <c r="O267" s="250"/>
      <c r="P267" s="250"/>
      <c r="Q267" s="249"/>
      <c r="R267" s="94"/>
      <c r="S267" s="94"/>
      <c r="T267" s="251"/>
      <c r="U267" s="94"/>
      <c r="V267" s="94"/>
      <c r="W267" s="94"/>
      <c r="X267" s="94"/>
      <c r="Y267" s="94"/>
      <c r="Z267" s="94"/>
      <c r="AA267" s="94"/>
    </row>
    <row r="268" spans="1:27" ht="15.75" customHeight="1">
      <c r="A268" s="94"/>
      <c r="B268" s="248"/>
      <c r="C268" s="94"/>
      <c r="D268" s="94"/>
      <c r="E268" s="94"/>
      <c r="F268" s="249"/>
      <c r="G268" s="248"/>
      <c r="H268" s="94"/>
      <c r="I268" s="249"/>
      <c r="J268" s="94"/>
      <c r="K268" s="250"/>
      <c r="L268" s="250"/>
      <c r="M268" s="250"/>
      <c r="N268" s="250"/>
      <c r="O268" s="250"/>
      <c r="P268" s="250"/>
      <c r="Q268" s="249"/>
      <c r="R268" s="94"/>
      <c r="S268" s="94"/>
      <c r="T268" s="251"/>
      <c r="U268" s="94"/>
      <c r="V268" s="94"/>
      <c r="W268" s="94"/>
      <c r="X268" s="94"/>
      <c r="Y268" s="94"/>
      <c r="Z268" s="94"/>
      <c r="AA268" s="94"/>
    </row>
    <row r="269" spans="1:27" ht="15.75" customHeight="1">
      <c r="A269" s="94"/>
      <c r="B269" s="248"/>
      <c r="C269" s="94"/>
      <c r="D269" s="94"/>
      <c r="E269" s="94"/>
      <c r="F269" s="249"/>
      <c r="G269" s="248"/>
      <c r="H269" s="94"/>
      <c r="I269" s="249"/>
      <c r="J269" s="94"/>
      <c r="K269" s="250"/>
      <c r="L269" s="250"/>
      <c r="M269" s="250"/>
      <c r="N269" s="250"/>
      <c r="O269" s="250"/>
      <c r="P269" s="250"/>
      <c r="Q269" s="249"/>
      <c r="R269" s="94"/>
      <c r="S269" s="94"/>
      <c r="T269" s="251"/>
      <c r="U269" s="94"/>
      <c r="V269" s="94"/>
      <c r="W269" s="94"/>
      <c r="X269" s="94"/>
      <c r="Y269" s="94"/>
      <c r="Z269" s="94"/>
      <c r="AA269" s="94"/>
    </row>
    <row r="270" spans="1:27" ht="15.75" customHeight="1">
      <c r="A270" s="94"/>
      <c r="B270" s="248"/>
      <c r="C270" s="94"/>
      <c r="D270" s="94"/>
      <c r="E270" s="94"/>
      <c r="F270" s="249"/>
      <c r="G270" s="248"/>
      <c r="H270" s="94"/>
      <c r="I270" s="249"/>
      <c r="J270" s="94"/>
      <c r="K270" s="250"/>
      <c r="L270" s="250"/>
      <c r="M270" s="250"/>
      <c r="N270" s="250"/>
      <c r="O270" s="250"/>
      <c r="P270" s="250"/>
      <c r="Q270" s="249"/>
      <c r="R270" s="94"/>
      <c r="S270" s="94"/>
      <c r="T270" s="251"/>
      <c r="U270" s="94"/>
      <c r="V270" s="94"/>
      <c r="W270" s="94"/>
      <c r="X270" s="94"/>
      <c r="Y270" s="94"/>
      <c r="Z270" s="94"/>
      <c r="AA270" s="94"/>
    </row>
    <row r="271" spans="1:27" ht="15.75" customHeight="1">
      <c r="A271" s="94"/>
      <c r="B271" s="248"/>
      <c r="C271" s="94"/>
      <c r="D271" s="94"/>
      <c r="E271" s="94"/>
      <c r="F271" s="249"/>
      <c r="G271" s="248"/>
      <c r="H271" s="94"/>
      <c r="I271" s="249"/>
      <c r="J271" s="94"/>
      <c r="K271" s="250"/>
      <c r="L271" s="250"/>
      <c r="M271" s="250"/>
      <c r="N271" s="250"/>
      <c r="O271" s="250"/>
      <c r="P271" s="250"/>
      <c r="Q271" s="249"/>
      <c r="R271" s="94"/>
      <c r="S271" s="94"/>
      <c r="T271" s="251"/>
      <c r="U271" s="94"/>
      <c r="V271" s="94"/>
      <c r="W271" s="94"/>
      <c r="X271" s="94"/>
      <c r="Y271" s="94"/>
      <c r="Z271" s="94"/>
      <c r="AA271" s="94"/>
    </row>
    <row r="272" spans="1:27" ht="15.75" customHeight="1">
      <c r="A272" s="94"/>
      <c r="B272" s="248"/>
      <c r="C272" s="94"/>
      <c r="D272" s="94"/>
      <c r="E272" s="94"/>
      <c r="F272" s="249"/>
      <c r="G272" s="248"/>
      <c r="H272" s="94"/>
      <c r="I272" s="249"/>
      <c r="J272" s="94"/>
      <c r="K272" s="250"/>
      <c r="L272" s="250"/>
      <c r="M272" s="250"/>
      <c r="N272" s="250"/>
      <c r="O272" s="250"/>
      <c r="P272" s="250"/>
      <c r="Q272" s="249"/>
      <c r="R272" s="94"/>
      <c r="S272" s="94"/>
      <c r="T272" s="251"/>
      <c r="U272" s="94"/>
      <c r="V272" s="94"/>
      <c r="W272" s="94"/>
      <c r="X272" s="94"/>
      <c r="Y272" s="94"/>
      <c r="Z272" s="94"/>
      <c r="AA272" s="94"/>
    </row>
    <row r="273" spans="1:27" ht="15.75" customHeight="1">
      <c r="A273" s="94"/>
      <c r="B273" s="248"/>
      <c r="C273" s="94"/>
      <c r="D273" s="94"/>
      <c r="E273" s="94"/>
      <c r="F273" s="249"/>
      <c r="G273" s="248"/>
      <c r="H273" s="94"/>
      <c r="I273" s="249"/>
      <c r="J273" s="94"/>
      <c r="K273" s="250"/>
      <c r="L273" s="250"/>
      <c r="M273" s="250"/>
      <c r="N273" s="250"/>
      <c r="O273" s="250"/>
      <c r="P273" s="250"/>
      <c r="Q273" s="249"/>
      <c r="R273" s="94"/>
      <c r="S273" s="94"/>
      <c r="T273" s="251"/>
      <c r="U273" s="94"/>
      <c r="V273" s="94"/>
      <c r="W273" s="94"/>
      <c r="X273" s="94"/>
      <c r="Y273" s="94"/>
      <c r="Z273" s="94"/>
      <c r="AA273" s="94"/>
    </row>
    <row r="274" spans="1:27" ht="15.75" customHeight="1">
      <c r="A274" s="94"/>
      <c r="B274" s="248"/>
      <c r="C274" s="94"/>
      <c r="D274" s="94"/>
      <c r="E274" s="94"/>
      <c r="F274" s="249"/>
      <c r="G274" s="248"/>
      <c r="H274" s="94"/>
      <c r="I274" s="249"/>
      <c r="J274" s="94"/>
      <c r="K274" s="250"/>
      <c r="L274" s="250"/>
      <c r="M274" s="250"/>
      <c r="N274" s="250"/>
      <c r="O274" s="250"/>
      <c r="P274" s="250"/>
      <c r="Q274" s="249"/>
      <c r="R274" s="94"/>
      <c r="S274" s="94"/>
      <c r="T274" s="251"/>
      <c r="U274" s="94"/>
      <c r="V274" s="94"/>
      <c r="W274" s="94"/>
      <c r="X274" s="94"/>
      <c r="Y274" s="94"/>
      <c r="Z274" s="94"/>
      <c r="AA274" s="94"/>
    </row>
    <row r="275" spans="1:27" ht="15.75" customHeight="1">
      <c r="A275" s="94"/>
      <c r="B275" s="248"/>
      <c r="C275" s="94"/>
      <c r="D275" s="94"/>
      <c r="E275" s="94"/>
      <c r="F275" s="249"/>
      <c r="G275" s="248"/>
      <c r="H275" s="94"/>
      <c r="I275" s="249"/>
      <c r="J275" s="94"/>
      <c r="K275" s="250"/>
      <c r="L275" s="250"/>
      <c r="M275" s="250"/>
      <c r="N275" s="250"/>
      <c r="O275" s="250"/>
      <c r="P275" s="250"/>
      <c r="Q275" s="249"/>
      <c r="R275" s="94"/>
      <c r="S275" s="94"/>
      <c r="T275" s="251"/>
      <c r="U275" s="94"/>
      <c r="V275" s="94"/>
      <c r="W275" s="94"/>
      <c r="X275" s="94"/>
      <c r="Y275" s="94"/>
      <c r="Z275" s="94"/>
      <c r="AA275" s="94"/>
    </row>
    <row r="276" spans="1:27" ht="15.75" customHeight="1">
      <c r="A276" s="94"/>
      <c r="B276" s="248"/>
      <c r="C276" s="94"/>
      <c r="D276" s="94"/>
      <c r="E276" s="94"/>
      <c r="F276" s="249"/>
      <c r="G276" s="248"/>
      <c r="H276" s="94"/>
      <c r="I276" s="249"/>
      <c r="J276" s="94"/>
      <c r="K276" s="250"/>
      <c r="L276" s="250"/>
      <c r="M276" s="250"/>
      <c r="N276" s="250"/>
      <c r="O276" s="250"/>
      <c r="P276" s="250"/>
      <c r="Q276" s="249"/>
      <c r="R276" s="94"/>
      <c r="S276" s="94"/>
      <c r="T276" s="251"/>
      <c r="U276" s="94"/>
      <c r="V276" s="94"/>
      <c r="W276" s="94"/>
      <c r="X276" s="94"/>
      <c r="Y276" s="94"/>
      <c r="Z276" s="94"/>
      <c r="AA276" s="94"/>
    </row>
    <row r="277" spans="1:27" ht="15.75" customHeight="1">
      <c r="A277" s="94"/>
      <c r="B277" s="248"/>
      <c r="C277" s="94"/>
      <c r="D277" s="94"/>
      <c r="E277" s="94"/>
      <c r="F277" s="249"/>
      <c r="G277" s="248"/>
      <c r="H277" s="94"/>
      <c r="I277" s="249"/>
      <c r="J277" s="94"/>
      <c r="K277" s="250"/>
      <c r="L277" s="250"/>
      <c r="M277" s="250"/>
      <c r="N277" s="250"/>
      <c r="O277" s="250"/>
      <c r="P277" s="250"/>
      <c r="Q277" s="249"/>
      <c r="R277" s="94"/>
      <c r="S277" s="94"/>
      <c r="T277" s="251"/>
      <c r="U277" s="94"/>
      <c r="V277" s="94"/>
      <c r="W277" s="94"/>
      <c r="X277" s="94"/>
      <c r="Y277" s="94"/>
      <c r="Z277" s="94"/>
      <c r="AA277" s="94"/>
    </row>
    <row r="278" spans="1:27" ht="15.75" customHeight="1">
      <c r="A278" s="94"/>
      <c r="B278" s="248"/>
      <c r="C278" s="94"/>
      <c r="D278" s="94"/>
      <c r="E278" s="94"/>
      <c r="F278" s="249"/>
      <c r="G278" s="248"/>
      <c r="H278" s="94"/>
      <c r="I278" s="249"/>
      <c r="J278" s="94"/>
      <c r="K278" s="250"/>
      <c r="L278" s="250"/>
      <c r="M278" s="250"/>
      <c r="N278" s="250"/>
      <c r="O278" s="250"/>
      <c r="P278" s="250"/>
      <c r="Q278" s="249"/>
      <c r="R278" s="94"/>
      <c r="S278" s="94"/>
      <c r="T278" s="251"/>
      <c r="U278" s="94"/>
      <c r="V278" s="94"/>
      <c r="W278" s="94"/>
      <c r="X278" s="94"/>
      <c r="Y278" s="94"/>
      <c r="Z278" s="94"/>
      <c r="AA278" s="94"/>
    </row>
    <row r="279" spans="1:27" ht="15.75" customHeight="1">
      <c r="A279" s="94"/>
      <c r="B279" s="248"/>
      <c r="C279" s="94"/>
      <c r="D279" s="94"/>
      <c r="E279" s="94"/>
      <c r="F279" s="249"/>
      <c r="G279" s="248"/>
      <c r="H279" s="94"/>
      <c r="I279" s="249"/>
      <c r="J279" s="94"/>
      <c r="K279" s="250"/>
      <c r="L279" s="250"/>
      <c r="M279" s="250"/>
      <c r="N279" s="250"/>
      <c r="O279" s="250"/>
      <c r="P279" s="250"/>
      <c r="Q279" s="249"/>
      <c r="R279" s="94"/>
      <c r="S279" s="94"/>
      <c r="T279" s="251"/>
      <c r="U279" s="94"/>
      <c r="V279" s="94"/>
      <c r="W279" s="94"/>
      <c r="X279" s="94"/>
      <c r="Y279" s="94"/>
      <c r="Z279" s="94"/>
      <c r="AA279" s="94"/>
    </row>
    <row r="280" spans="1:27" ht="15.75" customHeight="1">
      <c r="A280" s="94"/>
      <c r="B280" s="248"/>
      <c r="C280" s="94"/>
      <c r="D280" s="94"/>
      <c r="E280" s="94"/>
      <c r="F280" s="249"/>
      <c r="G280" s="248"/>
      <c r="H280" s="94"/>
      <c r="I280" s="249"/>
      <c r="J280" s="94"/>
      <c r="K280" s="250"/>
      <c r="L280" s="250"/>
      <c r="M280" s="250"/>
      <c r="N280" s="250"/>
      <c r="O280" s="250"/>
      <c r="P280" s="250"/>
      <c r="Q280" s="249"/>
      <c r="R280" s="94"/>
      <c r="S280" s="94"/>
      <c r="T280" s="251"/>
      <c r="U280" s="94"/>
      <c r="V280" s="94"/>
      <c r="W280" s="94"/>
      <c r="X280" s="94"/>
      <c r="Y280" s="94"/>
      <c r="Z280" s="94"/>
      <c r="AA280" s="94"/>
    </row>
    <row r="281" spans="1:27" ht="15.75" customHeight="1">
      <c r="A281" s="94"/>
      <c r="B281" s="248"/>
      <c r="C281" s="94"/>
      <c r="D281" s="94"/>
      <c r="E281" s="94"/>
      <c r="F281" s="249"/>
      <c r="G281" s="248"/>
      <c r="H281" s="94"/>
      <c r="I281" s="249"/>
      <c r="J281" s="94"/>
      <c r="K281" s="250"/>
      <c r="L281" s="250"/>
      <c r="M281" s="250"/>
      <c r="N281" s="250"/>
      <c r="O281" s="250"/>
      <c r="P281" s="250"/>
      <c r="Q281" s="249"/>
      <c r="R281" s="94"/>
      <c r="S281" s="94"/>
      <c r="T281" s="251"/>
      <c r="U281" s="94"/>
      <c r="V281" s="94"/>
      <c r="W281" s="94"/>
      <c r="X281" s="94"/>
      <c r="Y281" s="94"/>
      <c r="Z281" s="94"/>
      <c r="AA281" s="94"/>
    </row>
    <row r="282" spans="1:27" ht="15.75" customHeight="1">
      <c r="A282" s="94"/>
      <c r="B282" s="248"/>
      <c r="C282" s="94"/>
      <c r="D282" s="94"/>
      <c r="E282" s="94"/>
      <c r="F282" s="249"/>
      <c r="G282" s="248"/>
      <c r="H282" s="94"/>
      <c r="I282" s="249"/>
      <c r="J282" s="94"/>
      <c r="K282" s="250"/>
      <c r="L282" s="250"/>
      <c r="M282" s="250"/>
      <c r="N282" s="250"/>
      <c r="O282" s="250"/>
      <c r="P282" s="250"/>
      <c r="Q282" s="249"/>
      <c r="R282" s="94"/>
      <c r="S282" s="94"/>
      <c r="T282" s="251"/>
      <c r="U282" s="94"/>
      <c r="V282" s="94"/>
      <c r="W282" s="94"/>
      <c r="X282" s="94"/>
      <c r="Y282" s="94"/>
      <c r="Z282" s="94"/>
      <c r="AA282" s="94"/>
    </row>
    <row r="283" spans="1:27" ht="15.75" customHeight="1">
      <c r="A283" s="94"/>
      <c r="B283" s="248"/>
      <c r="C283" s="94"/>
      <c r="D283" s="94"/>
      <c r="E283" s="94"/>
      <c r="F283" s="249"/>
      <c r="G283" s="248"/>
      <c r="H283" s="94"/>
      <c r="I283" s="249"/>
      <c r="J283" s="94"/>
      <c r="K283" s="250"/>
      <c r="L283" s="250"/>
      <c r="M283" s="250"/>
      <c r="N283" s="250"/>
      <c r="O283" s="250"/>
      <c r="P283" s="250"/>
      <c r="Q283" s="249"/>
      <c r="R283" s="94"/>
      <c r="S283" s="94"/>
      <c r="T283" s="251"/>
      <c r="U283" s="94"/>
      <c r="V283" s="94"/>
      <c r="W283" s="94"/>
      <c r="X283" s="94"/>
      <c r="Y283" s="94"/>
      <c r="Z283" s="94"/>
      <c r="AA283" s="94"/>
    </row>
    <row r="284" spans="1:27" ht="15.75" customHeight="1">
      <c r="A284" s="94"/>
      <c r="B284" s="248"/>
      <c r="C284" s="94"/>
      <c r="D284" s="94"/>
      <c r="E284" s="94"/>
      <c r="F284" s="249"/>
      <c r="G284" s="248"/>
      <c r="H284" s="94"/>
      <c r="I284" s="249"/>
      <c r="J284" s="94"/>
      <c r="K284" s="250"/>
      <c r="L284" s="250"/>
      <c r="M284" s="250"/>
      <c r="N284" s="250"/>
      <c r="O284" s="250"/>
      <c r="P284" s="250"/>
      <c r="Q284" s="249"/>
      <c r="R284" s="94"/>
      <c r="S284" s="94"/>
      <c r="T284" s="251"/>
      <c r="U284" s="94"/>
      <c r="V284" s="94"/>
      <c r="W284" s="94"/>
      <c r="X284" s="94"/>
      <c r="Y284" s="94"/>
      <c r="Z284" s="94"/>
      <c r="AA284" s="94"/>
    </row>
    <row r="285" spans="1:27" ht="15.75" customHeight="1">
      <c r="A285" s="94"/>
      <c r="B285" s="248"/>
      <c r="C285" s="94"/>
      <c r="D285" s="94"/>
      <c r="E285" s="94"/>
      <c r="F285" s="249"/>
      <c r="G285" s="248"/>
      <c r="H285" s="94"/>
      <c r="I285" s="249"/>
      <c r="J285" s="94"/>
      <c r="K285" s="250"/>
      <c r="L285" s="250"/>
      <c r="M285" s="250"/>
      <c r="N285" s="250"/>
      <c r="O285" s="250"/>
      <c r="P285" s="250"/>
      <c r="Q285" s="249"/>
      <c r="R285" s="94"/>
      <c r="S285" s="94"/>
      <c r="T285" s="251"/>
      <c r="U285" s="94"/>
      <c r="V285" s="94"/>
      <c r="W285" s="94"/>
      <c r="X285" s="94"/>
      <c r="Y285" s="94"/>
      <c r="Z285" s="94"/>
      <c r="AA285" s="94"/>
    </row>
    <row r="286" spans="1:27" ht="15.75" customHeight="1">
      <c r="A286" s="94"/>
      <c r="B286" s="248"/>
      <c r="C286" s="94"/>
      <c r="D286" s="94"/>
      <c r="E286" s="94"/>
      <c r="F286" s="249"/>
      <c r="G286" s="248"/>
      <c r="H286" s="94"/>
      <c r="I286" s="249"/>
      <c r="J286" s="94"/>
      <c r="K286" s="250"/>
      <c r="L286" s="250"/>
      <c r="M286" s="250"/>
      <c r="N286" s="250"/>
      <c r="O286" s="250"/>
      <c r="P286" s="250"/>
      <c r="Q286" s="249"/>
      <c r="R286" s="94"/>
      <c r="S286" s="94"/>
      <c r="T286" s="251"/>
      <c r="U286" s="94"/>
      <c r="V286" s="94"/>
      <c r="W286" s="94"/>
      <c r="X286" s="94"/>
      <c r="Y286" s="94"/>
      <c r="Z286" s="94"/>
      <c r="AA286" s="94"/>
    </row>
    <row r="287" spans="1:27" ht="15.75" customHeight="1">
      <c r="A287" s="94"/>
      <c r="B287" s="248"/>
      <c r="C287" s="94"/>
      <c r="D287" s="94"/>
      <c r="E287" s="94"/>
      <c r="F287" s="249"/>
      <c r="G287" s="248"/>
      <c r="H287" s="94"/>
      <c r="I287" s="249"/>
      <c r="J287" s="94"/>
      <c r="K287" s="250"/>
      <c r="L287" s="250"/>
      <c r="M287" s="250"/>
      <c r="N287" s="250"/>
      <c r="O287" s="250"/>
      <c r="P287" s="250"/>
      <c r="Q287" s="249"/>
      <c r="R287" s="94"/>
      <c r="S287" s="94"/>
      <c r="T287" s="251"/>
      <c r="U287" s="94"/>
      <c r="V287" s="94"/>
      <c r="W287" s="94"/>
      <c r="X287" s="94"/>
      <c r="Y287" s="94"/>
      <c r="Z287" s="94"/>
      <c r="AA287" s="94"/>
    </row>
    <row r="288" spans="1:27" ht="15.75" customHeight="1">
      <c r="A288" s="94"/>
      <c r="B288" s="248"/>
      <c r="C288" s="94"/>
      <c r="D288" s="94"/>
      <c r="E288" s="94"/>
      <c r="F288" s="249"/>
      <c r="G288" s="248"/>
      <c r="H288" s="94"/>
      <c r="I288" s="249"/>
      <c r="J288" s="94"/>
      <c r="K288" s="250"/>
      <c r="L288" s="250"/>
      <c r="M288" s="250"/>
      <c r="N288" s="250"/>
      <c r="O288" s="250"/>
      <c r="P288" s="250"/>
      <c r="Q288" s="249"/>
      <c r="R288" s="94"/>
      <c r="S288" s="94"/>
      <c r="T288" s="251"/>
      <c r="U288" s="94"/>
      <c r="V288" s="94"/>
      <c r="W288" s="94"/>
      <c r="X288" s="94"/>
      <c r="Y288" s="94"/>
      <c r="Z288" s="94"/>
      <c r="AA288" s="94"/>
    </row>
    <row r="289" spans="1:27" ht="15.75" customHeight="1">
      <c r="A289" s="94"/>
      <c r="B289" s="248"/>
      <c r="C289" s="94"/>
      <c r="D289" s="94"/>
      <c r="E289" s="94"/>
      <c r="F289" s="249"/>
      <c r="G289" s="248"/>
      <c r="H289" s="94"/>
      <c r="I289" s="249"/>
      <c r="J289" s="94"/>
      <c r="K289" s="250"/>
      <c r="L289" s="250"/>
      <c r="M289" s="250"/>
      <c r="N289" s="250"/>
      <c r="O289" s="250"/>
      <c r="P289" s="250"/>
      <c r="Q289" s="249"/>
      <c r="R289" s="94"/>
      <c r="S289" s="94"/>
      <c r="T289" s="251"/>
      <c r="U289" s="94"/>
      <c r="V289" s="94"/>
      <c r="W289" s="94"/>
      <c r="X289" s="94"/>
      <c r="Y289" s="94"/>
      <c r="Z289" s="94"/>
      <c r="AA289" s="94"/>
    </row>
    <row r="290" spans="1:27" ht="15.75" customHeight="1">
      <c r="A290" s="94"/>
      <c r="B290" s="248"/>
      <c r="C290" s="94"/>
      <c r="D290" s="94"/>
      <c r="E290" s="94"/>
      <c r="F290" s="249"/>
      <c r="G290" s="248"/>
      <c r="H290" s="94"/>
      <c r="I290" s="249"/>
      <c r="J290" s="94"/>
      <c r="K290" s="250"/>
      <c r="L290" s="250"/>
      <c r="M290" s="250"/>
      <c r="N290" s="250"/>
      <c r="O290" s="250"/>
      <c r="P290" s="250"/>
      <c r="Q290" s="249"/>
      <c r="R290" s="94"/>
      <c r="S290" s="94"/>
      <c r="T290" s="251"/>
      <c r="U290" s="94"/>
      <c r="V290" s="94"/>
      <c r="W290" s="94"/>
      <c r="X290" s="94"/>
      <c r="Y290" s="94"/>
      <c r="Z290" s="94"/>
      <c r="AA290" s="94"/>
    </row>
    <row r="291" spans="1:27" ht="15.75" customHeight="1">
      <c r="A291" s="94"/>
      <c r="B291" s="248"/>
      <c r="C291" s="94"/>
      <c r="D291" s="94"/>
      <c r="E291" s="94"/>
      <c r="F291" s="249"/>
      <c r="G291" s="248"/>
      <c r="H291" s="94"/>
      <c r="I291" s="249"/>
      <c r="J291" s="94"/>
      <c r="K291" s="250"/>
      <c r="L291" s="250"/>
      <c r="M291" s="250"/>
      <c r="N291" s="250"/>
      <c r="O291" s="250"/>
      <c r="P291" s="250"/>
      <c r="Q291" s="249"/>
      <c r="R291" s="94"/>
      <c r="S291" s="94"/>
      <c r="T291" s="251"/>
      <c r="U291" s="94"/>
      <c r="V291" s="94"/>
      <c r="W291" s="94"/>
      <c r="X291" s="94"/>
      <c r="Y291" s="94"/>
      <c r="Z291" s="94"/>
      <c r="AA291" s="94"/>
    </row>
    <row r="292" spans="1:27" ht="15.75" customHeight="1">
      <c r="A292" s="94"/>
      <c r="B292" s="248"/>
      <c r="C292" s="94"/>
      <c r="D292" s="94"/>
      <c r="E292" s="94"/>
      <c r="F292" s="249"/>
      <c r="G292" s="248"/>
      <c r="H292" s="94"/>
      <c r="I292" s="249"/>
      <c r="J292" s="94"/>
      <c r="K292" s="250"/>
      <c r="L292" s="250"/>
      <c r="M292" s="250"/>
      <c r="N292" s="250"/>
      <c r="O292" s="250"/>
      <c r="P292" s="250"/>
      <c r="Q292" s="249"/>
      <c r="R292" s="94"/>
      <c r="S292" s="94"/>
      <c r="T292" s="251"/>
      <c r="U292" s="94"/>
      <c r="V292" s="94"/>
      <c r="W292" s="94"/>
      <c r="X292" s="94"/>
      <c r="Y292" s="94"/>
      <c r="Z292" s="94"/>
      <c r="AA292" s="94"/>
    </row>
    <row r="293" spans="1:27" ht="15.75" customHeight="1">
      <c r="A293" s="94"/>
      <c r="B293" s="248"/>
      <c r="C293" s="94"/>
      <c r="D293" s="94"/>
      <c r="E293" s="94"/>
      <c r="F293" s="249"/>
      <c r="G293" s="248"/>
      <c r="H293" s="94"/>
      <c r="I293" s="249"/>
      <c r="J293" s="94"/>
      <c r="K293" s="250"/>
      <c r="L293" s="250"/>
      <c r="M293" s="250"/>
      <c r="N293" s="250"/>
      <c r="O293" s="250"/>
      <c r="P293" s="250"/>
      <c r="Q293" s="249"/>
      <c r="R293" s="94"/>
      <c r="S293" s="94"/>
      <c r="T293" s="251"/>
      <c r="U293" s="94"/>
      <c r="V293" s="94"/>
      <c r="W293" s="94"/>
      <c r="X293" s="94"/>
      <c r="Y293" s="94"/>
      <c r="Z293" s="94"/>
      <c r="AA293" s="94"/>
    </row>
    <row r="294" spans="1:27" ht="15.75" customHeight="1">
      <c r="A294" s="94"/>
      <c r="B294" s="248"/>
      <c r="C294" s="94"/>
      <c r="D294" s="94"/>
      <c r="E294" s="94"/>
      <c r="F294" s="249"/>
      <c r="G294" s="248"/>
      <c r="H294" s="94"/>
      <c r="I294" s="249"/>
      <c r="J294" s="94"/>
      <c r="K294" s="250"/>
      <c r="L294" s="250"/>
      <c r="M294" s="250"/>
      <c r="N294" s="250"/>
      <c r="O294" s="250"/>
      <c r="P294" s="250"/>
      <c r="Q294" s="249"/>
      <c r="R294" s="94"/>
      <c r="S294" s="94"/>
      <c r="T294" s="251"/>
      <c r="U294" s="94"/>
      <c r="V294" s="94"/>
      <c r="W294" s="94"/>
      <c r="X294" s="94"/>
      <c r="Y294" s="94"/>
      <c r="Z294" s="94"/>
      <c r="AA294" s="94"/>
    </row>
    <row r="295" spans="1:27" ht="15.75" customHeight="1">
      <c r="A295" s="94"/>
      <c r="B295" s="248"/>
      <c r="C295" s="94"/>
      <c r="D295" s="94"/>
      <c r="E295" s="94"/>
      <c r="F295" s="249"/>
      <c r="G295" s="248"/>
      <c r="H295" s="94"/>
      <c r="I295" s="249"/>
      <c r="J295" s="94"/>
      <c r="K295" s="250"/>
      <c r="L295" s="250"/>
      <c r="M295" s="250"/>
      <c r="N295" s="250"/>
      <c r="O295" s="250"/>
      <c r="P295" s="250"/>
      <c r="Q295" s="249"/>
      <c r="R295" s="94"/>
      <c r="S295" s="94"/>
      <c r="T295" s="251"/>
      <c r="U295" s="94"/>
      <c r="V295" s="94"/>
      <c r="W295" s="94"/>
      <c r="X295" s="94"/>
      <c r="Y295" s="94"/>
      <c r="Z295" s="94"/>
      <c r="AA295" s="94"/>
    </row>
    <row r="296" spans="1:27" ht="15.75" customHeight="1">
      <c r="A296" s="94"/>
      <c r="B296" s="248"/>
      <c r="C296" s="94"/>
      <c r="D296" s="94"/>
      <c r="E296" s="94"/>
      <c r="F296" s="249"/>
      <c r="G296" s="248"/>
      <c r="H296" s="94"/>
      <c r="I296" s="249"/>
      <c r="J296" s="94"/>
      <c r="K296" s="250"/>
      <c r="L296" s="250"/>
      <c r="M296" s="250"/>
      <c r="N296" s="250"/>
      <c r="O296" s="250"/>
      <c r="P296" s="250"/>
      <c r="Q296" s="249"/>
      <c r="R296" s="94"/>
      <c r="S296" s="94"/>
      <c r="T296" s="251"/>
      <c r="U296" s="94"/>
      <c r="V296" s="94"/>
      <c r="W296" s="94"/>
      <c r="X296" s="94"/>
      <c r="Y296" s="94"/>
      <c r="Z296" s="94"/>
      <c r="AA296" s="94"/>
    </row>
    <row r="297" spans="1:27" ht="15.75" customHeight="1">
      <c r="A297" s="94"/>
      <c r="B297" s="248"/>
      <c r="C297" s="94"/>
      <c r="D297" s="94"/>
      <c r="E297" s="94"/>
      <c r="F297" s="249"/>
      <c r="G297" s="248"/>
      <c r="H297" s="94"/>
      <c r="I297" s="249"/>
      <c r="J297" s="94"/>
      <c r="K297" s="250"/>
      <c r="L297" s="250"/>
      <c r="M297" s="250"/>
      <c r="N297" s="250"/>
      <c r="O297" s="250"/>
      <c r="P297" s="250"/>
      <c r="Q297" s="249"/>
      <c r="R297" s="94"/>
      <c r="S297" s="94"/>
      <c r="T297" s="251"/>
      <c r="U297" s="94"/>
      <c r="V297" s="94"/>
      <c r="W297" s="94"/>
      <c r="X297" s="94"/>
      <c r="Y297" s="94"/>
      <c r="Z297" s="94"/>
      <c r="AA297" s="94"/>
    </row>
    <row r="298" spans="1:27" ht="15.75" customHeight="1">
      <c r="A298" s="94"/>
      <c r="B298" s="248"/>
      <c r="C298" s="94"/>
      <c r="D298" s="94"/>
      <c r="E298" s="94"/>
      <c r="F298" s="249"/>
      <c r="G298" s="248"/>
      <c r="H298" s="94"/>
      <c r="I298" s="249"/>
      <c r="J298" s="94"/>
      <c r="K298" s="250"/>
      <c r="L298" s="250"/>
      <c r="M298" s="250"/>
      <c r="N298" s="250"/>
      <c r="O298" s="250"/>
      <c r="P298" s="250"/>
      <c r="Q298" s="249"/>
      <c r="R298" s="94"/>
      <c r="S298" s="94"/>
      <c r="T298" s="251"/>
      <c r="U298" s="94"/>
      <c r="V298" s="94"/>
      <c r="W298" s="94"/>
      <c r="X298" s="94"/>
      <c r="Y298" s="94"/>
      <c r="Z298" s="94"/>
      <c r="AA298" s="94"/>
    </row>
    <row r="299" spans="1:27" ht="15.75" customHeight="1">
      <c r="A299" s="94"/>
      <c r="B299" s="248"/>
      <c r="C299" s="94"/>
      <c r="D299" s="94"/>
      <c r="E299" s="94"/>
      <c r="F299" s="249"/>
      <c r="G299" s="248"/>
      <c r="H299" s="94"/>
      <c r="I299" s="249"/>
      <c r="J299" s="94"/>
      <c r="K299" s="250"/>
      <c r="L299" s="250"/>
      <c r="M299" s="250"/>
      <c r="N299" s="250"/>
      <c r="O299" s="250"/>
      <c r="P299" s="250"/>
      <c r="Q299" s="249"/>
      <c r="R299" s="94"/>
      <c r="S299" s="94"/>
      <c r="T299" s="251"/>
      <c r="U299" s="94"/>
      <c r="V299" s="94"/>
      <c r="W299" s="94"/>
      <c r="X299" s="94"/>
      <c r="Y299" s="94"/>
      <c r="Z299" s="94"/>
      <c r="AA299" s="94"/>
    </row>
    <row r="300" spans="1:27" ht="15.75" customHeight="1">
      <c r="A300" s="94"/>
      <c r="B300" s="248"/>
      <c r="C300" s="94"/>
      <c r="D300" s="94"/>
      <c r="E300" s="94"/>
      <c r="F300" s="249"/>
      <c r="G300" s="248"/>
      <c r="H300" s="94"/>
      <c r="I300" s="249"/>
      <c r="J300" s="94"/>
      <c r="K300" s="250"/>
      <c r="L300" s="250"/>
      <c r="M300" s="250"/>
      <c r="N300" s="250"/>
      <c r="O300" s="250"/>
      <c r="P300" s="250"/>
      <c r="Q300" s="249"/>
      <c r="R300" s="94"/>
      <c r="S300" s="94"/>
      <c r="T300" s="251"/>
      <c r="U300" s="94"/>
      <c r="V300" s="94"/>
      <c r="W300" s="94"/>
      <c r="X300" s="94"/>
      <c r="Y300" s="94"/>
      <c r="Z300" s="94"/>
      <c r="AA300" s="94"/>
    </row>
    <row r="301" spans="1:27" ht="15.75" customHeight="1">
      <c r="A301" s="94"/>
      <c r="B301" s="248"/>
      <c r="C301" s="94"/>
      <c r="D301" s="94"/>
      <c r="E301" s="94"/>
      <c r="F301" s="249"/>
      <c r="G301" s="248"/>
      <c r="H301" s="94"/>
      <c r="I301" s="249"/>
      <c r="J301" s="94"/>
      <c r="K301" s="250"/>
      <c r="L301" s="250"/>
      <c r="M301" s="250"/>
      <c r="N301" s="250"/>
      <c r="O301" s="250"/>
      <c r="P301" s="250"/>
      <c r="Q301" s="249"/>
      <c r="R301" s="94"/>
      <c r="S301" s="94"/>
      <c r="T301" s="251"/>
      <c r="U301" s="94"/>
      <c r="V301" s="94"/>
      <c r="W301" s="94"/>
      <c r="X301" s="94"/>
      <c r="Y301" s="94"/>
      <c r="Z301" s="94"/>
      <c r="AA301" s="94"/>
    </row>
    <row r="302" spans="1:27" ht="15.75" customHeight="1">
      <c r="A302" s="94"/>
      <c r="B302" s="248"/>
      <c r="C302" s="94"/>
      <c r="D302" s="94"/>
      <c r="E302" s="94"/>
      <c r="F302" s="249"/>
      <c r="G302" s="248"/>
      <c r="H302" s="94"/>
      <c r="I302" s="249"/>
      <c r="J302" s="94"/>
      <c r="K302" s="250"/>
      <c r="L302" s="250"/>
      <c r="M302" s="250"/>
      <c r="N302" s="250"/>
      <c r="O302" s="250"/>
      <c r="P302" s="250"/>
      <c r="Q302" s="249"/>
      <c r="R302" s="94"/>
      <c r="S302" s="94"/>
      <c r="T302" s="251"/>
      <c r="U302" s="94"/>
      <c r="V302" s="94"/>
      <c r="W302" s="94"/>
      <c r="X302" s="94"/>
      <c r="Y302" s="94"/>
      <c r="Z302" s="94"/>
      <c r="AA302" s="94"/>
    </row>
    <row r="303" spans="1:27" ht="15.75" customHeight="1">
      <c r="A303" s="94"/>
      <c r="B303" s="248"/>
      <c r="C303" s="94"/>
      <c r="D303" s="94"/>
      <c r="E303" s="94"/>
      <c r="F303" s="249"/>
      <c r="G303" s="248"/>
      <c r="H303" s="94"/>
      <c r="I303" s="249"/>
      <c r="J303" s="94"/>
      <c r="K303" s="250"/>
      <c r="L303" s="250"/>
      <c r="M303" s="250"/>
      <c r="N303" s="250"/>
      <c r="O303" s="250"/>
      <c r="P303" s="250"/>
      <c r="Q303" s="249"/>
      <c r="R303" s="94"/>
      <c r="S303" s="94"/>
      <c r="T303" s="251"/>
      <c r="U303" s="94"/>
      <c r="V303" s="94"/>
      <c r="W303" s="94"/>
      <c r="X303" s="94"/>
      <c r="Y303" s="94"/>
      <c r="Z303" s="94"/>
      <c r="AA303" s="94"/>
    </row>
    <row r="304" spans="1:27" ht="15.75" customHeight="1">
      <c r="A304" s="94"/>
      <c r="B304" s="248"/>
      <c r="C304" s="94"/>
      <c r="D304" s="94"/>
      <c r="E304" s="94"/>
      <c r="F304" s="249"/>
      <c r="G304" s="248"/>
      <c r="H304" s="94"/>
      <c r="I304" s="249"/>
      <c r="J304" s="94"/>
      <c r="K304" s="250"/>
      <c r="L304" s="250"/>
      <c r="M304" s="250"/>
      <c r="N304" s="250"/>
      <c r="O304" s="250"/>
      <c r="P304" s="250"/>
      <c r="Q304" s="249"/>
      <c r="R304" s="94"/>
      <c r="S304" s="94"/>
      <c r="T304" s="251"/>
      <c r="U304" s="94"/>
      <c r="V304" s="94"/>
      <c r="W304" s="94"/>
      <c r="X304" s="94"/>
      <c r="Y304" s="94"/>
      <c r="Z304" s="94"/>
      <c r="AA304" s="94"/>
    </row>
    <row r="305" spans="1:27" ht="15.75" customHeight="1">
      <c r="A305" s="94"/>
      <c r="B305" s="248"/>
      <c r="C305" s="94"/>
      <c r="D305" s="94"/>
      <c r="E305" s="94"/>
      <c r="F305" s="249"/>
      <c r="G305" s="248"/>
      <c r="H305" s="94"/>
      <c r="I305" s="249"/>
      <c r="J305" s="94"/>
      <c r="K305" s="250"/>
      <c r="L305" s="250"/>
      <c r="M305" s="250"/>
      <c r="N305" s="250"/>
      <c r="O305" s="250"/>
      <c r="P305" s="250"/>
      <c r="Q305" s="249"/>
      <c r="R305" s="94"/>
      <c r="S305" s="94"/>
      <c r="T305" s="251"/>
      <c r="U305" s="94"/>
      <c r="V305" s="94"/>
      <c r="W305" s="94"/>
      <c r="X305" s="94"/>
      <c r="Y305" s="94"/>
      <c r="Z305" s="94"/>
      <c r="AA305" s="94"/>
    </row>
    <row r="306" spans="1:27" ht="15.75" customHeight="1">
      <c r="A306" s="94"/>
      <c r="B306" s="248"/>
      <c r="C306" s="94"/>
      <c r="D306" s="94"/>
      <c r="E306" s="94"/>
      <c r="F306" s="249"/>
      <c r="G306" s="248"/>
      <c r="H306" s="94"/>
      <c r="I306" s="249"/>
      <c r="J306" s="94"/>
      <c r="K306" s="250"/>
      <c r="L306" s="250"/>
      <c r="M306" s="250"/>
      <c r="N306" s="250"/>
      <c r="O306" s="250"/>
      <c r="P306" s="250"/>
      <c r="Q306" s="249"/>
      <c r="R306" s="94"/>
      <c r="S306" s="94"/>
      <c r="T306" s="251"/>
      <c r="U306" s="94"/>
      <c r="V306" s="94"/>
      <c r="W306" s="94"/>
      <c r="X306" s="94"/>
      <c r="Y306" s="94"/>
      <c r="Z306" s="94"/>
      <c r="AA306" s="94"/>
    </row>
    <row r="307" spans="1:27" ht="15.75" customHeight="1">
      <c r="A307" s="94"/>
      <c r="B307" s="248"/>
      <c r="C307" s="94"/>
      <c r="D307" s="94"/>
      <c r="E307" s="94"/>
      <c r="F307" s="249"/>
      <c r="G307" s="248"/>
      <c r="H307" s="94"/>
      <c r="I307" s="249"/>
      <c r="J307" s="94"/>
      <c r="K307" s="250"/>
      <c r="L307" s="250"/>
      <c r="M307" s="250"/>
      <c r="N307" s="250"/>
      <c r="O307" s="250"/>
      <c r="P307" s="250"/>
      <c r="Q307" s="249"/>
      <c r="R307" s="94"/>
      <c r="S307" s="94"/>
      <c r="T307" s="251"/>
      <c r="U307" s="94"/>
      <c r="V307" s="94"/>
      <c r="W307" s="94"/>
      <c r="X307" s="94"/>
      <c r="Y307" s="94"/>
      <c r="Z307" s="94"/>
      <c r="AA307" s="94"/>
    </row>
    <row r="308" spans="1:27" ht="15.75" customHeight="1">
      <c r="A308" s="94"/>
      <c r="B308" s="248"/>
      <c r="C308" s="94"/>
      <c r="D308" s="94"/>
      <c r="E308" s="94"/>
      <c r="F308" s="249"/>
      <c r="G308" s="248"/>
      <c r="H308" s="94"/>
      <c r="I308" s="249"/>
      <c r="J308" s="94"/>
      <c r="K308" s="250"/>
      <c r="L308" s="250"/>
      <c r="M308" s="250"/>
      <c r="N308" s="250"/>
      <c r="O308" s="250"/>
      <c r="P308" s="250"/>
      <c r="Q308" s="249"/>
      <c r="R308" s="94"/>
      <c r="S308" s="94"/>
      <c r="T308" s="251"/>
      <c r="U308" s="94"/>
      <c r="V308" s="94"/>
      <c r="W308" s="94"/>
      <c r="X308" s="94"/>
      <c r="Y308" s="94"/>
      <c r="Z308" s="94"/>
      <c r="AA308" s="94"/>
    </row>
    <row r="309" spans="1:27" ht="15.75" customHeight="1">
      <c r="A309" s="94"/>
      <c r="B309" s="248"/>
      <c r="C309" s="94"/>
      <c r="D309" s="94"/>
      <c r="E309" s="94"/>
      <c r="F309" s="249"/>
      <c r="G309" s="248"/>
      <c r="H309" s="94"/>
      <c r="I309" s="249"/>
      <c r="J309" s="94"/>
      <c r="K309" s="250"/>
      <c r="L309" s="250"/>
      <c r="M309" s="250"/>
      <c r="N309" s="250"/>
      <c r="O309" s="250"/>
      <c r="P309" s="250"/>
      <c r="Q309" s="249"/>
      <c r="R309" s="94"/>
      <c r="S309" s="94"/>
      <c r="T309" s="251"/>
      <c r="U309" s="94"/>
      <c r="V309" s="94"/>
      <c r="W309" s="94"/>
      <c r="X309" s="94"/>
      <c r="Y309" s="94"/>
      <c r="Z309" s="94"/>
      <c r="AA309" s="94"/>
    </row>
    <row r="310" spans="1:27" ht="15.75" customHeight="1">
      <c r="A310" s="94"/>
      <c r="B310" s="248"/>
      <c r="C310" s="94"/>
      <c r="D310" s="94"/>
      <c r="E310" s="94"/>
      <c r="F310" s="249"/>
      <c r="G310" s="248"/>
      <c r="H310" s="94"/>
      <c r="I310" s="249"/>
      <c r="J310" s="94"/>
      <c r="K310" s="250"/>
      <c r="L310" s="250"/>
      <c r="M310" s="250"/>
      <c r="N310" s="250"/>
      <c r="O310" s="250"/>
      <c r="P310" s="250"/>
      <c r="Q310" s="249"/>
      <c r="R310" s="94"/>
      <c r="S310" s="94"/>
      <c r="T310" s="251"/>
      <c r="U310" s="94"/>
      <c r="V310" s="94"/>
      <c r="W310" s="94"/>
      <c r="X310" s="94"/>
      <c r="Y310" s="94"/>
      <c r="Z310" s="94"/>
      <c r="AA310" s="94"/>
    </row>
    <row r="311" spans="1:27" ht="15.75" customHeight="1">
      <c r="A311" s="94"/>
      <c r="B311" s="248"/>
      <c r="C311" s="94"/>
      <c r="D311" s="94"/>
      <c r="E311" s="94"/>
      <c r="F311" s="249"/>
      <c r="G311" s="248"/>
      <c r="H311" s="94"/>
      <c r="I311" s="249"/>
      <c r="J311" s="94"/>
      <c r="K311" s="250"/>
      <c r="L311" s="250"/>
      <c r="M311" s="250"/>
      <c r="N311" s="250"/>
      <c r="O311" s="250"/>
      <c r="P311" s="250"/>
      <c r="Q311" s="249"/>
      <c r="R311" s="94"/>
      <c r="S311" s="94"/>
      <c r="T311" s="251"/>
      <c r="U311" s="94"/>
      <c r="V311" s="94"/>
      <c r="W311" s="94"/>
      <c r="X311" s="94"/>
      <c r="Y311" s="94"/>
      <c r="Z311" s="94"/>
      <c r="AA311" s="94"/>
    </row>
    <row r="312" spans="1:27" ht="15.75" customHeight="1">
      <c r="A312" s="94"/>
      <c r="B312" s="248"/>
      <c r="C312" s="94"/>
      <c r="D312" s="94"/>
      <c r="E312" s="94"/>
      <c r="F312" s="249"/>
      <c r="G312" s="248"/>
      <c r="H312" s="94"/>
      <c r="I312" s="249"/>
      <c r="J312" s="94"/>
      <c r="K312" s="250"/>
      <c r="L312" s="250"/>
      <c r="M312" s="250"/>
      <c r="N312" s="250"/>
      <c r="O312" s="250"/>
      <c r="P312" s="250"/>
      <c r="Q312" s="249"/>
      <c r="R312" s="94"/>
      <c r="S312" s="94"/>
      <c r="T312" s="251"/>
      <c r="U312" s="94"/>
      <c r="V312" s="94"/>
      <c r="W312" s="94"/>
      <c r="X312" s="94"/>
      <c r="Y312" s="94"/>
      <c r="Z312" s="94"/>
      <c r="AA312" s="94"/>
    </row>
    <row r="313" spans="1:27" ht="15.75" customHeight="1">
      <c r="A313" s="94"/>
      <c r="B313" s="248"/>
      <c r="C313" s="94"/>
      <c r="D313" s="94"/>
      <c r="E313" s="94"/>
      <c r="F313" s="249"/>
      <c r="G313" s="248"/>
      <c r="H313" s="94"/>
      <c r="I313" s="249"/>
      <c r="J313" s="94"/>
      <c r="K313" s="250"/>
      <c r="L313" s="250"/>
      <c r="M313" s="250"/>
      <c r="N313" s="250"/>
      <c r="O313" s="250"/>
      <c r="P313" s="250"/>
      <c r="Q313" s="249"/>
      <c r="R313" s="94"/>
      <c r="S313" s="94"/>
      <c r="T313" s="251"/>
      <c r="U313" s="94"/>
      <c r="V313" s="94"/>
      <c r="W313" s="94"/>
      <c r="X313" s="94"/>
      <c r="Y313" s="94"/>
      <c r="Z313" s="94"/>
      <c r="AA313" s="94"/>
    </row>
    <row r="314" spans="1:27" ht="15.75" customHeight="1">
      <c r="A314" s="94"/>
      <c r="B314" s="248"/>
      <c r="C314" s="94"/>
      <c r="D314" s="94"/>
      <c r="E314" s="94"/>
      <c r="F314" s="249"/>
      <c r="G314" s="248"/>
      <c r="H314" s="94"/>
      <c r="I314" s="249"/>
      <c r="J314" s="94"/>
      <c r="K314" s="250"/>
      <c r="L314" s="250"/>
      <c r="M314" s="250"/>
      <c r="N314" s="250"/>
      <c r="O314" s="250"/>
      <c r="P314" s="250"/>
      <c r="Q314" s="249"/>
      <c r="R314" s="94"/>
      <c r="S314" s="94"/>
      <c r="T314" s="251"/>
      <c r="U314" s="94"/>
      <c r="V314" s="94"/>
      <c r="W314" s="94"/>
      <c r="X314" s="94"/>
      <c r="Y314" s="94"/>
      <c r="Z314" s="94"/>
      <c r="AA314" s="94"/>
    </row>
    <row r="315" spans="1:27" ht="15.75" customHeight="1">
      <c r="A315" s="94"/>
      <c r="B315" s="248"/>
      <c r="C315" s="94"/>
      <c r="D315" s="94"/>
      <c r="E315" s="94"/>
      <c r="F315" s="249"/>
      <c r="G315" s="248"/>
      <c r="H315" s="94"/>
      <c r="I315" s="249"/>
      <c r="J315" s="94"/>
      <c r="K315" s="250"/>
      <c r="L315" s="250"/>
      <c r="M315" s="250"/>
      <c r="N315" s="250"/>
      <c r="O315" s="250"/>
      <c r="P315" s="250"/>
      <c r="Q315" s="249"/>
      <c r="R315" s="94"/>
      <c r="S315" s="94"/>
      <c r="T315" s="251"/>
      <c r="U315" s="94"/>
      <c r="V315" s="94"/>
      <c r="W315" s="94"/>
      <c r="X315" s="94"/>
      <c r="Y315" s="94"/>
      <c r="Z315" s="94"/>
      <c r="AA315" s="94"/>
    </row>
    <row r="316" spans="1:27" ht="15.75" customHeight="1">
      <c r="A316" s="94"/>
      <c r="B316" s="248"/>
      <c r="C316" s="94"/>
      <c r="D316" s="94"/>
      <c r="E316" s="94"/>
      <c r="F316" s="249"/>
      <c r="G316" s="248"/>
      <c r="H316" s="94"/>
      <c r="I316" s="249"/>
      <c r="J316" s="94"/>
      <c r="K316" s="250"/>
      <c r="L316" s="250"/>
      <c r="M316" s="250"/>
      <c r="N316" s="250"/>
      <c r="O316" s="250"/>
      <c r="P316" s="250"/>
      <c r="Q316" s="249"/>
      <c r="R316" s="94"/>
      <c r="S316" s="94"/>
      <c r="T316" s="251"/>
      <c r="U316" s="94"/>
      <c r="V316" s="94"/>
      <c r="W316" s="94"/>
      <c r="X316" s="94"/>
      <c r="Y316" s="94"/>
      <c r="Z316" s="94"/>
      <c r="AA316" s="94"/>
    </row>
    <row r="317" spans="1:27" ht="15.75" customHeight="1">
      <c r="A317" s="94"/>
      <c r="B317" s="248"/>
      <c r="C317" s="94"/>
      <c r="D317" s="94"/>
      <c r="E317" s="94"/>
      <c r="F317" s="249"/>
      <c r="G317" s="248"/>
      <c r="H317" s="94"/>
      <c r="I317" s="249"/>
      <c r="J317" s="94"/>
      <c r="K317" s="250"/>
      <c r="L317" s="250"/>
      <c r="M317" s="250"/>
      <c r="N317" s="250"/>
      <c r="O317" s="250"/>
      <c r="P317" s="250"/>
      <c r="Q317" s="249"/>
      <c r="R317" s="94"/>
      <c r="S317" s="94"/>
      <c r="T317" s="251"/>
      <c r="U317" s="94"/>
      <c r="V317" s="94"/>
      <c r="W317" s="94"/>
      <c r="X317" s="94"/>
      <c r="Y317" s="94"/>
      <c r="Z317" s="94"/>
      <c r="AA317" s="94"/>
    </row>
    <row r="318" spans="1:27" ht="15.75" customHeight="1">
      <c r="A318" s="94"/>
      <c r="B318" s="248"/>
      <c r="C318" s="94"/>
      <c r="D318" s="94"/>
      <c r="E318" s="94"/>
      <c r="F318" s="249"/>
      <c r="G318" s="248"/>
      <c r="H318" s="94"/>
      <c r="I318" s="249"/>
      <c r="J318" s="94"/>
      <c r="K318" s="250"/>
      <c r="L318" s="250"/>
      <c r="M318" s="250"/>
      <c r="N318" s="250"/>
      <c r="O318" s="250"/>
      <c r="P318" s="250"/>
      <c r="Q318" s="249"/>
      <c r="R318" s="94"/>
      <c r="S318" s="94"/>
      <c r="T318" s="251"/>
      <c r="U318" s="94"/>
      <c r="V318" s="94"/>
      <c r="W318" s="94"/>
      <c r="X318" s="94"/>
      <c r="Y318" s="94"/>
      <c r="Z318" s="94"/>
      <c r="AA318" s="94"/>
    </row>
    <row r="319" spans="1:27" ht="15.75" customHeight="1">
      <c r="A319" s="94"/>
      <c r="B319" s="248"/>
      <c r="C319" s="94"/>
      <c r="D319" s="94"/>
      <c r="E319" s="94"/>
      <c r="F319" s="249"/>
      <c r="G319" s="248"/>
      <c r="H319" s="94"/>
      <c r="I319" s="249"/>
      <c r="J319" s="94"/>
      <c r="K319" s="250"/>
      <c r="L319" s="250"/>
      <c r="M319" s="250"/>
      <c r="N319" s="250"/>
      <c r="O319" s="250"/>
      <c r="P319" s="250"/>
      <c r="Q319" s="249"/>
      <c r="R319" s="94"/>
      <c r="S319" s="94"/>
      <c r="T319" s="251"/>
      <c r="U319" s="94"/>
      <c r="V319" s="94"/>
      <c r="W319" s="94"/>
      <c r="X319" s="94"/>
      <c r="Y319" s="94"/>
      <c r="Z319" s="94"/>
      <c r="AA319" s="94"/>
    </row>
    <row r="320" spans="1:27" ht="15.75" customHeight="1">
      <c r="A320" s="94"/>
      <c r="B320" s="248"/>
      <c r="C320" s="94"/>
      <c r="D320" s="94"/>
      <c r="E320" s="94"/>
      <c r="F320" s="249"/>
      <c r="G320" s="248"/>
      <c r="H320" s="94"/>
      <c r="I320" s="249"/>
      <c r="J320" s="94"/>
      <c r="K320" s="250"/>
      <c r="L320" s="250"/>
      <c r="M320" s="250"/>
      <c r="N320" s="250"/>
      <c r="O320" s="250"/>
      <c r="P320" s="250"/>
      <c r="Q320" s="249"/>
      <c r="R320" s="94"/>
      <c r="S320" s="94"/>
      <c r="T320" s="251"/>
      <c r="U320" s="94"/>
      <c r="V320" s="94"/>
      <c r="W320" s="94"/>
      <c r="X320" s="94"/>
      <c r="Y320" s="94"/>
      <c r="Z320" s="94"/>
      <c r="AA320" s="94"/>
    </row>
    <row r="321" spans="1:27" ht="15.75" customHeight="1">
      <c r="A321" s="94"/>
      <c r="B321" s="248"/>
      <c r="C321" s="94"/>
      <c r="D321" s="94"/>
      <c r="E321" s="94"/>
      <c r="F321" s="249"/>
      <c r="G321" s="248"/>
      <c r="H321" s="94"/>
      <c r="I321" s="249"/>
      <c r="J321" s="94"/>
      <c r="K321" s="250"/>
      <c r="L321" s="250"/>
      <c r="M321" s="250"/>
      <c r="N321" s="250"/>
      <c r="O321" s="250"/>
      <c r="P321" s="250"/>
      <c r="Q321" s="249"/>
      <c r="R321" s="94"/>
      <c r="S321" s="94"/>
      <c r="T321" s="251"/>
      <c r="U321" s="94"/>
      <c r="V321" s="94"/>
      <c r="W321" s="94"/>
      <c r="X321" s="94"/>
      <c r="Y321" s="94"/>
      <c r="Z321" s="94"/>
      <c r="AA321" s="94"/>
    </row>
    <row r="322" spans="1:27" ht="15.75" customHeight="1">
      <c r="A322" s="94"/>
      <c r="B322" s="248"/>
      <c r="C322" s="94"/>
      <c r="D322" s="94"/>
      <c r="E322" s="94"/>
      <c r="F322" s="249"/>
      <c r="G322" s="248"/>
      <c r="H322" s="94"/>
      <c r="I322" s="249"/>
      <c r="J322" s="94"/>
      <c r="K322" s="250"/>
      <c r="L322" s="250"/>
      <c r="M322" s="250"/>
      <c r="N322" s="250"/>
      <c r="O322" s="250"/>
      <c r="P322" s="250"/>
      <c r="Q322" s="249"/>
      <c r="R322" s="94"/>
      <c r="S322" s="94"/>
      <c r="T322" s="251"/>
      <c r="U322" s="94"/>
      <c r="V322" s="94"/>
      <c r="W322" s="94"/>
      <c r="X322" s="94"/>
      <c r="Y322" s="94"/>
      <c r="Z322" s="94"/>
      <c r="AA322" s="94"/>
    </row>
    <row r="323" spans="1:27" ht="15.75" customHeight="1">
      <c r="A323" s="94"/>
      <c r="B323" s="248"/>
      <c r="C323" s="94"/>
      <c r="D323" s="94"/>
      <c r="E323" s="94"/>
      <c r="F323" s="249"/>
      <c r="G323" s="248"/>
      <c r="H323" s="94"/>
      <c r="I323" s="249"/>
      <c r="J323" s="94"/>
      <c r="K323" s="250"/>
      <c r="L323" s="250"/>
      <c r="M323" s="250"/>
      <c r="N323" s="250"/>
      <c r="O323" s="250"/>
      <c r="P323" s="250"/>
      <c r="Q323" s="249"/>
      <c r="R323" s="94"/>
      <c r="S323" s="94"/>
      <c r="T323" s="251"/>
      <c r="U323" s="94"/>
      <c r="V323" s="94"/>
      <c r="W323" s="94"/>
      <c r="X323" s="94"/>
      <c r="Y323" s="94"/>
      <c r="Z323" s="94"/>
      <c r="AA323" s="94"/>
    </row>
    <row r="324" spans="1:27" ht="15.75" customHeight="1">
      <c r="A324" s="94"/>
      <c r="B324" s="248"/>
      <c r="C324" s="94"/>
      <c r="D324" s="94"/>
      <c r="E324" s="94"/>
      <c r="F324" s="249"/>
      <c r="G324" s="248"/>
      <c r="H324" s="94"/>
      <c r="I324" s="249"/>
      <c r="J324" s="94"/>
      <c r="K324" s="250"/>
      <c r="L324" s="250"/>
      <c r="M324" s="250"/>
      <c r="N324" s="250"/>
      <c r="O324" s="250"/>
      <c r="P324" s="250"/>
      <c r="Q324" s="249"/>
      <c r="R324" s="94"/>
      <c r="S324" s="94"/>
      <c r="T324" s="251"/>
      <c r="U324" s="94"/>
      <c r="V324" s="94"/>
      <c r="W324" s="94"/>
      <c r="X324" s="94"/>
      <c r="Y324" s="94"/>
      <c r="Z324" s="94"/>
      <c r="AA324" s="94"/>
    </row>
    <row r="325" spans="1:27" ht="15.75" customHeight="1">
      <c r="A325" s="94"/>
      <c r="B325" s="248"/>
      <c r="C325" s="94"/>
      <c r="D325" s="94"/>
      <c r="E325" s="94"/>
      <c r="F325" s="249"/>
      <c r="G325" s="248"/>
      <c r="H325" s="94"/>
      <c r="I325" s="249"/>
      <c r="J325" s="94"/>
      <c r="K325" s="250"/>
      <c r="L325" s="250"/>
      <c r="M325" s="250"/>
      <c r="N325" s="250"/>
      <c r="O325" s="250"/>
      <c r="P325" s="250"/>
      <c r="Q325" s="249"/>
      <c r="R325" s="94"/>
      <c r="S325" s="94"/>
      <c r="T325" s="251"/>
      <c r="U325" s="94"/>
      <c r="V325" s="94"/>
      <c r="W325" s="94"/>
      <c r="X325" s="94"/>
      <c r="Y325" s="94"/>
      <c r="Z325" s="94"/>
      <c r="AA325" s="94"/>
    </row>
    <row r="326" spans="1:27" ht="15.75" customHeight="1">
      <c r="A326" s="94"/>
      <c r="B326" s="248"/>
      <c r="C326" s="94"/>
      <c r="D326" s="94"/>
      <c r="E326" s="94"/>
      <c r="F326" s="249"/>
      <c r="G326" s="248"/>
      <c r="H326" s="94"/>
      <c r="I326" s="249"/>
      <c r="J326" s="94"/>
      <c r="K326" s="250"/>
      <c r="L326" s="250"/>
      <c r="M326" s="250"/>
      <c r="N326" s="250"/>
      <c r="O326" s="250"/>
      <c r="P326" s="250"/>
      <c r="Q326" s="249"/>
      <c r="R326" s="94"/>
      <c r="S326" s="94"/>
      <c r="T326" s="251"/>
      <c r="U326" s="94"/>
      <c r="V326" s="94"/>
      <c r="W326" s="94"/>
      <c r="X326" s="94"/>
      <c r="Y326" s="94"/>
      <c r="Z326" s="94"/>
      <c r="AA326" s="94"/>
    </row>
    <row r="327" spans="1:27" ht="15.75" customHeight="1">
      <c r="A327" s="94"/>
      <c r="B327" s="248"/>
      <c r="C327" s="94"/>
      <c r="D327" s="94"/>
      <c r="E327" s="94"/>
      <c r="F327" s="249"/>
      <c r="G327" s="248"/>
      <c r="H327" s="94"/>
      <c r="I327" s="249"/>
      <c r="J327" s="94"/>
      <c r="K327" s="250"/>
      <c r="L327" s="250"/>
      <c r="M327" s="250"/>
      <c r="N327" s="250"/>
      <c r="O327" s="250"/>
      <c r="P327" s="250"/>
      <c r="Q327" s="249"/>
      <c r="R327" s="94"/>
      <c r="S327" s="94"/>
      <c r="T327" s="251"/>
      <c r="U327" s="94"/>
      <c r="V327" s="94"/>
      <c r="W327" s="94"/>
      <c r="X327" s="94"/>
      <c r="Y327" s="94"/>
      <c r="Z327" s="94"/>
      <c r="AA327" s="94"/>
    </row>
    <row r="328" spans="1:27" ht="15.75" customHeight="1">
      <c r="A328" s="94"/>
      <c r="B328" s="248"/>
      <c r="C328" s="94"/>
      <c r="D328" s="94"/>
      <c r="E328" s="94"/>
      <c r="F328" s="249"/>
      <c r="G328" s="248"/>
      <c r="H328" s="94"/>
      <c r="I328" s="249"/>
      <c r="J328" s="94"/>
      <c r="K328" s="250"/>
      <c r="L328" s="250"/>
      <c r="M328" s="250"/>
      <c r="N328" s="250"/>
      <c r="O328" s="250"/>
      <c r="P328" s="250"/>
      <c r="Q328" s="249"/>
      <c r="R328" s="94"/>
      <c r="S328" s="94"/>
      <c r="T328" s="251"/>
      <c r="U328" s="94"/>
      <c r="V328" s="94"/>
      <c r="W328" s="94"/>
      <c r="X328" s="94"/>
      <c r="Y328" s="94"/>
      <c r="Z328" s="94"/>
      <c r="AA328" s="94"/>
    </row>
    <row r="329" spans="1:27" ht="15.75" customHeight="1">
      <c r="A329" s="94"/>
      <c r="B329" s="248"/>
      <c r="C329" s="94"/>
      <c r="D329" s="94"/>
      <c r="E329" s="94"/>
      <c r="F329" s="249"/>
      <c r="G329" s="248"/>
      <c r="H329" s="94"/>
      <c r="I329" s="249"/>
      <c r="J329" s="94"/>
      <c r="K329" s="250"/>
      <c r="L329" s="250"/>
      <c r="M329" s="250"/>
      <c r="N329" s="250"/>
      <c r="O329" s="250"/>
      <c r="P329" s="250"/>
      <c r="Q329" s="249"/>
      <c r="R329" s="94"/>
      <c r="S329" s="94"/>
      <c r="T329" s="251"/>
      <c r="U329" s="94"/>
      <c r="V329" s="94"/>
      <c r="W329" s="94"/>
      <c r="X329" s="94"/>
      <c r="Y329" s="94"/>
      <c r="Z329" s="94"/>
      <c r="AA329" s="94"/>
    </row>
    <row r="330" spans="1:27" ht="15.75" customHeight="1">
      <c r="A330" s="94"/>
      <c r="B330" s="248"/>
      <c r="C330" s="94"/>
      <c r="D330" s="94"/>
      <c r="E330" s="94"/>
      <c r="F330" s="249"/>
      <c r="G330" s="248"/>
      <c r="H330" s="94"/>
      <c r="I330" s="249"/>
      <c r="J330" s="94"/>
      <c r="K330" s="250"/>
      <c r="L330" s="250"/>
      <c r="M330" s="250"/>
      <c r="N330" s="250"/>
      <c r="O330" s="250"/>
      <c r="P330" s="250"/>
      <c r="Q330" s="249"/>
      <c r="R330" s="94"/>
      <c r="S330" s="94"/>
      <c r="T330" s="251"/>
      <c r="U330" s="94"/>
      <c r="V330" s="94"/>
      <c r="W330" s="94"/>
      <c r="X330" s="94"/>
      <c r="Y330" s="94"/>
      <c r="Z330" s="94"/>
      <c r="AA330" s="94"/>
    </row>
    <row r="331" spans="1:27" ht="15.75" customHeight="1">
      <c r="A331" s="94"/>
      <c r="B331" s="248"/>
      <c r="C331" s="94"/>
      <c r="D331" s="94"/>
      <c r="E331" s="94"/>
      <c r="F331" s="249"/>
      <c r="G331" s="248"/>
      <c r="H331" s="94"/>
      <c r="I331" s="249"/>
      <c r="J331" s="94"/>
      <c r="K331" s="250"/>
      <c r="L331" s="250"/>
      <c r="M331" s="250"/>
      <c r="N331" s="250"/>
      <c r="O331" s="250"/>
      <c r="P331" s="250"/>
      <c r="Q331" s="249"/>
      <c r="R331" s="94"/>
      <c r="S331" s="94"/>
      <c r="T331" s="251"/>
      <c r="U331" s="94"/>
      <c r="V331" s="94"/>
      <c r="W331" s="94"/>
      <c r="X331" s="94"/>
      <c r="Y331" s="94"/>
      <c r="Z331" s="94"/>
      <c r="AA331" s="94"/>
    </row>
    <row r="332" spans="1:27" ht="15.75" customHeight="1">
      <c r="A332" s="94"/>
      <c r="B332" s="248"/>
      <c r="C332" s="94"/>
      <c r="D332" s="94"/>
      <c r="E332" s="94"/>
      <c r="F332" s="249"/>
      <c r="G332" s="248"/>
      <c r="H332" s="94"/>
      <c r="I332" s="249"/>
      <c r="J332" s="94"/>
      <c r="K332" s="250"/>
      <c r="L332" s="250"/>
      <c r="M332" s="250"/>
      <c r="N332" s="250"/>
      <c r="O332" s="250"/>
      <c r="P332" s="250"/>
      <c r="Q332" s="249"/>
      <c r="R332" s="94"/>
      <c r="S332" s="94"/>
      <c r="T332" s="251"/>
      <c r="U332" s="94"/>
      <c r="V332" s="94"/>
      <c r="W332" s="94"/>
      <c r="X332" s="94"/>
      <c r="Y332" s="94"/>
      <c r="Z332" s="94"/>
      <c r="AA332" s="94"/>
    </row>
    <row r="333" spans="1:27" ht="15.75" customHeight="1">
      <c r="A333" s="94"/>
      <c r="B333" s="248"/>
      <c r="C333" s="94"/>
      <c r="D333" s="94"/>
      <c r="E333" s="94"/>
      <c r="F333" s="249"/>
      <c r="G333" s="248"/>
      <c r="H333" s="94"/>
      <c r="I333" s="249"/>
      <c r="J333" s="94"/>
      <c r="K333" s="250"/>
      <c r="L333" s="250"/>
      <c r="M333" s="250"/>
      <c r="N333" s="250"/>
      <c r="O333" s="250"/>
      <c r="P333" s="250"/>
      <c r="Q333" s="249"/>
      <c r="R333" s="94"/>
      <c r="S333" s="94"/>
      <c r="T333" s="251"/>
      <c r="U333" s="94"/>
      <c r="V333" s="94"/>
      <c r="W333" s="94"/>
      <c r="X333" s="94"/>
      <c r="Y333" s="94"/>
      <c r="Z333" s="94"/>
      <c r="AA333" s="94"/>
    </row>
    <row r="334" spans="1:27" ht="15.75" customHeight="1">
      <c r="A334" s="94"/>
      <c r="B334" s="248"/>
      <c r="C334" s="94"/>
      <c r="D334" s="94"/>
      <c r="E334" s="94"/>
      <c r="F334" s="249"/>
      <c r="G334" s="248"/>
      <c r="H334" s="94"/>
      <c r="I334" s="249"/>
      <c r="J334" s="94"/>
      <c r="K334" s="250"/>
      <c r="L334" s="250"/>
      <c r="M334" s="250"/>
      <c r="N334" s="250"/>
      <c r="O334" s="250"/>
      <c r="P334" s="250"/>
      <c r="Q334" s="249"/>
      <c r="R334" s="94"/>
      <c r="S334" s="94"/>
      <c r="T334" s="251"/>
      <c r="U334" s="94"/>
      <c r="V334" s="94"/>
      <c r="W334" s="94"/>
      <c r="X334" s="94"/>
      <c r="Y334" s="94"/>
      <c r="Z334" s="94"/>
      <c r="AA334" s="94"/>
    </row>
    <row r="335" spans="1:27" ht="15.75" customHeight="1">
      <c r="A335" s="94"/>
      <c r="B335" s="248"/>
      <c r="C335" s="94"/>
      <c r="D335" s="94"/>
      <c r="E335" s="94"/>
      <c r="F335" s="249"/>
      <c r="G335" s="248"/>
      <c r="H335" s="94"/>
      <c r="I335" s="249"/>
      <c r="J335" s="94"/>
      <c r="K335" s="250"/>
      <c r="L335" s="250"/>
      <c r="M335" s="250"/>
      <c r="N335" s="250"/>
      <c r="O335" s="250"/>
      <c r="P335" s="250"/>
      <c r="Q335" s="249"/>
      <c r="R335" s="94"/>
      <c r="S335" s="94"/>
      <c r="T335" s="251"/>
      <c r="U335" s="94"/>
      <c r="V335" s="94"/>
      <c r="W335" s="94"/>
      <c r="X335" s="94"/>
      <c r="Y335" s="94"/>
      <c r="Z335" s="94"/>
      <c r="AA335" s="94"/>
    </row>
    <row r="336" spans="1:27" ht="15.75" customHeight="1">
      <c r="A336" s="94"/>
      <c r="B336" s="248"/>
      <c r="C336" s="94"/>
      <c r="D336" s="94"/>
      <c r="E336" s="94"/>
      <c r="F336" s="249"/>
      <c r="G336" s="248"/>
      <c r="H336" s="94"/>
      <c r="I336" s="249"/>
      <c r="J336" s="94"/>
      <c r="K336" s="250"/>
      <c r="L336" s="250"/>
      <c r="M336" s="250"/>
      <c r="N336" s="250"/>
      <c r="O336" s="250"/>
      <c r="P336" s="250"/>
      <c r="Q336" s="249"/>
      <c r="R336" s="94"/>
      <c r="S336" s="94"/>
      <c r="T336" s="251"/>
      <c r="U336" s="94"/>
      <c r="V336" s="94"/>
      <c r="W336" s="94"/>
      <c r="X336" s="94"/>
      <c r="Y336" s="94"/>
      <c r="Z336" s="94"/>
      <c r="AA336" s="94"/>
    </row>
    <row r="337" spans="1:27" ht="15.75" customHeight="1">
      <c r="A337" s="94"/>
      <c r="B337" s="248"/>
      <c r="C337" s="94"/>
      <c r="D337" s="94"/>
      <c r="E337" s="94"/>
      <c r="F337" s="249"/>
      <c r="G337" s="248"/>
      <c r="H337" s="94"/>
      <c r="I337" s="249"/>
      <c r="J337" s="94"/>
      <c r="K337" s="250"/>
      <c r="L337" s="250"/>
      <c r="M337" s="250"/>
      <c r="N337" s="250"/>
      <c r="O337" s="250"/>
      <c r="P337" s="250"/>
      <c r="Q337" s="249"/>
      <c r="R337" s="94"/>
      <c r="S337" s="94"/>
      <c r="T337" s="251"/>
      <c r="U337" s="94"/>
      <c r="V337" s="94"/>
      <c r="W337" s="94"/>
      <c r="X337" s="94"/>
      <c r="Y337" s="94"/>
      <c r="Z337" s="94"/>
      <c r="AA337" s="94"/>
    </row>
    <row r="338" spans="1:27" ht="15.75" customHeight="1">
      <c r="A338" s="94"/>
      <c r="B338" s="248"/>
      <c r="C338" s="94"/>
      <c r="D338" s="94"/>
      <c r="E338" s="94"/>
      <c r="F338" s="249"/>
      <c r="G338" s="248"/>
      <c r="H338" s="94"/>
      <c r="I338" s="249"/>
      <c r="J338" s="94"/>
      <c r="K338" s="250"/>
      <c r="L338" s="250"/>
      <c r="M338" s="250"/>
      <c r="N338" s="250"/>
      <c r="O338" s="250"/>
      <c r="P338" s="250"/>
      <c r="Q338" s="249"/>
      <c r="R338" s="94"/>
      <c r="S338" s="94"/>
      <c r="T338" s="251"/>
      <c r="U338" s="94"/>
      <c r="V338" s="94"/>
      <c r="W338" s="94"/>
      <c r="X338" s="94"/>
      <c r="Y338" s="94"/>
      <c r="Z338" s="94"/>
      <c r="AA338" s="94"/>
    </row>
    <row r="339" spans="1:27" ht="15.75" customHeight="1">
      <c r="A339" s="94"/>
      <c r="B339" s="248"/>
      <c r="C339" s="94"/>
      <c r="D339" s="94"/>
      <c r="E339" s="94"/>
      <c r="F339" s="249"/>
      <c r="G339" s="248"/>
      <c r="H339" s="94"/>
      <c r="I339" s="249"/>
      <c r="J339" s="94"/>
      <c r="K339" s="250"/>
      <c r="L339" s="250"/>
      <c r="M339" s="250"/>
      <c r="N339" s="250"/>
      <c r="O339" s="250"/>
      <c r="P339" s="250"/>
      <c r="Q339" s="249"/>
      <c r="R339" s="94"/>
      <c r="S339" s="94"/>
      <c r="T339" s="251"/>
      <c r="U339" s="94"/>
      <c r="V339" s="94"/>
      <c r="W339" s="94"/>
      <c r="X339" s="94"/>
      <c r="Y339" s="94"/>
      <c r="Z339" s="94"/>
      <c r="AA339" s="94"/>
    </row>
    <row r="340" spans="1:27" ht="15.75" customHeight="1">
      <c r="A340" s="94"/>
      <c r="B340" s="248"/>
      <c r="C340" s="94"/>
      <c r="D340" s="94"/>
      <c r="E340" s="94"/>
      <c r="F340" s="249"/>
      <c r="G340" s="248"/>
      <c r="H340" s="94"/>
      <c r="I340" s="249"/>
      <c r="J340" s="94"/>
      <c r="K340" s="250"/>
      <c r="L340" s="250"/>
      <c r="M340" s="250"/>
      <c r="N340" s="250"/>
      <c r="O340" s="250"/>
      <c r="P340" s="250"/>
      <c r="Q340" s="249"/>
      <c r="R340" s="94"/>
      <c r="S340" s="94"/>
      <c r="T340" s="251"/>
      <c r="U340" s="94"/>
      <c r="V340" s="94"/>
      <c r="W340" s="94"/>
      <c r="X340" s="94"/>
      <c r="Y340" s="94"/>
      <c r="Z340" s="94"/>
      <c r="AA340" s="94"/>
    </row>
    <row r="341" spans="1:27" ht="15.75" customHeight="1">
      <c r="A341" s="94"/>
      <c r="B341" s="248"/>
      <c r="C341" s="94"/>
      <c r="D341" s="94"/>
      <c r="E341" s="94"/>
      <c r="F341" s="249"/>
      <c r="G341" s="248"/>
      <c r="H341" s="94"/>
      <c r="I341" s="249"/>
      <c r="J341" s="94"/>
      <c r="K341" s="250"/>
      <c r="L341" s="250"/>
      <c r="M341" s="250"/>
      <c r="N341" s="250"/>
      <c r="O341" s="250"/>
      <c r="P341" s="250"/>
      <c r="Q341" s="249"/>
      <c r="R341" s="94"/>
      <c r="S341" s="94"/>
      <c r="T341" s="251"/>
      <c r="U341" s="94"/>
      <c r="V341" s="94"/>
      <c r="W341" s="94"/>
      <c r="X341" s="94"/>
      <c r="Y341" s="94"/>
      <c r="Z341" s="94"/>
      <c r="AA341" s="94"/>
    </row>
    <row r="342" spans="1:27" ht="15.75" customHeight="1">
      <c r="A342" s="94"/>
      <c r="B342" s="248"/>
      <c r="C342" s="94"/>
      <c r="D342" s="94"/>
      <c r="E342" s="94"/>
      <c r="F342" s="249"/>
      <c r="G342" s="248"/>
      <c r="H342" s="94"/>
      <c r="I342" s="249"/>
      <c r="J342" s="94"/>
      <c r="K342" s="250"/>
      <c r="L342" s="250"/>
      <c r="M342" s="250"/>
      <c r="N342" s="250"/>
      <c r="O342" s="250"/>
      <c r="P342" s="250"/>
      <c r="Q342" s="249"/>
      <c r="R342" s="94"/>
      <c r="S342" s="94"/>
      <c r="T342" s="251"/>
      <c r="U342" s="94"/>
      <c r="V342" s="94"/>
      <c r="W342" s="94"/>
      <c r="X342" s="94"/>
      <c r="Y342" s="94"/>
      <c r="Z342" s="94"/>
      <c r="AA342" s="94"/>
    </row>
    <row r="343" spans="1:27" ht="15.75" customHeight="1">
      <c r="A343" s="94"/>
      <c r="B343" s="248"/>
      <c r="C343" s="94"/>
      <c r="D343" s="94"/>
      <c r="E343" s="94"/>
      <c r="F343" s="249"/>
      <c r="G343" s="248"/>
      <c r="H343" s="94"/>
      <c r="I343" s="249"/>
      <c r="J343" s="94"/>
      <c r="K343" s="250"/>
      <c r="L343" s="250"/>
      <c r="M343" s="250"/>
      <c r="N343" s="250"/>
      <c r="O343" s="250"/>
      <c r="P343" s="250"/>
      <c r="Q343" s="249"/>
      <c r="R343" s="94"/>
      <c r="S343" s="94"/>
      <c r="T343" s="251"/>
      <c r="U343" s="94"/>
      <c r="V343" s="94"/>
      <c r="W343" s="94"/>
      <c r="X343" s="94"/>
      <c r="Y343" s="94"/>
      <c r="Z343" s="94"/>
      <c r="AA343" s="94"/>
    </row>
    <row r="344" spans="1:27" ht="15.75" customHeight="1">
      <c r="A344" s="94"/>
      <c r="B344" s="248"/>
      <c r="C344" s="94"/>
      <c r="D344" s="94"/>
      <c r="E344" s="94"/>
      <c r="F344" s="249"/>
      <c r="G344" s="248"/>
      <c r="H344" s="94"/>
      <c r="I344" s="249"/>
      <c r="J344" s="94"/>
      <c r="K344" s="250"/>
      <c r="L344" s="250"/>
      <c r="M344" s="250"/>
      <c r="N344" s="250"/>
      <c r="O344" s="250"/>
      <c r="P344" s="250"/>
      <c r="Q344" s="249"/>
      <c r="R344" s="94"/>
      <c r="S344" s="94"/>
      <c r="T344" s="251"/>
      <c r="U344" s="94"/>
      <c r="V344" s="94"/>
      <c r="W344" s="94"/>
      <c r="X344" s="94"/>
      <c r="Y344" s="94"/>
      <c r="Z344" s="94"/>
      <c r="AA344" s="94"/>
    </row>
    <row r="345" spans="1:27" ht="15.75" customHeight="1">
      <c r="A345" s="94"/>
      <c r="B345" s="248"/>
      <c r="C345" s="94"/>
      <c r="D345" s="94"/>
      <c r="E345" s="94"/>
      <c r="F345" s="249"/>
      <c r="G345" s="248"/>
      <c r="H345" s="94"/>
      <c r="I345" s="249"/>
      <c r="J345" s="94"/>
      <c r="K345" s="250"/>
      <c r="L345" s="250"/>
      <c r="M345" s="250"/>
      <c r="N345" s="250"/>
      <c r="O345" s="250"/>
      <c r="P345" s="250"/>
      <c r="Q345" s="249"/>
      <c r="R345" s="94"/>
      <c r="S345" s="94"/>
      <c r="T345" s="251"/>
      <c r="U345" s="94"/>
      <c r="V345" s="94"/>
      <c r="W345" s="94"/>
      <c r="X345" s="94"/>
      <c r="Y345" s="94"/>
      <c r="Z345" s="94"/>
      <c r="AA345" s="94"/>
    </row>
    <row r="346" spans="1:27" ht="15.75" customHeight="1">
      <c r="A346" s="94"/>
      <c r="B346" s="248"/>
      <c r="C346" s="94"/>
      <c r="D346" s="94"/>
      <c r="E346" s="94"/>
      <c r="F346" s="249"/>
      <c r="G346" s="248"/>
      <c r="H346" s="94"/>
      <c r="I346" s="249"/>
      <c r="J346" s="94"/>
      <c r="K346" s="250"/>
      <c r="L346" s="250"/>
      <c r="M346" s="250"/>
      <c r="N346" s="250"/>
      <c r="O346" s="250"/>
      <c r="P346" s="250"/>
      <c r="Q346" s="249"/>
      <c r="R346" s="94"/>
      <c r="S346" s="94"/>
      <c r="T346" s="251"/>
      <c r="U346" s="94"/>
      <c r="V346" s="94"/>
      <c r="W346" s="94"/>
      <c r="X346" s="94"/>
      <c r="Y346" s="94"/>
      <c r="Z346" s="94"/>
      <c r="AA346" s="94"/>
    </row>
    <row r="347" spans="1:27" ht="15.75" customHeight="1">
      <c r="A347" s="94"/>
      <c r="B347" s="248"/>
      <c r="C347" s="94"/>
      <c r="D347" s="94"/>
      <c r="E347" s="94"/>
      <c r="F347" s="249"/>
      <c r="G347" s="248"/>
      <c r="H347" s="94"/>
      <c r="I347" s="249"/>
      <c r="J347" s="94"/>
      <c r="K347" s="250"/>
      <c r="L347" s="250"/>
      <c r="M347" s="250"/>
      <c r="N347" s="250"/>
      <c r="O347" s="250"/>
      <c r="P347" s="250"/>
      <c r="Q347" s="249"/>
      <c r="R347" s="94"/>
      <c r="S347" s="94"/>
      <c r="T347" s="251"/>
      <c r="U347" s="94"/>
      <c r="V347" s="94"/>
      <c r="W347" s="94"/>
      <c r="X347" s="94"/>
      <c r="Y347" s="94"/>
      <c r="Z347" s="94"/>
      <c r="AA347" s="94"/>
    </row>
    <row r="348" spans="1:27" ht="15.75" customHeight="1">
      <c r="A348" s="94"/>
      <c r="B348" s="248"/>
      <c r="C348" s="94"/>
      <c r="D348" s="94"/>
      <c r="E348" s="94"/>
      <c r="F348" s="249"/>
      <c r="G348" s="248"/>
      <c r="H348" s="94"/>
      <c r="I348" s="249"/>
      <c r="J348" s="94"/>
      <c r="K348" s="250"/>
      <c r="L348" s="250"/>
      <c r="M348" s="250"/>
      <c r="N348" s="250"/>
      <c r="O348" s="250"/>
      <c r="P348" s="250"/>
      <c r="Q348" s="249"/>
      <c r="R348" s="94"/>
      <c r="S348" s="94"/>
      <c r="T348" s="251"/>
      <c r="U348" s="94"/>
      <c r="V348" s="94"/>
      <c r="W348" s="94"/>
      <c r="X348" s="94"/>
      <c r="Y348" s="94"/>
      <c r="Z348" s="94"/>
      <c r="AA348" s="94"/>
    </row>
    <row r="349" spans="1:27" ht="15.75" customHeight="1">
      <c r="A349" s="94"/>
      <c r="B349" s="248"/>
      <c r="C349" s="94"/>
      <c r="D349" s="94"/>
      <c r="E349" s="94"/>
      <c r="F349" s="249"/>
      <c r="G349" s="248"/>
      <c r="H349" s="94"/>
      <c r="I349" s="249"/>
      <c r="J349" s="94"/>
      <c r="K349" s="250"/>
      <c r="L349" s="250"/>
      <c r="M349" s="250"/>
      <c r="N349" s="250"/>
      <c r="O349" s="250"/>
      <c r="P349" s="250"/>
      <c r="Q349" s="249"/>
      <c r="R349" s="94"/>
      <c r="S349" s="94"/>
      <c r="T349" s="251"/>
      <c r="U349" s="94"/>
      <c r="V349" s="94"/>
      <c r="W349" s="94"/>
      <c r="X349" s="94"/>
      <c r="Y349" s="94"/>
      <c r="Z349" s="94"/>
      <c r="AA349" s="94"/>
    </row>
    <row r="350" spans="1:27" ht="15.75" customHeight="1">
      <c r="A350" s="94"/>
      <c r="B350" s="248"/>
      <c r="C350" s="94"/>
      <c r="D350" s="94"/>
      <c r="E350" s="94"/>
      <c r="F350" s="249"/>
      <c r="G350" s="248"/>
      <c r="H350" s="94"/>
      <c r="I350" s="249"/>
      <c r="J350" s="94"/>
      <c r="K350" s="250"/>
      <c r="L350" s="250"/>
      <c r="M350" s="250"/>
      <c r="N350" s="250"/>
      <c r="O350" s="250"/>
      <c r="P350" s="250"/>
      <c r="Q350" s="249"/>
      <c r="R350" s="94"/>
      <c r="S350" s="94"/>
      <c r="T350" s="251"/>
      <c r="U350" s="94"/>
      <c r="V350" s="94"/>
      <c r="W350" s="94"/>
      <c r="X350" s="94"/>
      <c r="Y350" s="94"/>
      <c r="Z350" s="94"/>
      <c r="AA350" s="94"/>
    </row>
    <row r="351" spans="1:27" ht="15.75" customHeight="1">
      <c r="A351" s="94"/>
      <c r="B351" s="248"/>
      <c r="C351" s="94"/>
      <c r="D351" s="94"/>
      <c r="E351" s="94"/>
      <c r="F351" s="249"/>
      <c r="G351" s="248"/>
      <c r="H351" s="94"/>
      <c r="I351" s="249"/>
      <c r="J351" s="94"/>
      <c r="K351" s="250"/>
      <c r="L351" s="250"/>
      <c r="M351" s="250"/>
      <c r="N351" s="250"/>
      <c r="O351" s="250"/>
      <c r="P351" s="250"/>
      <c r="Q351" s="249"/>
      <c r="R351" s="94"/>
      <c r="S351" s="94"/>
      <c r="T351" s="251"/>
      <c r="U351" s="94"/>
      <c r="V351" s="94"/>
      <c r="W351" s="94"/>
      <c r="X351" s="94"/>
      <c r="Y351" s="94"/>
      <c r="Z351" s="94"/>
      <c r="AA351" s="94"/>
    </row>
    <row r="352" spans="1:27" ht="15.75" customHeight="1">
      <c r="A352" s="94"/>
      <c r="B352" s="248"/>
      <c r="C352" s="94"/>
      <c r="D352" s="94"/>
      <c r="E352" s="94"/>
      <c r="F352" s="249"/>
      <c r="G352" s="248"/>
      <c r="H352" s="94"/>
      <c r="I352" s="249"/>
      <c r="J352" s="94"/>
      <c r="K352" s="250"/>
      <c r="L352" s="250"/>
      <c r="M352" s="250"/>
      <c r="N352" s="250"/>
      <c r="O352" s="250"/>
      <c r="P352" s="250"/>
      <c r="Q352" s="249"/>
      <c r="R352" s="94"/>
      <c r="S352" s="94"/>
      <c r="T352" s="251"/>
      <c r="U352" s="94"/>
      <c r="V352" s="94"/>
      <c r="W352" s="94"/>
      <c r="X352" s="94"/>
      <c r="Y352" s="94"/>
      <c r="Z352" s="94"/>
      <c r="AA352" s="94"/>
    </row>
    <row r="353" spans="1:27" ht="15.75" customHeight="1">
      <c r="A353" s="94"/>
      <c r="B353" s="248"/>
      <c r="C353" s="94"/>
      <c r="D353" s="94"/>
      <c r="E353" s="94"/>
      <c r="F353" s="249"/>
      <c r="G353" s="248"/>
      <c r="H353" s="94"/>
      <c r="I353" s="249"/>
      <c r="J353" s="94"/>
      <c r="K353" s="250"/>
      <c r="L353" s="250"/>
      <c r="M353" s="250"/>
      <c r="N353" s="250"/>
      <c r="O353" s="250"/>
      <c r="P353" s="250"/>
      <c r="Q353" s="249"/>
      <c r="R353" s="94"/>
      <c r="S353" s="94"/>
      <c r="T353" s="251"/>
      <c r="U353" s="94"/>
      <c r="V353" s="94"/>
      <c r="W353" s="94"/>
      <c r="X353" s="94"/>
      <c r="Y353" s="94"/>
      <c r="Z353" s="94"/>
      <c r="AA353" s="94"/>
    </row>
    <row r="354" spans="1:27" ht="15.75" customHeight="1">
      <c r="A354" s="94"/>
      <c r="B354" s="248"/>
      <c r="C354" s="94"/>
      <c r="D354" s="94"/>
      <c r="E354" s="94"/>
      <c r="F354" s="249"/>
      <c r="G354" s="248"/>
      <c r="H354" s="94"/>
      <c r="I354" s="249"/>
      <c r="J354" s="94"/>
      <c r="K354" s="250"/>
      <c r="L354" s="250"/>
      <c r="M354" s="250"/>
      <c r="N354" s="250"/>
      <c r="O354" s="250"/>
      <c r="P354" s="250"/>
      <c r="Q354" s="249"/>
      <c r="R354" s="94"/>
      <c r="S354" s="94"/>
      <c r="T354" s="251"/>
      <c r="U354" s="94"/>
      <c r="V354" s="94"/>
      <c r="W354" s="94"/>
      <c r="X354" s="94"/>
      <c r="Y354" s="94"/>
      <c r="Z354" s="94"/>
      <c r="AA354" s="94"/>
    </row>
    <row r="355" spans="1:27" ht="15.75" customHeight="1">
      <c r="A355" s="94"/>
      <c r="B355" s="248"/>
      <c r="C355" s="94"/>
      <c r="D355" s="94"/>
      <c r="E355" s="94"/>
      <c r="F355" s="249"/>
      <c r="G355" s="248"/>
      <c r="H355" s="94"/>
      <c r="I355" s="249"/>
      <c r="J355" s="94"/>
      <c r="K355" s="250"/>
      <c r="L355" s="250"/>
      <c r="M355" s="250"/>
      <c r="N355" s="250"/>
      <c r="O355" s="250"/>
      <c r="P355" s="250"/>
      <c r="Q355" s="249"/>
      <c r="R355" s="94"/>
      <c r="S355" s="94"/>
      <c r="T355" s="251"/>
      <c r="U355" s="94"/>
      <c r="V355" s="94"/>
      <c r="W355" s="94"/>
      <c r="X355" s="94"/>
      <c r="Y355" s="94"/>
      <c r="Z355" s="94"/>
      <c r="AA355" s="94"/>
    </row>
    <row r="356" spans="1:27" ht="15.75" customHeight="1">
      <c r="A356" s="94"/>
      <c r="B356" s="248"/>
      <c r="C356" s="94"/>
      <c r="D356" s="94"/>
      <c r="E356" s="94"/>
      <c r="F356" s="249"/>
      <c r="G356" s="248"/>
      <c r="H356" s="94"/>
      <c r="I356" s="249"/>
      <c r="J356" s="94"/>
      <c r="K356" s="250"/>
      <c r="L356" s="250"/>
      <c r="M356" s="250"/>
      <c r="N356" s="250"/>
      <c r="O356" s="250"/>
      <c r="P356" s="250"/>
      <c r="Q356" s="249"/>
      <c r="R356" s="94"/>
      <c r="S356" s="94"/>
      <c r="T356" s="251"/>
      <c r="U356" s="94"/>
      <c r="V356" s="94"/>
      <c r="W356" s="94"/>
      <c r="X356" s="94"/>
      <c r="Y356" s="94"/>
      <c r="Z356" s="94"/>
      <c r="AA356" s="94"/>
    </row>
    <row r="357" spans="1:27" ht="15.75" customHeight="1">
      <c r="A357" s="94"/>
      <c r="B357" s="248"/>
      <c r="C357" s="94"/>
      <c r="D357" s="94"/>
      <c r="E357" s="94"/>
      <c r="F357" s="249"/>
      <c r="G357" s="248"/>
      <c r="H357" s="94"/>
      <c r="I357" s="249"/>
      <c r="J357" s="94"/>
      <c r="K357" s="250"/>
      <c r="L357" s="250"/>
      <c r="M357" s="250"/>
      <c r="N357" s="250"/>
      <c r="O357" s="250"/>
      <c r="P357" s="250"/>
      <c r="Q357" s="249"/>
      <c r="R357" s="94"/>
      <c r="S357" s="94"/>
      <c r="T357" s="251"/>
      <c r="U357" s="94"/>
      <c r="V357" s="94"/>
      <c r="W357" s="94"/>
      <c r="X357" s="94"/>
      <c r="Y357" s="94"/>
      <c r="Z357" s="94"/>
      <c r="AA357" s="94"/>
    </row>
    <row r="358" spans="1:27" ht="15.75" customHeight="1">
      <c r="A358" s="94"/>
      <c r="B358" s="248"/>
      <c r="C358" s="94"/>
      <c r="D358" s="94"/>
      <c r="E358" s="94"/>
      <c r="F358" s="249"/>
      <c r="G358" s="248"/>
      <c r="H358" s="94"/>
      <c r="I358" s="249"/>
      <c r="J358" s="94"/>
      <c r="K358" s="250"/>
      <c r="L358" s="250"/>
      <c r="M358" s="250"/>
      <c r="N358" s="250"/>
      <c r="O358" s="250"/>
      <c r="P358" s="250"/>
      <c r="Q358" s="249"/>
      <c r="R358" s="94"/>
      <c r="S358" s="94"/>
      <c r="T358" s="251"/>
      <c r="U358" s="94"/>
      <c r="V358" s="94"/>
      <c r="W358" s="94"/>
      <c r="X358" s="94"/>
      <c r="Y358" s="94"/>
      <c r="Z358" s="94"/>
      <c r="AA358" s="94"/>
    </row>
    <row r="359" spans="1:27" ht="15.75" customHeight="1">
      <c r="A359" s="94"/>
      <c r="B359" s="248"/>
      <c r="C359" s="94"/>
      <c r="D359" s="94"/>
      <c r="E359" s="94"/>
      <c r="F359" s="249"/>
      <c r="G359" s="248"/>
      <c r="H359" s="94"/>
      <c r="I359" s="249"/>
      <c r="J359" s="94"/>
      <c r="K359" s="250"/>
      <c r="L359" s="250"/>
      <c r="M359" s="250"/>
      <c r="N359" s="250"/>
      <c r="O359" s="250"/>
      <c r="P359" s="250"/>
      <c r="Q359" s="249"/>
      <c r="R359" s="94"/>
      <c r="S359" s="94"/>
      <c r="T359" s="251"/>
      <c r="U359" s="94"/>
      <c r="V359" s="94"/>
      <c r="W359" s="94"/>
      <c r="X359" s="94"/>
      <c r="Y359" s="94"/>
      <c r="Z359" s="94"/>
      <c r="AA359" s="94"/>
    </row>
    <row r="360" spans="1:27" ht="15.75" customHeight="1">
      <c r="A360" s="94"/>
      <c r="B360" s="248"/>
      <c r="C360" s="94"/>
      <c r="D360" s="94"/>
      <c r="E360" s="94"/>
      <c r="F360" s="249"/>
      <c r="G360" s="248"/>
      <c r="H360" s="94"/>
      <c r="I360" s="249"/>
      <c r="J360" s="94"/>
      <c r="K360" s="250"/>
      <c r="L360" s="250"/>
      <c r="M360" s="250"/>
      <c r="N360" s="250"/>
      <c r="O360" s="250"/>
      <c r="P360" s="250"/>
      <c r="Q360" s="249"/>
      <c r="R360" s="94"/>
      <c r="S360" s="94"/>
      <c r="T360" s="251"/>
      <c r="U360" s="94"/>
      <c r="V360" s="94"/>
      <c r="W360" s="94"/>
      <c r="X360" s="94"/>
      <c r="Y360" s="94"/>
      <c r="Z360" s="94"/>
      <c r="AA360" s="94"/>
    </row>
    <row r="361" spans="1:27" ht="15.75" customHeight="1">
      <c r="A361" s="94"/>
      <c r="B361" s="248"/>
      <c r="C361" s="94"/>
      <c r="D361" s="94"/>
      <c r="E361" s="94"/>
      <c r="F361" s="249"/>
      <c r="G361" s="248"/>
      <c r="H361" s="94"/>
      <c r="I361" s="249"/>
      <c r="J361" s="94"/>
      <c r="K361" s="250"/>
      <c r="L361" s="250"/>
      <c r="M361" s="250"/>
      <c r="N361" s="250"/>
      <c r="O361" s="250"/>
      <c r="P361" s="250"/>
      <c r="Q361" s="249"/>
      <c r="R361" s="94"/>
      <c r="S361" s="94"/>
      <c r="T361" s="251"/>
      <c r="U361" s="94"/>
      <c r="V361" s="94"/>
      <c r="W361" s="94"/>
      <c r="X361" s="94"/>
      <c r="Y361" s="94"/>
      <c r="Z361" s="94"/>
      <c r="AA361" s="94"/>
    </row>
    <row r="362" spans="1:27" ht="15.75" customHeight="1">
      <c r="A362" s="94"/>
      <c r="B362" s="248"/>
      <c r="C362" s="94"/>
      <c r="D362" s="94"/>
      <c r="E362" s="94"/>
      <c r="F362" s="249"/>
      <c r="G362" s="248"/>
      <c r="H362" s="94"/>
      <c r="I362" s="249"/>
      <c r="J362" s="94"/>
      <c r="K362" s="250"/>
      <c r="L362" s="250"/>
      <c r="M362" s="250"/>
      <c r="N362" s="250"/>
      <c r="O362" s="250"/>
      <c r="P362" s="250"/>
      <c r="Q362" s="249"/>
      <c r="R362" s="94"/>
      <c r="S362" s="94"/>
      <c r="T362" s="251"/>
      <c r="U362" s="94"/>
      <c r="V362" s="94"/>
      <c r="W362" s="94"/>
      <c r="X362" s="94"/>
      <c r="Y362" s="94"/>
      <c r="Z362" s="94"/>
      <c r="AA362" s="94"/>
    </row>
    <row r="363" spans="1:27" ht="15.75" customHeight="1">
      <c r="A363" s="94"/>
      <c r="B363" s="248"/>
      <c r="C363" s="94"/>
      <c r="D363" s="94"/>
      <c r="E363" s="94"/>
      <c r="F363" s="249"/>
      <c r="G363" s="248"/>
      <c r="H363" s="94"/>
      <c r="I363" s="249"/>
      <c r="J363" s="94"/>
      <c r="K363" s="250"/>
      <c r="L363" s="250"/>
      <c r="M363" s="250"/>
      <c r="N363" s="250"/>
      <c r="O363" s="250"/>
      <c r="P363" s="250"/>
      <c r="Q363" s="249"/>
      <c r="R363" s="94"/>
      <c r="S363" s="94"/>
      <c r="T363" s="251"/>
      <c r="U363" s="94"/>
      <c r="V363" s="94"/>
      <c r="W363" s="94"/>
      <c r="X363" s="94"/>
      <c r="Y363" s="94"/>
      <c r="Z363" s="94"/>
      <c r="AA363" s="94"/>
    </row>
    <row r="364" spans="1:27" ht="15.75" customHeight="1">
      <c r="A364" s="94"/>
      <c r="B364" s="248"/>
      <c r="C364" s="94"/>
      <c r="D364" s="94"/>
      <c r="E364" s="94"/>
      <c r="F364" s="249"/>
      <c r="G364" s="248"/>
      <c r="H364" s="94"/>
      <c r="I364" s="249"/>
      <c r="J364" s="94"/>
      <c r="K364" s="250"/>
      <c r="L364" s="250"/>
      <c r="M364" s="250"/>
      <c r="N364" s="250"/>
      <c r="O364" s="250"/>
      <c r="P364" s="250"/>
      <c r="Q364" s="249"/>
      <c r="R364" s="94"/>
      <c r="S364" s="94"/>
      <c r="T364" s="251"/>
      <c r="U364" s="94"/>
      <c r="V364" s="94"/>
      <c r="W364" s="94"/>
      <c r="X364" s="94"/>
      <c r="Y364" s="94"/>
      <c r="Z364" s="94"/>
      <c r="AA364" s="94"/>
    </row>
    <row r="365" spans="1:27" ht="15.75" customHeight="1">
      <c r="A365" s="94"/>
      <c r="B365" s="248"/>
      <c r="C365" s="94"/>
      <c r="D365" s="94"/>
      <c r="E365" s="94"/>
      <c r="F365" s="249"/>
      <c r="G365" s="248"/>
      <c r="H365" s="94"/>
      <c r="I365" s="249"/>
      <c r="J365" s="94"/>
      <c r="K365" s="250"/>
      <c r="L365" s="250"/>
      <c r="M365" s="250"/>
      <c r="N365" s="250"/>
      <c r="O365" s="250"/>
      <c r="P365" s="250"/>
      <c r="Q365" s="249"/>
      <c r="R365" s="94"/>
      <c r="S365" s="94"/>
      <c r="T365" s="251"/>
      <c r="U365" s="94"/>
      <c r="V365" s="94"/>
      <c r="W365" s="94"/>
      <c r="X365" s="94"/>
      <c r="Y365" s="94"/>
      <c r="Z365" s="94"/>
      <c r="AA365" s="94"/>
    </row>
    <row r="366" spans="1:27" ht="15.75" customHeight="1">
      <c r="A366" s="94"/>
      <c r="B366" s="248"/>
      <c r="C366" s="94"/>
      <c r="D366" s="94"/>
      <c r="E366" s="94"/>
      <c r="F366" s="249"/>
      <c r="G366" s="248"/>
      <c r="H366" s="94"/>
      <c r="I366" s="249"/>
      <c r="J366" s="94"/>
      <c r="K366" s="250"/>
      <c r="L366" s="250"/>
      <c r="M366" s="250"/>
      <c r="N366" s="250"/>
      <c r="O366" s="250"/>
      <c r="P366" s="250"/>
      <c r="Q366" s="249"/>
      <c r="R366" s="94"/>
      <c r="S366" s="94"/>
      <c r="T366" s="251"/>
      <c r="U366" s="94"/>
      <c r="V366" s="94"/>
      <c r="W366" s="94"/>
      <c r="X366" s="94"/>
      <c r="Y366" s="94"/>
      <c r="Z366" s="94"/>
      <c r="AA366" s="94"/>
    </row>
    <row r="367" spans="1:27" ht="15.75" customHeight="1">
      <c r="A367" s="94"/>
      <c r="B367" s="248"/>
      <c r="C367" s="94"/>
      <c r="D367" s="94"/>
      <c r="E367" s="94"/>
      <c r="F367" s="249"/>
      <c r="G367" s="248"/>
      <c r="H367" s="94"/>
      <c r="I367" s="249"/>
      <c r="J367" s="94"/>
      <c r="K367" s="250"/>
      <c r="L367" s="250"/>
      <c r="M367" s="250"/>
      <c r="N367" s="250"/>
      <c r="O367" s="250"/>
      <c r="P367" s="250"/>
      <c r="Q367" s="249"/>
      <c r="R367" s="94"/>
      <c r="S367" s="94"/>
      <c r="T367" s="251"/>
      <c r="U367" s="94"/>
      <c r="V367" s="94"/>
      <c r="W367" s="94"/>
      <c r="X367" s="94"/>
      <c r="Y367" s="94"/>
      <c r="Z367" s="94"/>
      <c r="AA367" s="94"/>
    </row>
    <row r="368" spans="1:27" ht="15.75" customHeight="1">
      <c r="A368" s="94"/>
      <c r="B368" s="248"/>
      <c r="C368" s="94"/>
      <c r="D368" s="94"/>
      <c r="E368" s="94"/>
      <c r="F368" s="249"/>
      <c r="G368" s="248"/>
      <c r="H368" s="94"/>
      <c r="I368" s="249"/>
      <c r="J368" s="94"/>
      <c r="K368" s="250"/>
      <c r="L368" s="250"/>
      <c r="M368" s="250"/>
      <c r="N368" s="250"/>
      <c r="O368" s="250"/>
      <c r="P368" s="250"/>
      <c r="Q368" s="249"/>
      <c r="R368" s="94"/>
      <c r="S368" s="94"/>
      <c r="T368" s="251"/>
      <c r="U368" s="94"/>
      <c r="V368" s="94"/>
      <c r="W368" s="94"/>
      <c r="X368" s="94"/>
      <c r="Y368" s="94"/>
      <c r="Z368" s="94"/>
      <c r="AA368" s="94"/>
    </row>
    <row r="369" spans="1:27" ht="15.75" customHeight="1">
      <c r="A369" s="94"/>
      <c r="B369" s="248"/>
      <c r="C369" s="94"/>
      <c r="D369" s="94"/>
      <c r="E369" s="94"/>
      <c r="F369" s="249"/>
      <c r="G369" s="248"/>
      <c r="H369" s="94"/>
      <c r="I369" s="249"/>
      <c r="J369" s="94"/>
      <c r="K369" s="250"/>
      <c r="L369" s="250"/>
      <c r="M369" s="250"/>
      <c r="N369" s="250"/>
      <c r="O369" s="250"/>
      <c r="P369" s="250"/>
      <c r="Q369" s="249"/>
      <c r="R369" s="94"/>
      <c r="S369" s="94"/>
      <c r="T369" s="251"/>
      <c r="U369" s="94"/>
      <c r="V369" s="94"/>
      <c r="W369" s="94"/>
      <c r="X369" s="94"/>
      <c r="Y369" s="94"/>
      <c r="Z369" s="94"/>
      <c r="AA369" s="94"/>
    </row>
    <row r="370" spans="1:27" ht="15.75" customHeight="1">
      <c r="A370" s="94"/>
      <c r="B370" s="248"/>
      <c r="C370" s="94"/>
      <c r="D370" s="94"/>
      <c r="E370" s="94"/>
      <c r="F370" s="249"/>
      <c r="G370" s="248"/>
      <c r="H370" s="94"/>
      <c r="I370" s="249"/>
      <c r="J370" s="94"/>
      <c r="K370" s="250"/>
      <c r="L370" s="250"/>
      <c r="M370" s="250"/>
      <c r="N370" s="250"/>
      <c r="O370" s="250"/>
      <c r="P370" s="250"/>
      <c r="Q370" s="249"/>
      <c r="R370" s="94"/>
      <c r="S370" s="94"/>
      <c r="T370" s="251"/>
      <c r="U370" s="94"/>
      <c r="V370" s="94"/>
      <c r="W370" s="94"/>
      <c r="X370" s="94"/>
      <c r="Y370" s="94"/>
      <c r="Z370" s="94"/>
      <c r="AA370" s="94"/>
    </row>
    <row r="371" spans="1:27" ht="15.75" customHeight="1">
      <c r="A371" s="94"/>
      <c r="B371" s="248"/>
      <c r="C371" s="94"/>
      <c r="D371" s="94"/>
      <c r="E371" s="94"/>
      <c r="F371" s="249"/>
      <c r="G371" s="248"/>
      <c r="H371" s="94"/>
      <c r="I371" s="249"/>
      <c r="J371" s="94"/>
      <c r="K371" s="250"/>
      <c r="L371" s="250"/>
      <c r="M371" s="250"/>
      <c r="N371" s="250"/>
      <c r="O371" s="250"/>
      <c r="P371" s="250"/>
      <c r="Q371" s="249"/>
      <c r="R371" s="94"/>
      <c r="S371" s="94"/>
      <c r="T371" s="251"/>
      <c r="U371" s="94"/>
      <c r="V371" s="94"/>
      <c r="W371" s="94"/>
      <c r="X371" s="94"/>
      <c r="Y371" s="94"/>
      <c r="Z371" s="94"/>
      <c r="AA371" s="94"/>
    </row>
    <row r="372" spans="1:27" ht="15.75" customHeight="1">
      <c r="A372" s="94"/>
      <c r="B372" s="248"/>
      <c r="C372" s="94"/>
      <c r="D372" s="94"/>
      <c r="E372" s="94"/>
      <c r="F372" s="249"/>
      <c r="G372" s="248"/>
      <c r="H372" s="94"/>
      <c r="I372" s="249"/>
      <c r="J372" s="94"/>
      <c r="K372" s="250"/>
      <c r="L372" s="250"/>
      <c r="M372" s="250"/>
      <c r="N372" s="250"/>
      <c r="O372" s="250"/>
      <c r="P372" s="250"/>
      <c r="Q372" s="249"/>
      <c r="R372" s="94"/>
      <c r="S372" s="94"/>
      <c r="T372" s="251"/>
      <c r="U372" s="94"/>
      <c r="V372" s="94"/>
      <c r="W372" s="94"/>
      <c r="X372" s="94"/>
      <c r="Y372" s="94"/>
      <c r="Z372" s="94"/>
      <c r="AA372" s="94"/>
    </row>
    <row r="373" spans="1:27" ht="15.75" customHeight="1">
      <c r="A373" s="94"/>
      <c r="B373" s="248"/>
      <c r="C373" s="94"/>
      <c r="D373" s="94"/>
      <c r="E373" s="94"/>
      <c r="F373" s="249"/>
      <c r="G373" s="248"/>
      <c r="H373" s="94"/>
      <c r="I373" s="249"/>
      <c r="J373" s="94"/>
      <c r="K373" s="250"/>
      <c r="L373" s="250"/>
      <c r="M373" s="250"/>
      <c r="N373" s="250"/>
      <c r="O373" s="250"/>
      <c r="P373" s="250"/>
      <c r="Q373" s="249"/>
      <c r="R373" s="94"/>
      <c r="S373" s="94"/>
      <c r="T373" s="251"/>
      <c r="U373" s="94"/>
      <c r="V373" s="94"/>
      <c r="W373" s="94"/>
      <c r="X373" s="94"/>
      <c r="Y373" s="94"/>
      <c r="Z373" s="94"/>
      <c r="AA373" s="94"/>
    </row>
    <row r="374" spans="1:27" ht="15.75" customHeight="1">
      <c r="A374" s="94"/>
      <c r="B374" s="248"/>
      <c r="C374" s="94"/>
      <c r="D374" s="94"/>
      <c r="E374" s="94"/>
      <c r="F374" s="249"/>
      <c r="G374" s="248"/>
      <c r="H374" s="94"/>
      <c r="I374" s="249"/>
      <c r="J374" s="94"/>
      <c r="K374" s="250"/>
      <c r="L374" s="250"/>
      <c r="M374" s="250"/>
      <c r="N374" s="250"/>
      <c r="O374" s="250"/>
      <c r="P374" s="250"/>
      <c r="Q374" s="249"/>
      <c r="R374" s="94"/>
      <c r="S374" s="94"/>
      <c r="T374" s="251"/>
      <c r="U374" s="94"/>
      <c r="V374" s="94"/>
      <c r="W374" s="94"/>
      <c r="X374" s="94"/>
      <c r="Y374" s="94"/>
      <c r="Z374" s="94"/>
      <c r="AA374" s="94"/>
    </row>
    <row r="375" spans="1:27" ht="15.75" customHeight="1">
      <c r="A375" s="94"/>
      <c r="B375" s="248"/>
      <c r="C375" s="94"/>
      <c r="D375" s="94"/>
      <c r="E375" s="94"/>
      <c r="F375" s="249"/>
      <c r="G375" s="248"/>
      <c r="H375" s="94"/>
      <c r="I375" s="249"/>
      <c r="J375" s="94"/>
      <c r="K375" s="250"/>
      <c r="L375" s="250"/>
      <c r="M375" s="250"/>
      <c r="N375" s="250"/>
      <c r="O375" s="250"/>
      <c r="P375" s="250"/>
      <c r="Q375" s="249"/>
      <c r="R375" s="94"/>
      <c r="S375" s="94"/>
      <c r="T375" s="251"/>
      <c r="U375" s="94"/>
      <c r="V375" s="94"/>
      <c r="W375" s="94"/>
      <c r="X375" s="94"/>
      <c r="Y375" s="94"/>
      <c r="Z375" s="94"/>
      <c r="AA375" s="94"/>
    </row>
    <row r="376" spans="1:27" ht="15.75" customHeight="1">
      <c r="A376" s="94"/>
      <c r="B376" s="248"/>
      <c r="C376" s="94"/>
      <c r="D376" s="94"/>
      <c r="E376" s="94"/>
      <c r="F376" s="249"/>
      <c r="G376" s="248"/>
      <c r="H376" s="94"/>
      <c r="I376" s="249"/>
      <c r="J376" s="94"/>
      <c r="K376" s="250"/>
      <c r="L376" s="250"/>
      <c r="M376" s="250"/>
      <c r="N376" s="250"/>
      <c r="O376" s="250"/>
      <c r="P376" s="250"/>
      <c r="Q376" s="249"/>
      <c r="R376" s="94"/>
      <c r="S376" s="94"/>
      <c r="T376" s="251"/>
      <c r="U376" s="94"/>
      <c r="V376" s="94"/>
      <c r="W376" s="94"/>
      <c r="X376" s="94"/>
      <c r="Y376" s="94"/>
      <c r="Z376" s="94"/>
      <c r="AA376" s="94"/>
    </row>
    <row r="377" spans="1:27" ht="15.75" customHeight="1">
      <c r="A377" s="94"/>
      <c r="B377" s="248"/>
      <c r="C377" s="94"/>
      <c r="D377" s="94"/>
      <c r="E377" s="94"/>
      <c r="F377" s="249"/>
      <c r="G377" s="248"/>
      <c r="H377" s="94"/>
      <c r="I377" s="249"/>
      <c r="J377" s="94"/>
      <c r="K377" s="250"/>
      <c r="L377" s="250"/>
      <c r="M377" s="250"/>
      <c r="N377" s="250"/>
      <c r="O377" s="250"/>
      <c r="P377" s="250"/>
      <c r="Q377" s="249"/>
      <c r="R377" s="94"/>
      <c r="S377" s="94"/>
      <c r="T377" s="251"/>
      <c r="U377" s="94"/>
      <c r="V377" s="94"/>
      <c r="W377" s="94"/>
      <c r="X377" s="94"/>
      <c r="Y377" s="94"/>
      <c r="Z377" s="94"/>
      <c r="AA377" s="94"/>
    </row>
    <row r="378" spans="1:27" ht="15.75" customHeight="1">
      <c r="A378" s="94"/>
      <c r="B378" s="248"/>
      <c r="C378" s="94"/>
      <c r="D378" s="94"/>
      <c r="E378" s="94"/>
      <c r="F378" s="249"/>
      <c r="G378" s="248"/>
      <c r="H378" s="94"/>
      <c r="I378" s="249"/>
      <c r="J378" s="94"/>
      <c r="K378" s="250"/>
      <c r="L378" s="250"/>
      <c r="M378" s="250"/>
      <c r="N378" s="250"/>
      <c r="O378" s="250"/>
      <c r="P378" s="250"/>
      <c r="Q378" s="249"/>
      <c r="R378" s="94"/>
      <c r="S378" s="94"/>
      <c r="T378" s="251"/>
      <c r="U378" s="94"/>
      <c r="V378" s="94"/>
      <c r="W378" s="94"/>
      <c r="X378" s="94"/>
      <c r="Y378" s="94"/>
      <c r="Z378" s="94"/>
      <c r="AA378" s="94"/>
    </row>
    <row r="379" spans="1:27" ht="15.75" customHeight="1">
      <c r="A379" s="94"/>
      <c r="B379" s="248"/>
      <c r="C379" s="94"/>
      <c r="D379" s="94"/>
      <c r="E379" s="94"/>
      <c r="F379" s="249"/>
      <c r="G379" s="248"/>
      <c r="H379" s="94"/>
      <c r="I379" s="249"/>
      <c r="J379" s="94"/>
      <c r="K379" s="250"/>
      <c r="L379" s="250"/>
      <c r="M379" s="250"/>
      <c r="N379" s="250"/>
      <c r="O379" s="250"/>
      <c r="P379" s="250"/>
      <c r="Q379" s="249"/>
      <c r="R379" s="94"/>
      <c r="S379" s="94"/>
      <c r="T379" s="251"/>
      <c r="U379" s="94"/>
      <c r="V379" s="94"/>
      <c r="W379" s="94"/>
      <c r="X379" s="94"/>
      <c r="Y379" s="94"/>
      <c r="Z379" s="94"/>
      <c r="AA379" s="94"/>
    </row>
    <row r="380" spans="1:27" ht="15.75" customHeight="1">
      <c r="A380" s="94"/>
      <c r="B380" s="248"/>
      <c r="C380" s="94"/>
      <c r="D380" s="94"/>
      <c r="E380" s="94"/>
      <c r="F380" s="249"/>
      <c r="G380" s="248"/>
      <c r="H380" s="94"/>
      <c r="I380" s="249"/>
      <c r="J380" s="94"/>
      <c r="K380" s="250"/>
      <c r="L380" s="250"/>
      <c r="M380" s="250"/>
      <c r="N380" s="250"/>
      <c r="O380" s="250"/>
      <c r="P380" s="250"/>
      <c r="Q380" s="249"/>
      <c r="R380" s="94"/>
      <c r="S380" s="94"/>
      <c r="T380" s="251"/>
      <c r="U380" s="94"/>
      <c r="V380" s="94"/>
      <c r="W380" s="94"/>
      <c r="X380" s="94"/>
      <c r="Y380" s="94"/>
      <c r="Z380" s="94"/>
      <c r="AA380" s="94"/>
    </row>
    <row r="381" spans="1:27" ht="15.75" customHeight="1">
      <c r="A381" s="94"/>
      <c r="B381" s="248"/>
      <c r="C381" s="94"/>
      <c r="D381" s="94"/>
      <c r="E381" s="94"/>
      <c r="F381" s="249"/>
      <c r="G381" s="248"/>
      <c r="H381" s="94"/>
      <c r="I381" s="249"/>
      <c r="J381" s="94"/>
      <c r="K381" s="250"/>
      <c r="L381" s="250"/>
      <c r="M381" s="250"/>
      <c r="N381" s="250"/>
      <c r="O381" s="250"/>
      <c r="P381" s="250"/>
      <c r="Q381" s="249"/>
      <c r="R381" s="94"/>
      <c r="S381" s="94"/>
      <c r="T381" s="251"/>
      <c r="U381" s="94"/>
      <c r="V381" s="94"/>
      <c r="W381" s="94"/>
      <c r="X381" s="94"/>
      <c r="Y381" s="94"/>
      <c r="Z381" s="94"/>
      <c r="AA381" s="94"/>
    </row>
    <row r="382" spans="1:27" ht="15.75" customHeight="1">
      <c r="A382" s="94"/>
      <c r="B382" s="248"/>
      <c r="C382" s="94"/>
      <c r="D382" s="94"/>
      <c r="E382" s="94"/>
      <c r="F382" s="249"/>
      <c r="G382" s="248"/>
      <c r="H382" s="94"/>
      <c r="I382" s="249"/>
      <c r="J382" s="94"/>
      <c r="K382" s="250"/>
      <c r="L382" s="250"/>
      <c r="M382" s="250"/>
      <c r="N382" s="250"/>
      <c r="O382" s="250"/>
      <c r="P382" s="250"/>
      <c r="Q382" s="249"/>
      <c r="R382" s="94"/>
      <c r="S382" s="94"/>
      <c r="T382" s="251"/>
      <c r="U382" s="94"/>
      <c r="V382" s="94"/>
      <c r="W382" s="94"/>
      <c r="X382" s="94"/>
      <c r="Y382" s="94"/>
      <c r="Z382" s="94"/>
      <c r="AA382" s="94"/>
    </row>
    <row r="383" spans="1:27" ht="15.75" customHeight="1">
      <c r="A383" s="94"/>
      <c r="B383" s="248"/>
      <c r="C383" s="94"/>
      <c r="D383" s="94"/>
      <c r="E383" s="94"/>
      <c r="F383" s="249"/>
      <c r="G383" s="248"/>
      <c r="H383" s="94"/>
      <c r="I383" s="249"/>
      <c r="J383" s="94"/>
      <c r="K383" s="250"/>
      <c r="L383" s="250"/>
      <c r="M383" s="250"/>
      <c r="N383" s="250"/>
      <c r="O383" s="250"/>
      <c r="P383" s="250"/>
      <c r="Q383" s="249"/>
      <c r="R383" s="94"/>
      <c r="S383" s="94"/>
      <c r="T383" s="251"/>
      <c r="U383" s="94"/>
      <c r="V383" s="94"/>
      <c r="W383" s="94"/>
      <c r="X383" s="94"/>
      <c r="Y383" s="94"/>
      <c r="Z383" s="94"/>
      <c r="AA383" s="94"/>
    </row>
    <row r="384" spans="1:27" ht="15.75" customHeight="1">
      <c r="A384" s="94"/>
      <c r="B384" s="248"/>
      <c r="C384" s="94"/>
      <c r="D384" s="94"/>
      <c r="E384" s="94"/>
      <c r="F384" s="249"/>
      <c r="G384" s="248"/>
      <c r="H384" s="94"/>
      <c r="I384" s="249"/>
      <c r="J384" s="94"/>
      <c r="K384" s="250"/>
      <c r="L384" s="250"/>
      <c r="M384" s="250"/>
      <c r="N384" s="250"/>
      <c r="O384" s="250"/>
      <c r="P384" s="250"/>
      <c r="Q384" s="249"/>
      <c r="R384" s="94"/>
      <c r="S384" s="94"/>
      <c r="T384" s="251"/>
      <c r="U384" s="94"/>
      <c r="V384" s="94"/>
      <c r="W384" s="94"/>
      <c r="X384" s="94"/>
      <c r="Y384" s="94"/>
      <c r="Z384" s="94"/>
      <c r="AA384" s="94"/>
    </row>
    <row r="385" spans="1:27" ht="15.75" customHeight="1">
      <c r="A385" s="94"/>
      <c r="B385" s="248"/>
      <c r="C385" s="94"/>
      <c r="D385" s="94"/>
      <c r="E385" s="94"/>
      <c r="F385" s="249"/>
      <c r="G385" s="248"/>
      <c r="H385" s="94"/>
      <c r="I385" s="249"/>
      <c r="J385" s="94"/>
      <c r="K385" s="250"/>
      <c r="L385" s="250"/>
      <c r="M385" s="250"/>
      <c r="N385" s="250"/>
      <c r="O385" s="250"/>
      <c r="P385" s="250"/>
      <c r="Q385" s="249"/>
      <c r="R385" s="94"/>
      <c r="S385" s="94"/>
      <c r="T385" s="251"/>
      <c r="U385" s="94"/>
      <c r="V385" s="94"/>
      <c r="W385" s="94"/>
      <c r="X385" s="94"/>
      <c r="Y385" s="94"/>
      <c r="Z385" s="94"/>
      <c r="AA385" s="94"/>
    </row>
    <row r="386" spans="1:27" ht="15.75" customHeight="1">
      <c r="A386" s="94"/>
      <c r="B386" s="248"/>
      <c r="C386" s="94"/>
      <c r="D386" s="94"/>
      <c r="E386" s="94"/>
      <c r="F386" s="249"/>
      <c r="G386" s="248"/>
      <c r="H386" s="94"/>
      <c r="I386" s="249"/>
      <c r="J386" s="94"/>
      <c r="K386" s="250"/>
      <c r="L386" s="250"/>
      <c r="M386" s="250"/>
      <c r="N386" s="250"/>
      <c r="O386" s="250"/>
      <c r="P386" s="250"/>
      <c r="Q386" s="249"/>
      <c r="R386" s="94"/>
      <c r="S386" s="94"/>
      <c r="T386" s="251"/>
      <c r="U386" s="94"/>
      <c r="V386" s="94"/>
      <c r="W386" s="94"/>
      <c r="X386" s="94"/>
      <c r="Y386" s="94"/>
      <c r="Z386" s="94"/>
      <c r="AA386" s="94"/>
    </row>
    <row r="387" spans="1:27" ht="15.75" customHeight="1">
      <c r="A387" s="94"/>
      <c r="B387" s="248"/>
      <c r="C387" s="94"/>
      <c r="D387" s="94"/>
      <c r="E387" s="94"/>
      <c r="F387" s="249"/>
      <c r="G387" s="248"/>
      <c r="H387" s="94"/>
      <c r="I387" s="249"/>
      <c r="J387" s="94"/>
      <c r="K387" s="250"/>
      <c r="L387" s="250"/>
      <c r="M387" s="250"/>
      <c r="N387" s="250"/>
      <c r="O387" s="250"/>
      <c r="P387" s="250"/>
      <c r="Q387" s="249"/>
      <c r="R387" s="94"/>
      <c r="S387" s="94"/>
      <c r="T387" s="251"/>
      <c r="U387" s="94"/>
      <c r="V387" s="94"/>
      <c r="W387" s="94"/>
      <c r="X387" s="94"/>
      <c r="Y387" s="94"/>
      <c r="Z387" s="94"/>
      <c r="AA387" s="94"/>
    </row>
    <row r="388" spans="1:27" ht="15.75" customHeight="1">
      <c r="A388" s="94"/>
      <c r="B388" s="248"/>
      <c r="C388" s="94"/>
      <c r="D388" s="94"/>
      <c r="E388" s="94"/>
      <c r="F388" s="249"/>
      <c r="G388" s="248"/>
      <c r="H388" s="94"/>
      <c r="I388" s="249"/>
      <c r="J388" s="94"/>
      <c r="K388" s="250"/>
      <c r="L388" s="250"/>
      <c r="M388" s="250"/>
      <c r="N388" s="250"/>
      <c r="O388" s="250"/>
      <c r="P388" s="250"/>
      <c r="Q388" s="249"/>
      <c r="R388" s="94"/>
      <c r="S388" s="94"/>
      <c r="T388" s="251"/>
      <c r="U388" s="94"/>
      <c r="V388" s="94"/>
      <c r="W388" s="94"/>
      <c r="X388" s="94"/>
      <c r="Y388" s="94"/>
      <c r="Z388" s="94"/>
      <c r="AA388" s="94"/>
    </row>
    <row r="389" spans="1:27" ht="15.75" customHeight="1">
      <c r="A389" s="94"/>
      <c r="B389" s="248"/>
      <c r="C389" s="94"/>
      <c r="D389" s="94"/>
      <c r="E389" s="94"/>
      <c r="F389" s="249"/>
      <c r="G389" s="248"/>
      <c r="H389" s="94"/>
      <c r="I389" s="249"/>
      <c r="J389" s="94"/>
      <c r="K389" s="250"/>
      <c r="L389" s="250"/>
      <c r="M389" s="250"/>
      <c r="N389" s="250"/>
      <c r="O389" s="250"/>
      <c r="P389" s="250"/>
      <c r="Q389" s="249"/>
      <c r="R389" s="94"/>
      <c r="S389" s="94"/>
      <c r="T389" s="251"/>
      <c r="U389" s="94"/>
      <c r="V389" s="94"/>
      <c r="W389" s="94"/>
      <c r="X389" s="94"/>
      <c r="Y389" s="94"/>
      <c r="Z389" s="94"/>
      <c r="AA389" s="94"/>
    </row>
    <row r="390" spans="1:27" ht="15.75" customHeight="1">
      <c r="A390" s="94"/>
      <c r="B390" s="248"/>
      <c r="C390" s="94"/>
      <c r="D390" s="94"/>
      <c r="E390" s="94"/>
      <c r="F390" s="249"/>
      <c r="G390" s="248"/>
      <c r="H390" s="94"/>
      <c r="I390" s="249"/>
      <c r="J390" s="94"/>
      <c r="K390" s="250"/>
      <c r="L390" s="250"/>
      <c r="M390" s="250"/>
      <c r="N390" s="250"/>
      <c r="O390" s="250"/>
      <c r="P390" s="250"/>
      <c r="Q390" s="249"/>
      <c r="R390" s="94"/>
      <c r="S390" s="94"/>
      <c r="T390" s="251"/>
      <c r="U390" s="94"/>
      <c r="V390" s="94"/>
      <c r="W390" s="94"/>
      <c r="X390" s="94"/>
      <c r="Y390" s="94"/>
      <c r="Z390" s="94"/>
      <c r="AA390" s="94"/>
    </row>
    <row r="391" spans="1:27" ht="15.75" customHeight="1">
      <c r="A391" s="94"/>
      <c r="B391" s="248"/>
      <c r="C391" s="94"/>
      <c r="D391" s="94"/>
      <c r="E391" s="94"/>
      <c r="F391" s="249"/>
      <c r="G391" s="248"/>
      <c r="H391" s="94"/>
      <c r="I391" s="249"/>
      <c r="J391" s="94"/>
      <c r="K391" s="250"/>
      <c r="L391" s="250"/>
      <c r="M391" s="250"/>
      <c r="N391" s="250"/>
      <c r="O391" s="250"/>
      <c r="P391" s="250"/>
      <c r="Q391" s="249"/>
      <c r="R391" s="94"/>
      <c r="S391" s="94"/>
      <c r="T391" s="251"/>
      <c r="U391" s="94"/>
      <c r="V391" s="94"/>
      <c r="W391" s="94"/>
      <c r="X391" s="94"/>
      <c r="Y391" s="94"/>
      <c r="Z391" s="94"/>
      <c r="AA391" s="94"/>
    </row>
    <row r="392" spans="1:27" ht="15.75" customHeight="1">
      <c r="A392" s="94"/>
      <c r="B392" s="248"/>
      <c r="C392" s="94"/>
      <c r="D392" s="94"/>
      <c r="E392" s="94"/>
      <c r="F392" s="249"/>
      <c r="G392" s="248"/>
      <c r="H392" s="94"/>
      <c r="I392" s="249"/>
      <c r="J392" s="94"/>
      <c r="K392" s="250"/>
      <c r="L392" s="250"/>
      <c r="M392" s="250"/>
      <c r="N392" s="250"/>
      <c r="O392" s="250"/>
      <c r="P392" s="250"/>
      <c r="Q392" s="249"/>
      <c r="R392" s="94"/>
      <c r="S392" s="94"/>
      <c r="T392" s="251"/>
      <c r="U392" s="94"/>
      <c r="V392" s="94"/>
      <c r="W392" s="94"/>
      <c r="X392" s="94"/>
      <c r="Y392" s="94"/>
      <c r="Z392" s="94"/>
      <c r="AA392" s="94"/>
    </row>
    <row r="393" spans="1:27" ht="15.75" customHeight="1">
      <c r="A393" s="94"/>
      <c r="B393" s="248"/>
      <c r="C393" s="94"/>
      <c r="D393" s="94"/>
      <c r="E393" s="94"/>
      <c r="F393" s="249"/>
      <c r="G393" s="248"/>
      <c r="H393" s="94"/>
      <c r="I393" s="249"/>
      <c r="J393" s="94"/>
      <c r="K393" s="250"/>
      <c r="L393" s="250"/>
      <c r="M393" s="250"/>
      <c r="N393" s="250"/>
      <c r="O393" s="250"/>
      <c r="P393" s="250"/>
      <c r="Q393" s="249"/>
      <c r="R393" s="94"/>
      <c r="S393" s="94"/>
      <c r="T393" s="251"/>
      <c r="U393" s="94"/>
      <c r="V393" s="94"/>
      <c r="W393" s="94"/>
      <c r="X393" s="94"/>
      <c r="Y393" s="94"/>
      <c r="Z393" s="94"/>
      <c r="AA393" s="94"/>
    </row>
    <row r="394" spans="1:27" ht="15.75" customHeight="1">
      <c r="A394" s="94"/>
      <c r="B394" s="248"/>
      <c r="C394" s="94"/>
      <c r="D394" s="94"/>
      <c r="E394" s="94"/>
      <c r="F394" s="249"/>
      <c r="G394" s="248"/>
      <c r="H394" s="94"/>
      <c r="I394" s="249"/>
      <c r="J394" s="94"/>
      <c r="K394" s="250"/>
      <c r="L394" s="250"/>
      <c r="M394" s="250"/>
      <c r="N394" s="250"/>
      <c r="O394" s="250"/>
      <c r="P394" s="250"/>
      <c r="Q394" s="249"/>
      <c r="R394" s="94"/>
      <c r="S394" s="94"/>
      <c r="T394" s="251"/>
      <c r="U394" s="94"/>
      <c r="V394" s="94"/>
      <c r="W394" s="94"/>
      <c r="X394" s="94"/>
      <c r="Y394" s="94"/>
      <c r="Z394" s="94"/>
      <c r="AA394" s="94"/>
    </row>
    <row r="395" spans="1:27" ht="15.75" customHeight="1">
      <c r="A395" s="94"/>
      <c r="B395" s="248"/>
      <c r="C395" s="94"/>
      <c r="D395" s="94"/>
      <c r="E395" s="94"/>
      <c r="F395" s="249"/>
      <c r="G395" s="248"/>
      <c r="H395" s="94"/>
      <c r="I395" s="249"/>
      <c r="J395" s="94"/>
      <c r="K395" s="250"/>
      <c r="L395" s="250"/>
      <c r="M395" s="250"/>
      <c r="N395" s="250"/>
      <c r="O395" s="250"/>
      <c r="P395" s="250"/>
      <c r="Q395" s="249"/>
      <c r="R395" s="94"/>
      <c r="S395" s="94"/>
      <c r="T395" s="251"/>
      <c r="U395" s="94"/>
      <c r="V395" s="94"/>
      <c r="W395" s="94"/>
      <c r="X395" s="94"/>
      <c r="Y395" s="94"/>
      <c r="Z395" s="94"/>
      <c r="AA395" s="94"/>
    </row>
    <row r="396" spans="1:27" ht="15.75" customHeight="1">
      <c r="A396" s="94"/>
      <c r="B396" s="248"/>
      <c r="C396" s="94"/>
      <c r="D396" s="94"/>
      <c r="E396" s="94"/>
      <c r="F396" s="249"/>
      <c r="G396" s="248"/>
      <c r="H396" s="94"/>
      <c r="I396" s="249"/>
      <c r="J396" s="94"/>
      <c r="K396" s="250"/>
      <c r="L396" s="250"/>
      <c r="M396" s="250"/>
      <c r="N396" s="250"/>
      <c r="O396" s="250"/>
      <c r="P396" s="250"/>
      <c r="Q396" s="249"/>
      <c r="R396" s="94"/>
      <c r="S396" s="94"/>
      <c r="T396" s="251"/>
      <c r="U396" s="94"/>
      <c r="V396" s="94"/>
      <c r="W396" s="94"/>
      <c r="X396" s="94"/>
      <c r="Y396" s="94"/>
      <c r="Z396" s="94"/>
      <c r="AA396" s="94"/>
    </row>
    <row r="397" spans="1:27" ht="15.75" customHeight="1">
      <c r="A397" s="94"/>
      <c r="B397" s="248"/>
      <c r="C397" s="94"/>
      <c r="D397" s="94"/>
      <c r="E397" s="94"/>
      <c r="F397" s="249"/>
      <c r="G397" s="248"/>
      <c r="H397" s="94"/>
      <c r="I397" s="249"/>
      <c r="J397" s="94"/>
      <c r="K397" s="250"/>
      <c r="L397" s="250"/>
      <c r="M397" s="250"/>
      <c r="N397" s="250"/>
      <c r="O397" s="250"/>
      <c r="P397" s="250"/>
      <c r="Q397" s="249"/>
      <c r="R397" s="94"/>
      <c r="S397" s="94"/>
      <c r="T397" s="251"/>
      <c r="U397" s="94"/>
      <c r="V397" s="94"/>
      <c r="W397" s="94"/>
      <c r="X397" s="94"/>
      <c r="Y397" s="94"/>
      <c r="Z397" s="94"/>
      <c r="AA397" s="94"/>
    </row>
    <row r="398" spans="1:27" ht="15.75" customHeight="1">
      <c r="A398" s="94"/>
      <c r="B398" s="248"/>
      <c r="C398" s="94"/>
      <c r="D398" s="94"/>
      <c r="E398" s="94"/>
      <c r="F398" s="249"/>
      <c r="G398" s="248"/>
      <c r="H398" s="94"/>
      <c r="I398" s="249"/>
      <c r="J398" s="94"/>
      <c r="K398" s="250"/>
      <c r="L398" s="250"/>
      <c r="M398" s="250"/>
      <c r="N398" s="250"/>
      <c r="O398" s="250"/>
      <c r="P398" s="250"/>
      <c r="Q398" s="249"/>
      <c r="R398" s="94"/>
      <c r="S398" s="94"/>
      <c r="T398" s="251"/>
      <c r="U398" s="94"/>
      <c r="V398" s="94"/>
      <c r="W398" s="94"/>
      <c r="X398" s="94"/>
      <c r="Y398" s="94"/>
      <c r="Z398" s="94"/>
      <c r="AA398" s="94"/>
    </row>
    <row r="399" spans="1:27" ht="15.75" customHeight="1">
      <c r="A399" s="94"/>
      <c r="B399" s="248"/>
      <c r="C399" s="94"/>
      <c r="D399" s="94"/>
      <c r="E399" s="94"/>
      <c r="F399" s="249"/>
      <c r="G399" s="248"/>
      <c r="H399" s="94"/>
      <c r="I399" s="249"/>
      <c r="J399" s="94"/>
      <c r="K399" s="250"/>
      <c r="L399" s="250"/>
      <c r="M399" s="250"/>
      <c r="N399" s="250"/>
      <c r="O399" s="250"/>
      <c r="P399" s="250"/>
      <c r="Q399" s="249"/>
      <c r="R399" s="94"/>
      <c r="S399" s="94"/>
      <c r="T399" s="251"/>
      <c r="U399" s="94"/>
      <c r="V399" s="94"/>
      <c r="W399" s="94"/>
      <c r="X399" s="94"/>
      <c r="Y399" s="94"/>
      <c r="Z399" s="94"/>
      <c r="AA399" s="94"/>
    </row>
    <row r="400" spans="1:27" ht="15.75" customHeight="1">
      <c r="A400" s="94"/>
      <c r="B400" s="248"/>
      <c r="C400" s="94"/>
      <c r="D400" s="94"/>
      <c r="E400" s="94"/>
      <c r="F400" s="249"/>
      <c r="G400" s="248"/>
      <c r="H400" s="94"/>
      <c r="I400" s="249"/>
      <c r="J400" s="94"/>
      <c r="K400" s="250"/>
      <c r="L400" s="250"/>
      <c r="M400" s="250"/>
      <c r="N400" s="250"/>
      <c r="O400" s="250"/>
      <c r="P400" s="250"/>
      <c r="Q400" s="249"/>
      <c r="R400" s="94"/>
      <c r="S400" s="94"/>
      <c r="T400" s="251"/>
      <c r="U400" s="94"/>
      <c r="V400" s="94"/>
      <c r="W400" s="94"/>
      <c r="X400" s="94"/>
      <c r="Y400" s="94"/>
      <c r="Z400" s="94"/>
      <c r="AA400" s="94"/>
    </row>
    <row r="401" spans="1:27" ht="15.75" customHeight="1">
      <c r="A401" s="94"/>
      <c r="B401" s="248"/>
      <c r="C401" s="94"/>
      <c r="D401" s="94"/>
      <c r="E401" s="94"/>
      <c r="F401" s="249"/>
      <c r="G401" s="248"/>
      <c r="H401" s="94"/>
      <c r="I401" s="249"/>
      <c r="J401" s="94"/>
      <c r="K401" s="250"/>
      <c r="L401" s="250"/>
      <c r="M401" s="250"/>
      <c r="N401" s="250"/>
      <c r="O401" s="250"/>
      <c r="P401" s="250"/>
      <c r="Q401" s="249"/>
      <c r="R401" s="94"/>
      <c r="S401" s="94"/>
      <c r="T401" s="251"/>
      <c r="U401" s="94"/>
      <c r="V401" s="94"/>
      <c r="W401" s="94"/>
      <c r="X401" s="94"/>
      <c r="Y401" s="94"/>
      <c r="Z401" s="94"/>
      <c r="AA401" s="94"/>
    </row>
    <row r="402" spans="1:27" ht="15.75" customHeight="1">
      <c r="A402" s="94"/>
      <c r="B402" s="248"/>
      <c r="C402" s="94"/>
      <c r="D402" s="94"/>
      <c r="E402" s="94"/>
      <c r="F402" s="249"/>
      <c r="G402" s="248"/>
      <c r="H402" s="94"/>
      <c r="I402" s="249"/>
      <c r="J402" s="94"/>
      <c r="K402" s="250"/>
      <c r="L402" s="250"/>
      <c r="M402" s="250"/>
      <c r="N402" s="250"/>
      <c r="O402" s="250"/>
      <c r="P402" s="250"/>
      <c r="Q402" s="249"/>
      <c r="R402" s="94"/>
      <c r="S402" s="94"/>
      <c r="T402" s="251"/>
      <c r="U402" s="94"/>
      <c r="V402" s="94"/>
      <c r="W402" s="94"/>
      <c r="X402" s="94"/>
      <c r="Y402" s="94"/>
      <c r="Z402" s="94"/>
      <c r="AA402" s="94"/>
    </row>
    <row r="403" spans="1:27" ht="15.75" customHeight="1">
      <c r="A403" s="94"/>
      <c r="B403" s="248"/>
      <c r="C403" s="94"/>
      <c r="D403" s="94"/>
      <c r="E403" s="94"/>
      <c r="F403" s="249"/>
      <c r="G403" s="248"/>
      <c r="H403" s="94"/>
      <c r="I403" s="249"/>
      <c r="J403" s="94"/>
      <c r="K403" s="250"/>
      <c r="L403" s="250"/>
      <c r="M403" s="250"/>
      <c r="N403" s="250"/>
      <c r="O403" s="250"/>
      <c r="P403" s="250"/>
      <c r="Q403" s="249"/>
      <c r="R403" s="94"/>
      <c r="S403" s="94"/>
      <c r="T403" s="251"/>
      <c r="U403" s="94"/>
      <c r="V403" s="94"/>
      <c r="W403" s="94"/>
      <c r="X403" s="94"/>
      <c r="Y403" s="94"/>
      <c r="Z403" s="94"/>
      <c r="AA403" s="94"/>
    </row>
    <row r="404" spans="1:27" ht="15.75" customHeight="1">
      <c r="A404" s="94"/>
      <c r="B404" s="248"/>
      <c r="C404" s="94"/>
      <c r="D404" s="94"/>
      <c r="E404" s="94"/>
      <c r="F404" s="249"/>
      <c r="G404" s="248"/>
      <c r="H404" s="94"/>
      <c r="I404" s="249"/>
      <c r="J404" s="94"/>
      <c r="K404" s="250"/>
      <c r="L404" s="250"/>
      <c r="M404" s="250"/>
      <c r="N404" s="250"/>
      <c r="O404" s="250"/>
      <c r="P404" s="250"/>
      <c r="Q404" s="249"/>
      <c r="R404" s="94"/>
      <c r="S404" s="94"/>
      <c r="T404" s="251"/>
      <c r="U404" s="94"/>
      <c r="V404" s="94"/>
      <c r="W404" s="94"/>
      <c r="X404" s="94"/>
      <c r="Y404" s="94"/>
      <c r="Z404" s="94"/>
      <c r="AA404" s="94"/>
    </row>
    <row r="405" spans="1:27" ht="15.75" customHeight="1">
      <c r="A405" s="94"/>
      <c r="B405" s="248"/>
      <c r="C405" s="94"/>
      <c r="D405" s="94"/>
      <c r="E405" s="94"/>
      <c r="F405" s="249"/>
      <c r="G405" s="248"/>
      <c r="H405" s="94"/>
      <c r="I405" s="249"/>
      <c r="J405" s="94"/>
      <c r="K405" s="250"/>
      <c r="L405" s="250"/>
      <c r="M405" s="250"/>
      <c r="N405" s="250"/>
      <c r="O405" s="250"/>
      <c r="P405" s="250"/>
      <c r="Q405" s="249"/>
      <c r="R405" s="94"/>
      <c r="S405" s="94"/>
      <c r="T405" s="251"/>
      <c r="U405" s="94"/>
      <c r="V405" s="94"/>
      <c r="W405" s="94"/>
      <c r="X405" s="94"/>
      <c r="Y405" s="94"/>
      <c r="Z405" s="94"/>
      <c r="AA405" s="94"/>
    </row>
    <row r="406" spans="1:27" ht="15.75" customHeight="1">
      <c r="A406" s="94"/>
      <c r="B406" s="248"/>
      <c r="C406" s="94"/>
      <c r="D406" s="94"/>
      <c r="E406" s="94"/>
      <c r="F406" s="249"/>
      <c r="G406" s="248"/>
      <c r="H406" s="94"/>
      <c r="I406" s="249"/>
      <c r="J406" s="94"/>
      <c r="K406" s="250"/>
      <c r="L406" s="250"/>
      <c r="M406" s="250"/>
      <c r="N406" s="250"/>
      <c r="O406" s="250"/>
      <c r="P406" s="250"/>
      <c r="Q406" s="249"/>
      <c r="R406" s="94"/>
      <c r="S406" s="94"/>
      <c r="T406" s="251"/>
      <c r="U406" s="94"/>
      <c r="V406" s="94"/>
      <c r="W406" s="94"/>
      <c r="X406" s="94"/>
      <c r="Y406" s="94"/>
      <c r="Z406" s="94"/>
      <c r="AA406" s="94"/>
    </row>
    <row r="407" spans="1:27" ht="15.75" customHeight="1">
      <c r="A407" s="94"/>
      <c r="B407" s="248"/>
      <c r="C407" s="94"/>
      <c r="D407" s="94"/>
      <c r="E407" s="94"/>
      <c r="F407" s="249"/>
      <c r="G407" s="248"/>
      <c r="H407" s="94"/>
      <c r="I407" s="249"/>
      <c r="J407" s="94"/>
      <c r="K407" s="250"/>
      <c r="L407" s="250"/>
      <c r="M407" s="250"/>
      <c r="N407" s="250"/>
      <c r="O407" s="250"/>
      <c r="P407" s="250"/>
      <c r="Q407" s="249"/>
      <c r="R407" s="94"/>
      <c r="S407" s="94"/>
      <c r="T407" s="251"/>
      <c r="U407" s="94"/>
      <c r="V407" s="94"/>
      <c r="W407" s="94"/>
      <c r="X407" s="94"/>
      <c r="Y407" s="94"/>
      <c r="Z407" s="94"/>
      <c r="AA407" s="94"/>
    </row>
    <row r="408" spans="1:27" ht="15.75" customHeight="1">
      <c r="A408" s="94"/>
      <c r="B408" s="248"/>
      <c r="C408" s="94"/>
      <c r="D408" s="94"/>
      <c r="E408" s="94"/>
      <c r="F408" s="249"/>
      <c r="G408" s="248"/>
      <c r="H408" s="94"/>
      <c r="I408" s="249"/>
      <c r="J408" s="94"/>
      <c r="K408" s="250"/>
      <c r="L408" s="250"/>
      <c r="M408" s="250"/>
      <c r="N408" s="250"/>
      <c r="O408" s="250"/>
      <c r="P408" s="250"/>
      <c r="Q408" s="249"/>
      <c r="R408" s="94"/>
      <c r="S408" s="94"/>
      <c r="T408" s="251"/>
      <c r="U408" s="94"/>
      <c r="V408" s="94"/>
      <c r="W408" s="94"/>
      <c r="X408" s="94"/>
      <c r="Y408" s="94"/>
      <c r="Z408" s="94"/>
      <c r="AA408" s="94"/>
    </row>
    <row r="409" spans="1:27" ht="15.75" customHeight="1">
      <c r="A409" s="94"/>
      <c r="B409" s="248"/>
      <c r="C409" s="94"/>
      <c r="D409" s="94"/>
      <c r="E409" s="94"/>
      <c r="F409" s="249"/>
      <c r="G409" s="248"/>
      <c r="H409" s="94"/>
      <c r="I409" s="249"/>
      <c r="J409" s="94"/>
      <c r="K409" s="250"/>
      <c r="L409" s="250"/>
      <c r="M409" s="250"/>
      <c r="N409" s="250"/>
      <c r="O409" s="250"/>
      <c r="P409" s="250"/>
      <c r="Q409" s="249"/>
      <c r="R409" s="94"/>
      <c r="S409" s="94"/>
      <c r="T409" s="251"/>
      <c r="U409" s="94"/>
      <c r="V409" s="94"/>
      <c r="W409" s="94"/>
      <c r="X409" s="94"/>
      <c r="Y409" s="94"/>
      <c r="Z409" s="94"/>
      <c r="AA409" s="94"/>
    </row>
    <row r="410" spans="1:27" ht="15.75" customHeight="1">
      <c r="A410" s="94"/>
      <c r="B410" s="248"/>
      <c r="C410" s="94"/>
      <c r="D410" s="94"/>
      <c r="E410" s="94"/>
      <c r="F410" s="249"/>
      <c r="G410" s="248"/>
      <c r="H410" s="94"/>
      <c r="I410" s="249"/>
      <c r="J410" s="94"/>
      <c r="K410" s="250"/>
      <c r="L410" s="250"/>
      <c r="M410" s="250"/>
      <c r="N410" s="250"/>
      <c r="O410" s="250"/>
      <c r="P410" s="250"/>
      <c r="Q410" s="249"/>
      <c r="R410" s="94"/>
      <c r="S410" s="94"/>
      <c r="T410" s="251"/>
      <c r="U410" s="94"/>
      <c r="V410" s="94"/>
      <c r="W410" s="94"/>
      <c r="X410" s="94"/>
      <c r="Y410" s="94"/>
      <c r="Z410" s="94"/>
      <c r="AA410" s="94"/>
    </row>
    <row r="411" spans="1:27" ht="15.75" customHeight="1">
      <c r="A411" s="94"/>
      <c r="B411" s="248"/>
      <c r="C411" s="94"/>
      <c r="D411" s="94"/>
      <c r="E411" s="94"/>
      <c r="F411" s="249"/>
      <c r="G411" s="248"/>
      <c r="H411" s="94"/>
      <c r="I411" s="249"/>
      <c r="J411" s="94"/>
      <c r="K411" s="250"/>
      <c r="L411" s="250"/>
      <c r="M411" s="250"/>
      <c r="N411" s="250"/>
      <c r="O411" s="250"/>
      <c r="P411" s="250"/>
      <c r="Q411" s="249"/>
      <c r="R411" s="94"/>
      <c r="S411" s="94"/>
      <c r="T411" s="251"/>
      <c r="U411" s="94"/>
      <c r="V411" s="94"/>
      <c r="W411" s="94"/>
      <c r="X411" s="94"/>
      <c r="Y411" s="94"/>
      <c r="Z411" s="94"/>
      <c r="AA411" s="94"/>
    </row>
    <row r="412" spans="1:27" ht="15.75" customHeight="1">
      <c r="A412" s="94"/>
      <c r="B412" s="248"/>
      <c r="C412" s="94"/>
      <c r="D412" s="94"/>
      <c r="E412" s="94"/>
      <c r="F412" s="249"/>
      <c r="G412" s="248"/>
      <c r="H412" s="94"/>
      <c r="I412" s="249"/>
      <c r="J412" s="94"/>
      <c r="K412" s="250"/>
      <c r="L412" s="250"/>
      <c r="M412" s="250"/>
      <c r="N412" s="250"/>
      <c r="O412" s="250"/>
      <c r="P412" s="250"/>
      <c r="Q412" s="249"/>
      <c r="R412" s="94"/>
      <c r="S412" s="94"/>
      <c r="T412" s="251"/>
      <c r="U412" s="94"/>
      <c r="V412" s="94"/>
      <c r="W412" s="94"/>
      <c r="X412" s="94"/>
      <c r="Y412" s="94"/>
      <c r="Z412" s="94"/>
      <c r="AA412" s="94"/>
    </row>
    <row r="413" spans="1:27" ht="15.75" customHeight="1">
      <c r="A413" s="94"/>
      <c r="B413" s="248"/>
      <c r="C413" s="94"/>
      <c r="D413" s="94"/>
      <c r="E413" s="94"/>
      <c r="F413" s="249"/>
      <c r="G413" s="248"/>
      <c r="H413" s="94"/>
      <c r="I413" s="249"/>
      <c r="J413" s="94"/>
      <c r="K413" s="250"/>
      <c r="L413" s="250"/>
      <c r="M413" s="250"/>
      <c r="N413" s="250"/>
      <c r="O413" s="250"/>
      <c r="P413" s="250"/>
      <c r="Q413" s="249"/>
      <c r="R413" s="94"/>
      <c r="S413" s="94"/>
      <c r="T413" s="251"/>
      <c r="U413" s="94"/>
      <c r="V413" s="94"/>
      <c r="W413" s="94"/>
      <c r="X413" s="94"/>
      <c r="Y413" s="94"/>
      <c r="Z413" s="94"/>
      <c r="AA413" s="94"/>
    </row>
    <row r="414" spans="1:27" ht="15.75" customHeight="1">
      <c r="A414" s="94"/>
      <c r="B414" s="248"/>
      <c r="C414" s="94"/>
      <c r="D414" s="94"/>
      <c r="E414" s="94"/>
      <c r="F414" s="249"/>
      <c r="G414" s="248"/>
      <c r="H414" s="94"/>
      <c r="I414" s="249"/>
      <c r="J414" s="94"/>
      <c r="K414" s="250"/>
      <c r="L414" s="250"/>
      <c r="M414" s="250"/>
      <c r="N414" s="250"/>
      <c r="O414" s="250"/>
      <c r="P414" s="250"/>
      <c r="Q414" s="249"/>
      <c r="R414" s="94"/>
      <c r="S414" s="94"/>
      <c r="T414" s="251"/>
      <c r="U414" s="94"/>
      <c r="V414" s="94"/>
      <c r="W414" s="94"/>
      <c r="X414" s="94"/>
      <c r="Y414" s="94"/>
      <c r="Z414" s="94"/>
      <c r="AA414" s="94"/>
    </row>
    <row r="415" spans="1:27" ht="15.75" customHeight="1">
      <c r="A415" s="94"/>
      <c r="B415" s="248"/>
      <c r="C415" s="94"/>
      <c r="D415" s="94"/>
      <c r="E415" s="94"/>
      <c r="F415" s="249"/>
      <c r="G415" s="248"/>
      <c r="H415" s="94"/>
      <c r="I415" s="249"/>
      <c r="J415" s="94"/>
      <c r="K415" s="250"/>
      <c r="L415" s="250"/>
      <c r="M415" s="250"/>
      <c r="N415" s="250"/>
      <c r="O415" s="250"/>
      <c r="P415" s="250"/>
      <c r="Q415" s="249"/>
      <c r="R415" s="94"/>
      <c r="S415" s="94"/>
      <c r="T415" s="251"/>
      <c r="U415" s="94"/>
      <c r="V415" s="94"/>
      <c r="W415" s="94"/>
      <c r="X415" s="94"/>
      <c r="Y415" s="94"/>
      <c r="Z415" s="94"/>
      <c r="AA415" s="94"/>
    </row>
    <row r="416" spans="1:27" ht="15.75" customHeight="1">
      <c r="A416" s="94"/>
      <c r="B416" s="248"/>
      <c r="C416" s="94"/>
      <c r="D416" s="94"/>
      <c r="E416" s="94"/>
      <c r="F416" s="249"/>
      <c r="G416" s="248"/>
      <c r="H416" s="94"/>
      <c r="I416" s="249"/>
      <c r="J416" s="94"/>
      <c r="K416" s="250"/>
      <c r="L416" s="250"/>
      <c r="M416" s="250"/>
      <c r="N416" s="250"/>
      <c r="O416" s="250"/>
      <c r="P416" s="250"/>
      <c r="Q416" s="249"/>
      <c r="R416" s="94"/>
      <c r="S416" s="94"/>
      <c r="T416" s="251"/>
      <c r="U416" s="94"/>
      <c r="V416" s="94"/>
      <c r="W416" s="94"/>
      <c r="X416" s="94"/>
      <c r="Y416" s="94"/>
      <c r="Z416" s="94"/>
      <c r="AA416" s="94"/>
    </row>
    <row r="417" spans="1:27" ht="15.75" customHeight="1">
      <c r="A417" s="94"/>
      <c r="B417" s="248"/>
      <c r="C417" s="94"/>
      <c r="D417" s="94"/>
      <c r="E417" s="94"/>
      <c r="F417" s="249"/>
      <c r="G417" s="248"/>
      <c r="H417" s="94"/>
      <c r="I417" s="249"/>
      <c r="J417" s="94"/>
      <c r="K417" s="250"/>
      <c r="L417" s="250"/>
      <c r="M417" s="250"/>
      <c r="N417" s="250"/>
      <c r="O417" s="250"/>
      <c r="P417" s="250"/>
      <c r="Q417" s="249"/>
      <c r="R417" s="94"/>
      <c r="S417" s="94"/>
      <c r="T417" s="251"/>
      <c r="U417" s="94"/>
      <c r="V417" s="94"/>
      <c r="W417" s="94"/>
      <c r="X417" s="94"/>
      <c r="Y417" s="94"/>
      <c r="Z417" s="94"/>
      <c r="AA417" s="94"/>
    </row>
    <row r="418" spans="1:27" ht="15.75" customHeight="1">
      <c r="A418" s="94"/>
      <c r="B418" s="248"/>
      <c r="C418" s="94"/>
      <c r="D418" s="94"/>
      <c r="E418" s="94"/>
      <c r="F418" s="249"/>
      <c r="G418" s="248"/>
      <c r="H418" s="94"/>
      <c r="I418" s="249"/>
      <c r="J418" s="94"/>
      <c r="K418" s="250"/>
      <c r="L418" s="250"/>
      <c r="M418" s="250"/>
      <c r="N418" s="250"/>
      <c r="O418" s="250"/>
      <c r="P418" s="250"/>
      <c r="Q418" s="249"/>
      <c r="R418" s="94"/>
      <c r="S418" s="94"/>
      <c r="T418" s="251"/>
      <c r="U418" s="94"/>
      <c r="V418" s="94"/>
      <c r="W418" s="94"/>
      <c r="X418" s="94"/>
      <c r="Y418" s="94"/>
      <c r="Z418" s="94"/>
      <c r="AA418" s="94"/>
    </row>
    <row r="419" spans="1:27" ht="15.75" customHeight="1">
      <c r="A419" s="94"/>
      <c r="B419" s="248"/>
      <c r="C419" s="94"/>
      <c r="D419" s="94"/>
      <c r="E419" s="94"/>
      <c r="F419" s="249"/>
      <c r="G419" s="248"/>
      <c r="H419" s="94"/>
      <c r="I419" s="249"/>
      <c r="J419" s="94"/>
      <c r="K419" s="250"/>
      <c r="L419" s="250"/>
      <c r="M419" s="250"/>
      <c r="N419" s="250"/>
      <c r="O419" s="250"/>
      <c r="P419" s="250"/>
      <c r="Q419" s="249"/>
      <c r="R419" s="94"/>
      <c r="S419" s="94"/>
      <c r="T419" s="251"/>
      <c r="U419" s="94"/>
      <c r="V419" s="94"/>
      <c r="W419" s="94"/>
      <c r="X419" s="94"/>
      <c r="Y419" s="94"/>
      <c r="Z419" s="94"/>
      <c r="AA419" s="94"/>
    </row>
    <row r="420" spans="1:27" ht="15.75" customHeight="1">
      <c r="A420" s="94"/>
      <c r="B420" s="248"/>
      <c r="C420" s="94"/>
      <c r="D420" s="94"/>
      <c r="E420" s="94"/>
      <c r="F420" s="249"/>
      <c r="G420" s="248"/>
      <c r="H420" s="94"/>
      <c r="I420" s="249"/>
      <c r="J420" s="94"/>
      <c r="K420" s="250"/>
      <c r="L420" s="250"/>
      <c r="M420" s="250"/>
      <c r="N420" s="250"/>
      <c r="O420" s="250"/>
      <c r="P420" s="250"/>
      <c r="Q420" s="249"/>
      <c r="R420" s="94"/>
      <c r="S420" s="94"/>
      <c r="T420" s="251"/>
      <c r="U420" s="94"/>
      <c r="V420" s="94"/>
      <c r="W420" s="94"/>
      <c r="X420" s="94"/>
      <c r="Y420" s="94"/>
      <c r="Z420" s="94"/>
      <c r="AA420" s="94"/>
    </row>
    <row r="421" spans="1:27" ht="15.75" customHeight="1">
      <c r="A421" s="94"/>
      <c r="B421" s="248"/>
      <c r="C421" s="94"/>
      <c r="D421" s="94"/>
      <c r="E421" s="94"/>
      <c r="F421" s="249"/>
      <c r="G421" s="248"/>
      <c r="H421" s="94"/>
      <c r="I421" s="249"/>
      <c r="J421" s="94"/>
      <c r="K421" s="250"/>
      <c r="L421" s="250"/>
      <c r="M421" s="250"/>
      <c r="N421" s="250"/>
      <c r="O421" s="250"/>
      <c r="P421" s="250"/>
      <c r="Q421" s="249"/>
      <c r="R421" s="94"/>
      <c r="S421" s="94"/>
      <c r="T421" s="251"/>
      <c r="U421" s="94"/>
      <c r="V421" s="94"/>
      <c r="W421" s="94"/>
      <c r="X421" s="94"/>
      <c r="Y421" s="94"/>
      <c r="Z421" s="94"/>
      <c r="AA421" s="94"/>
    </row>
    <row r="422" spans="1:27" ht="15.75" customHeight="1">
      <c r="A422" s="94"/>
      <c r="B422" s="248"/>
      <c r="C422" s="94"/>
      <c r="D422" s="94"/>
      <c r="E422" s="94"/>
      <c r="F422" s="249"/>
      <c r="G422" s="248"/>
      <c r="H422" s="94"/>
      <c r="I422" s="249"/>
      <c r="J422" s="94"/>
      <c r="K422" s="250"/>
      <c r="L422" s="250"/>
      <c r="M422" s="250"/>
      <c r="N422" s="250"/>
      <c r="O422" s="250"/>
      <c r="P422" s="250"/>
      <c r="Q422" s="249"/>
      <c r="R422" s="94"/>
      <c r="S422" s="94"/>
      <c r="T422" s="251"/>
      <c r="U422" s="94"/>
      <c r="V422" s="94"/>
      <c r="W422" s="94"/>
      <c r="X422" s="94"/>
      <c r="Y422" s="94"/>
      <c r="Z422" s="94"/>
      <c r="AA422" s="94"/>
    </row>
    <row r="423" spans="1:27" ht="15.75" customHeight="1">
      <c r="A423" s="94"/>
      <c r="B423" s="248"/>
      <c r="C423" s="94"/>
      <c r="D423" s="94"/>
      <c r="E423" s="94"/>
      <c r="F423" s="249"/>
      <c r="G423" s="248"/>
      <c r="H423" s="94"/>
      <c r="I423" s="249"/>
      <c r="J423" s="94"/>
      <c r="K423" s="250"/>
      <c r="L423" s="250"/>
      <c r="M423" s="250"/>
      <c r="N423" s="250"/>
      <c r="O423" s="250"/>
      <c r="P423" s="250"/>
      <c r="Q423" s="249"/>
      <c r="R423" s="94"/>
      <c r="S423" s="94"/>
      <c r="T423" s="251"/>
      <c r="U423" s="94"/>
      <c r="V423" s="94"/>
      <c r="W423" s="94"/>
      <c r="X423" s="94"/>
      <c r="Y423" s="94"/>
      <c r="Z423" s="94"/>
      <c r="AA423" s="94"/>
    </row>
    <row r="424" spans="1:27" ht="15.75" customHeight="1">
      <c r="A424" s="94"/>
      <c r="B424" s="248"/>
      <c r="C424" s="94"/>
      <c r="D424" s="94"/>
      <c r="E424" s="94"/>
      <c r="F424" s="249"/>
      <c r="G424" s="248"/>
      <c r="H424" s="94"/>
      <c r="I424" s="249"/>
      <c r="J424" s="94"/>
      <c r="K424" s="250"/>
      <c r="L424" s="250"/>
      <c r="M424" s="250"/>
      <c r="N424" s="250"/>
      <c r="O424" s="250"/>
      <c r="P424" s="250"/>
      <c r="Q424" s="249"/>
      <c r="R424" s="94"/>
      <c r="S424" s="94"/>
      <c r="T424" s="251"/>
      <c r="U424" s="94"/>
      <c r="V424" s="94"/>
      <c r="W424" s="94"/>
      <c r="X424" s="94"/>
      <c r="Y424" s="94"/>
      <c r="Z424" s="94"/>
      <c r="AA424" s="94"/>
    </row>
    <row r="425" spans="1:27" ht="15.75" customHeight="1">
      <c r="A425" s="94"/>
      <c r="B425" s="248"/>
      <c r="C425" s="94"/>
      <c r="D425" s="94"/>
      <c r="E425" s="94"/>
      <c r="F425" s="249"/>
      <c r="G425" s="248"/>
      <c r="H425" s="94"/>
      <c r="I425" s="249"/>
      <c r="J425" s="94"/>
      <c r="K425" s="250"/>
      <c r="L425" s="250"/>
      <c r="M425" s="250"/>
      <c r="N425" s="250"/>
      <c r="O425" s="250"/>
      <c r="P425" s="250"/>
      <c r="Q425" s="249"/>
      <c r="R425" s="94"/>
      <c r="S425" s="94"/>
      <c r="T425" s="251"/>
      <c r="U425" s="94"/>
      <c r="V425" s="94"/>
      <c r="W425" s="94"/>
      <c r="X425" s="94"/>
      <c r="Y425" s="94"/>
      <c r="Z425" s="94"/>
      <c r="AA425" s="94"/>
    </row>
    <row r="426" spans="1:27" ht="15.75" customHeight="1">
      <c r="A426" s="94"/>
      <c r="B426" s="248"/>
      <c r="C426" s="94"/>
      <c r="D426" s="94"/>
      <c r="E426" s="94"/>
      <c r="F426" s="249"/>
      <c r="G426" s="248"/>
      <c r="H426" s="94"/>
      <c r="I426" s="249"/>
      <c r="J426" s="94"/>
      <c r="K426" s="250"/>
      <c r="L426" s="250"/>
      <c r="M426" s="250"/>
      <c r="N426" s="250"/>
      <c r="O426" s="250"/>
      <c r="P426" s="250"/>
      <c r="Q426" s="249"/>
      <c r="R426" s="94"/>
      <c r="S426" s="94"/>
      <c r="T426" s="251"/>
      <c r="U426" s="94"/>
      <c r="V426" s="94"/>
      <c r="W426" s="94"/>
      <c r="X426" s="94"/>
      <c r="Y426" s="94"/>
      <c r="Z426" s="94"/>
      <c r="AA426" s="94"/>
    </row>
    <row r="427" spans="1:27" ht="15.75" customHeight="1">
      <c r="A427" s="94"/>
      <c r="B427" s="248"/>
      <c r="C427" s="94"/>
      <c r="D427" s="94"/>
      <c r="E427" s="94"/>
      <c r="F427" s="249"/>
      <c r="G427" s="248"/>
      <c r="H427" s="94"/>
      <c r="I427" s="249"/>
      <c r="J427" s="94"/>
      <c r="K427" s="250"/>
      <c r="L427" s="250"/>
      <c r="M427" s="250"/>
      <c r="N427" s="250"/>
      <c r="O427" s="250"/>
      <c r="P427" s="250"/>
      <c r="Q427" s="249"/>
      <c r="R427" s="94"/>
      <c r="S427" s="94"/>
      <c r="T427" s="251"/>
      <c r="U427" s="94"/>
      <c r="V427" s="94"/>
      <c r="W427" s="94"/>
      <c r="X427" s="94"/>
      <c r="Y427" s="94"/>
      <c r="Z427" s="94"/>
      <c r="AA427" s="94"/>
    </row>
    <row r="428" spans="1:27" ht="15.75" customHeight="1">
      <c r="A428" s="94"/>
      <c r="B428" s="248"/>
      <c r="C428" s="94"/>
      <c r="D428" s="94"/>
      <c r="E428" s="94"/>
      <c r="F428" s="249"/>
      <c r="G428" s="248"/>
      <c r="H428" s="94"/>
      <c r="I428" s="249"/>
      <c r="J428" s="94"/>
      <c r="K428" s="250"/>
      <c r="L428" s="250"/>
      <c r="M428" s="250"/>
      <c r="N428" s="250"/>
      <c r="O428" s="250"/>
      <c r="P428" s="250"/>
      <c r="Q428" s="249"/>
      <c r="R428" s="94"/>
      <c r="S428" s="94"/>
      <c r="T428" s="251"/>
      <c r="U428" s="94"/>
      <c r="V428" s="94"/>
      <c r="W428" s="94"/>
      <c r="X428" s="94"/>
      <c r="Y428" s="94"/>
      <c r="Z428" s="94"/>
      <c r="AA428" s="94"/>
    </row>
    <row r="429" spans="1:27" ht="15.75" customHeight="1">
      <c r="A429" s="94"/>
      <c r="B429" s="248"/>
      <c r="C429" s="94"/>
      <c r="D429" s="94"/>
      <c r="E429" s="94"/>
      <c r="F429" s="249"/>
      <c r="G429" s="248"/>
      <c r="H429" s="94"/>
      <c r="I429" s="249"/>
      <c r="J429" s="94"/>
      <c r="K429" s="250"/>
      <c r="L429" s="250"/>
      <c r="M429" s="250"/>
      <c r="N429" s="250"/>
      <c r="O429" s="250"/>
      <c r="P429" s="250"/>
      <c r="Q429" s="249"/>
      <c r="R429" s="94"/>
      <c r="S429" s="94"/>
      <c r="T429" s="251"/>
      <c r="U429" s="94"/>
      <c r="V429" s="94"/>
      <c r="W429" s="94"/>
      <c r="X429" s="94"/>
      <c r="Y429" s="94"/>
      <c r="Z429" s="94"/>
      <c r="AA429" s="94"/>
    </row>
    <row r="430" spans="1:27" ht="15.75" customHeight="1">
      <c r="A430" s="94"/>
      <c r="B430" s="248"/>
      <c r="C430" s="94"/>
      <c r="D430" s="94"/>
      <c r="E430" s="94"/>
      <c r="F430" s="249"/>
      <c r="G430" s="248"/>
      <c r="H430" s="94"/>
      <c r="I430" s="249"/>
      <c r="J430" s="94"/>
      <c r="K430" s="250"/>
      <c r="L430" s="250"/>
      <c r="M430" s="250"/>
      <c r="N430" s="250"/>
      <c r="O430" s="250"/>
      <c r="P430" s="250"/>
      <c r="Q430" s="249"/>
      <c r="R430" s="94"/>
      <c r="S430" s="94"/>
      <c r="T430" s="251"/>
      <c r="U430" s="94"/>
      <c r="V430" s="94"/>
      <c r="W430" s="94"/>
      <c r="X430" s="94"/>
      <c r="Y430" s="94"/>
      <c r="Z430" s="94"/>
      <c r="AA430" s="94"/>
    </row>
    <row r="431" spans="1:27" ht="15.75" customHeight="1">
      <c r="A431" s="94"/>
      <c r="B431" s="248"/>
      <c r="C431" s="94"/>
      <c r="D431" s="94"/>
      <c r="E431" s="94"/>
      <c r="F431" s="249"/>
      <c r="G431" s="248"/>
      <c r="H431" s="94"/>
      <c r="I431" s="249"/>
      <c r="J431" s="94"/>
      <c r="K431" s="250"/>
      <c r="L431" s="250"/>
      <c r="M431" s="250"/>
      <c r="N431" s="250"/>
      <c r="O431" s="250"/>
      <c r="P431" s="250"/>
      <c r="Q431" s="249"/>
      <c r="R431" s="94"/>
      <c r="S431" s="94"/>
      <c r="T431" s="251"/>
      <c r="U431" s="94"/>
      <c r="V431" s="94"/>
      <c r="W431" s="94"/>
      <c r="X431" s="94"/>
      <c r="Y431" s="94"/>
      <c r="Z431" s="94"/>
      <c r="AA431" s="94"/>
    </row>
    <row r="432" spans="1:27" ht="15.75" customHeight="1">
      <c r="A432" s="94"/>
      <c r="B432" s="248"/>
      <c r="C432" s="94"/>
      <c r="D432" s="94"/>
      <c r="E432" s="94"/>
      <c r="F432" s="249"/>
      <c r="G432" s="248"/>
      <c r="H432" s="94"/>
      <c r="I432" s="249"/>
      <c r="J432" s="94"/>
      <c r="K432" s="250"/>
      <c r="L432" s="250"/>
      <c r="M432" s="250"/>
      <c r="N432" s="250"/>
      <c r="O432" s="250"/>
      <c r="P432" s="250"/>
      <c r="Q432" s="249"/>
      <c r="R432" s="94"/>
      <c r="S432" s="94"/>
      <c r="T432" s="251"/>
      <c r="U432" s="94"/>
      <c r="V432" s="94"/>
      <c r="W432" s="94"/>
      <c r="X432" s="94"/>
      <c r="Y432" s="94"/>
      <c r="Z432" s="94"/>
      <c r="AA432" s="94"/>
    </row>
    <row r="433" spans="1:27" ht="15.75" customHeight="1">
      <c r="A433" s="94"/>
      <c r="B433" s="248"/>
      <c r="C433" s="94"/>
      <c r="D433" s="94"/>
      <c r="E433" s="94"/>
      <c r="F433" s="249"/>
      <c r="G433" s="248"/>
      <c r="H433" s="94"/>
      <c r="I433" s="249"/>
      <c r="J433" s="94"/>
      <c r="K433" s="250"/>
      <c r="L433" s="250"/>
      <c r="M433" s="250"/>
      <c r="N433" s="250"/>
      <c r="O433" s="250"/>
      <c r="P433" s="250"/>
      <c r="Q433" s="249"/>
      <c r="R433" s="94"/>
      <c r="S433" s="94"/>
      <c r="T433" s="251"/>
      <c r="U433" s="94"/>
      <c r="V433" s="94"/>
      <c r="W433" s="94"/>
      <c r="X433" s="94"/>
      <c r="Y433" s="94"/>
      <c r="Z433" s="94"/>
      <c r="AA433" s="94"/>
    </row>
    <row r="434" spans="1:27" ht="15.75" customHeight="1">
      <c r="A434" s="94"/>
      <c r="B434" s="248"/>
      <c r="C434" s="94"/>
      <c r="D434" s="94"/>
      <c r="E434" s="94"/>
      <c r="F434" s="249"/>
      <c r="G434" s="248"/>
      <c r="H434" s="94"/>
      <c r="I434" s="249"/>
      <c r="J434" s="94"/>
      <c r="K434" s="250"/>
      <c r="L434" s="250"/>
      <c r="M434" s="250"/>
      <c r="N434" s="250"/>
      <c r="O434" s="250"/>
      <c r="P434" s="250"/>
      <c r="Q434" s="249"/>
      <c r="R434" s="94"/>
      <c r="S434" s="94"/>
      <c r="T434" s="251"/>
      <c r="U434" s="94"/>
      <c r="V434" s="94"/>
      <c r="W434" s="94"/>
      <c r="X434" s="94"/>
      <c r="Y434" s="94"/>
      <c r="Z434" s="94"/>
      <c r="AA434" s="94"/>
    </row>
    <row r="435" spans="1:27" ht="15.75" customHeight="1">
      <c r="A435" s="94"/>
      <c r="B435" s="248"/>
      <c r="C435" s="94"/>
      <c r="D435" s="94"/>
      <c r="E435" s="94"/>
      <c r="F435" s="249"/>
      <c r="G435" s="248"/>
      <c r="H435" s="94"/>
      <c r="I435" s="249"/>
      <c r="J435" s="94"/>
      <c r="K435" s="250"/>
      <c r="L435" s="250"/>
      <c r="M435" s="250"/>
      <c r="N435" s="250"/>
      <c r="O435" s="250"/>
      <c r="P435" s="250"/>
      <c r="Q435" s="249"/>
      <c r="R435" s="94"/>
      <c r="S435" s="94"/>
      <c r="T435" s="251"/>
      <c r="U435" s="94"/>
      <c r="V435" s="94"/>
      <c r="W435" s="94"/>
      <c r="X435" s="94"/>
      <c r="Y435" s="94"/>
      <c r="Z435" s="94"/>
      <c r="AA435" s="94"/>
    </row>
    <row r="436" spans="1:27" ht="15.75" customHeight="1">
      <c r="A436" s="94"/>
      <c r="B436" s="248"/>
      <c r="C436" s="94"/>
      <c r="D436" s="94"/>
      <c r="E436" s="94"/>
      <c r="F436" s="249"/>
      <c r="G436" s="248"/>
      <c r="H436" s="94"/>
      <c r="I436" s="249"/>
      <c r="J436" s="94"/>
      <c r="K436" s="250"/>
      <c r="L436" s="250"/>
      <c r="M436" s="250"/>
      <c r="N436" s="250"/>
      <c r="O436" s="250"/>
      <c r="P436" s="250"/>
      <c r="Q436" s="249"/>
      <c r="R436" s="94"/>
      <c r="S436" s="94"/>
      <c r="T436" s="251"/>
      <c r="U436" s="94"/>
      <c r="V436" s="94"/>
      <c r="W436" s="94"/>
      <c r="X436" s="94"/>
      <c r="Y436" s="94"/>
      <c r="Z436" s="94"/>
      <c r="AA436" s="94"/>
    </row>
    <row r="437" spans="1:27" ht="15.75" customHeight="1">
      <c r="A437" s="94"/>
      <c r="B437" s="248"/>
      <c r="C437" s="94"/>
      <c r="D437" s="94"/>
      <c r="E437" s="94"/>
      <c r="F437" s="249"/>
      <c r="G437" s="248"/>
      <c r="H437" s="94"/>
      <c r="I437" s="249"/>
      <c r="J437" s="94"/>
      <c r="K437" s="250"/>
      <c r="L437" s="250"/>
      <c r="M437" s="250"/>
      <c r="N437" s="250"/>
      <c r="O437" s="250"/>
      <c r="P437" s="250"/>
      <c r="Q437" s="249"/>
      <c r="R437" s="94"/>
      <c r="S437" s="94"/>
      <c r="T437" s="251"/>
      <c r="U437" s="94"/>
      <c r="V437" s="94"/>
      <c r="W437" s="94"/>
      <c r="X437" s="94"/>
      <c r="Y437" s="94"/>
      <c r="Z437" s="94"/>
      <c r="AA437" s="94"/>
    </row>
    <row r="438" spans="1:27" ht="15.75" customHeight="1">
      <c r="A438" s="94"/>
      <c r="B438" s="248"/>
      <c r="C438" s="94"/>
      <c r="D438" s="94"/>
      <c r="E438" s="94"/>
      <c r="F438" s="249"/>
      <c r="G438" s="248"/>
      <c r="H438" s="94"/>
      <c r="I438" s="249"/>
      <c r="J438" s="94"/>
      <c r="K438" s="250"/>
      <c r="L438" s="250"/>
      <c r="M438" s="250"/>
      <c r="N438" s="250"/>
      <c r="O438" s="250"/>
      <c r="P438" s="250"/>
      <c r="Q438" s="249"/>
      <c r="R438" s="94"/>
      <c r="S438" s="94"/>
      <c r="T438" s="251"/>
      <c r="U438" s="94"/>
      <c r="V438" s="94"/>
      <c r="W438" s="94"/>
      <c r="X438" s="94"/>
      <c r="Y438" s="94"/>
      <c r="Z438" s="94"/>
      <c r="AA438" s="94"/>
    </row>
    <row r="439" spans="1:27" ht="15.75" customHeight="1">
      <c r="A439" s="94"/>
      <c r="B439" s="248"/>
      <c r="C439" s="94"/>
      <c r="D439" s="94"/>
      <c r="E439" s="94"/>
      <c r="F439" s="249"/>
      <c r="G439" s="248"/>
      <c r="H439" s="94"/>
      <c r="I439" s="249"/>
      <c r="J439" s="94"/>
      <c r="K439" s="250"/>
      <c r="L439" s="250"/>
      <c r="M439" s="250"/>
      <c r="N439" s="250"/>
      <c r="O439" s="250"/>
      <c r="P439" s="250"/>
      <c r="Q439" s="249"/>
      <c r="R439" s="94"/>
      <c r="S439" s="94"/>
      <c r="T439" s="251"/>
      <c r="U439" s="94"/>
      <c r="V439" s="94"/>
      <c r="W439" s="94"/>
      <c r="X439" s="94"/>
      <c r="Y439" s="94"/>
      <c r="Z439" s="94"/>
      <c r="AA439" s="94"/>
    </row>
    <row r="440" spans="1:27" ht="15.75" customHeight="1">
      <c r="A440" s="94"/>
      <c r="B440" s="248"/>
      <c r="C440" s="94"/>
      <c r="D440" s="94"/>
      <c r="E440" s="94"/>
      <c r="F440" s="249"/>
      <c r="G440" s="248"/>
      <c r="H440" s="94"/>
      <c r="I440" s="249"/>
      <c r="J440" s="94"/>
      <c r="K440" s="250"/>
      <c r="L440" s="250"/>
      <c r="M440" s="250"/>
      <c r="N440" s="250"/>
      <c r="O440" s="250"/>
      <c r="P440" s="250"/>
      <c r="Q440" s="249"/>
      <c r="R440" s="94"/>
      <c r="S440" s="94"/>
      <c r="T440" s="251"/>
      <c r="U440" s="94"/>
      <c r="V440" s="94"/>
      <c r="W440" s="94"/>
      <c r="X440" s="94"/>
      <c r="Y440" s="94"/>
      <c r="Z440" s="94"/>
      <c r="AA440" s="94"/>
    </row>
    <row r="441" spans="1:27" ht="15.75" customHeight="1">
      <c r="A441" s="94"/>
      <c r="B441" s="248"/>
      <c r="C441" s="94"/>
      <c r="D441" s="94"/>
      <c r="E441" s="94"/>
      <c r="F441" s="249"/>
      <c r="G441" s="248"/>
      <c r="H441" s="94"/>
      <c r="I441" s="249"/>
      <c r="J441" s="94"/>
      <c r="K441" s="250"/>
      <c r="L441" s="250"/>
      <c r="M441" s="250"/>
      <c r="N441" s="250"/>
      <c r="O441" s="250"/>
      <c r="P441" s="250"/>
      <c r="Q441" s="249"/>
      <c r="R441" s="94"/>
      <c r="S441" s="94"/>
      <c r="T441" s="251"/>
      <c r="U441" s="94"/>
      <c r="V441" s="94"/>
      <c r="W441" s="94"/>
      <c r="X441" s="94"/>
      <c r="Y441" s="94"/>
      <c r="Z441" s="94"/>
      <c r="AA441" s="94"/>
    </row>
    <row r="442" spans="1:27" ht="15.75" customHeight="1">
      <c r="A442" s="94"/>
      <c r="B442" s="248"/>
      <c r="C442" s="94"/>
      <c r="D442" s="94"/>
      <c r="E442" s="94"/>
      <c r="F442" s="249"/>
      <c r="G442" s="248"/>
      <c r="H442" s="94"/>
      <c r="I442" s="249"/>
      <c r="J442" s="94"/>
      <c r="K442" s="250"/>
      <c r="L442" s="250"/>
      <c r="M442" s="250"/>
      <c r="N442" s="250"/>
      <c r="O442" s="250"/>
      <c r="P442" s="250"/>
      <c r="Q442" s="249"/>
      <c r="R442" s="94"/>
      <c r="S442" s="94"/>
      <c r="T442" s="251"/>
      <c r="U442" s="94"/>
      <c r="V442" s="94"/>
      <c r="W442" s="94"/>
      <c r="X442" s="94"/>
      <c r="Y442" s="94"/>
      <c r="Z442" s="94"/>
      <c r="AA442" s="94"/>
    </row>
    <row r="443" spans="1:27" ht="15.75" customHeight="1">
      <c r="A443" s="94"/>
      <c r="B443" s="248"/>
      <c r="C443" s="94"/>
      <c r="D443" s="94"/>
      <c r="E443" s="94"/>
      <c r="F443" s="249"/>
      <c r="G443" s="248"/>
      <c r="H443" s="94"/>
      <c r="I443" s="249"/>
      <c r="J443" s="94"/>
      <c r="K443" s="250"/>
      <c r="L443" s="250"/>
      <c r="M443" s="250"/>
      <c r="N443" s="250"/>
      <c r="O443" s="250"/>
      <c r="P443" s="250"/>
      <c r="Q443" s="249"/>
      <c r="R443" s="94"/>
      <c r="S443" s="94"/>
      <c r="T443" s="251"/>
      <c r="U443" s="94"/>
      <c r="V443" s="94"/>
      <c r="W443" s="94"/>
      <c r="X443" s="94"/>
      <c r="Y443" s="94"/>
      <c r="Z443" s="94"/>
      <c r="AA443" s="94"/>
    </row>
    <row r="444" spans="1:27" ht="15.75" customHeight="1">
      <c r="A444" s="94"/>
      <c r="B444" s="248"/>
      <c r="C444" s="94"/>
      <c r="D444" s="94"/>
      <c r="E444" s="94"/>
      <c r="F444" s="249"/>
      <c r="G444" s="248"/>
      <c r="H444" s="94"/>
      <c r="I444" s="249"/>
      <c r="J444" s="94"/>
      <c r="K444" s="250"/>
      <c r="L444" s="250"/>
      <c r="M444" s="250"/>
      <c r="N444" s="250"/>
      <c r="O444" s="250"/>
      <c r="P444" s="250"/>
      <c r="Q444" s="249"/>
      <c r="R444" s="94"/>
      <c r="S444" s="94"/>
      <c r="T444" s="251"/>
      <c r="U444" s="94"/>
      <c r="V444" s="94"/>
      <c r="W444" s="94"/>
      <c r="X444" s="94"/>
      <c r="Y444" s="94"/>
      <c r="Z444" s="94"/>
      <c r="AA444" s="94"/>
    </row>
    <row r="445" spans="1:27" ht="15.75" customHeight="1">
      <c r="A445" s="94"/>
      <c r="B445" s="248"/>
      <c r="C445" s="94"/>
      <c r="D445" s="94"/>
      <c r="E445" s="94"/>
      <c r="F445" s="249"/>
      <c r="G445" s="248"/>
      <c r="H445" s="94"/>
      <c r="I445" s="249"/>
      <c r="J445" s="94"/>
      <c r="K445" s="250"/>
      <c r="L445" s="250"/>
      <c r="M445" s="250"/>
      <c r="N445" s="250"/>
      <c r="O445" s="250"/>
      <c r="P445" s="250"/>
      <c r="Q445" s="249"/>
      <c r="R445" s="94"/>
      <c r="S445" s="94"/>
      <c r="T445" s="251"/>
      <c r="U445" s="94"/>
      <c r="V445" s="94"/>
      <c r="W445" s="94"/>
      <c r="X445" s="94"/>
      <c r="Y445" s="94"/>
      <c r="Z445" s="94"/>
      <c r="AA445" s="94"/>
    </row>
    <row r="446" spans="1:27" ht="15.75" customHeight="1">
      <c r="A446" s="94"/>
      <c r="B446" s="248"/>
      <c r="C446" s="94"/>
      <c r="D446" s="94"/>
      <c r="E446" s="94"/>
      <c r="F446" s="249"/>
      <c r="G446" s="248"/>
      <c r="H446" s="94"/>
      <c r="I446" s="249"/>
      <c r="J446" s="94"/>
      <c r="K446" s="250"/>
      <c r="L446" s="250"/>
      <c r="M446" s="250"/>
      <c r="N446" s="250"/>
      <c r="O446" s="250"/>
      <c r="P446" s="250"/>
      <c r="Q446" s="249"/>
      <c r="R446" s="94"/>
      <c r="S446" s="94"/>
      <c r="T446" s="251"/>
      <c r="U446" s="94"/>
      <c r="V446" s="94"/>
      <c r="W446" s="94"/>
      <c r="X446" s="94"/>
      <c r="Y446" s="94"/>
      <c r="Z446" s="94"/>
      <c r="AA446" s="94"/>
    </row>
    <row r="447" spans="1:27" ht="15.75" customHeight="1">
      <c r="A447" s="94"/>
      <c r="B447" s="248"/>
      <c r="C447" s="94"/>
      <c r="D447" s="94"/>
      <c r="E447" s="94"/>
      <c r="F447" s="249"/>
      <c r="G447" s="248"/>
      <c r="H447" s="94"/>
      <c r="I447" s="249"/>
      <c r="J447" s="94"/>
      <c r="K447" s="250"/>
      <c r="L447" s="250"/>
      <c r="M447" s="250"/>
      <c r="N447" s="250"/>
      <c r="O447" s="250"/>
      <c r="P447" s="250"/>
      <c r="Q447" s="249"/>
      <c r="R447" s="94"/>
      <c r="S447" s="94"/>
      <c r="T447" s="251"/>
      <c r="U447" s="94"/>
      <c r="V447" s="94"/>
      <c r="W447" s="94"/>
      <c r="X447" s="94"/>
      <c r="Y447" s="94"/>
      <c r="Z447" s="94"/>
      <c r="AA447" s="94"/>
    </row>
    <row r="448" spans="1:27" ht="15.75" customHeight="1">
      <c r="A448" s="94"/>
      <c r="B448" s="248"/>
      <c r="C448" s="94"/>
      <c r="D448" s="94"/>
      <c r="E448" s="94"/>
      <c r="F448" s="249"/>
      <c r="G448" s="248"/>
      <c r="H448" s="94"/>
      <c r="I448" s="249"/>
      <c r="J448" s="94"/>
      <c r="K448" s="250"/>
      <c r="L448" s="250"/>
      <c r="M448" s="250"/>
      <c r="N448" s="250"/>
      <c r="O448" s="250"/>
      <c r="P448" s="250"/>
      <c r="Q448" s="249"/>
      <c r="R448" s="94"/>
      <c r="S448" s="94"/>
      <c r="T448" s="251"/>
      <c r="U448" s="94"/>
      <c r="V448" s="94"/>
      <c r="W448" s="94"/>
      <c r="X448" s="94"/>
      <c r="Y448" s="94"/>
      <c r="Z448" s="94"/>
      <c r="AA448" s="94"/>
    </row>
    <row r="449" spans="1:27" ht="15.75" customHeight="1">
      <c r="A449" s="94"/>
      <c r="B449" s="248"/>
      <c r="C449" s="94"/>
      <c r="D449" s="94"/>
      <c r="E449" s="94"/>
      <c r="F449" s="249"/>
      <c r="G449" s="248"/>
      <c r="H449" s="94"/>
      <c r="I449" s="249"/>
      <c r="J449" s="94"/>
      <c r="K449" s="250"/>
      <c r="L449" s="250"/>
      <c r="M449" s="250"/>
      <c r="N449" s="250"/>
      <c r="O449" s="250"/>
      <c r="P449" s="250"/>
      <c r="Q449" s="249"/>
      <c r="R449" s="94"/>
      <c r="S449" s="94"/>
      <c r="T449" s="251"/>
      <c r="U449" s="94"/>
      <c r="V449" s="94"/>
      <c r="W449" s="94"/>
      <c r="X449" s="94"/>
      <c r="Y449" s="94"/>
      <c r="Z449" s="94"/>
      <c r="AA449" s="94"/>
    </row>
    <row r="450" spans="1:27" ht="15.75" customHeight="1">
      <c r="A450" s="94"/>
      <c r="B450" s="248"/>
      <c r="C450" s="94"/>
      <c r="D450" s="94"/>
      <c r="E450" s="94"/>
      <c r="F450" s="249"/>
      <c r="G450" s="248"/>
      <c r="H450" s="94"/>
      <c r="I450" s="249"/>
      <c r="J450" s="94"/>
      <c r="K450" s="250"/>
      <c r="L450" s="250"/>
      <c r="M450" s="250"/>
      <c r="N450" s="250"/>
      <c r="O450" s="250"/>
      <c r="P450" s="250"/>
      <c r="Q450" s="249"/>
      <c r="R450" s="94"/>
      <c r="S450" s="94"/>
      <c r="T450" s="251"/>
      <c r="U450" s="94"/>
      <c r="V450" s="94"/>
      <c r="W450" s="94"/>
      <c r="X450" s="94"/>
      <c r="Y450" s="94"/>
      <c r="Z450" s="94"/>
      <c r="AA450" s="94"/>
    </row>
    <row r="451" spans="1:27" ht="15.75" customHeight="1">
      <c r="A451" s="94"/>
      <c r="B451" s="248"/>
      <c r="C451" s="94"/>
      <c r="D451" s="94"/>
      <c r="E451" s="94"/>
      <c r="F451" s="249"/>
      <c r="G451" s="248"/>
      <c r="H451" s="94"/>
      <c r="I451" s="249"/>
      <c r="J451" s="94"/>
      <c r="K451" s="250"/>
      <c r="L451" s="250"/>
      <c r="M451" s="250"/>
      <c r="N451" s="250"/>
      <c r="O451" s="250"/>
      <c r="P451" s="250"/>
      <c r="Q451" s="249"/>
      <c r="R451" s="94"/>
      <c r="S451" s="94"/>
      <c r="T451" s="251"/>
      <c r="U451" s="94"/>
      <c r="V451" s="94"/>
      <c r="W451" s="94"/>
      <c r="X451" s="94"/>
      <c r="Y451" s="94"/>
      <c r="Z451" s="94"/>
      <c r="AA451" s="94"/>
    </row>
    <row r="452" spans="1:27" ht="15.75" customHeight="1">
      <c r="A452" s="94"/>
      <c r="B452" s="248"/>
      <c r="C452" s="94"/>
      <c r="D452" s="94"/>
      <c r="E452" s="94"/>
      <c r="F452" s="249"/>
      <c r="G452" s="248"/>
      <c r="H452" s="94"/>
      <c r="I452" s="249"/>
      <c r="J452" s="94"/>
      <c r="K452" s="250"/>
      <c r="L452" s="250"/>
      <c r="M452" s="250"/>
      <c r="N452" s="250"/>
      <c r="O452" s="250"/>
      <c r="P452" s="250"/>
      <c r="Q452" s="249"/>
      <c r="R452" s="94"/>
      <c r="S452" s="94"/>
      <c r="T452" s="251"/>
      <c r="U452" s="94"/>
      <c r="V452" s="94"/>
      <c r="W452" s="94"/>
      <c r="X452" s="94"/>
      <c r="Y452" s="94"/>
      <c r="Z452" s="94"/>
      <c r="AA452" s="94"/>
    </row>
    <row r="453" spans="1:27" ht="15.75" customHeight="1">
      <c r="A453" s="94"/>
      <c r="B453" s="248"/>
      <c r="C453" s="94"/>
      <c r="D453" s="94"/>
      <c r="E453" s="94"/>
      <c r="F453" s="249"/>
      <c r="G453" s="248"/>
      <c r="H453" s="94"/>
      <c r="I453" s="249"/>
      <c r="J453" s="94"/>
      <c r="K453" s="250"/>
      <c r="L453" s="250"/>
      <c r="M453" s="250"/>
      <c r="N453" s="250"/>
      <c r="O453" s="250"/>
      <c r="P453" s="250"/>
      <c r="Q453" s="249"/>
      <c r="R453" s="94"/>
      <c r="S453" s="94"/>
      <c r="T453" s="251"/>
      <c r="U453" s="94"/>
      <c r="V453" s="94"/>
      <c r="W453" s="94"/>
      <c r="X453" s="94"/>
      <c r="Y453" s="94"/>
      <c r="Z453" s="94"/>
      <c r="AA453" s="94"/>
    </row>
    <row r="454" spans="1:27" ht="15.75" customHeight="1">
      <c r="A454" s="94"/>
      <c r="B454" s="248"/>
      <c r="C454" s="94"/>
      <c r="D454" s="94"/>
      <c r="E454" s="94"/>
      <c r="F454" s="249"/>
      <c r="G454" s="248"/>
      <c r="H454" s="94"/>
      <c r="I454" s="249"/>
      <c r="J454" s="94"/>
      <c r="K454" s="250"/>
      <c r="L454" s="250"/>
      <c r="M454" s="250"/>
      <c r="N454" s="250"/>
      <c r="O454" s="250"/>
      <c r="P454" s="250"/>
      <c r="Q454" s="249"/>
      <c r="R454" s="94"/>
      <c r="S454" s="94"/>
      <c r="T454" s="251"/>
      <c r="U454" s="94"/>
      <c r="V454" s="94"/>
      <c r="W454" s="94"/>
      <c r="X454" s="94"/>
      <c r="Y454" s="94"/>
      <c r="Z454" s="94"/>
      <c r="AA454" s="94"/>
    </row>
    <row r="455" spans="1:27" ht="15.75" customHeight="1">
      <c r="A455" s="94"/>
      <c r="B455" s="248"/>
      <c r="C455" s="94"/>
      <c r="D455" s="94"/>
      <c r="E455" s="94"/>
      <c r="F455" s="249"/>
      <c r="G455" s="248"/>
      <c r="H455" s="94"/>
      <c r="I455" s="249"/>
      <c r="J455" s="94"/>
      <c r="K455" s="250"/>
      <c r="L455" s="250"/>
      <c r="M455" s="250"/>
      <c r="N455" s="250"/>
      <c r="O455" s="250"/>
      <c r="P455" s="250"/>
      <c r="Q455" s="249"/>
      <c r="R455" s="94"/>
      <c r="S455" s="94"/>
      <c r="T455" s="251"/>
      <c r="U455" s="94"/>
      <c r="V455" s="94"/>
      <c r="W455" s="94"/>
      <c r="X455" s="94"/>
      <c r="Y455" s="94"/>
      <c r="Z455" s="94"/>
      <c r="AA455" s="94"/>
    </row>
    <row r="456" spans="1:27" ht="15.75" customHeight="1">
      <c r="A456" s="94"/>
      <c r="B456" s="248"/>
      <c r="C456" s="94"/>
      <c r="D456" s="94"/>
      <c r="E456" s="94"/>
      <c r="F456" s="249"/>
      <c r="G456" s="248"/>
      <c r="H456" s="94"/>
      <c r="I456" s="249"/>
      <c r="J456" s="94"/>
      <c r="K456" s="250"/>
      <c r="L456" s="250"/>
      <c r="M456" s="250"/>
      <c r="N456" s="250"/>
      <c r="O456" s="250"/>
      <c r="P456" s="250"/>
      <c r="Q456" s="249"/>
      <c r="R456" s="94"/>
      <c r="S456" s="94"/>
      <c r="T456" s="251"/>
      <c r="U456" s="94"/>
      <c r="V456" s="94"/>
      <c r="W456" s="94"/>
      <c r="X456" s="94"/>
      <c r="Y456" s="94"/>
      <c r="Z456" s="94"/>
      <c r="AA456" s="94"/>
    </row>
    <row r="457" spans="1:27" ht="15.75" customHeight="1">
      <c r="A457" s="94"/>
      <c r="B457" s="248"/>
      <c r="C457" s="94"/>
      <c r="D457" s="94"/>
      <c r="E457" s="94"/>
      <c r="F457" s="249"/>
      <c r="G457" s="248"/>
      <c r="H457" s="94"/>
      <c r="I457" s="249"/>
      <c r="J457" s="94"/>
      <c r="K457" s="250"/>
      <c r="L457" s="250"/>
      <c r="M457" s="250"/>
      <c r="N457" s="250"/>
      <c r="O457" s="250"/>
      <c r="P457" s="250"/>
      <c r="Q457" s="249"/>
      <c r="R457" s="94"/>
      <c r="S457" s="94"/>
      <c r="T457" s="251"/>
      <c r="U457" s="94"/>
      <c r="V457" s="94"/>
      <c r="W457" s="94"/>
      <c r="X457" s="94"/>
      <c r="Y457" s="94"/>
      <c r="Z457" s="94"/>
      <c r="AA457" s="94"/>
    </row>
    <row r="458" spans="1:27" ht="15.75" customHeight="1">
      <c r="A458" s="94"/>
      <c r="B458" s="248"/>
      <c r="C458" s="94"/>
      <c r="D458" s="94"/>
      <c r="E458" s="94"/>
      <c r="F458" s="249"/>
      <c r="G458" s="248"/>
      <c r="H458" s="94"/>
      <c r="I458" s="249"/>
      <c r="J458" s="94"/>
      <c r="K458" s="250"/>
      <c r="L458" s="250"/>
      <c r="M458" s="250"/>
      <c r="N458" s="250"/>
      <c r="O458" s="250"/>
      <c r="P458" s="250"/>
      <c r="Q458" s="249"/>
      <c r="R458" s="94"/>
      <c r="S458" s="94"/>
      <c r="T458" s="251"/>
      <c r="U458" s="94"/>
      <c r="V458" s="94"/>
      <c r="W458" s="94"/>
      <c r="X458" s="94"/>
      <c r="Y458" s="94"/>
      <c r="Z458" s="94"/>
      <c r="AA458" s="94"/>
    </row>
    <row r="459" spans="1:27" ht="15.75" customHeight="1">
      <c r="A459" s="94"/>
      <c r="B459" s="248"/>
      <c r="C459" s="94"/>
      <c r="D459" s="94"/>
      <c r="E459" s="94"/>
      <c r="F459" s="249"/>
      <c r="G459" s="248"/>
      <c r="H459" s="94"/>
      <c r="I459" s="249"/>
      <c r="J459" s="94"/>
      <c r="K459" s="250"/>
      <c r="L459" s="250"/>
      <c r="M459" s="250"/>
      <c r="N459" s="250"/>
      <c r="O459" s="250"/>
      <c r="P459" s="250"/>
      <c r="Q459" s="249"/>
      <c r="R459" s="94"/>
      <c r="S459" s="94"/>
      <c r="T459" s="251"/>
      <c r="U459" s="94"/>
      <c r="V459" s="94"/>
      <c r="W459" s="94"/>
      <c r="X459" s="94"/>
      <c r="Y459" s="94"/>
      <c r="Z459" s="94"/>
      <c r="AA459" s="94"/>
    </row>
    <row r="460" spans="1:27" ht="15.75" customHeight="1">
      <c r="A460" s="94"/>
      <c r="B460" s="248"/>
      <c r="C460" s="94"/>
      <c r="D460" s="94"/>
      <c r="E460" s="94"/>
      <c r="F460" s="249"/>
      <c r="G460" s="248"/>
      <c r="H460" s="94"/>
      <c r="I460" s="249"/>
      <c r="J460" s="94"/>
      <c r="K460" s="250"/>
      <c r="L460" s="250"/>
      <c r="M460" s="250"/>
      <c r="N460" s="250"/>
      <c r="O460" s="250"/>
      <c r="P460" s="250"/>
      <c r="Q460" s="249"/>
      <c r="R460" s="94"/>
      <c r="S460" s="94"/>
      <c r="T460" s="251"/>
      <c r="U460" s="94"/>
      <c r="V460" s="94"/>
      <c r="W460" s="94"/>
      <c r="X460" s="94"/>
      <c r="Y460" s="94"/>
      <c r="Z460" s="94"/>
      <c r="AA460" s="94"/>
    </row>
    <row r="461" spans="1:27" ht="15.75" customHeight="1">
      <c r="A461" s="94"/>
      <c r="B461" s="248"/>
      <c r="C461" s="94"/>
      <c r="D461" s="94"/>
      <c r="E461" s="94"/>
      <c r="F461" s="249"/>
      <c r="G461" s="248"/>
      <c r="H461" s="94"/>
      <c r="I461" s="249"/>
      <c r="J461" s="94"/>
      <c r="K461" s="250"/>
      <c r="L461" s="250"/>
      <c r="M461" s="250"/>
      <c r="N461" s="250"/>
      <c r="O461" s="250"/>
      <c r="P461" s="250"/>
      <c r="Q461" s="249"/>
      <c r="R461" s="94"/>
      <c r="S461" s="94"/>
      <c r="T461" s="251"/>
      <c r="U461" s="94"/>
      <c r="V461" s="94"/>
      <c r="W461" s="94"/>
      <c r="X461" s="94"/>
      <c r="Y461" s="94"/>
      <c r="Z461" s="94"/>
      <c r="AA461" s="94"/>
    </row>
    <row r="462" spans="1:27" ht="15.75" customHeight="1">
      <c r="A462" s="94"/>
      <c r="B462" s="248"/>
      <c r="C462" s="94"/>
      <c r="D462" s="94"/>
      <c r="E462" s="94"/>
      <c r="F462" s="249"/>
      <c r="G462" s="248"/>
      <c r="H462" s="94"/>
      <c r="I462" s="249"/>
      <c r="J462" s="94"/>
      <c r="K462" s="250"/>
      <c r="L462" s="250"/>
      <c r="M462" s="250"/>
      <c r="N462" s="250"/>
      <c r="O462" s="250"/>
      <c r="P462" s="250"/>
      <c r="Q462" s="249"/>
      <c r="R462" s="94"/>
      <c r="S462" s="94"/>
      <c r="T462" s="251"/>
      <c r="U462" s="94"/>
      <c r="V462" s="94"/>
      <c r="W462" s="94"/>
      <c r="X462" s="94"/>
      <c r="Y462" s="94"/>
      <c r="Z462" s="94"/>
      <c r="AA462" s="94"/>
    </row>
    <row r="463" spans="1:27" ht="15.75" customHeight="1">
      <c r="A463" s="94"/>
      <c r="B463" s="248"/>
      <c r="C463" s="94"/>
      <c r="D463" s="94"/>
      <c r="E463" s="94"/>
      <c r="F463" s="249"/>
      <c r="G463" s="248"/>
      <c r="H463" s="94"/>
      <c r="I463" s="249"/>
      <c r="J463" s="94"/>
      <c r="K463" s="250"/>
      <c r="L463" s="250"/>
      <c r="M463" s="250"/>
      <c r="N463" s="250"/>
      <c r="O463" s="250"/>
      <c r="P463" s="250"/>
      <c r="Q463" s="249"/>
      <c r="R463" s="94"/>
      <c r="S463" s="94"/>
      <c r="T463" s="251"/>
      <c r="U463" s="94"/>
      <c r="V463" s="94"/>
      <c r="W463" s="94"/>
      <c r="X463" s="94"/>
      <c r="Y463" s="94"/>
      <c r="Z463" s="94"/>
      <c r="AA463" s="94"/>
    </row>
    <row r="464" spans="1:27" ht="15.75" customHeight="1">
      <c r="A464" s="94"/>
      <c r="B464" s="248"/>
      <c r="C464" s="94"/>
      <c r="D464" s="94"/>
      <c r="E464" s="94"/>
      <c r="F464" s="249"/>
      <c r="G464" s="248"/>
      <c r="H464" s="94"/>
      <c r="I464" s="249"/>
      <c r="J464" s="94"/>
      <c r="K464" s="250"/>
      <c r="L464" s="250"/>
      <c r="M464" s="250"/>
      <c r="N464" s="250"/>
      <c r="O464" s="250"/>
      <c r="P464" s="250"/>
      <c r="Q464" s="249"/>
      <c r="R464" s="94"/>
      <c r="S464" s="94"/>
      <c r="T464" s="251"/>
      <c r="U464" s="94"/>
      <c r="V464" s="94"/>
      <c r="W464" s="94"/>
      <c r="X464" s="94"/>
      <c r="Y464" s="94"/>
      <c r="Z464" s="94"/>
      <c r="AA464" s="94"/>
    </row>
    <row r="465" spans="1:27" ht="15.75" customHeight="1">
      <c r="A465" s="94"/>
      <c r="B465" s="248"/>
      <c r="C465" s="94"/>
      <c r="D465" s="94"/>
      <c r="E465" s="94"/>
      <c r="F465" s="249"/>
      <c r="G465" s="248"/>
      <c r="H465" s="94"/>
      <c r="I465" s="249"/>
      <c r="J465" s="94"/>
      <c r="K465" s="250"/>
      <c r="L465" s="250"/>
      <c r="M465" s="250"/>
      <c r="N465" s="250"/>
      <c r="O465" s="250"/>
      <c r="P465" s="250"/>
      <c r="Q465" s="249"/>
      <c r="R465" s="94"/>
      <c r="S465" s="94"/>
      <c r="T465" s="251"/>
      <c r="U465" s="94"/>
      <c r="V465" s="94"/>
      <c r="W465" s="94"/>
      <c r="X465" s="94"/>
      <c r="Y465" s="94"/>
      <c r="Z465" s="94"/>
      <c r="AA465" s="94"/>
    </row>
    <row r="466" spans="1:27" ht="15.75" customHeight="1">
      <c r="A466" s="94"/>
      <c r="B466" s="248"/>
      <c r="C466" s="94"/>
      <c r="D466" s="94"/>
      <c r="E466" s="94"/>
      <c r="F466" s="249"/>
      <c r="G466" s="248"/>
      <c r="H466" s="94"/>
      <c r="I466" s="249"/>
      <c r="J466" s="94"/>
      <c r="K466" s="250"/>
      <c r="L466" s="250"/>
      <c r="M466" s="250"/>
      <c r="N466" s="250"/>
      <c r="O466" s="250"/>
      <c r="P466" s="250"/>
      <c r="Q466" s="249"/>
      <c r="R466" s="94"/>
      <c r="S466" s="94"/>
      <c r="T466" s="251"/>
      <c r="U466" s="94"/>
      <c r="V466" s="94"/>
      <c r="W466" s="94"/>
      <c r="X466" s="94"/>
      <c r="Y466" s="94"/>
      <c r="Z466" s="94"/>
      <c r="AA466" s="94"/>
    </row>
    <row r="467" spans="1:27" ht="15.75" customHeight="1">
      <c r="A467" s="94"/>
      <c r="B467" s="248"/>
      <c r="C467" s="94"/>
      <c r="D467" s="94"/>
      <c r="E467" s="94"/>
      <c r="F467" s="249"/>
      <c r="G467" s="248"/>
      <c r="H467" s="94"/>
      <c r="I467" s="249"/>
      <c r="J467" s="94"/>
      <c r="K467" s="250"/>
      <c r="L467" s="250"/>
      <c r="M467" s="250"/>
      <c r="N467" s="250"/>
      <c r="O467" s="250"/>
      <c r="P467" s="250"/>
      <c r="Q467" s="249"/>
      <c r="R467" s="94"/>
      <c r="S467" s="94"/>
      <c r="T467" s="251"/>
      <c r="U467" s="94"/>
      <c r="V467" s="94"/>
      <c r="W467" s="94"/>
      <c r="X467" s="94"/>
      <c r="Y467" s="94"/>
      <c r="Z467" s="94"/>
      <c r="AA467" s="94"/>
    </row>
    <row r="468" spans="1:27" ht="15.75" customHeight="1">
      <c r="A468" s="94"/>
      <c r="B468" s="248"/>
      <c r="C468" s="94"/>
      <c r="D468" s="94"/>
      <c r="E468" s="94"/>
      <c r="F468" s="249"/>
      <c r="G468" s="248"/>
      <c r="H468" s="94"/>
      <c r="I468" s="249"/>
      <c r="J468" s="94"/>
      <c r="K468" s="250"/>
      <c r="L468" s="250"/>
      <c r="M468" s="250"/>
      <c r="N468" s="250"/>
      <c r="O468" s="250"/>
      <c r="P468" s="250"/>
      <c r="Q468" s="249"/>
      <c r="R468" s="94"/>
      <c r="S468" s="94"/>
      <c r="T468" s="251"/>
      <c r="U468" s="94"/>
      <c r="V468" s="94"/>
      <c r="W468" s="94"/>
      <c r="X468" s="94"/>
      <c r="Y468" s="94"/>
      <c r="Z468" s="94"/>
      <c r="AA468" s="94"/>
    </row>
    <row r="469" spans="1:27" ht="15.75" customHeight="1">
      <c r="A469" s="94"/>
      <c r="B469" s="248"/>
      <c r="C469" s="94"/>
      <c r="D469" s="94"/>
      <c r="E469" s="94"/>
      <c r="F469" s="249"/>
      <c r="G469" s="248"/>
      <c r="H469" s="94"/>
      <c r="I469" s="249"/>
      <c r="J469" s="94"/>
      <c r="K469" s="250"/>
      <c r="L469" s="250"/>
      <c r="M469" s="250"/>
      <c r="N469" s="250"/>
      <c r="O469" s="250"/>
      <c r="P469" s="250"/>
      <c r="Q469" s="249"/>
      <c r="R469" s="94"/>
      <c r="S469" s="94"/>
      <c r="T469" s="251"/>
      <c r="U469" s="94"/>
      <c r="V469" s="94"/>
      <c r="W469" s="94"/>
      <c r="X469" s="94"/>
      <c r="Y469" s="94"/>
      <c r="Z469" s="94"/>
      <c r="AA469" s="94"/>
    </row>
    <row r="470" spans="1:27" ht="15.75" customHeight="1">
      <c r="A470" s="94"/>
      <c r="B470" s="248"/>
      <c r="C470" s="94"/>
      <c r="D470" s="94"/>
      <c r="E470" s="94"/>
      <c r="F470" s="249"/>
      <c r="G470" s="248"/>
      <c r="H470" s="94"/>
      <c r="I470" s="249"/>
      <c r="J470" s="94"/>
      <c r="K470" s="250"/>
      <c r="L470" s="250"/>
      <c r="M470" s="250"/>
      <c r="N470" s="250"/>
      <c r="O470" s="250"/>
      <c r="P470" s="250"/>
      <c r="Q470" s="249"/>
      <c r="R470" s="94"/>
      <c r="S470" s="94"/>
      <c r="T470" s="251"/>
      <c r="U470" s="94"/>
      <c r="V470" s="94"/>
      <c r="W470" s="94"/>
      <c r="X470" s="94"/>
      <c r="Y470" s="94"/>
      <c r="Z470" s="94"/>
      <c r="AA470" s="94"/>
    </row>
    <row r="471" spans="1:27" ht="15.75" customHeight="1">
      <c r="A471" s="94"/>
      <c r="B471" s="248"/>
      <c r="C471" s="94"/>
      <c r="D471" s="94"/>
      <c r="E471" s="94"/>
      <c r="F471" s="249"/>
      <c r="G471" s="248"/>
      <c r="H471" s="94"/>
      <c r="I471" s="249"/>
      <c r="J471" s="94"/>
      <c r="K471" s="250"/>
      <c r="L471" s="250"/>
      <c r="M471" s="250"/>
      <c r="N471" s="250"/>
      <c r="O471" s="250"/>
      <c r="P471" s="250"/>
      <c r="Q471" s="249"/>
      <c r="R471" s="94"/>
      <c r="S471" s="94"/>
      <c r="T471" s="251"/>
      <c r="U471" s="94"/>
      <c r="V471" s="94"/>
      <c r="W471" s="94"/>
      <c r="X471" s="94"/>
      <c r="Y471" s="94"/>
      <c r="Z471" s="94"/>
      <c r="AA471" s="94"/>
    </row>
    <row r="472" spans="1:27" ht="15.75" customHeight="1">
      <c r="A472" s="94"/>
      <c r="B472" s="248"/>
      <c r="C472" s="94"/>
      <c r="D472" s="94"/>
      <c r="E472" s="94"/>
      <c r="F472" s="249"/>
      <c r="G472" s="248"/>
      <c r="H472" s="94"/>
      <c r="I472" s="249"/>
      <c r="J472" s="94"/>
      <c r="K472" s="250"/>
      <c r="L472" s="250"/>
      <c r="M472" s="250"/>
      <c r="N472" s="250"/>
      <c r="O472" s="250"/>
      <c r="P472" s="250"/>
      <c r="Q472" s="249"/>
      <c r="R472" s="94"/>
      <c r="S472" s="94"/>
      <c r="T472" s="251"/>
      <c r="U472" s="94"/>
      <c r="V472" s="94"/>
      <c r="W472" s="94"/>
      <c r="X472" s="94"/>
      <c r="Y472" s="94"/>
      <c r="Z472" s="94"/>
      <c r="AA472" s="94"/>
    </row>
    <row r="473" spans="1:27" ht="15.75" customHeight="1">
      <c r="A473" s="94"/>
      <c r="B473" s="248"/>
      <c r="C473" s="94"/>
      <c r="D473" s="94"/>
      <c r="E473" s="94"/>
      <c r="F473" s="249"/>
      <c r="G473" s="248"/>
      <c r="H473" s="94"/>
      <c r="I473" s="249"/>
      <c r="J473" s="94"/>
      <c r="K473" s="250"/>
      <c r="L473" s="250"/>
      <c r="M473" s="250"/>
      <c r="N473" s="250"/>
      <c r="O473" s="250"/>
      <c r="P473" s="250"/>
      <c r="Q473" s="249"/>
      <c r="R473" s="94"/>
      <c r="S473" s="94"/>
      <c r="T473" s="251"/>
      <c r="U473" s="94"/>
      <c r="V473" s="94"/>
      <c r="W473" s="94"/>
      <c r="X473" s="94"/>
      <c r="Y473" s="94"/>
      <c r="Z473" s="94"/>
      <c r="AA473" s="94"/>
    </row>
    <row r="474" spans="1:27" ht="15.75" customHeight="1">
      <c r="A474" s="94"/>
      <c r="B474" s="248"/>
      <c r="C474" s="94"/>
      <c r="D474" s="94"/>
      <c r="E474" s="94"/>
      <c r="F474" s="249"/>
      <c r="G474" s="248"/>
      <c r="H474" s="94"/>
      <c r="I474" s="249"/>
      <c r="J474" s="94"/>
      <c r="K474" s="250"/>
      <c r="L474" s="250"/>
      <c r="M474" s="250"/>
      <c r="N474" s="250"/>
      <c r="O474" s="250"/>
      <c r="P474" s="250"/>
      <c r="Q474" s="249"/>
      <c r="R474" s="94"/>
      <c r="S474" s="94"/>
      <c r="T474" s="251"/>
      <c r="U474" s="94"/>
      <c r="V474" s="94"/>
      <c r="W474" s="94"/>
      <c r="X474" s="94"/>
      <c r="Y474" s="94"/>
      <c r="Z474" s="94"/>
      <c r="AA474" s="94"/>
    </row>
    <row r="475" spans="1:27" ht="15.75" customHeight="1">
      <c r="A475" s="94"/>
      <c r="B475" s="248"/>
      <c r="C475" s="94"/>
      <c r="D475" s="94"/>
      <c r="E475" s="94"/>
      <c r="F475" s="249"/>
      <c r="G475" s="248"/>
      <c r="H475" s="94"/>
      <c r="I475" s="249"/>
      <c r="J475" s="94"/>
      <c r="K475" s="250"/>
      <c r="L475" s="250"/>
      <c r="M475" s="250"/>
      <c r="N475" s="250"/>
      <c r="O475" s="250"/>
      <c r="P475" s="250"/>
      <c r="Q475" s="249"/>
      <c r="R475" s="94"/>
      <c r="S475" s="94"/>
      <c r="T475" s="251"/>
      <c r="U475" s="94"/>
      <c r="V475" s="94"/>
      <c r="W475" s="94"/>
      <c r="X475" s="94"/>
      <c r="Y475" s="94"/>
      <c r="Z475" s="94"/>
      <c r="AA475" s="94"/>
    </row>
    <row r="476" spans="1:27" ht="15.75" customHeight="1">
      <c r="A476" s="94"/>
      <c r="B476" s="248"/>
      <c r="C476" s="94"/>
      <c r="D476" s="94"/>
      <c r="E476" s="94"/>
      <c r="F476" s="249"/>
      <c r="G476" s="248"/>
      <c r="H476" s="94"/>
      <c r="I476" s="249"/>
      <c r="J476" s="94"/>
      <c r="K476" s="250"/>
      <c r="L476" s="250"/>
      <c r="M476" s="250"/>
      <c r="N476" s="250"/>
      <c r="O476" s="250"/>
      <c r="P476" s="250"/>
      <c r="Q476" s="249"/>
      <c r="R476" s="94"/>
      <c r="S476" s="94"/>
      <c r="T476" s="251"/>
      <c r="U476" s="94"/>
      <c r="V476" s="94"/>
      <c r="W476" s="94"/>
      <c r="X476" s="94"/>
      <c r="Y476" s="94"/>
      <c r="Z476" s="94"/>
      <c r="AA476" s="94"/>
    </row>
    <row r="477" spans="1:27" ht="15.75" customHeight="1">
      <c r="A477" s="94"/>
      <c r="B477" s="248"/>
      <c r="C477" s="94"/>
      <c r="D477" s="94"/>
      <c r="E477" s="94"/>
      <c r="F477" s="249"/>
      <c r="G477" s="248"/>
      <c r="H477" s="94"/>
      <c r="I477" s="249"/>
      <c r="J477" s="94"/>
      <c r="K477" s="250"/>
      <c r="L477" s="250"/>
      <c r="M477" s="250"/>
      <c r="N477" s="250"/>
      <c r="O477" s="250"/>
      <c r="P477" s="250"/>
      <c r="Q477" s="249"/>
      <c r="R477" s="94"/>
      <c r="S477" s="94"/>
      <c r="T477" s="251"/>
      <c r="U477" s="94"/>
      <c r="V477" s="94"/>
      <c r="W477" s="94"/>
      <c r="X477" s="94"/>
      <c r="Y477" s="94"/>
      <c r="Z477" s="94"/>
      <c r="AA477" s="94"/>
    </row>
    <row r="478" spans="1:27" ht="15.75" customHeight="1">
      <c r="A478" s="94"/>
      <c r="B478" s="248"/>
      <c r="C478" s="94"/>
      <c r="D478" s="94"/>
      <c r="E478" s="94"/>
      <c r="F478" s="249"/>
      <c r="G478" s="248"/>
      <c r="H478" s="94"/>
      <c r="I478" s="249"/>
      <c r="J478" s="94"/>
      <c r="K478" s="250"/>
      <c r="L478" s="250"/>
      <c r="M478" s="250"/>
      <c r="N478" s="250"/>
      <c r="O478" s="250"/>
      <c r="P478" s="250"/>
      <c r="Q478" s="249"/>
      <c r="R478" s="94"/>
      <c r="S478" s="94"/>
      <c r="T478" s="251"/>
      <c r="U478" s="94"/>
      <c r="V478" s="94"/>
      <c r="W478" s="94"/>
      <c r="X478" s="94"/>
      <c r="Y478" s="94"/>
      <c r="Z478" s="94"/>
      <c r="AA478" s="94"/>
    </row>
    <row r="479" spans="1:27" ht="15.75" customHeight="1">
      <c r="A479" s="94"/>
      <c r="B479" s="248"/>
      <c r="C479" s="94"/>
      <c r="D479" s="94"/>
      <c r="E479" s="94"/>
      <c r="F479" s="249"/>
      <c r="G479" s="248"/>
      <c r="H479" s="94"/>
      <c r="I479" s="249"/>
      <c r="J479" s="94"/>
      <c r="K479" s="250"/>
      <c r="L479" s="250"/>
      <c r="M479" s="250"/>
      <c r="N479" s="250"/>
      <c r="O479" s="250"/>
      <c r="P479" s="250"/>
      <c r="Q479" s="249"/>
      <c r="R479" s="94"/>
      <c r="S479" s="94"/>
      <c r="T479" s="251"/>
      <c r="U479" s="94"/>
      <c r="V479" s="94"/>
      <c r="W479" s="94"/>
      <c r="X479" s="94"/>
      <c r="Y479" s="94"/>
      <c r="Z479" s="94"/>
      <c r="AA479" s="94"/>
    </row>
    <row r="480" spans="1:27" ht="15.75" customHeight="1">
      <c r="A480" s="94"/>
      <c r="B480" s="248"/>
      <c r="C480" s="94"/>
      <c r="D480" s="94"/>
      <c r="E480" s="94"/>
      <c r="F480" s="249"/>
      <c r="G480" s="248"/>
      <c r="H480" s="94"/>
      <c r="I480" s="249"/>
      <c r="J480" s="94"/>
      <c r="K480" s="250"/>
      <c r="L480" s="250"/>
      <c r="M480" s="250"/>
      <c r="N480" s="250"/>
      <c r="O480" s="250"/>
      <c r="P480" s="250"/>
      <c r="Q480" s="249"/>
      <c r="R480" s="94"/>
      <c r="S480" s="94"/>
      <c r="T480" s="251"/>
      <c r="U480" s="94"/>
      <c r="V480" s="94"/>
      <c r="W480" s="94"/>
      <c r="X480" s="94"/>
      <c r="Y480" s="94"/>
      <c r="Z480" s="94"/>
      <c r="AA480" s="94"/>
    </row>
    <row r="481" spans="1:27" ht="15.75" customHeight="1">
      <c r="A481" s="94"/>
      <c r="B481" s="248"/>
      <c r="C481" s="94"/>
      <c r="D481" s="94"/>
      <c r="E481" s="94"/>
      <c r="F481" s="249"/>
      <c r="G481" s="248"/>
      <c r="H481" s="94"/>
      <c r="I481" s="249"/>
      <c r="J481" s="94"/>
      <c r="K481" s="250"/>
      <c r="L481" s="250"/>
      <c r="M481" s="250"/>
      <c r="N481" s="250"/>
      <c r="O481" s="250"/>
      <c r="P481" s="250"/>
      <c r="Q481" s="249"/>
      <c r="R481" s="94"/>
      <c r="S481" s="94"/>
      <c r="T481" s="251"/>
      <c r="U481" s="94"/>
      <c r="V481" s="94"/>
      <c r="W481" s="94"/>
      <c r="X481" s="94"/>
      <c r="Y481" s="94"/>
      <c r="Z481" s="94"/>
      <c r="AA481" s="94"/>
    </row>
    <row r="482" spans="1:27" ht="15.75" customHeight="1">
      <c r="A482" s="94"/>
      <c r="B482" s="248"/>
      <c r="C482" s="94"/>
      <c r="D482" s="94"/>
      <c r="E482" s="94"/>
      <c r="F482" s="249"/>
      <c r="G482" s="248"/>
      <c r="H482" s="94"/>
      <c r="I482" s="249"/>
      <c r="J482" s="94"/>
      <c r="K482" s="250"/>
      <c r="L482" s="250"/>
      <c r="M482" s="250"/>
      <c r="N482" s="250"/>
      <c r="O482" s="250"/>
      <c r="P482" s="250"/>
      <c r="Q482" s="249"/>
      <c r="R482" s="94"/>
      <c r="S482" s="94"/>
      <c r="T482" s="251"/>
      <c r="U482" s="94"/>
      <c r="V482" s="94"/>
      <c r="W482" s="94"/>
      <c r="X482" s="94"/>
      <c r="Y482" s="94"/>
      <c r="Z482" s="94"/>
      <c r="AA482" s="94"/>
    </row>
    <row r="483" spans="1:27" ht="15.75" customHeight="1">
      <c r="A483" s="94"/>
      <c r="B483" s="248"/>
      <c r="C483" s="94"/>
      <c r="D483" s="94"/>
      <c r="E483" s="94"/>
      <c r="F483" s="249"/>
      <c r="G483" s="248"/>
      <c r="H483" s="94"/>
      <c r="I483" s="249"/>
      <c r="J483" s="94"/>
      <c r="K483" s="250"/>
      <c r="L483" s="250"/>
      <c r="M483" s="250"/>
      <c r="N483" s="250"/>
      <c r="O483" s="250"/>
      <c r="P483" s="250"/>
      <c r="Q483" s="249"/>
      <c r="R483" s="94"/>
      <c r="S483" s="94"/>
      <c r="T483" s="251"/>
      <c r="U483" s="94"/>
      <c r="V483" s="94"/>
      <c r="W483" s="94"/>
      <c r="X483" s="94"/>
      <c r="Y483" s="94"/>
      <c r="Z483" s="94"/>
      <c r="AA483" s="94"/>
    </row>
    <row r="484" spans="1:27" ht="15.75" customHeight="1">
      <c r="A484" s="94"/>
      <c r="B484" s="248"/>
      <c r="C484" s="94"/>
      <c r="D484" s="94"/>
      <c r="E484" s="94"/>
      <c r="F484" s="249"/>
      <c r="G484" s="248"/>
      <c r="H484" s="94"/>
      <c r="I484" s="249"/>
      <c r="J484" s="94"/>
      <c r="K484" s="250"/>
      <c r="L484" s="250"/>
      <c r="M484" s="250"/>
      <c r="N484" s="250"/>
      <c r="O484" s="250"/>
      <c r="P484" s="250"/>
      <c r="Q484" s="249"/>
      <c r="R484" s="94"/>
      <c r="S484" s="94"/>
      <c r="T484" s="251"/>
      <c r="U484" s="94"/>
      <c r="V484" s="94"/>
      <c r="W484" s="94"/>
      <c r="X484" s="94"/>
      <c r="Y484" s="94"/>
      <c r="Z484" s="94"/>
      <c r="AA484" s="94"/>
    </row>
    <row r="485" spans="1:27" ht="15.75" customHeight="1">
      <c r="A485" s="94"/>
      <c r="B485" s="248"/>
      <c r="C485" s="94"/>
      <c r="D485" s="94"/>
      <c r="E485" s="94"/>
      <c r="F485" s="249"/>
      <c r="G485" s="248"/>
      <c r="H485" s="94"/>
      <c r="I485" s="249"/>
      <c r="J485" s="94"/>
      <c r="K485" s="250"/>
      <c r="L485" s="250"/>
      <c r="M485" s="250"/>
      <c r="N485" s="250"/>
      <c r="O485" s="250"/>
      <c r="P485" s="250"/>
      <c r="Q485" s="249"/>
      <c r="R485" s="94"/>
      <c r="S485" s="94"/>
      <c r="T485" s="251"/>
      <c r="U485" s="94"/>
      <c r="V485" s="94"/>
      <c r="W485" s="94"/>
      <c r="X485" s="94"/>
      <c r="Y485" s="94"/>
      <c r="Z485" s="94"/>
      <c r="AA485" s="94"/>
    </row>
    <row r="486" spans="1:27" ht="15.75" customHeight="1">
      <c r="A486" s="94"/>
      <c r="B486" s="248"/>
      <c r="C486" s="94"/>
      <c r="D486" s="94"/>
      <c r="E486" s="94"/>
      <c r="F486" s="249"/>
      <c r="G486" s="248"/>
      <c r="H486" s="94"/>
      <c r="I486" s="249"/>
      <c r="J486" s="94"/>
      <c r="K486" s="250"/>
      <c r="L486" s="250"/>
      <c r="M486" s="250"/>
      <c r="N486" s="250"/>
      <c r="O486" s="250"/>
      <c r="P486" s="250"/>
      <c r="Q486" s="249"/>
      <c r="R486" s="94"/>
      <c r="S486" s="94"/>
      <c r="T486" s="251"/>
      <c r="U486" s="94"/>
      <c r="V486" s="94"/>
      <c r="W486" s="94"/>
      <c r="X486" s="94"/>
      <c r="Y486" s="94"/>
      <c r="Z486" s="94"/>
      <c r="AA486" s="94"/>
    </row>
    <row r="487" spans="1:27" ht="15.75" customHeight="1">
      <c r="A487" s="94"/>
      <c r="B487" s="248"/>
      <c r="C487" s="94"/>
      <c r="D487" s="94"/>
      <c r="E487" s="94"/>
      <c r="F487" s="249"/>
      <c r="G487" s="248"/>
      <c r="H487" s="94"/>
      <c r="I487" s="249"/>
      <c r="J487" s="94"/>
      <c r="K487" s="250"/>
      <c r="L487" s="250"/>
      <c r="M487" s="250"/>
      <c r="N487" s="250"/>
      <c r="O487" s="250"/>
      <c r="P487" s="250"/>
      <c r="Q487" s="249"/>
      <c r="R487" s="94"/>
      <c r="S487" s="94"/>
      <c r="T487" s="251"/>
      <c r="U487" s="94"/>
      <c r="V487" s="94"/>
      <c r="W487" s="94"/>
      <c r="X487" s="94"/>
      <c r="Y487" s="94"/>
      <c r="Z487" s="94"/>
      <c r="AA487" s="94"/>
    </row>
    <row r="488" spans="1:27" ht="15.75" customHeight="1">
      <c r="A488" s="94"/>
      <c r="B488" s="248"/>
      <c r="C488" s="94"/>
      <c r="D488" s="94"/>
      <c r="E488" s="94"/>
      <c r="F488" s="249"/>
      <c r="G488" s="248"/>
      <c r="H488" s="94"/>
      <c r="I488" s="249"/>
      <c r="J488" s="94"/>
      <c r="K488" s="250"/>
      <c r="L488" s="250"/>
      <c r="M488" s="250"/>
      <c r="N488" s="250"/>
      <c r="O488" s="250"/>
      <c r="P488" s="250"/>
      <c r="Q488" s="249"/>
      <c r="R488" s="94"/>
      <c r="S488" s="94"/>
      <c r="T488" s="251"/>
      <c r="U488" s="94"/>
      <c r="V488" s="94"/>
      <c r="W488" s="94"/>
      <c r="X488" s="94"/>
      <c r="Y488" s="94"/>
      <c r="Z488" s="94"/>
      <c r="AA488" s="94"/>
    </row>
    <row r="489" spans="1:27" ht="15.75" customHeight="1">
      <c r="A489" s="94"/>
      <c r="B489" s="248"/>
      <c r="C489" s="94"/>
      <c r="D489" s="94"/>
      <c r="E489" s="94"/>
      <c r="F489" s="249"/>
      <c r="G489" s="248"/>
      <c r="H489" s="94"/>
      <c r="I489" s="249"/>
      <c r="J489" s="94"/>
      <c r="K489" s="250"/>
      <c r="L489" s="250"/>
      <c r="M489" s="250"/>
      <c r="N489" s="250"/>
      <c r="O489" s="250"/>
      <c r="P489" s="250"/>
      <c r="Q489" s="249"/>
      <c r="R489" s="94"/>
      <c r="S489" s="94"/>
      <c r="T489" s="251"/>
      <c r="U489" s="94"/>
      <c r="V489" s="94"/>
      <c r="W489" s="94"/>
      <c r="X489" s="94"/>
      <c r="Y489" s="94"/>
      <c r="Z489" s="94"/>
      <c r="AA489" s="94"/>
    </row>
    <row r="490" spans="1:27" ht="15.75" customHeight="1">
      <c r="A490" s="94"/>
      <c r="B490" s="248"/>
      <c r="C490" s="94"/>
      <c r="D490" s="94"/>
      <c r="E490" s="94"/>
      <c r="F490" s="249"/>
      <c r="G490" s="248"/>
      <c r="H490" s="94"/>
      <c r="I490" s="249"/>
      <c r="J490" s="94"/>
      <c r="K490" s="250"/>
      <c r="L490" s="250"/>
      <c r="M490" s="250"/>
      <c r="N490" s="250"/>
      <c r="O490" s="250"/>
      <c r="P490" s="250"/>
      <c r="Q490" s="249"/>
      <c r="R490" s="94"/>
      <c r="S490" s="94"/>
      <c r="T490" s="251"/>
      <c r="U490" s="94"/>
      <c r="V490" s="94"/>
      <c r="W490" s="94"/>
      <c r="X490" s="94"/>
      <c r="Y490" s="94"/>
      <c r="Z490" s="94"/>
      <c r="AA490" s="94"/>
    </row>
    <row r="491" spans="1:27" ht="15.75" customHeight="1">
      <c r="A491" s="94"/>
      <c r="B491" s="248"/>
      <c r="C491" s="94"/>
      <c r="D491" s="94"/>
      <c r="E491" s="94"/>
      <c r="F491" s="249"/>
      <c r="G491" s="248"/>
      <c r="H491" s="94"/>
      <c r="I491" s="249"/>
      <c r="J491" s="94"/>
      <c r="K491" s="250"/>
      <c r="L491" s="250"/>
      <c r="M491" s="250"/>
      <c r="N491" s="250"/>
      <c r="O491" s="250"/>
      <c r="P491" s="250"/>
      <c r="Q491" s="249"/>
      <c r="R491" s="94"/>
      <c r="S491" s="94"/>
      <c r="T491" s="251"/>
      <c r="U491" s="94"/>
      <c r="V491" s="94"/>
      <c r="W491" s="94"/>
      <c r="X491" s="94"/>
      <c r="Y491" s="94"/>
      <c r="Z491" s="94"/>
      <c r="AA491" s="94"/>
    </row>
    <row r="492" spans="1:27" ht="15.75" customHeight="1">
      <c r="A492" s="94"/>
      <c r="B492" s="248"/>
      <c r="C492" s="94"/>
      <c r="D492" s="94"/>
      <c r="E492" s="94"/>
      <c r="F492" s="249"/>
      <c r="G492" s="248"/>
      <c r="H492" s="94"/>
      <c r="I492" s="249"/>
      <c r="J492" s="94"/>
      <c r="K492" s="250"/>
      <c r="L492" s="250"/>
      <c r="M492" s="250"/>
      <c r="N492" s="250"/>
      <c r="O492" s="250"/>
      <c r="P492" s="250"/>
      <c r="Q492" s="249"/>
      <c r="R492" s="94"/>
      <c r="S492" s="94"/>
      <c r="T492" s="251"/>
      <c r="U492" s="94"/>
      <c r="V492" s="94"/>
      <c r="W492" s="94"/>
      <c r="X492" s="94"/>
      <c r="Y492" s="94"/>
      <c r="Z492" s="94"/>
      <c r="AA492" s="94"/>
    </row>
    <row r="493" spans="1:27" ht="15.75" customHeight="1">
      <c r="A493" s="94"/>
      <c r="B493" s="248"/>
      <c r="C493" s="94"/>
      <c r="D493" s="94"/>
      <c r="E493" s="94"/>
      <c r="F493" s="249"/>
      <c r="G493" s="248"/>
      <c r="H493" s="94"/>
      <c r="I493" s="249"/>
      <c r="J493" s="94"/>
      <c r="K493" s="250"/>
      <c r="L493" s="250"/>
      <c r="M493" s="250"/>
      <c r="N493" s="250"/>
      <c r="O493" s="250"/>
      <c r="P493" s="250"/>
      <c r="Q493" s="249"/>
      <c r="R493" s="94"/>
      <c r="S493" s="94"/>
      <c r="T493" s="251"/>
      <c r="U493" s="94"/>
      <c r="V493" s="94"/>
      <c r="W493" s="94"/>
      <c r="X493" s="94"/>
      <c r="Y493" s="94"/>
      <c r="Z493" s="94"/>
      <c r="AA493" s="94"/>
    </row>
    <row r="494" spans="1:27" ht="15.75" customHeight="1">
      <c r="A494" s="94"/>
      <c r="B494" s="248"/>
      <c r="C494" s="94"/>
      <c r="D494" s="94"/>
      <c r="E494" s="94"/>
      <c r="F494" s="249"/>
      <c r="G494" s="248"/>
      <c r="H494" s="94"/>
      <c r="I494" s="249"/>
      <c r="J494" s="94"/>
      <c r="K494" s="250"/>
      <c r="L494" s="250"/>
      <c r="M494" s="250"/>
      <c r="N494" s="250"/>
      <c r="O494" s="250"/>
      <c r="P494" s="250"/>
      <c r="Q494" s="249"/>
      <c r="R494" s="94"/>
      <c r="S494" s="94"/>
      <c r="T494" s="251"/>
      <c r="U494" s="94"/>
      <c r="V494" s="94"/>
      <c r="W494" s="94"/>
      <c r="X494" s="94"/>
      <c r="Y494" s="94"/>
      <c r="Z494" s="94"/>
      <c r="AA494" s="94"/>
    </row>
    <row r="495" spans="1:27" ht="15.75" customHeight="1">
      <c r="A495" s="94"/>
      <c r="B495" s="248"/>
      <c r="C495" s="94"/>
      <c r="D495" s="94"/>
      <c r="E495" s="94"/>
      <c r="F495" s="249"/>
      <c r="G495" s="248"/>
      <c r="H495" s="94"/>
      <c r="I495" s="249"/>
      <c r="J495" s="94"/>
      <c r="K495" s="250"/>
      <c r="L495" s="250"/>
      <c r="M495" s="250"/>
      <c r="N495" s="250"/>
      <c r="O495" s="250"/>
      <c r="P495" s="250"/>
      <c r="Q495" s="249"/>
      <c r="R495" s="94"/>
      <c r="S495" s="94"/>
      <c r="T495" s="251"/>
      <c r="U495" s="94"/>
      <c r="V495" s="94"/>
      <c r="W495" s="94"/>
      <c r="X495" s="94"/>
      <c r="Y495" s="94"/>
      <c r="Z495" s="94"/>
      <c r="AA495" s="94"/>
    </row>
    <row r="496" spans="1:27" ht="15.75" customHeight="1">
      <c r="A496" s="94"/>
      <c r="B496" s="248"/>
      <c r="C496" s="94"/>
      <c r="D496" s="94"/>
      <c r="E496" s="94"/>
      <c r="F496" s="249"/>
      <c r="G496" s="248"/>
      <c r="H496" s="94"/>
      <c r="I496" s="249"/>
      <c r="J496" s="94"/>
      <c r="K496" s="250"/>
      <c r="L496" s="250"/>
      <c r="M496" s="250"/>
      <c r="N496" s="250"/>
      <c r="O496" s="250"/>
      <c r="P496" s="250"/>
      <c r="Q496" s="249"/>
      <c r="R496" s="94"/>
      <c r="S496" s="94"/>
      <c r="T496" s="251"/>
      <c r="U496" s="94"/>
      <c r="V496" s="94"/>
      <c r="W496" s="94"/>
      <c r="X496" s="94"/>
      <c r="Y496" s="94"/>
      <c r="Z496" s="94"/>
      <c r="AA496" s="94"/>
    </row>
    <row r="497" spans="1:27" ht="15.75" customHeight="1">
      <c r="A497" s="94"/>
      <c r="B497" s="248"/>
      <c r="C497" s="94"/>
      <c r="D497" s="94"/>
      <c r="E497" s="94"/>
      <c r="F497" s="249"/>
      <c r="G497" s="248"/>
      <c r="H497" s="94"/>
      <c r="I497" s="249"/>
      <c r="J497" s="94"/>
      <c r="K497" s="250"/>
      <c r="L497" s="250"/>
      <c r="M497" s="250"/>
      <c r="N497" s="250"/>
      <c r="O497" s="250"/>
      <c r="P497" s="250"/>
      <c r="Q497" s="249"/>
      <c r="R497" s="94"/>
      <c r="S497" s="94"/>
      <c r="T497" s="251"/>
      <c r="U497" s="94"/>
      <c r="V497" s="94"/>
      <c r="W497" s="94"/>
      <c r="X497" s="94"/>
      <c r="Y497" s="94"/>
      <c r="Z497" s="94"/>
      <c r="AA497" s="94"/>
    </row>
    <row r="498" spans="1:27" ht="15.75" customHeight="1">
      <c r="A498" s="94"/>
      <c r="B498" s="248"/>
      <c r="C498" s="94"/>
      <c r="D498" s="94"/>
      <c r="E498" s="94"/>
      <c r="F498" s="249"/>
      <c r="G498" s="248"/>
      <c r="H498" s="94"/>
      <c r="I498" s="249"/>
      <c r="J498" s="94"/>
      <c r="K498" s="250"/>
      <c r="L498" s="250"/>
      <c r="M498" s="250"/>
      <c r="N498" s="250"/>
      <c r="O498" s="250"/>
      <c r="P498" s="250"/>
      <c r="Q498" s="249"/>
      <c r="R498" s="94"/>
      <c r="S498" s="94"/>
      <c r="T498" s="251"/>
      <c r="U498" s="94"/>
      <c r="V498" s="94"/>
      <c r="W498" s="94"/>
      <c r="X498" s="94"/>
      <c r="Y498" s="94"/>
      <c r="Z498" s="94"/>
      <c r="AA498" s="94"/>
    </row>
    <row r="499" spans="1:27" ht="15.75" customHeight="1">
      <c r="A499" s="94"/>
      <c r="B499" s="248"/>
      <c r="C499" s="94"/>
      <c r="D499" s="94"/>
      <c r="E499" s="94"/>
      <c r="F499" s="249"/>
      <c r="G499" s="248"/>
      <c r="H499" s="94"/>
      <c r="I499" s="249"/>
      <c r="J499" s="94"/>
      <c r="K499" s="250"/>
      <c r="L499" s="250"/>
      <c r="M499" s="250"/>
      <c r="N499" s="250"/>
      <c r="O499" s="250"/>
      <c r="P499" s="250"/>
      <c r="Q499" s="249"/>
      <c r="R499" s="94"/>
      <c r="S499" s="94"/>
      <c r="T499" s="251"/>
      <c r="U499" s="94"/>
      <c r="V499" s="94"/>
      <c r="W499" s="94"/>
      <c r="X499" s="94"/>
      <c r="Y499" s="94"/>
      <c r="Z499" s="94"/>
      <c r="AA499" s="94"/>
    </row>
    <row r="500" spans="1:27" ht="15.75" customHeight="1">
      <c r="A500" s="94"/>
      <c r="B500" s="248"/>
      <c r="C500" s="94"/>
      <c r="D500" s="94"/>
      <c r="E500" s="94"/>
      <c r="F500" s="249"/>
      <c r="G500" s="248"/>
      <c r="H500" s="94"/>
      <c r="I500" s="249"/>
      <c r="J500" s="94"/>
      <c r="K500" s="250"/>
      <c r="L500" s="250"/>
      <c r="M500" s="250"/>
      <c r="N500" s="250"/>
      <c r="O500" s="250"/>
      <c r="P500" s="250"/>
      <c r="Q500" s="249"/>
      <c r="R500" s="94"/>
      <c r="S500" s="94"/>
      <c r="T500" s="251"/>
      <c r="U500" s="94"/>
      <c r="V500" s="94"/>
      <c r="W500" s="94"/>
      <c r="X500" s="94"/>
      <c r="Y500" s="94"/>
      <c r="Z500" s="94"/>
      <c r="AA500" s="94"/>
    </row>
    <row r="501" spans="1:27" ht="15.75" customHeight="1">
      <c r="A501" s="94"/>
      <c r="B501" s="248"/>
      <c r="C501" s="94"/>
      <c r="D501" s="94"/>
      <c r="E501" s="94"/>
      <c r="F501" s="249"/>
      <c r="G501" s="248"/>
      <c r="H501" s="94"/>
      <c r="I501" s="249"/>
      <c r="J501" s="94"/>
      <c r="K501" s="250"/>
      <c r="L501" s="250"/>
      <c r="M501" s="250"/>
      <c r="N501" s="250"/>
      <c r="O501" s="250"/>
      <c r="P501" s="250"/>
      <c r="Q501" s="249"/>
      <c r="R501" s="94"/>
      <c r="S501" s="94"/>
      <c r="T501" s="251"/>
      <c r="U501" s="94"/>
      <c r="V501" s="94"/>
      <c r="W501" s="94"/>
      <c r="X501" s="94"/>
      <c r="Y501" s="94"/>
      <c r="Z501" s="94"/>
      <c r="AA501" s="94"/>
    </row>
    <row r="502" spans="1:27" ht="15.75" customHeight="1">
      <c r="A502" s="94"/>
      <c r="B502" s="248"/>
      <c r="C502" s="94"/>
      <c r="D502" s="94"/>
      <c r="E502" s="94"/>
      <c r="F502" s="249"/>
      <c r="G502" s="248"/>
      <c r="H502" s="94"/>
      <c r="I502" s="249"/>
      <c r="J502" s="94"/>
      <c r="K502" s="250"/>
      <c r="L502" s="250"/>
      <c r="M502" s="250"/>
      <c r="N502" s="250"/>
      <c r="O502" s="250"/>
      <c r="P502" s="250"/>
      <c r="Q502" s="249"/>
      <c r="R502" s="94"/>
      <c r="S502" s="94"/>
      <c r="T502" s="251"/>
      <c r="U502" s="94"/>
      <c r="V502" s="94"/>
      <c r="W502" s="94"/>
      <c r="X502" s="94"/>
      <c r="Y502" s="94"/>
      <c r="Z502" s="94"/>
      <c r="AA502" s="94"/>
    </row>
    <row r="503" spans="1:27" ht="15.75" customHeight="1">
      <c r="A503" s="94"/>
      <c r="B503" s="248"/>
      <c r="C503" s="94"/>
      <c r="D503" s="94"/>
      <c r="E503" s="94"/>
      <c r="F503" s="249"/>
      <c r="G503" s="248"/>
      <c r="H503" s="94"/>
      <c r="I503" s="249"/>
      <c r="J503" s="94"/>
      <c r="K503" s="250"/>
      <c r="L503" s="250"/>
      <c r="M503" s="250"/>
      <c r="N503" s="250"/>
      <c r="O503" s="250"/>
      <c r="P503" s="250"/>
      <c r="Q503" s="249"/>
      <c r="R503" s="94"/>
      <c r="S503" s="94"/>
      <c r="T503" s="251"/>
      <c r="U503" s="94"/>
      <c r="V503" s="94"/>
      <c r="W503" s="94"/>
      <c r="X503" s="94"/>
      <c r="Y503" s="94"/>
      <c r="Z503" s="94"/>
      <c r="AA503" s="94"/>
    </row>
    <row r="504" spans="1:27" ht="15.75" customHeight="1">
      <c r="A504" s="94"/>
      <c r="B504" s="248"/>
      <c r="C504" s="94"/>
      <c r="D504" s="94"/>
      <c r="E504" s="94"/>
      <c r="F504" s="249"/>
      <c r="G504" s="248"/>
      <c r="H504" s="94"/>
      <c r="I504" s="249"/>
      <c r="J504" s="94"/>
      <c r="K504" s="250"/>
      <c r="L504" s="250"/>
      <c r="M504" s="250"/>
      <c r="N504" s="250"/>
      <c r="O504" s="250"/>
      <c r="P504" s="250"/>
      <c r="Q504" s="249"/>
      <c r="R504" s="94"/>
      <c r="S504" s="94"/>
      <c r="T504" s="251"/>
      <c r="U504" s="94"/>
      <c r="V504" s="94"/>
      <c r="W504" s="94"/>
      <c r="X504" s="94"/>
      <c r="Y504" s="94"/>
      <c r="Z504" s="94"/>
      <c r="AA504" s="94"/>
    </row>
    <row r="505" spans="1:27" ht="15.75" customHeight="1">
      <c r="A505" s="94"/>
      <c r="B505" s="248"/>
      <c r="C505" s="94"/>
      <c r="D505" s="94"/>
      <c r="E505" s="94"/>
      <c r="F505" s="249"/>
      <c r="G505" s="248"/>
      <c r="H505" s="94"/>
      <c r="I505" s="249"/>
      <c r="J505" s="94"/>
      <c r="K505" s="250"/>
      <c r="L505" s="250"/>
      <c r="M505" s="250"/>
      <c r="N505" s="250"/>
      <c r="O505" s="250"/>
      <c r="P505" s="250"/>
      <c r="Q505" s="249"/>
      <c r="R505" s="94"/>
      <c r="S505" s="94"/>
      <c r="T505" s="251"/>
      <c r="U505" s="94"/>
      <c r="V505" s="94"/>
      <c r="W505" s="94"/>
      <c r="X505" s="94"/>
      <c r="Y505" s="94"/>
      <c r="Z505" s="94"/>
      <c r="AA505" s="94"/>
    </row>
    <row r="506" spans="1:27" ht="15.75" customHeight="1">
      <c r="A506" s="94"/>
      <c r="B506" s="248"/>
      <c r="C506" s="94"/>
      <c r="D506" s="94"/>
      <c r="E506" s="94"/>
      <c r="F506" s="249"/>
      <c r="G506" s="248"/>
      <c r="H506" s="94"/>
      <c r="I506" s="249"/>
      <c r="J506" s="94"/>
      <c r="K506" s="250"/>
      <c r="L506" s="250"/>
      <c r="M506" s="250"/>
      <c r="N506" s="250"/>
      <c r="O506" s="250"/>
      <c r="P506" s="250"/>
      <c r="Q506" s="249"/>
      <c r="R506" s="94"/>
      <c r="S506" s="94"/>
      <c r="T506" s="251"/>
      <c r="U506" s="94"/>
      <c r="V506" s="94"/>
      <c r="W506" s="94"/>
      <c r="X506" s="94"/>
      <c r="Y506" s="94"/>
      <c r="Z506" s="94"/>
      <c r="AA506" s="94"/>
    </row>
    <row r="507" spans="1:27" ht="15.75" customHeight="1">
      <c r="A507" s="94"/>
      <c r="B507" s="248"/>
      <c r="C507" s="94"/>
      <c r="D507" s="94"/>
      <c r="E507" s="94"/>
      <c r="F507" s="249"/>
      <c r="G507" s="248"/>
      <c r="H507" s="94"/>
      <c r="I507" s="249"/>
      <c r="J507" s="94"/>
      <c r="K507" s="250"/>
      <c r="L507" s="250"/>
      <c r="M507" s="250"/>
      <c r="N507" s="250"/>
      <c r="O507" s="250"/>
      <c r="P507" s="250"/>
      <c r="Q507" s="249"/>
      <c r="R507" s="94"/>
      <c r="S507" s="94"/>
      <c r="T507" s="251"/>
      <c r="U507" s="94"/>
      <c r="V507" s="94"/>
      <c r="W507" s="94"/>
      <c r="X507" s="94"/>
      <c r="Y507" s="94"/>
      <c r="Z507" s="94"/>
      <c r="AA507" s="94"/>
    </row>
    <row r="508" spans="1:27" ht="15.75" customHeight="1">
      <c r="A508" s="94"/>
      <c r="B508" s="248"/>
      <c r="C508" s="94"/>
      <c r="D508" s="94"/>
      <c r="E508" s="94"/>
      <c r="F508" s="249"/>
      <c r="G508" s="248"/>
      <c r="H508" s="94"/>
      <c r="I508" s="249"/>
      <c r="J508" s="94"/>
      <c r="K508" s="250"/>
      <c r="L508" s="250"/>
      <c r="M508" s="250"/>
      <c r="N508" s="250"/>
      <c r="O508" s="250"/>
      <c r="P508" s="250"/>
      <c r="Q508" s="249"/>
      <c r="R508" s="94"/>
      <c r="S508" s="94"/>
      <c r="T508" s="251"/>
      <c r="U508" s="94"/>
      <c r="V508" s="94"/>
      <c r="W508" s="94"/>
      <c r="X508" s="94"/>
      <c r="Y508" s="94"/>
      <c r="Z508" s="94"/>
      <c r="AA508" s="94"/>
    </row>
    <row r="509" spans="1:27" ht="15.75" customHeight="1">
      <c r="A509" s="94"/>
      <c r="B509" s="248"/>
      <c r="C509" s="94"/>
      <c r="D509" s="94"/>
      <c r="E509" s="94"/>
      <c r="F509" s="249"/>
      <c r="G509" s="248"/>
      <c r="H509" s="94"/>
      <c r="I509" s="249"/>
      <c r="J509" s="94"/>
      <c r="K509" s="250"/>
      <c r="L509" s="250"/>
      <c r="M509" s="250"/>
      <c r="N509" s="250"/>
      <c r="O509" s="250"/>
      <c r="P509" s="250"/>
      <c r="Q509" s="249"/>
      <c r="R509" s="94"/>
      <c r="S509" s="94"/>
      <c r="T509" s="251"/>
      <c r="U509" s="94"/>
      <c r="V509" s="94"/>
      <c r="W509" s="94"/>
      <c r="X509" s="94"/>
      <c r="Y509" s="94"/>
      <c r="Z509" s="94"/>
      <c r="AA509" s="94"/>
    </row>
    <row r="510" spans="1:27" ht="15.75" customHeight="1">
      <c r="A510" s="94"/>
      <c r="B510" s="248"/>
      <c r="C510" s="94"/>
      <c r="D510" s="94"/>
      <c r="E510" s="94"/>
      <c r="F510" s="249"/>
      <c r="G510" s="248"/>
      <c r="H510" s="94"/>
      <c r="I510" s="249"/>
      <c r="J510" s="94"/>
      <c r="K510" s="250"/>
      <c r="L510" s="250"/>
      <c r="M510" s="250"/>
      <c r="N510" s="250"/>
      <c r="O510" s="250"/>
      <c r="P510" s="250"/>
      <c r="Q510" s="249"/>
      <c r="R510" s="94"/>
      <c r="S510" s="94"/>
      <c r="T510" s="251"/>
      <c r="U510" s="94"/>
      <c r="V510" s="94"/>
      <c r="W510" s="94"/>
      <c r="X510" s="94"/>
      <c r="Y510" s="94"/>
      <c r="Z510" s="94"/>
      <c r="AA510" s="94"/>
    </row>
    <row r="511" spans="1:27" ht="15.75" customHeight="1">
      <c r="A511" s="94"/>
      <c r="B511" s="248"/>
      <c r="C511" s="94"/>
      <c r="D511" s="94"/>
      <c r="E511" s="94"/>
      <c r="F511" s="249"/>
      <c r="G511" s="248"/>
      <c r="H511" s="94"/>
      <c r="I511" s="249"/>
      <c r="J511" s="94"/>
      <c r="K511" s="250"/>
      <c r="L511" s="250"/>
      <c r="M511" s="250"/>
      <c r="N511" s="250"/>
      <c r="O511" s="250"/>
      <c r="P511" s="250"/>
      <c r="Q511" s="249"/>
      <c r="R511" s="94"/>
      <c r="S511" s="94"/>
      <c r="T511" s="251"/>
      <c r="U511" s="94"/>
      <c r="V511" s="94"/>
      <c r="W511" s="94"/>
      <c r="X511" s="94"/>
      <c r="Y511" s="94"/>
      <c r="Z511" s="94"/>
      <c r="AA511" s="94"/>
    </row>
    <row r="512" spans="1:27" ht="15.75" customHeight="1">
      <c r="A512" s="94"/>
      <c r="B512" s="248"/>
      <c r="C512" s="94"/>
      <c r="D512" s="94"/>
      <c r="E512" s="94"/>
      <c r="F512" s="249"/>
      <c r="G512" s="248"/>
      <c r="H512" s="94"/>
      <c r="I512" s="249"/>
      <c r="J512" s="94"/>
      <c r="K512" s="250"/>
      <c r="L512" s="250"/>
      <c r="M512" s="250"/>
      <c r="N512" s="250"/>
      <c r="O512" s="250"/>
      <c r="P512" s="250"/>
      <c r="Q512" s="249"/>
      <c r="R512" s="94"/>
      <c r="S512" s="94"/>
      <c r="T512" s="251"/>
      <c r="U512" s="94"/>
      <c r="V512" s="94"/>
      <c r="W512" s="94"/>
      <c r="X512" s="94"/>
      <c r="Y512" s="94"/>
      <c r="Z512" s="94"/>
      <c r="AA512" s="94"/>
    </row>
    <row r="513" spans="1:27" ht="15.75" customHeight="1">
      <c r="A513" s="94"/>
      <c r="B513" s="248"/>
      <c r="C513" s="94"/>
      <c r="D513" s="94"/>
      <c r="E513" s="94"/>
      <c r="F513" s="249"/>
      <c r="G513" s="248"/>
      <c r="H513" s="94"/>
      <c r="I513" s="249"/>
      <c r="J513" s="94"/>
      <c r="K513" s="250"/>
      <c r="L513" s="250"/>
      <c r="M513" s="250"/>
      <c r="N513" s="250"/>
      <c r="O513" s="250"/>
      <c r="P513" s="250"/>
      <c r="Q513" s="249"/>
      <c r="R513" s="94"/>
      <c r="S513" s="94"/>
      <c r="T513" s="251"/>
      <c r="U513" s="94"/>
      <c r="V513" s="94"/>
      <c r="W513" s="94"/>
      <c r="X513" s="94"/>
      <c r="Y513" s="94"/>
      <c r="Z513" s="94"/>
      <c r="AA513" s="94"/>
    </row>
    <row r="514" spans="1:27" ht="15.75" customHeight="1">
      <c r="A514" s="94"/>
      <c r="B514" s="248"/>
      <c r="C514" s="94"/>
      <c r="D514" s="94"/>
      <c r="E514" s="94"/>
      <c r="F514" s="249"/>
      <c r="G514" s="248"/>
      <c r="H514" s="94"/>
      <c r="I514" s="249"/>
      <c r="J514" s="94"/>
      <c r="K514" s="250"/>
      <c r="L514" s="250"/>
      <c r="M514" s="250"/>
      <c r="N514" s="250"/>
      <c r="O514" s="250"/>
      <c r="P514" s="250"/>
      <c r="Q514" s="249"/>
      <c r="R514" s="94"/>
      <c r="S514" s="94"/>
      <c r="T514" s="251"/>
      <c r="U514" s="94"/>
      <c r="V514" s="94"/>
      <c r="W514" s="94"/>
      <c r="X514" s="94"/>
      <c r="Y514" s="94"/>
      <c r="Z514" s="94"/>
      <c r="AA514" s="94"/>
    </row>
    <row r="515" spans="1:27" ht="15.75" customHeight="1">
      <c r="A515" s="94"/>
      <c r="B515" s="248"/>
      <c r="C515" s="94"/>
      <c r="D515" s="94"/>
      <c r="E515" s="94"/>
      <c r="F515" s="249"/>
      <c r="G515" s="248"/>
      <c r="H515" s="94"/>
      <c r="I515" s="249"/>
      <c r="J515" s="94"/>
      <c r="K515" s="250"/>
      <c r="L515" s="250"/>
      <c r="M515" s="250"/>
      <c r="N515" s="250"/>
      <c r="O515" s="250"/>
      <c r="P515" s="250"/>
      <c r="Q515" s="249"/>
      <c r="R515" s="94"/>
      <c r="S515" s="94"/>
      <c r="T515" s="251"/>
      <c r="U515" s="94"/>
      <c r="V515" s="94"/>
      <c r="W515" s="94"/>
      <c r="X515" s="94"/>
      <c r="Y515" s="94"/>
      <c r="Z515" s="94"/>
      <c r="AA515" s="94"/>
    </row>
    <row r="516" spans="1:27" ht="15.75" customHeight="1">
      <c r="A516" s="94"/>
      <c r="B516" s="248"/>
      <c r="C516" s="94"/>
      <c r="D516" s="94"/>
      <c r="E516" s="94"/>
      <c r="F516" s="249"/>
      <c r="G516" s="248"/>
      <c r="H516" s="94"/>
      <c r="I516" s="249"/>
      <c r="J516" s="94"/>
      <c r="K516" s="250"/>
      <c r="L516" s="250"/>
      <c r="M516" s="250"/>
      <c r="N516" s="250"/>
      <c r="O516" s="250"/>
      <c r="P516" s="250"/>
      <c r="Q516" s="249"/>
      <c r="R516" s="94"/>
      <c r="S516" s="94"/>
      <c r="T516" s="251"/>
      <c r="U516" s="94"/>
      <c r="V516" s="94"/>
      <c r="W516" s="94"/>
      <c r="X516" s="94"/>
      <c r="Y516" s="94"/>
      <c r="Z516" s="94"/>
      <c r="AA516" s="94"/>
    </row>
    <row r="517" spans="1:27" ht="15.75" customHeight="1">
      <c r="A517" s="94"/>
      <c r="B517" s="248"/>
      <c r="C517" s="94"/>
      <c r="D517" s="94"/>
      <c r="E517" s="94"/>
      <c r="F517" s="249"/>
      <c r="G517" s="248"/>
      <c r="H517" s="94"/>
      <c r="I517" s="249"/>
      <c r="J517" s="94"/>
      <c r="K517" s="250"/>
      <c r="L517" s="250"/>
      <c r="M517" s="250"/>
      <c r="N517" s="250"/>
      <c r="O517" s="250"/>
      <c r="P517" s="250"/>
      <c r="Q517" s="249"/>
      <c r="R517" s="94"/>
      <c r="S517" s="94"/>
      <c r="T517" s="251"/>
      <c r="U517" s="94"/>
      <c r="V517" s="94"/>
      <c r="W517" s="94"/>
      <c r="X517" s="94"/>
      <c r="Y517" s="94"/>
      <c r="Z517" s="94"/>
      <c r="AA517" s="94"/>
    </row>
    <row r="518" spans="1:27" ht="15.75" customHeight="1">
      <c r="A518" s="94"/>
      <c r="B518" s="248"/>
      <c r="C518" s="94"/>
      <c r="D518" s="94"/>
      <c r="E518" s="94"/>
      <c r="F518" s="249"/>
      <c r="G518" s="248"/>
      <c r="H518" s="94"/>
      <c r="I518" s="249"/>
      <c r="J518" s="94"/>
      <c r="K518" s="250"/>
      <c r="L518" s="250"/>
      <c r="M518" s="250"/>
      <c r="N518" s="250"/>
      <c r="O518" s="250"/>
      <c r="P518" s="250"/>
      <c r="Q518" s="249"/>
      <c r="R518" s="94"/>
      <c r="S518" s="94"/>
      <c r="T518" s="251"/>
      <c r="U518" s="94"/>
      <c r="V518" s="94"/>
      <c r="W518" s="94"/>
      <c r="X518" s="94"/>
      <c r="Y518" s="94"/>
      <c r="Z518" s="94"/>
      <c r="AA518" s="94"/>
    </row>
    <row r="519" spans="1:27" ht="15.75" customHeight="1">
      <c r="A519" s="94"/>
      <c r="B519" s="248"/>
      <c r="C519" s="94"/>
      <c r="D519" s="94"/>
      <c r="E519" s="94"/>
      <c r="F519" s="249"/>
      <c r="G519" s="248"/>
      <c r="H519" s="94"/>
      <c r="I519" s="249"/>
      <c r="J519" s="94"/>
      <c r="K519" s="250"/>
      <c r="L519" s="250"/>
      <c r="M519" s="250"/>
      <c r="N519" s="250"/>
      <c r="O519" s="250"/>
      <c r="P519" s="250"/>
      <c r="Q519" s="249"/>
      <c r="R519" s="94"/>
      <c r="S519" s="94"/>
      <c r="T519" s="251"/>
      <c r="U519" s="94"/>
      <c r="V519" s="94"/>
      <c r="W519" s="94"/>
      <c r="X519" s="94"/>
      <c r="Y519" s="94"/>
      <c r="Z519" s="94"/>
      <c r="AA519" s="94"/>
    </row>
    <row r="520" spans="1:27" ht="15.75" customHeight="1">
      <c r="A520" s="94"/>
      <c r="B520" s="248"/>
      <c r="C520" s="94"/>
      <c r="D520" s="94"/>
      <c r="E520" s="94"/>
      <c r="F520" s="249"/>
      <c r="G520" s="248"/>
      <c r="H520" s="94"/>
      <c r="I520" s="249"/>
      <c r="J520" s="94"/>
      <c r="K520" s="250"/>
      <c r="L520" s="250"/>
      <c r="M520" s="250"/>
      <c r="N520" s="250"/>
      <c r="O520" s="250"/>
      <c r="P520" s="250"/>
      <c r="Q520" s="249"/>
      <c r="R520" s="94"/>
      <c r="S520" s="94"/>
      <c r="T520" s="251"/>
      <c r="U520" s="94"/>
      <c r="V520" s="94"/>
      <c r="W520" s="94"/>
      <c r="X520" s="94"/>
      <c r="Y520" s="94"/>
      <c r="Z520" s="94"/>
      <c r="AA520" s="94"/>
    </row>
    <row r="521" spans="1:27" ht="15.75" customHeight="1">
      <c r="A521" s="94"/>
      <c r="B521" s="248"/>
      <c r="C521" s="94"/>
      <c r="D521" s="94"/>
      <c r="E521" s="94"/>
      <c r="F521" s="249"/>
      <c r="G521" s="248"/>
      <c r="H521" s="94"/>
      <c r="I521" s="249"/>
      <c r="J521" s="94"/>
      <c r="K521" s="250"/>
      <c r="L521" s="250"/>
      <c r="M521" s="250"/>
      <c r="N521" s="250"/>
      <c r="O521" s="250"/>
      <c r="P521" s="250"/>
      <c r="Q521" s="249"/>
      <c r="R521" s="94"/>
      <c r="S521" s="94"/>
      <c r="T521" s="251"/>
      <c r="U521" s="94"/>
      <c r="V521" s="94"/>
      <c r="W521" s="94"/>
      <c r="X521" s="94"/>
      <c r="Y521" s="94"/>
      <c r="Z521" s="94"/>
      <c r="AA521" s="94"/>
    </row>
    <row r="522" spans="1:27" ht="15.75" customHeight="1">
      <c r="A522" s="94"/>
      <c r="B522" s="248"/>
      <c r="C522" s="94"/>
      <c r="D522" s="94"/>
      <c r="E522" s="94"/>
      <c r="F522" s="249"/>
      <c r="G522" s="248"/>
      <c r="H522" s="94"/>
      <c r="I522" s="249"/>
      <c r="J522" s="94"/>
      <c r="K522" s="250"/>
      <c r="L522" s="250"/>
      <c r="M522" s="250"/>
      <c r="N522" s="250"/>
      <c r="O522" s="250"/>
      <c r="P522" s="250"/>
      <c r="Q522" s="249"/>
      <c r="R522" s="94"/>
      <c r="S522" s="94"/>
      <c r="T522" s="251"/>
      <c r="U522" s="94"/>
      <c r="V522" s="94"/>
      <c r="W522" s="94"/>
      <c r="X522" s="94"/>
      <c r="Y522" s="94"/>
      <c r="Z522" s="94"/>
      <c r="AA522" s="94"/>
    </row>
    <row r="523" spans="1:27" ht="15.75" customHeight="1">
      <c r="A523" s="94"/>
      <c r="B523" s="248"/>
      <c r="C523" s="94"/>
      <c r="D523" s="94"/>
      <c r="E523" s="94"/>
      <c r="F523" s="249"/>
      <c r="G523" s="248"/>
      <c r="H523" s="94"/>
      <c r="I523" s="249"/>
      <c r="J523" s="94"/>
      <c r="K523" s="250"/>
      <c r="L523" s="250"/>
      <c r="M523" s="250"/>
      <c r="N523" s="250"/>
      <c r="O523" s="250"/>
      <c r="P523" s="250"/>
      <c r="Q523" s="249"/>
      <c r="R523" s="94"/>
      <c r="S523" s="94"/>
      <c r="T523" s="251"/>
      <c r="U523" s="94"/>
      <c r="V523" s="94"/>
      <c r="W523" s="94"/>
      <c r="X523" s="94"/>
      <c r="Y523" s="94"/>
      <c r="Z523" s="94"/>
      <c r="AA523" s="94"/>
    </row>
    <row r="524" spans="1:27" ht="15.75" customHeight="1">
      <c r="A524" s="94"/>
      <c r="B524" s="248"/>
      <c r="C524" s="94"/>
      <c r="D524" s="94"/>
      <c r="E524" s="94"/>
      <c r="F524" s="249"/>
      <c r="G524" s="248"/>
      <c r="H524" s="94"/>
      <c r="I524" s="249"/>
      <c r="J524" s="94"/>
      <c r="K524" s="250"/>
      <c r="L524" s="250"/>
      <c r="M524" s="250"/>
      <c r="N524" s="250"/>
      <c r="O524" s="250"/>
      <c r="P524" s="250"/>
      <c r="Q524" s="249"/>
      <c r="R524" s="94"/>
      <c r="S524" s="94"/>
      <c r="T524" s="251"/>
      <c r="U524" s="94"/>
      <c r="V524" s="94"/>
      <c r="W524" s="94"/>
      <c r="X524" s="94"/>
      <c r="Y524" s="94"/>
      <c r="Z524" s="94"/>
      <c r="AA524" s="94"/>
    </row>
    <row r="525" spans="1:27" ht="15.75" customHeight="1">
      <c r="A525" s="94"/>
      <c r="B525" s="248"/>
      <c r="C525" s="94"/>
      <c r="D525" s="94"/>
      <c r="E525" s="94"/>
      <c r="F525" s="249"/>
      <c r="G525" s="248"/>
      <c r="H525" s="94"/>
      <c r="I525" s="249"/>
      <c r="J525" s="94"/>
      <c r="K525" s="250"/>
      <c r="L525" s="250"/>
      <c r="M525" s="250"/>
      <c r="N525" s="250"/>
      <c r="O525" s="250"/>
      <c r="P525" s="250"/>
      <c r="Q525" s="249"/>
      <c r="R525" s="94"/>
      <c r="S525" s="94"/>
      <c r="T525" s="251"/>
      <c r="U525" s="94"/>
      <c r="V525" s="94"/>
      <c r="W525" s="94"/>
      <c r="X525" s="94"/>
      <c r="Y525" s="94"/>
      <c r="Z525" s="94"/>
      <c r="AA525" s="94"/>
    </row>
    <row r="526" spans="1:27" ht="15.75" customHeight="1">
      <c r="A526" s="94"/>
      <c r="B526" s="248"/>
      <c r="C526" s="94"/>
      <c r="D526" s="94"/>
      <c r="E526" s="94"/>
      <c r="F526" s="249"/>
      <c r="G526" s="248"/>
      <c r="H526" s="94"/>
      <c r="I526" s="249"/>
      <c r="J526" s="94"/>
      <c r="K526" s="250"/>
      <c r="L526" s="250"/>
      <c r="M526" s="250"/>
      <c r="N526" s="250"/>
      <c r="O526" s="250"/>
      <c r="P526" s="250"/>
      <c r="Q526" s="249"/>
      <c r="R526" s="94"/>
      <c r="S526" s="94"/>
      <c r="T526" s="251"/>
      <c r="U526" s="94"/>
      <c r="V526" s="94"/>
      <c r="W526" s="94"/>
      <c r="X526" s="94"/>
      <c r="Y526" s="94"/>
      <c r="Z526" s="94"/>
      <c r="AA526" s="94"/>
    </row>
    <row r="527" spans="1:27" ht="15.75" customHeight="1">
      <c r="A527" s="94"/>
      <c r="B527" s="248"/>
      <c r="C527" s="94"/>
      <c r="D527" s="94"/>
      <c r="E527" s="94"/>
      <c r="F527" s="249"/>
      <c r="G527" s="248"/>
      <c r="H527" s="94"/>
      <c r="I527" s="249"/>
      <c r="J527" s="94"/>
      <c r="K527" s="250"/>
      <c r="L527" s="250"/>
      <c r="M527" s="250"/>
      <c r="N527" s="250"/>
      <c r="O527" s="250"/>
      <c r="P527" s="250"/>
      <c r="Q527" s="249"/>
      <c r="R527" s="94"/>
      <c r="S527" s="94"/>
      <c r="T527" s="251"/>
      <c r="U527" s="94"/>
      <c r="V527" s="94"/>
      <c r="W527" s="94"/>
      <c r="X527" s="94"/>
      <c r="Y527" s="94"/>
      <c r="Z527" s="94"/>
      <c r="AA527" s="94"/>
    </row>
    <row r="528" spans="1:27" ht="15.75" customHeight="1">
      <c r="A528" s="94"/>
      <c r="B528" s="248"/>
      <c r="C528" s="94"/>
      <c r="D528" s="94"/>
      <c r="E528" s="94"/>
      <c r="F528" s="249"/>
      <c r="G528" s="248"/>
      <c r="H528" s="94"/>
      <c r="I528" s="249"/>
      <c r="J528" s="94"/>
      <c r="K528" s="250"/>
      <c r="L528" s="250"/>
      <c r="M528" s="250"/>
      <c r="N528" s="250"/>
      <c r="O528" s="250"/>
      <c r="P528" s="250"/>
      <c r="Q528" s="249"/>
      <c r="R528" s="94"/>
      <c r="S528" s="94"/>
      <c r="T528" s="251"/>
      <c r="U528" s="94"/>
      <c r="V528" s="94"/>
      <c r="W528" s="94"/>
      <c r="X528" s="94"/>
      <c r="Y528" s="94"/>
      <c r="Z528" s="94"/>
      <c r="AA528" s="94"/>
    </row>
    <row r="529" spans="1:27" ht="15.75" customHeight="1">
      <c r="A529" s="94"/>
      <c r="B529" s="248"/>
      <c r="C529" s="94"/>
      <c r="D529" s="94"/>
      <c r="E529" s="94"/>
      <c r="F529" s="249"/>
      <c r="G529" s="248"/>
      <c r="H529" s="94"/>
      <c r="I529" s="249"/>
      <c r="J529" s="94"/>
      <c r="K529" s="250"/>
      <c r="L529" s="250"/>
      <c r="M529" s="250"/>
      <c r="N529" s="250"/>
      <c r="O529" s="250"/>
      <c r="P529" s="250"/>
      <c r="Q529" s="249"/>
      <c r="R529" s="94"/>
      <c r="S529" s="94"/>
      <c r="T529" s="251"/>
      <c r="U529" s="94"/>
      <c r="V529" s="94"/>
      <c r="W529" s="94"/>
      <c r="X529" s="94"/>
      <c r="Y529" s="94"/>
      <c r="Z529" s="94"/>
      <c r="AA529" s="94"/>
    </row>
    <row r="530" spans="1:27" ht="15.75" customHeight="1">
      <c r="A530" s="94"/>
      <c r="B530" s="248"/>
      <c r="C530" s="94"/>
      <c r="D530" s="94"/>
      <c r="E530" s="94"/>
      <c r="F530" s="249"/>
      <c r="G530" s="248"/>
      <c r="H530" s="94"/>
      <c r="I530" s="249"/>
      <c r="J530" s="94"/>
      <c r="K530" s="250"/>
      <c r="L530" s="250"/>
      <c r="M530" s="250"/>
      <c r="N530" s="250"/>
      <c r="O530" s="250"/>
      <c r="P530" s="250"/>
      <c r="Q530" s="249"/>
      <c r="R530" s="94"/>
      <c r="S530" s="94"/>
      <c r="T530" s="251"/>
      <c r="U530" s="94"/>
      <c r="V530" s="94"/>
      <c r="W530" s="94"/>
      <c r="X530" s="94"/>
      <c r="Y530" s="94"/>
      <c r="Z530" s="94"/>
      <c r="AA530" s="94"/>
    </row>
    <row r="531" spans="1:27" ht="15.75" customHeight="1">
      <c r="A531" s="94"/>
      <c r="B531" s="248"/>
      <c r="C531" s="94"/>
      <c r="D531" s="94"/>
      <c r="E531" s="94"/>
      <c r="F531" s="249"/>
      <c r="G531" s="248"/>
      <c r="H531" s="94"/>
      <c r="I531" s="249"/>
      <c r="J531" s="94"/>
      <c r="K531" s="250"/>
      <c r="L531" s="250"/>
      <c r="M531" s="250"/>
      <c r="N531" s="250"/>
      <c r="O531" s="250"/>
      <c r="P531" s="250"/>
      <c r="Q531" s="249"/>
      <c r="R531" s="94"/>
      <c r="S531" s="94"/>
      <c r="T531" s="251"/>
      <c r="U531" s="94"/>
      <c r="V531" s="94"/>
      <c r="W531" s="94"/>
      <c r="X531" s="94"/>
      <c r="Y531" s="94"/>
      <c r="Z531" s="94"/>
      <c r="AA531" s="94"/>
    </row>
    <row r="532" spans="1:27" ht="15.75" customHeight="1">
      <c r="A532" s="94"/>
      <c r="B532" s="248"/>
      <c r="C532" s="94"/>
      <c r="D532" s="94"/>
      <c r="E532" s="94"/>
      <c r="F532" s="249"/>
      <c r="G532" s="248"/>
      <c r="H532" s="94"/>
      <c r="I532" s="249"/>
      <c r="J532" s="94"/>
      <c r="K532" s="250"/>
      <c r="L532" s="250"/>
      <c r="M532" s="250"/>
      <c r="N532" s="250"/>
      <c r="O532" s="250"/>
      <c r="P532" s="250"/>
      <c r="Q532" s="249"/>
      <c r="R532" s="94"/>
      <c r="S532" s="94"/>
      <c r="T532" s="251"/>
      <c r="U532" s="94"/>
      <c r="V532" s="94"/>
      <c r="W532" s="94"/>
      <c r="X532" s="94"/>
      <c r="Y532" s="94"/>
      <c r="Z532" s="94"/>
      <c r="AA532" s="94"/>
    </row>
    <row r="533" spans="1:27" ht="15.75" customHeight="1">
      <c r="A533" s="94"/>
      <c r="B533" s="248"/>
      <c r="C533" s="94"/>
      <c r="D533" s="94"/>
      <c r="E533" s="94"/>
      <c r="F533" s="249"/>
      <c r="G533" s="248"/>
      <c r="H533" s="94"/>
      <c r="I533" s="249"/>
      <c r="J533" s="94"/>
      <c r="K533" s="250"/>
      <c r="L533" s="250"/>
      <c r="M533" s="250"/>
      <c r="N533" s="250"/>
      <c r="O533" s="250"/>
      <c r="P533" s="250"/>
      <c r="Q533" s="249"/>
      <c r="R533" s="94"/>
      <c r="S533" s="94"/>
      <c r="T533" s="251"/>
      <c r="U533" s="94"/>
      <c r="V533" s="94"/>
      <c r="W533" s="94"/>
      <c r="X533" s="94"/>
      <c r="Y533" s="94"/>
      <c r="Z533" s="94"/>
      <c r="AA533" s="94"/>
    </row>
    <row r="534" spans="1:27" ht="15.75" customHeight="1">
      <c r="A534" s="94"/>
      <c r="B534" s="248"/>
      <c r="C534" s="94"/>
      <c r="D534" s="94"/>
      <c r="E534" s="94"/>
      <c r="F534" s="249"/>
      <c r="G534" s="248"/>
      <c r="H534" s="94"/>
      <c r="I534" s="249"/>
      <c r="J534" s="94"/>
      <c r="K534" s="250"/>
      <c r="L534" s="250"/>
      <c r="M534" s="250"/>
      <c r="N534" s="250"/>
      <c r="O534" s="250"/>
      <c r="P534" s="250"/>
      <c r="Q534" s="249"/>
      <c r="R534" s="94"/>
      <c r="S534" s="94"/>
      <c r="T534" s="251"/>
      <c r="U534" s="94"/>
      <c r="V534" s="94"/>
      <c r="W534" s="94"/>
      <c r="X534" s="94"/>
      <c r="Y534" s="94"/>
      <c r="Z534" s="94"/>
      <c r="AA534" s="94"/>
    </row>
    <row r="535" spans="1:27" ht="15.75" customHeight="1">
      <c r="A535" s="94"/>
      <c r="B535" s="248"/>
      <c r="C535" s="94"/>
      <c r="D535" s="94"/>
      <c r="E535" s="94"/>
      <c r="F535" s="249"/>
      <c r="G535" s="248"/>
      <c r="H535" s="94"/>
      <c r="I535" s="249"/>
      <c r="J535" s="94"/>
      <c r="K535" s="250"/>
      <c r="L535" s="250"/>
      <c r="M535" s="250"/>
      <c r="N535" s="250"/>
      <c r="O535" s="250"/>
      <c r="P535" s="250"/>
      <c r="Q535" s="249"/>
      <c r="R535" s="94"/>
      <c r="S535" s="94"/>
      <c r="T535" s="251"/>
      <c r="U535" s="94"/>
      <c r="V535" s="94"/>
      <c r="W535" s="94"/>
      <c r="X535" s="94"/>
      <c r="Y535" s="94"/>
      <c r="Z535" s="94"/>
      <c r="AA535" s="94"/>
    </row>
    <row r="536" spans="1:27" ht="15.75" customHeight="1">
      <c r="A536" s="94"/>
      <c r="B536" s="248"/>
      <c r="C536" s="94"/>
      <c r="D536" s="94"/>
      <c r="E536" s="94"/>
      <c r="F536" s="249"/>
      <c r="G536" s="248"/>
      <c r="H536" s="94"/>
      <c r="I536" s="249"/>
      <c r="J536" s="94"/>
      <c r="K536" s="250"/>
      <c r="L536" s="250"/>
      <c r="M536" s="250"/>
      <c r="N536" s="250"/>
      <c r="O536" s="250"/>
      <c r="P536" s="250"/>
      <c r="Q536" s="249"/>
      <c r="R536" s="94"/>
      <c r="S536" s="94"/>
      <c r="T536" s="251"/>
      <c r="U536" s="94"/>
      <c r="V536" s="94"/>
      <c r="W536" s="94"/>
      <c r="X536" s="94"/>
      <c r="Y536" s="94"/>
      <c r="Z536" s="94"/>
      <c r="AA536" s="94"/>
    </row>
    <row r="537" spans="1:27" ht="15.75" customHeight="1">
      <c r="A537" s="94"/>
      <c r="B537" s="248"/>
      <c r="C537" s="94"/>
      <c r="D537" s="94"/>
      <c r="E537" s="94"/>
      <c r="F537" s="249"/>
      <c r="G537" s="248"/>
      <c r="H537" s="94"/>
      <c r="I537" s="249"/>
      <c r="J537" s="94"/>
      <c r="K537" s="250"/>
      <c r="L537" s="250"/>
      <c r="M537" s="250"/>
      <c r="N537" s="250"/>
      <c r="O537" s="250"/>
      <c r="P537" s="250"/>
      <c r="Q537" s="249"/>
      <c r="R537" s="94"/>
      <c r="S537" s="94"/>
      <c r="T537" s="251"/>
      <c r="U537" s="94"/>
      <c r="V537" s="94"/>
      <c r="W537" s="94"/>
      <c r="X537" s="94"/>
      <c r="Y537" s="94"/>
      <c r="Z537" s="94"/>
      <c r="AA537" s="94"/>
    </row>
    <row r="538" spans="1:27" ht="15.75" customHeight="1">
      <c r="A538" s="94"/>
      <c r="B538" s="248"/>
      <c r="C538" s="94"/>
      <c r="D538" s="94"/>
      <c r="E538" s="94"/>
      <c r="F538" s="249"/>
      <c r="G538" s="248"/>
      <c r="H538" s="94"/>
      <c r="I538" s="249"/>
      <c r="J538" s="94"/>
      <c r="K538" s="250"/>
      <c r="L538" s="250"/>
      <c r="M538" s="250"/>
      <c r="N538" s="250"/>
      <c r="O538" s="250"/>
      <c r="P538" s="250"/>
      <c r="Q538" s="249"/>
      <c r="R538" s="94"/>
      <c r="S538" s="94"/>
      <c r="T538" s="251"/>
      <c r="U538" s="94"/>
      <c r="V538" s="94"/>
      <c r="W538" s="94"/>
      <c r="X538" s="94"/>
      <c r="Y538" s="94"/>
      <c r="Z538" s="94"/>
      <c r="AA538" s="94"/>
    </row>
    <row r="539" spans="1:27" ht="15.75" customHeight="1">
      <c r="A539" s="94"/>
      <c r="B539" s="248"/>
      <c r="C539" s="94"/>
      <c r="D539" s="94"/>
      <c r="E539" s="94"/>
      <c r="F539" s="249"/>
      <c r="G539" s="248"/>
      <c r="H539" s="94"/>
      <c r="I539" s="249"/>
      <c r="J539" s="94"/>
      <c r="K539" s="250"/>
      <c r="L539" s="250"/>
      <c r="M539" s="250"/>
      <c r="N539" s="250"/>
      <c r="O539" s="250"/>
      <c r="P539" s="250"/>
      <c r="Q539" s="249"/>
      <c r="R539" s="94"/>
      <c r="S539" s="94"/>
      <c r="T539" s="251"/>
      <c r="U539" s="94"/>
      <c r="V539" s="94"/>
      <c r="W539" s="94"/>
      <c r="X539" s="94"/>
      <c r="Y539" s="94"/>
      <c r="Z539" s="94"/>
      <c r="AA539" s="94"/>
    </row>
    <row r="540" spans="1:27" ht="15.75" customHeight="1">
      <c r="A540" s="94"/>
      <c r="B540" s="248"/>
      <c r="C540" s="94"/>
      <c r="D540" s="94"/>
      <c r="E540" s="94"/>
      <c r="F540" s="249"/>
      <c r="G540" s="248"/>
      <c r="H540" s="94"/>
      <c r="I540" s="249"/>
      <c r="J540" s="94"/>
      <c r="K540" s="250"/>
      <c r="L540" s="250"/>
      <c r="M540" s="250"/>
      <c r="N540" s="250"/>
      <c r="O540" s="250"/>
      <c r="P540" s="250"/>
      <c r="Q540" s="249"/>
      <c r="R540" s="94"/>
      <c r="S540" s="94"/>
      <c r="T540" s="251"/>
      <c r="U540" s="94"/>
      <c r="V540" s="94"/>
      <c r="W540" s="94"/>
      <c r="X540" s="94"/>
      <c r="Y540" s="94"/>
      <c r="Z540" s="94"/>
      <c r="AA540" s="94"/>
    </row>
    <row r="541" spans="1:27" ht="15.75" customHeight="1">
      <c r="A541" s="94"/>
      <c r="B541" s="248"/>
      <c r="C541" s="94"/>
      <c r="D541" s="94"/>
      <c r="E541" s="94"/>
      <c r="F541" s="249"/>
      <c r="G541" s="248"/>
      <c r="H541" s="94"/>
      <c r="I541" s="249"/>
      <c r="J541" s="94"/>
      <c r="K541" s="250"/>
      <c r="L541" s="250"/>
      <c r="M541" s="250"/>
      <c r="N541" s="250"/>
      <c r="O541" s="250"/>
      <c r="P541" s="250"/>
      <c r="Q541" s="249"/>
      <c r="R541" s="94"/>
      <c r="S541" s="94"/>
      <c r="T541" s="251"/>
      <c r="U541" s="94"/>
      <c r="V541" s="94"/>
      <c r="W541" s="94"/>
      <c r="X541" s="94"/>
      <c r="Y541" s="94"/>
      <c r="Z541" s="94"/>
      <c r="AA541" s="94"/>
    </row>
    <row r="542" spans="1:27" ht="15.75" customHeight="1">
      <c r="A542" s="94"/>
      <c r="B542" s="248"/>
      <c r="C542" s="94"/>
      <c r="D542" s="94"/>
      <c r="E542" s="94"/>
      <c r="F542" s="249"/>
      <c r="G542" s="248"/>
      <c r="H542" s="94"/>
      <c r="I542" s="249"/>
      <c r="J542" s="94"/>
      <c r="K542" s="250"/>
      <c r="L542" s="250"/>
      <c r="M542" s="250"/>
      <c r="N542" s="250"/>
      <c r="O542" s="250"/>
      <c r="P542" s="250"/>
      <c r="Q542" s="249"/>
      <c r="R542" s="94"/>
      <c r="S542" s="94"/>
      <c r="T542" s="251"/>
      <c r="U542" s="94"/>
      <c r="V542" s="94"/>
      <c r="W542" s="94"/>
      <c r="X542" s="94"/>
      <c r="Y542" s="94"/>
      <c r="Z542" s="94"/>
      <c r="AA542" s="94"/>
    </row>
    <row r="543" spans="1:27" ht="15.75" customHeight="1">
      <c r="A543" s="94"/>
      <c r="B543" s="248"/>
      <c r="C543" s="94"/>
      <c r="D543" s="94"/>
      <c r="E543" s="94"/>
      <c r="F543" s="249"/>
      <c r="G543" s="248"/>
      <c r="H543" s="94"/>
      <c r="I543" s="249"/>
      <c r="J543" s="94"/>
      <c r="K543" s="250"/>
      <c r="L543" s="250"/>
      <c r="M543" s="250"/>
      <c r="N543" s="250"/>
      <c r="O543" s="250"/>
      <c r="P543" s="250"/>
      <c r="Q543" s="249"/>
      <c r="R543" s="94"/>
      <c r="S543" s="94"/>
      <c r="T543" s="251"/>
      <c r="U543" s="94"/>
      <c r="V543" s="94"/>
      <c r="W543" s="94"/>
      <c r="X543" s="94"/>
      <c r="Y543" s="94"/>
      <c r="Z543" s="94"/>
      <c r="AA543" s="94"/>
    </row>
    <row r="544" spans="1:27" ht="15.75" customHeight="1">
      <c r="A544" s="94"/>
      <c r="B544" s="248"/>
      <c r="C544" s="94"/>
      <c r="D544" s="94"/>
      <c r="E544" s="94"/>
      <c r="F544" s="249"/>
      <c r="G544" s="248"/>
      <c r="H544" s="94"/>
      <c r="I544" s="249"/>
      <c r="J544" s="94"/>
      <c r="K544" s="250"/>
      <c r="L544" s="250"/>
      <c r="M544" s="250"/>
      <c r="N544" s="250"/>
      <c r="O544" s="250"/>
      <c r="P544" s="250"/>
      <c r="Q544" s="249"/>
      <c r="R544" s="94"/>
      <c r="S544" s="94"/>
      <c r="T544" s="251"/>
      <c r="U544" s="94"/>
      <c r="V544" s="94"/>
      <c r="W544" s="94"/>
      <c r="X544" s="94"/>
      <c r="Y544" s="94"/>
      <c r="Z544" s="94"/>
      <c r="AA544" s="94"/>
    </row>
    <row r="545" spans="1:27" ht="15.75" customHeight="1">
      <c r="A545" s="94"/>
      <c r="B545" s="248"/>
      <c r="C545" s="94"/>
      <c r="D545" s="94"/>
      <c r="E545" s="94"/>
      <c r="F545" s="249"/>
      <c r="G545" s="248"/>
      <c r="H545" s="94"/>
      <c r="I545" s="249"/>
      <c r="J545" s="94"/>
      <c r="K545" s="250"/>
      <c r="L545" s="250"/>
      <c r="M545" s="250"/>
      <c r="N545" s="250"/>
      <c r="O545" s="250"/>
      <c r="P545" s="250"/>
      <c r="Q545" s="249"/>
      <c r="R545" s="94"/>
      <c r="S545" s="94"/>
      <c r="T545" s="251"/>
      <c r="U545" s="94"/>
      <c r="V545" s="94"/>
      <c r="W545" s="94"/>
      <c r="X545" s="94"/>
      <c r="Y545" s="94"/>
      <c r="Z545" s="94"/>
      <c r="AA545" s="94"/>
    </row>
    <row r="546" spans="1:27" ht="15.75" customHeight="1">
      <c r="A546" s="94"/>
      <c r="B546" s="248"/>
      <c r="C546" s="94"/>
      <c r="D546" s="94"/>
      <c r="E546" s="94"/>
      <c r="F546" s="249"/>
      <c r="G546" s="248"/>
      <c r="H546" s="94"/>
      <c r="I546" s="249"/>
      <c r="J546" s="94"/>
      <c r="K546" s="250"/>
      <c r="L546" s="250"/>
      <c r="M546" s="250"/>
      <c r="N546" s="250"/>
      <c r="O546" s="250"/>
      <c r="P546" s="250"/>
      <c r="Q546" s="249"/>
      <c r="R546" s="94"/>
      <c r="S546" s="94"/>
      <c r="T546" s="251"/>
      <c r="U546" s="94"/>
      <c r="V546" s="94"/>
      <c r="W546" s="94"/>
      <c r="X546" s="94"/>
      <c r="Y546" s="94"/>
      <c r="Z546" s="94"/>
      <c r="AA546" s="94"/>
    </row>
    <row r="547" spans="1:27" ht="15.75" customHeight="1">
      <c r="A547" s="94"/>
      <c r="B547" s="248"/>
      <c r="C547" s="94"/>
      <c r="D547" s="94"/>
      <c r="E547" s="94"/>
      <c r="F547" s="249"/>
      <c r="G547" s="248"/>
      <c r="H547" s="94"/>
      <c r="I547" s="249"/>
      <c r="J547" s="94"/>
      <c r="K547" s="250"/>
      <c r="L547" s="250"/>
      <c r="M547" s="250"/>
      <c r="N547" s="250"/>
      <c r="O547" s="250"/>
      <c r="P547" s="250"/>
      <c r="Q547" s="249"/>
      <c r="R547" s="94"/>
      <c r="S547" s="94"/>
      <c r="T547" s="251"/>
      <c r="U547" s="94"/>
      <c r="V547" s="94"/>
      <c r="W547" s="94"/>
      <c r="X547" s="94"/>
      <c r="Y547" s="94"/>
      <c r="Z547" s="94"/>
      <c r="AA547" s="94"/>
    </row>
    <row r="548" spans="1:27" ht="15.75" customHeight="1">
      <c r="A548" s="94"/>
      <c r="B548" s="248"/>
      <c r="C548" s="94"/>
      <c r="D548" s="94"/>
      <c r="E548" s="94"/>
      <c r="F548" s="249"/>
      <c r="G548" s="248"/>
      <c r="H548" s="94"/>
      <c r="I548" s="249"/>
      <c r="J548" s="94"/>
      <c r="K548" s="250"/>
      <c r="L548" s="250"/>
      <c r="M548" s="250"/>
      <c r="N548" s="250"/>
      <c r="O548" s="250"/>
      <c r="P548" s="250"/>
      <c r="Q548" s="249"/>
      <c r="R548" s="94"/>
      <c r="S548" s="94"/>
      <c r="T548" s="251"/>
      <c r="U548" s="94"/>
      <c r="V548" s="94"/>
      <c r="W548" s="94"/>
      <c r="X548" s="94"/>
      <c r="Y548" s="94"/>
      <c r="Z548" s="94"/>
      <c r="AA548" s="94"/>
    </row>
    <row r="549" spans="1:27" ht="15.75" customHeight="1">
      <c r="A549" s="94"/>
      <c r="B549" s="248"/>
      <c r="C549" s="94"/>
      <c r="D549" s="94"/>
      <c r="E549" s="94"/>
      <c r="F549" s="249"/>
      <c r="G549" s="248"/>
      <c r="H549" s="94"/>
      <c r="I549" s="249"/>
      <c r="J549" s="94"/>
      <c r="K549" s="250"/>
      <c r="L549" s="250"/>
      <c r="M549" s="250"/>
      <c r="N549" s="250"/>
      <c r="O549" s="250"/>
      <c r="P549" s="250"/>
      <c r="Q549" s="249"/>
      <c r="R549" s="94"/>
      <c r="S549" s="94"/>
      <c r="T549" s="251"/>
      <c r="U549" s="94"/>
      <c r="V549" s="94"/>
      <c r="W549" s="94"/>
      <c r="X549" s="94"/>
      <c r="Y549" s="94"/>
      <c r="Z549" s="94"/>
      <c r="AA549" s="94"/>
    </row>
    <row r="550" spans="1:27" ht="15.75" customHeight="1">
      <c r="A550" s="94"/>
      <c r="B550" s="248"/>
      <c r="C550" s="94"/>
      <c r="D550" s="94"/>
      <c r="E550" s="94"/>
      <c r="F550" s="249"/>
      <c r="G550" s="248"/>
      <c r="H550" s="94"/>
      <c r="I550" s="249"/>
      <c r="J550" s="94"/>
      <c r="K550" s="250"/>
      <c r="L550" s="250"/>
      <c r="M550" s="250"/>
      <c r="N550" s="250"/>
      <c r="O550" s="250"/>
      <c r="P550" s="250"/>
      <c r="Q550" s="249"/>
      <c r="R550" s="94"/>
      <c r="S550" s="94"/>
      <c r="T550" s="251"/>
      <c r="U550" s="94"/>
      <c r="V550" s="94"/>
      <c r="W550" s="94"/>
      <c r="X550" s="94"/>
      <c r="Y550" s="94"/>
      <c r="Z550" s="94"/>
      <c r="AA550" s="94"/>
    </row>
    <row r="551" spans="1:27" ht="15.75" customHeight="1">
      <c r="A551" s="94"/>
      <c r="B551" s="248"/>
      <c r="C551" s="94"/>
      <c r="D551" s="94"/>
      <c r="E551" s="94"/>
      <c r="F551" s="249"/>
      <c r="G551" s="248"/>
      <c r="H551" s="94"/>
      <c r="I551" s="249"/>
      <c r="J551" s="94"/>
      <c r="K551" s="250"/>
      <c r="L551" s="250"/>
      <c r="M551" s="250"/>
      <c r="N551" s="250"/>
      <c r="O551" s="250"/>
      <c r="P551" s="250"/>
      <c r="Q551" s="249"/>
      <c r="R551" s="94"/>
      <c r="S551" s="94"/>
      <c r="T551" s="251"/>
      <c r="U551" s="94"/>
      <c r="V551" s="94"/>
      <c r="W551" s="94"/>
      <c r="X551" s="94"/>
      <c r="Y551" s="94"/>
      <c r="Z551" s="94"/>
      <c r="AA551" s="94"/>
    </row>
    <row r="552" spans="1:27" ht="15.75" customHeight="1">
      <c r="A552" s="94"/>
      <c r="B552" s="248"/>
      <c r="C552" s="94"/>
      <c r="D552" s="94"/>
      <c r="E552" s="94"/>
      <c r="F552" s="249"/>
      <c r="G552" s="248"/>
      <c r="H552" s="94"/>
      <c r="I552" s="249"/>
      <c r="J552" s="94"/>
      <c r="K552" s="250"/>
      <c r="L552" s="250"/>
      <c r="M552" s="250"/>
      <c r="N552" s="250"/>
      <c r="O552" s="250"/>
      <c r="P552" s="250"/>
      <c r="Q552" s="249"/>
      <c r="R552" s="94"/>
      <c r="S552" s="94"/>
      <c r="T552" s="251"/>
      <c r="U552" s="94"/>
      <c r="V552" s="94"/>
      <c r="W552" s="94"/>
      <c r="X552" s="94"/>
      <c r="Y552" s="94"/>
      <c r="Z552" s="94"/>
      <c r="AA552" s="94"/>
    </row>
    <row r="553" spans="1:27" ht="15.75" customHeight="1">
      <c r="A553" s="94"/>
      <c r="B553" s="248"/>
      <c r="C553" s="94"/>
      <c r="D553" s="94"/>
      <c r="E553" s="94"/>
      <c r="F553" s="249"/>
      <c r="G553" s="248"/>
      <c r="H553" s="94"/>
      <c r="I553" s="249"/>
      <c r="J553" s="94"/>
      <c r="K553" s="250"/>
      <c r="L553" s="250"/>
      <c r="M553" s="250"/>
      <c r="N553" s="250"/>
      <c r="O553" s="250"/>
      <c r="P553" s="250"/>
      <c r="Q553" s="249"/>
      <c r="R553" s="94"/>
      <c r="S553" s="94"/>
      <c r="T553" s="251"/>
      <c r="U553" s="94"/>
      <c r="V553" s="94"/>
      <c r="W553" s="94"/>
      <c r="X553" s="94"/>
      <c r="Y553" s="94"/>
      <c r="Z553" s="94"/>
      <c r="AA553" s="94"/>
    </row>
    <row r="554" spans="1:27" ht="15.75" customHeight="1">
      <c r="A554" s="94"/>
      <c r="B554" s="248"/>
      <c r="C554" s="94"/>
      <c r="D554" s="94"/>
      <c r="E554" s="94"/>
      <c r="F554" s="249"/>
      <c r="G554" s="248"/>
      <c r="H554" s="94"/>
      <c r="I554" s="249"/>
      <c r="J554" s="94"/>
      <c r="K554" s="250"/>
      <c r="L554" s="250"/>
      <c r="M554" s="250"/>
      <c r="N554" s="250"/>
      <c r="O554" s="250"/>
      <c r="P554" s="250"/>
      <c r="Q554" s="249"/>
      <c r="R554" s="94"/>
      <c r="S554" s="94"/>
      <c r="T554" s="251"/>
      <c r="U554" s="94"/>
      <c r="V554" s="94"/>
      <c r="W554" s="94"/>
      <c r="X554" s="94"/>
      <c r="Y554" s="94"/>
      <c r="Z554" s="94"/>
      <c r="AA554" s="94"/>
    </row>
    <row r="555" spans="1:27" ht="15.75" customHeight="1">
      <c r="A555" s="94"/>
      <c r="B555" s="248"/>
      <c r="C555" s="94"/>
      <c r="D555" s="94"/>
      <c r="E555" s="94"/>
      <c r="F555" s="249"/>
      <c r="G555" s="248"/>
      <c r="H555" s="94"/>
      <c r="I555" s="249"/>
      <c r="J555" s="94"/>
      <c r="K555" s="250"/>
      <c r="L555" s="250"/>
      <c r="M555" s="250"/>
      <c r="N555" s="250"/>
      <c r="O555" s="250"/>
      <c r="P555" s="250"/>
      <c r="Q555" s="249"/>
      <c r="R555" s="94"/>
      <c r="S555" s="94"/>
      <c r="T555" s="251"/>
      <c r="U555" s="94"/>
      <c r="V555" s="94"/>
      <c r="W555" s="94"/>
      <c r="X555" s="94"/>
      <c r="Y555" s="94"/>
      <c r="Z555" s="94"/>
      <c r="AA555" s="94"/>
    </row>
    <row r="556" spans="1:27" ht="15.75" customHeight="1">
      <c r="A556" s="94"/>
      <c r="B556" s="248"/>
      <c r="C556" s="94"/>
      <c r="D556" s="94"/>
      <c r="E556" s="94"/>
      <c r="F556" s="249"/>
      <c r="G556" s="248"/>
      <c r="H556" s="94"/>
      <c r="I556" s="249"/>
      <c r="J556" s="94"/>
      <c r="K556" s="250"/>
      <c r="L556" s="250"/>
      <c r="M556" s="250"/>
      <c r="N556" s="250"/>
      <c r="O556" s="250"/>
      <c r="P556" s="250"/>
      <c r="Q556" s="249"/>
      <c r="R556" s="94"/>
      <c r="S556" s="94"/>
      <c r="T556" s="251"/>
      <c r="U556" s="94"/>
      <c r="V556" s="94"/>
      <c r="W556" s="94"/>
      <c r="X556" s="94"/>
      <c r="Y556" s="94"/>
      <c r="Z556" s="94"/>
      <c r="AA556" s="94"/>
    </row>
    <row r="557" spans="1:27" ht="15.75" customHeight="1">
      <c r="A557" s="94"/>
      <c r="B557" s="248"/>
      <c r="C557" s="94"/>
      <c r="D557" s="94"/>
      <c r="E557" s="94"/>
      <c r="F557" s="249"/>
      <c r="G557" s="248"/>
      <c r="H557" s="94"/>
      <c r="I557" s="249"/>
      <c r="J557" s="94"/>
      <c r="K557" s="250"/>
      <c r="L557" s="250"/>
      <c r="M557" s="250"/>
      <c r="N557" s="250"/>
      <c r="O557" s="250"/>
      <c r="P557" s="250"/>
      <c r="Q557" s="249"/>
      <c r="R557" s="94"/>
      <c r="S557" s="94"/>
      <c r="T557" s="251"/>
      <c r="U557" s="94"/>
      <c r="V557" s="94"/>
      <c r="W557" s="94"/>
      <c r="X557" s="94"/>
      <c r="Y557" s="94"/>
      <c r="Z557" s="94"/>
      <c r="AA557" s="94"/>
    </row>
    <row r="558" spans="1:27" ht="15.75" customHeight="1">
      <c r="A558" s="94"/>
      <c r="B558" s="248"/>
      <c r="C558" s="94"/>
      <c r="D558" s="94"/>
      <c r="E558" s="94"/>
      <c r="F558" s="249"/>
      <c r="G558" s="248"/>
      <c r="H558" s="94"/>
      <c r="I558" s="249"/>
      <c r="J558" s="94"/>
      <c r="K558" s="250"/>
      <c r="L558" s="250"/>
      <c r="M558" s="250"/>
      <c r="N558" s="250"/>
      <c r="O558" s="250"/>
      <c r="P558" s="250"/>
      <c r="Q558" s="249"/>
      <c r="R558" s="94"/>
      <c r="S558" s="94"/>
      <c r="T558" s="251"/>
      <c r="U558" s="94"/>
      <c r="V558" s="94"/>
      <c r="W558" s="94"/>
      <c r="X558" s="94"/>
      <c r="Y558" s="94"/>
      <c r="Z558" s="94"/>
      <c r="AA558" s="94"/>
    </row>
    <row r="559" spans="1:27" ht="15.75" customHeight="1">
      <c r="A559" s="94"/>
      <c r="B559" s="248"/>
      <c r="C559" s="94"/>
      <c r="D559" s="94"/>
      <c r="E559" s="94"/>
      <c r="F559" s="249"/>
      <c r="G559" s="248"/>
      <c r="H559" s="94"/>
      <c r="I559" s="249"/>
      <c r="J559" s="94"/>
      <c r="K559" s="250"/>
      <c r="L559" s="250"/>
      <c r="M559" s="250"/>
      <c r="N559" s="250"/>
      <c r="O559" s="250"/>
      <c r="P559" s="250"/>
      <c r="Q559" s="249"/>
      <c r="R559" s="94"/>
      <c r="S559" s="94"/>
      <c r="T559" s="251"/>
      <c r="U559" s="94"/>
      <c r="V559" s="94"/>
      <c r="W559" s="94"/>
      <c r="X559" s="94"/>
      <c r="Y559" s="94"/>
      <c r="Z559" s="94"/>
      <c r="AA559" s="94"/>
    </row>
    <row r="560" spans="1:27" ht="15.75" customHeight="1">
      <c r="A560" s="94"/>
      <c r="B560" s="248"/>
      <c r="C560" s="94"/>
      <c r="D560" s="94"/>
      <c r="E560" s="94"/>
      <c r="F560" s="249"/>
      <c r="G560" s="248"/>
      <c r="H560" s="94"/>
      <c r="I560" s="249"/>
      <c r="J560" s="94"/>
      <c r="K560" s="250"/>
      <c r="L560" s="250"/>
      <c r="M560" s="250"/>
      <c r="N560" s="250"/>
      <c r="O560" s="250"/>
      <c r="P560" s="250"/>
      <c r="Q560" s="249"/>
      <c r="R560" s="94"/>
      <c r="S560" s="94"/>
      <c r="T560" s="251"/>
      <c r="U560" s="94"/>
      <c r="V560" s="94"/>
      <c r="W560" s="94"/>
      <c r="X560" s="94"/>
      <c r="Y560" s="94"/>
      <c r="Z560" s="94"/>
      <c r="AA560" s="94"/>
    </row>
    <row r="561" spans="1:27" ht="15.75" customHeight="1">
      <c r="A561" s="94"/>
      <c r="B561" s="248"/>
      <c r="C561" s="94"/>
      <c r="D561" s="94"/>
      <c r="E561" s="94"/>
      <c r="F561" s="249"/>
      <c r="G561" s="248"/>
      <c r="H561" s="94"/>
      <c r="I561" s="249"/>
      <c r="J561" s="94"/>
      <c r="K561" s="250"/>
      <c r="L561" s="250"/>
      <c r="M561" s="250"/>
      <c r="N561" s="250"/>
      <c r="O561" s="250"/>
      <c r="P561" s="250"/>
      <c r="Q561" s="249"/>
      <c r="R561" s="94"/>
      <c r="S561" s="94"/>
      <c r="T561" s="251"/>
      <c r="U561" s="94"/>
      <c r="V561" s="94"/>
      <c r="W561" s="94"/>
      <c r="X561" s="94"/>
      <c r="Y561" s="94"/>
      <c r="Z561" s="94"/>
      <c r="AA561" s="94"/>
    </row>
    <row r="562" spans="1:27" ht="15.75" customHeight="1">
      <c r="A562" s="94"/>
      <c r="B562" s="248"/>
      <c r="C562" s="94"/>
      <c r="D562" s="94"/>
      <c r="E562" s="94"/>
      <c r="F562" s="249"/>
      <c r="G562" s="248"/>
      <c r="H562" s="94"/>
      <c r="I562" s="249"/>
      <c r="J562" s="94"/>
      <c r="K562" s="250"/>
      <c r="L562" s="250"/>
      <c r="M562" s="250"/>
      <c r="N562" s="250"/>
      <c r="O562" s="250"/>
      <c r="P562" s="250"/>
      <c r="Q562" s="249"/>
      <c r="R562" s="94"/>
      <c r="S562" s="94"/>
      <c r="T562" s="251"/>
      <c r="U562" s="94"/>
      <c r="V562" s="94"/>
      <c r="W562" s="94"/>
      <c r="X562" s="94"/>
      <c r="Y562" s="94"/>
      <c r="Z562" s="94"/>
      <c r="AA562" s="94"/>
    </row>
    <row r="563" spans="1:27" ht="15.75" customHeight="1">
      <c r="A563" s="94"/>
      <c r="B563" s="248"/>
      <c r="C563" s="94"/>
      <c r="D563" s="94"/>
      <c r="E563" s="94"/>
      <c r="F563" s="249"/>
      <c r="G563" s="248"/>
      <c r="H563" s="94"/>
      <c r="I563" s="249"/>
      <c r="J563" s="94"/>
      <c r="K563" s="250"/>
      <c r="L563" s="250"/>
      <c r="M563" s="250"/>
      <c r="N563" s="250"/>
      <c r="O563" s="250"/>
      <c r="P563" s="250"/>
      <c r="Q563" s="249"/>
      <c r="R563" s="94"/>
      <c r="S563" s="94"/>
      <c r="T563" s="251"/>
      <c r="U563" s="94"/>
      <c r="V563" s="94"/>
      <c r="W563" s="94"/>
      <c r="X563" s="94"/>
      <c r="Y563" s="94"/>
      <c r="Z563" s="94"/>
      <c r="AA563" s="94"/>
    </row>
    <row r="564" spans="1:27" ht="15.75" customHeight="1">
      <c r="A564" s="94"/>
      <c r="B564" s="248"/>
      <c r="C564" s="94"/>
      <c r="D564" s="94"/>
      <c r="E564" s="94"/>
      <c r="F564" s="249"/>
      <c r="G564" s="248"/>
      <c r="H564" s="94"/>
      <c r="I564" s="249"/>
      <c r="J564" s="94"/>
      <c r="K564" s="250"/>
      <c r="L564" s="250"/>
      <c r="M564" s="250"/>
      <c r="N564" s="250"/>
      <c r="O564" s="250"/>
      <c r="P564" s="250"/>
      <c r="Q564" s="249"/>
      <c r="R564" s="94"/>
      <c r="S564" s="94"/>
      <c r="T564" s="251"/>
      <c r="U564" s="94"/>
      <c r="V564" s="94"/>
      <c r="W564" s="94"/>
      <c r="X564" s="94"/>
      <c r="Y564" s="94"/>
      <c r="Z564" s="94"/>
      <c r="AA564" s="94"/>
    </row>
    <row r="565" spans="1:27" ht="15.75" customHeight="1">
      <c r="A565" s="94"/>
      <c r="B565" s="248"/>
      <c r="C565" s="94"/>
      <c r="D565" s="94"/>
      <c r="E565" s="94"/>
      <c r="F565" s="249"/>
      <c r="G565" s="248"/>
      <c r="H565" s="94"/>
      <c r="I565" s="249"/>
      <c r="J565" s="94"/>
      <c r="K565" s="250"/>
      <c r="L565" s="250"/>
      <c r="M565" s="250"/>
      <c r="N565" s="250"/>
      <c r="O565" s="250"/>
      <c r="P565" s="250"/>
      <c r="Q565" s="249"/>
      <c r="R565" s="94"/>
      <c r="S565" s="94"/>
      <c r="T565" s="251"/>
      <c r="U565" s="94"/>
      <c r="V565" s="94"/>
      <c r="W565" s="94"/>
      <c r="X565" s="94"/>
      <c r="Y565" s="94"/>
      <c r="Z565" s="94"/>
      <c r="AA565" s="94"/>
    </row>
    <row r="566" spans="1:27" ht="15.75" customHeight="1">
      <c r="A566" s="94"/>
      <c r="B566" s="248"/>
      <c r="C566" s="94"/>
      <c r="D566" s="94"/>
      <c r="E566" s="94"/>
      <c r="F566" s="249"/>
      <c r="G566" s="248"/>
      <c r="H566" s="94"/>
      <c r="I566" s="249"/>
      <c r="J566" s="94"/>
      <c r="K566" s="250"/>
      <c r="L566" s="250"/>
      <c r="M566" s="250"/>
      <c r="N566" s="250"/>
      <c r="O566" s="250"/>
      <c r="P566" s="250"/>
      <c r="Q566" s="249"/>
      <c r="R566" s="94"/>
      <c r="S566" s="94"/>
      <c r="T566" s="251"/>
      <c r="U566" s="94"/>
      <c r="V566" s="94"/>
      <c r="W566" s="94"/>
      <c r="X566" s="94"/>
      <c r="Y566" s="94"/>
      <c r="Z566" s="94"/>
      <c r="AA566" s="94"/>
    </row>
    <row r="567" spans="1:27" ht="15.75" customHeight="1">
      <c r="A567" s="94"/>
      <c r="B567" s="248"/>
      <c r="C567" s="94"/>
      <c r="D567" s="94"/>
      <c r="E567" s="94"/>
      <c r="F567" s="249"/>
      <c r="G567" s="248"/>
      <c r="H567" s="94"/>
      <c r="I567" s="249"/>
      <c r="J567" s="94"/>
      <c r="K567" s="250"/>
      <c r="L567" s="250"/>
      <c r="M567" s="250"/>
      <c r="N567" s="250"/>
      <c r="O567" s="250"/>
      <c r="P567" s="250"/>
      <c r="Q567" s="249"/>
      <c r="R567" s="94"/>
      <c r="S567" s="94"/>
      <c r="T567" s="251"/>
      <c r="U567" s="94"/>
      <c r="V567" s="94"/>
      <c r="W567" s="94"/>
      <c r="X567" s="94"/>
      <c r="Y567" s="94"/>
      <c r="Z567" s="94"/>
      <c r="AA567" s="94"/>
    </row>
    <row r="568" spans="1:27" ht="15.75" customHeight="1">
      <c r="A568" s="94"/>
      <c r="B568" s="248"/>
      <c r="C568" s="94"/>
      <c r="D568" s="94"/>
      <c r="E568" s="94"/>
      <c r="F568" s="249"/>
      <c r="G568" s="248"/>
      <c r="H568" s="94"/>
      <c r="I568" s="249"/>
      <c r="J568" s="94"/>
      <c r="K568" s="250"/>
      <c r="L568" s="250"/>
      <c r="M568" s="250"/>
      <c r="N568" s="250"/>
      <c r="O568" s="250"/>
      <c r="P568" s="250"/>
      <c r="Q568" s="249"/>
      <c r="R568" s="94"/>
      <c r="S568" s="94"/>
      <c r="T568" s="251"/>
      <c r="U568" s="94"/>
      <c r="V568" s="94"/>
      <c r="W568" s="94"/>
      <c r="X568" s="94"/>
      <c r="Y568" s="94"/>
      <c r="Z568" s="94"/>
      <c r="AA568" s="94"/>
    </row>
    <row r="569" spans="1:27" ht="15.75" customHeight="1">
      <c r="A569" s="94"/>
      <c r="B569" s="248"/>
      <c r="C569" s="94"/>
      <c r="D569" s="94"/>
      <c r="E569" s="94"/>
      <c r="F569" s="249"/>
      <c r="G569" s="248"/>
      <c r="H569" s="94"/>
      <c r="I569" s="249"/>
      <c r="J569" s="94"/>
      <c r="K569" s="250"/>
      <c r="L569" s="250"/>
      <c r="M569" s="250"/>
      <c r="N569" s="250"/>
      <c r="O569" s="250"/>
      <c r="P569" s="250"/>
      <c r="Q569" s="249"/>
      <c r="R569" s="94"/>
      <c r="S569" s="94"/>
      <c r="T569" s="251"/>
      <c r="U569" s="94"/>
      <c r="V569" s="94"/>
      <c r="W569" s="94"/>
      <c r="X569" s="94"/>
      <c r="Y569" s="94"/>
      <c r="Z569" s="94"/>
      <c r="AA569" s="94"/>
    </row>
    <row r="570" spans="1:27" ht="15.75" customHeight="1">
      <c r="A570" s="94"/>
      <c r="B570" s="248"/>
      <c r="C570" s="94"/>
      <c r="D570" s="94"/>
      <c r="E570" s="94"/>
      <c r="F570" s="249"/>
      <c r="G570" s="248"/>
      <c r="H570" s="94"/>
      <c r="I570" s="249"/>
      <c r="J570" s="94"/>
      <c r="K570" s="250"/>
      <c r="L570" s="250"/>
      <c r="M570" s="250"/>
      <c r="N570" s="250"/>
      <c r="O570" s="250"/>
      <c r="P570" s="250"/>
      <c r="Q570" s="249"/>
      <c r="R570" s="94"/>
      <c r="S570" s="94"/>
      <c r="T570" s="251"/>
      <c r="U570" s="94"/>
      <c r="V570" s="94"/>
      <c r="W570" s="94"/>
      <c r="X570" s="94"/>
      <c r="Y570" s="94"/>
      <c r="Z570" s="94"/>
      <c r="AA570" s="94"/>
    </row>
    <row r="571" spans="1:27" ht="15.75" customHeight="1">
      <c r="A571" s="94"/>
      <c r="B571" s="248"/>
      <c r="C571" s="94"/>
      <c r="D571" s="94"/>
      <c r="E571" s="94"/>
      <c r="F571" s="249"/>
      <c r="G571" s="248"/>
      <c r="H571" s="94"/>
      <c r="I571" s="249"/>
      <c r="J571" s="94"/>
      <c r="K571" s="250"/>
      <c r="L571" s="250"/>
      <c r="M571" s="250"/>
      <c r="N571" s="250"/>
      <c r="O571" s="250"/>
      <c r="P571" s="250"/>
      <c r="Q571" s="249"/>
      <c r="R571" s="94"/>
      <c r="S571" s="94"/>
      <c r="T571" s="251"/>
      <c r="U571" s="94"/>
      <c r="V571" s="94"/>
      <c r="W571" s="94"/>
      <c r="X571" s="94"/>
      <c r="Y571" s="94"/>
      <c r="Z571" s="94"/>
      <c r="AA571" s="94"/>
    </row>
    <row r="572" spans="1:27" ht="15.75" customHeight="1">
      <c r="A572" s="94"/>
      <c r="B572" s="248"/>
      <c r="C572" s="94"/>
      <c r="D572" s="94"/>
      <c r="E572" s="94"/>
      <c r="F572" s="249"/>
      <c r="G572" s="248"/>
      <c r="H572" s="94"/>
      <c r="I572" s="249"/>
      <c r="J572" s="94"/>
      <c r="K572" s="250"/>
      <c r="L572" s="250"/>
      <c r="M572" s="250"/>
      <c r="N572" s="250"/>
      <c r="O572" s="250"/>
      <c r="P572" s="250"/>
      <c r="Q572" s="249"/>
      <c r="R572" s="94"/>
      <c r="S572" s="94"/>
      <c r="T572" s="251"/>
      <c r="U572" s="94"/>
      <c r="V572" s="94"/>
      <c r="W572" s="94"/>
      <c r="X572" s="94"/>
      <c r="Y572" s="94"/>
      <c r="Z572" s="94"/>
      <c r="AA572" s="94"/>
    </row>
    <row r="573" spans="1:27" ht="15.75" customHeight="1">
      <c r="A573" s="94"/>
      <c r="B573" s="248"/>
      <c r="C573" s="94"/>
      <c r="D573" s="94"/>
      <c r="E573" s="94"/>
      <c r="F573" s="249"/>
      <c r="G573" s="248"/>
      <c r="H573" s="94"/>
      <c r="I573" s="249"/>
      <c r="J573" s="94"/>
      <c r="K573" s="250"/>
      <c r="L573" s="250"/>
      <c r="M573" s="250"/>
      <c r="N573" s="250"/>
      <c r="O573" s="250"/>
      <c r="P573" s="250"/>
      <c r="Q573" s="249"/>
      <c r="R573" s="94"/>
      <c r="S573" s="94"/>
      <c r="T573" s="251"/>
      <c r="U573" s="94"/>
      <c r="V573" s="94"/>
      <c r="W573" s="94"/>
      <c r="X573" s="94"/>
      <c r="Y573" s="94"/>
      <c r="Z573" s="94"/>
      <c r="AA573" s="94"/>
    </row>
    <row r="574" spans="1:27" ht="15.75" customHeight="1">
      <c r="A574" s="94"/>
      <c r="B574" s="248"/>
      <c r="C574" s="94"/>
      <c r="D574" s="94"/>
      <c r="E574" s="94"/>
      <c r="F574" s="249"/>
      <c r="G574" s="248"/>
      <c r="H574" s="94"/>
      <c r="I574" s="249"/>
      <c r="J574" s="94"/>
      <c r="K574" s="250"/>
      <c r="L574" s="250"/>
      <c r="M574" s="250"/>
      <c r="N574" s="250"/>
      <c r="O574" s="250"/>
      <c r="P574" s="250"/>
      <c r="Q574" s="249"/>
      <c r="R574" s="94"/>
      <c r="S574" s="94"/>
      <c r="T574" s="251"/>
      <c r="U574" s="94"/>
      <c r="V574" s="94"/>
      <c r="W574" s="94"/>
      <c r="X574" s="94"/>
      <c r="Y574" s="94"/>
      <c r="Z574" s="94"/>
      <c r="AA574" s="94"/>
    </row>
    <row r="575" spans="1:27" ht="15.75" customHeight="1">
      <c r="A575" s="94"/>
      <c r="B575" s="248"/>
      <c r="C575" s="94"/>
      <c r="D575" s="94"/>
      <c r="E575" s="94"/>
      <c r="F575" s="249"/>
      <c r="G575" s="248"/>
      <c r="H575" s="94"/>
      <c r="I575" s="249"/>
      <c r="J575" s="94"/>
      <c r="K575" s="250"/>
      <c r="L575" s="250"/>
      <c r="M575" s="250"/>
      <c r="N575" s="250"/>
      <c r="O575" s="250"/>
      <c r="P575" s="250"/>
      <c r="Q575" s="249"/>
      <c r="R575" s="94"/>
      <c r="S575" s="94"/>
      <c r="T575" s="251"/>
      <c r="U575" s="94"/>
      <c r="V575" s="94"/>
      <c r="W575" s="94"/>
      <c r="X575" s="94"/>
      <c r="Y575" s="94"/>
      <c r="Z575" s="94"/>
      <c r="AA575" s="94"/>
    </row>
    <row r="576" spans="1:27" ht="15.75" customHeight="1">
      <c r="A576" s="94"/>
      <c r="B576" s="248"/>
      <c r="C576" s="94"/>
      <c r="D576" s="94"/>
      <c r="E576" s="94"/>
      <c r="F576" s="249"/>
      <c r="G576" s="248"/>
      <c r="H576" s="94"/>
      <c r="I576" s="249"/>
      <c r="J576" s="94"/>
      <c r="K576" s="250"/>
      <c r="L576" s="250"/>
      <c r="M576" s="250"/>
      <c r="N576" s="250"/>
      <c r="O576" s="250"/>
      <c r="P576" s="250"/>
      <c r="Q576" s="249"/>
      <c r="R576" s="94"/>
      <c r="S576" s="94"/>
      <c r="T576" s="251"/>
      <c r="U576" s="94"/>
      <c r="V576" s="94"/>
      <c r="W576" s="94"/>
      <c r="X576" s="94"/>
      <c r="Y576" s="94"/>
      <c r="Z576" s="94"/>
      <c r="AA576" s="94"/>
    </row>
    <row r="577" spans="1:27" ht="15.75" customHeight="1">
      <c r="A577" s="94"/>
      <c r="B577" s="248"/>
      <c r="C577" s="94"/>
      <c r="D577" s="94"/>
      <c r="E577" s="94"/>
      <c r="F577" s="249"/>
      <c r="G577" s="248"/>
      <c r="H577" s="94"/>
      <c r="I577" s="249"/>
      <c r="J577" s="94"/>
      <c r="K577" s="250"/>
      <c r="L577" s="250"/>
      <c r="M577" s="250"/>
      <c r="N577" s="250"/>
      <c r="O577" s="250"/>
      <c r="P577" s="250"/>
      <c r="Q577" s="249"/>
      <c r="R577" s="94"/>
      <c r="S577" s="94"/>
      <c r="T577" s="251"/>
      <c r="U577" s="94"/>
      <c r="V577" s="94"/>
      <c r="W577" s="94"/>
      <c r="X577" s="94"/>
      <c r="Y577" s="94"/>
      <c r="Z577" s="94"/>
      <c r="AA577" s="94"/>
    </row>
    <row r="578" spans="1:27" ht="15.75" customHeight="1">
      <c r="A578" s="94"/>
      <c r="B578" s="248"/>
      <c r="C578" s="94"/>
      <c r="D578" s="94"/>
      <c r="E578" s="94"/>
      <c r="F578" s="249"/>
      <c r="G578" s="248"/>
      <c r="H578" s="94"/>
      <c r="I578" s="249"/>
      <c r="J578" s="94"/>
      <c r="K578" s="250"/>
      <c r="L578" s="250"/>
      <c r="M578" s="250"/>
      <c r="N578" s="250"/>
      <c r="O578" s="250"/>
      <c r="P578" s="250"/>
      <c r="Q578" s="249"/>
      <c r="R578" s="94"/>
      <c r="S578" s="94"/>
      <c r="T578" s="251"/>
      <c r="U578" s="94"/>
      <c r="V578" s="94"/>
      <c r="W578" s="94"/>
      <c r="X578" s="94"/>
      <c r="Y578" s="94"/>
      <c r="Z578" s="94"/>
      <c r="AA578" s="94"/>
    </row>
    <row r="579" spans="1:27" ht="15.75" customHeight="1">
      <c r="A579" s="94"/>
      <c r="B579" s="248"/>
      <c r="C579" s="94"/>
      <c r="D579" s="94"/>
      <c r="E579" s="94"/>
      <c r="F579" s="249"/>
      <c r="G579" s="248"/>
      <c r="H579" s="94"/>
      <c r="I579" s="249"/>
      <c r="J579" s="94"/>
      <c r="K579" s="250"/>
      <c r="L579" s="250"/>
      <c r="M579" s="250"/>
      <c r="N579" s="250"/>
      <c r="O579" s="250"/>
      <c r="P579" s="250"/>
      <c r="Q579" s="249"/>
      <c r="R579" s="94"/>
      <c r="S579" s="94"/>
      <c r="T579" s="251"/>
      <c r="U579" s="94"/>
      <c r="V579" s="94"/>
      <c r="W579" s="94"/>
      <c r="X579" s="94"/>
      <c r="Y579" s="94"/>
      <c r="Z579" s="94"/>
      <c r="AA579" s="94"/>
    </row>
    <row r="580" spans="1:27" ht="15.75" customHeight="1">
      <c r="A580" s="94"/>
      <c r="B580" s="248"/>
      <c r="C580" s="94"/>
      <c r="D580" s="94"/>
      <c r="E580" s="94"/>
      <c r="F580" s="249"/>
      <c r="G580" s="248"/>
      <c r="H580" s="94"/>
      <c r="I580" s="249"/>
      <c r="J580" s="94"/>
      <c r="K580" s="250"/>
      <c r="L580" s="250"/>
      <c r="M580" s="250"/>
      <c r="N580" s="250"/>
      <c r="O580" s="250"/>
      <c r="P580" s="250"/>
      <c r="Q580" s="249"/>
      <c r="R580" s="94"/>
      <c r="S580" s="94"/>
      <c r="T580" s="251"/>
      <c r="U580" s="94"/>
      <c r="V580" s="94"/>
      <c r="W580" s="94"/>
      <c r="X580" s="94"/>
      <c r="Y580" s="94"/>
      <c r="Z580" s="94"/>
      <c r="AA580" s="94"/>
    </row>
    <row r="581" spans="1:27" ht="15.75" customHeight="1">
      <c r="A581" s="94"/>
      <c r="B581" s="248"/>
      <c r="C581" s="94"/>
      <c r="D581" s="94"/>
      <c r="E581" s="94"/>
      <c r="F581" s="249"/>
      <c r="G581" s="248"/>
      <c r="H581" s="94"/>
      <c r="I581" s="249"/>
      <c r="J581" s="94"/>
      <c r="K581" s="250"/>
      <c r="L581" s="250"/>
      <c r="M581" s="250"/>
      <c r="N581" s="250"/>
      <c r="O581" s="250"/>
      <c r="P581" s="250"/>
      <c r="Q581" s="249"/>
      <c r="R581" s="94"/>
      <c r="S581" s="94"/>
      <c r="T581" s="251"/>
      <c r="U581" s="94"/>
      <c r="V581" s="94"/>
      <c r="W581" s="94"/>
      <c r="X581" s="94"/>
      <c r="Y581" s="94"/>
      <c r="Z581" s="94"/>
      <c r="AA581" s="94"/>
    </row>
    <row r="582" spans="1:27" ht="15.75" customHeight="1">
      <c r="A582" s="94"/>
      <c r="B582" s="248"/>
      <c r="C582" s="94"/>
      <c r="D582" s="94"/>
      <c r="E582" s="94"/>
      <c r="F582" s="249"/>
      <c r="G582" s="248"/>
      <c r="H582" s="94"/>
      <c r="I582" s="249"/>
      <c r="J582" s="94"/>
      <c r="K582" s="250"/>
      <c r="L582" s="250"/>
      <c r="M582" s="250"/>
      <c r="N582" s="250"/>
      <c r="O582" s="250"/>
      <c r="P582" s="250"/>
      <c r="Q582" s="249"/>
      <c r="R582" s="94"/>
      <c r="S582" s="94"/>
      <c r="T582" s="251"/>
      <c r="U582" s="94"/>
      <c r="V582" s="94"/>
      <c r="W582" s="94"/>
      <c r="X582" s="94"/>
      <c r="Y582" s="94"/>
      <c r="Z582" s="94"/>
      <c r="AA582" s="94"/>
    </row>
    <row r="583" spans="1:27" ht="15.75" customHeight="1">
      <c r="A583" s="94"/>
      <c r="B583" s="248"/>
      <c r="C583" s="94"/>
      <c r="D583" s="94"/>
      <c r="E583" s="94"/>
      <c r="F583" s="249"/>
      <c r="G583" s="248"/>
      <c r="H583" s="94"/>
      <c r="I583" s="249"/>
      <c r="J583" s="94"/>
      <c r="K583" s="250"/>
      <c r="L583" s="250"/>
      <c r="M583" s="250"/>
      <c r="N583" s="250"/>
      <c r="O583" s="250"/>
      <c r="P583" s="250"/>
      <c r="Q583" s="249"/>
      <c r="R583" s="94"/>
      <c r="S583" s="94"/>
      <c r="T583" s="251"/>
      <c r="U583" s="94"/>
      <c r="V583" s="94"/>
      <c r="W583" s="94"/>
      <c r="X583" s="94"/>
      <c r="Y583" s="94"/>
      <c r="Z583" s="94"/>
      <c r="AA583" s="94"/>
    </row>
    <row r="584" spans="1:27" ht="15.75" customHeight="1">
      <c r="A584" s="94"/>
      <c r="B584" s="248"/>
      <c r="C584" s="94"/>
      <c r="D584" s="94"/>
      <c r="E584" s="94"/>
      <c r="F584" s="249"/>
      <c r="G584" s="248"/>
      <c r="H584" s="94"/>
      <c r="I584" s="249"/>
      <c r="J584" s="94"/>
      <c r="K584" s="250"/>
      <c r="L584" s="250"/>
      <c r="M584" s="250"/>
      <c r="N584" s="250"/>
      <c r="O584" s="250"/>
      <c r="P584" s="250"/>
      <c r="Q584" s="249"/>
      <c r="R584" s="94"/>
      <c r="S584" s="94"/>
      <c r="T584" s="251"/>
      <c r="U584" s="94"/>
      <c r="V584" s="94"/>
      <c r="W584" s="94"/>
      <c r="X584" s="94"/>
      <c r="Y584" s="94"/>
      <c r="Z584" s="94"/>
      <c r="AA584" s="94"/>
    </row>
    <row r="585" spans="1:27" ht="15.75" customHeight="1">
      <c r="A585" s="94"/>
      <c r="B585" s="248"/>
      <c r="C585" s="94"/>
      <c r="D585" s="94"/>
      <c r="E585" s="94"/>
      <c r="F585" s="249"/>
      <c r="G585" s="248"/>
      <c r="H585" s="94"/>
      <c r="I585" s="249"/>
      <c r="J585" s="94"/>
      <c r="K585" s="250"/>
      <c r="L585" s="250"/>
      <c r="M585" s="250"/>
      <c r="N585" s="250"/>
      <c r="O585" s="250"/>
      <c r="P585" s="250"/>
      <c r="Q585" s="249"/>
      <c r="R585" s="94"/>
      <c r="S585" s="94"/>
      <c r="T585" s="251"/>
      <c r="U585" s="94"/>
      <c r="V585" s="94"/>
      <c r="W585" s="94"/>
      <c r="X585" s="94"/>
      <c r="Y585" s="94"/>
      <c r="Z585" s="94"/>
      <c r="AA585" s="94"/>
    </row>
    <row r="586" spans="1:27" ht="15.75" customHeight="1">
      <c r="A586" s="94"/>
      <c r="B586" s="248"/>
      <c r="C586" s="94"/>
      <c r="D586" s="94"/>
      <c r="E586" s="94"/>
      <c r="F586" s="249"/>
      <c r="G586" s="248"/>
      <c r="H586" s="94"/>
      <c r="I586" s="249"/>
      <c r="J586" s="94"/>
      <c r="K586" s="250"/>
      <c r="L586" s="250"/>
      <c r="M586" s="250"/>
      <c r="N586" s="250"/>
      <c r="O586" s="250"/>
      <c r="P586" s="250"/>
      <c r="Q586" s="249"/>
      <c r="R586" s="94"/>
      <c r="S586" s="94"/>
      <c r="T586" s="251"/>
      <c r="U586" s="94"/>
      <c r="V586" s="94"/>
      <c r="W586" s="94"/>
      <c r="X586" s="94"/>
      <c r="Y586" s="94"/>
      <c r="Z586" s="94"/>
      <c r="AA586" s="94"/>
    </row>
    <row r="587" spans="1:27" ht="15.75" customHeight="1">
      <c r="A587" s="94"/>
      <c r="B587" s="248"/>
      <c r="C587" s="94"/>
      <c r="D587" s="94"/>
      <c r="E587" s="94"/>
      <c r="F587" s="249"/>
      <c r="G587" s="248"/>
      <c r="H587" s="94"/>
      <c r="I587" s="249"/>
      <c r="J587" s="94"/>
      <c r="K587" s="250"/>
      <c r="L587" s="250"/>
      <c r="M587" s="250"/>
      <c r="N587" s="250"/>
      <c r="O587" s="250"/>
      <c r="P587" s="250"/>
      <c r="Q587" s="249"/>
      <c r="R587" s="94"/>
      <c r="S587" s="94"/>
      <c r="T587" s="251"/>
      <c r="U587" s="94"/>
      <c r="V587" s="94"/>
      <c r="W587" s="94"/>
      <c r="X587" s="94"/>
      <c r="Y587" s="94"/>
      <c r="Z587" s="94"/>
      <c r="AA587" s="94"/>
    </row>
    <row r="588" spans="1:27" ht="15.75" customHeight="1">
      <c r="A588" s="94"/>
      <c r="B588" s="248"/>
      <c r="C588" s="94"/>
      <c r="D588" s="94"/>
      <c r="E588" s="94"/>
      <c r="F588" s="249"/>
      <c r="G588" s="248"/>
      <c r="H588" s="94"/>
      <c r="I588" s="249"/>
      <c r="J588" s="94"/>
      <c r="K588" s="250"/>
      <c r="L588" s="250"/>
      <c r="M588" s="250"/>
      <c r="N588" s="250"/>
      <c r="O588" s="250"/>
      <c r="P588" s="250"/>
      <c r="Q588" s="249"/>
      <c r="R588" s="94"/>
      <c r="S588" s="94"/>
      <c r="T588" s="251"/>
      <c r="U588" s="94"/>
      <c r="V588" s="94"/>
      <c r="W588" s="94"/>
      <c r="X588" s="94"/>
      <c r="Y588" s="94"/>
      <c r="Z588" s="94"/>
      <c r="AA588" s="94"/>
    </row>
    <row r="589" spans="1:27" ht="15.75" customHeight="1">
      <c r="A589" s="94"/>
      <c r="B589" s="248"/>
      <c r="C589" s="94"/>
      <c r="D589" s="94"/>
      <c r="E589" s="94"/>
      <c r="F589" s="249"/>
      <c r="G589" s="248"/>
      <c r="H589" s="94"/>
      <c r="I589" s="249"/>
      <c r="J589" s="94"/>
      <c r="K589" s="250"/>
      <c r="L589" s="250"/>
      <c r="M589" s="250"/>
      <c r="N589" s="250"/>
      <c r="O589" s="250"/>
      <c r="P589" s="250"/>
      <c r="Q589" s="249"/>
      <c r="R589" s="94"/>
      <c r="S589" s="94"/>
      <c r="T589" s="251"/>
      <c r="U589" s="94"/>
      <c r="V589" s="94"/>
      <c r="W589" s="94"/>
      <c r="X589" s="94"/>
      <c r="Y589" s="94"/>
      <c r="Z589" s="94"/>
      <c r="AA589" s="94"/>
    </row>
    <row r="590" spans="1:27" ht="15.75" customHeight="1">
      <c r="A590" s="94"/>
      <c r="B590" s="248"/>
      <c r="C590" s="94"/>
      <c r="D590" s="94"/>
      <c r="E590" s="94"/>
      <c r="F590" s="249"/>
      <c r="G590" s="248"/>
      <c r="H590" s="94"/>
      <c r="I590" s="249"/>
      <c r="J590" s="94"/>
      <c r="K590" s="250"/>
      <c r="L590" s="250"/>
      <c r="M590" s="250"/>
      <c r="N590" s="250"/>
      <c r="O590" s="250"/>
      <c r="P590" s="250"/>
      <c r="Q590" s="249"/>
      <c r="R590" s="94"/>
      <c r="S590" s="94"/>
      <c r="T590" s="251"/>
      <c r="U590" s="94"/>
      <c r="V590" s="94"/>
      <c r="W590" s="94"/>
      <c r="X590" s="94"/>
      <c r="Y590" s="94"/>
      <c r="Z590" s="94"/>
      <c r="AA590" s="94"/>
    </row>
    <row r="591" spans="1:27" ht="15.75" customHeight="1">
      <c r="A591" s="94"/>
      <c r="B591" s="248"/>
      <c r="C591" s="94"/>
      <c r="D591" s="94"/>
      <c r="E591" s="94"/>
      <c r="F591" s="249"/>
      <c r="G591" s="248"/>
      <c r="H591" s="94"/>
      <c r="I591" s="249"/>
      <c r="J591" s="94"/>
      <c r="K591" s="250"/>
      <c r="L591" s="250"/>
      <c r="M591" s="250"/>
      <c r="N591" s="250"/>
      <c r="O591" s="250"/>
      <c r="P591" s="250"/>
      <c r="Q591" s="249"/>
      <c r="R591" s="94"/>
      <c r="S591" s="94"/>
      <c r="T591" s="251"/>
      <c r="U591" s="94"/>
      <c r="V591" s="94"/>
      <c r="W591" s="94"/>
      <c r="X591" s="94"/>
      <c r="Y591" s="94"/>
      <c r="Z591" s="94"/>
      <c r="AA591" s="94"/>
    </row>
    <row r="592" spans="1:27" ht="15.75" customHeight="1">
      <c r="A592" s="94"/>
      <c r="B592" s="248"/>
      <c r="C592" s="94"/>
      <c r="D592" s="94"/>
      <c r="E592" s="94"/>
      <c r="F592" s="249"/>
      <c r="G592" s="248"/>
      <c r="H592" s="94"/>
      <c r="I592" s="249"/>
      <c r="J592" s="94"/>
      <c r="K592" s="250"/>
      <c r="L592" s="250"/>
      <c r="M592" s="250"/>
      <c r="N592" s="250"/>
      <c r="O592" s="250"/>
      <c r="P592" s="250"/>
      <c r="Q592" s="249"/>
      <c r="R592" s="94"/>
      <c r="S592" s="94"/>
      <c r="T592" s="251"/>
      <c r="U592" s="94"/>
      <c r="V592" s="94"/>
      <c r="W592" s="94"/>
      <c r="X592" s="94"/>
      <c r="Y592" s="94"/>
      <c r="Z592" s="94"/>
      <c r="AA592" s="94"/>
    </row>
    <row r="593" spans="1:27" ht="15.75" customHeight="1">
      <c r="A593" s="94"/>
      <c r="B593" s="248"/>
      <c r="C593" s="94"/>
      <c r="D593" s="94"/>
      <c r="E593" s="94"/>
      <c r="F593" s="249"/>
      <c r="G593" s="248"/>
      <c r="H593" s="94"/>
      <c r="I593" s="249"/>
      <c r="J593" s="94"/>
      <c r="K593" s="250"/>
      <c r="L593" s="250"/>
      <c r="M593" s="250"/>
      <c r="N593" s="250"/>
      <c r="O593" s="250"/>
      <c r="P593" s="250"/>
      <c r="Q593" s="249"/>
      <c r="R593" s="94"/>
      <c r="S593" s="94"/>
      <c r="T593" s="251"/>
      <c r="U593" s="94"/>
      <c r="V593" s="94"/>
      <c r="W593" s="94"/>
      <c r="X593" s="94"/>
      <c r="Y593" s="94"/>
      <c r="Z593" s="94"/>
      <c r="AA593" s="94"/>
    </row>
    <row r="594" spans="1:27" ht="15.75" customHeight="1">
      <c r="A594" s="94"/>
      <c r="B594" s="248"/>
      <c r="C594" s="94"/>
      <c r="D594" s="94"/>
      <c r="E594" s="94"/>
      <c r="F594" s="249"/>
      <c r="G594" s="248"/>
      <c r="H594" s="94"/>
      <c r="I594" s="249"/>
      <c r="J594" s="94"/>
      <c r="K594" s="250"/>
      <c r="L594" s="250"/>
      <c r="M594" s="250"/>
      <c r="N594" s="250"/>
      <c r="O594" s="250"/>
      <c r="P594" s="250"/>
      <c r="Q594" s="249"/>
      <c r="R594" s="94"/>
      <c r="S594" s="94"/>
      <c r="T594" s="251"/>
      <c r="U594" s="94"/>
      <c r="V594" s="94"/>
      <c r="W594" s="94"/>
      <c r="X594" s="94"/>
      <c r="Y594" s="94"/>
      <c r="Z594" s="94"/>
      <c r="AA594" s="94"/>
    </row>
    <row r="595" spans="1:27" ht="15.75" customHeight="1">
      <c r="A595" s="94"/>
      <c r="B595" s="248"/>
      <c r="C595" s="94"/>
      <c r="D595" s="94"/>
      <c r="E595" s="94"/>
      <c r="F595" s="249"/>
      <c r="G595" s="248"/>
      <c r="H595" s="94"/>
      <c r="I595" s="249"/>
      <c r="J595" s="94"/>
      <c r="K595" s="250"/>
      <c r="L595" s="250"/>
      <c r="M595" s="250"/>
      <c r="N595" s="250"/>
      <c r="O595" s="250"/>
      <c r="P595" s="250"/>
      <c r="Q595" s="249"/>
      <c r="R595" s="94"/>
      <c r="S595" s="94"/>
      <c r="T595" s="251"/>
      <c r="U595" s="94"/>
      <c r="V595" s="94"/>
      <c r="W595" s="94"/>
      <c r="X595" s="94"/>
      <c r="Y595" s="94"/>
      <c r="Z595" s="94"/>
      <c r="AA595" s="94"/>
    </row>
    <row r="596" spans="1:27" ht="15.75" customHeight="1">
      <c r="A596" s="94"/>
      <c r="B596" s="248"/>
      <c r="C596" s="94"/>
      <c r="D596" s="94"/>
      <c r="E596" s="94"/>
      <c r="F596" s="249"/>
      <c r="G596" s="248"/>
      <c r="H596" s="94"/>
      <c r="I596" s="249"/>
      <c r="J596" s="94"/>
      <c r="K596" s="250"/>
      <c r="L596" s="250"/>
      <c r="M596" s="250"/>
      <c r="N596" s="250"/>
      <c r="O596" s="250"/>
      <c r="P596" s="250"/>
      <c r="Q596" s="249"/>
      <c r="R596" s="94"/>
      <c r="S596" s="94"/>
      <c r="T596" s="251"/>
      <c r="U596" s="94"/>
      <c r="V596" s="94"/>
      <c r="W596" s="94"/>
      <c r="X596" s="94"/>
      <c r="Y596" s="94"/>
      <c r="Z596" s="94"/>
      <c r="AA596" s="94"/>
    </row>
    <row r="597" spans="1:27" ht="15.75" customHeight="1">
      <c r="A597" s="94"/>
      <c r="B597" s="248"/>
      <c r="C597" s="94"/>
      <c r="D597" s="94"/>
      <c r="E597" s="94"/>
      <c r="F597" s="249"/>
      <c r="G597" s="248"/>
      <c r="H597" s="94"/>
      <c r="I597" s="249"/>
      <c r="J597" s="94"/>
      <c r="K597" s="250"/>
      <c r="L597" s="250"/>
      <c r="M597" s="250"/>
      <c r="N597" s="250"/>
      <c r="O597" s="250"/>
      <c r="P597" s="250"/>
      <c r="Q597" s="249"/>
      <c r="R597" s="94"/>
      <c r="S597" s="94"/>
      <c r="T597" s="251"/>
      <c r="U597" s="94"/>
      <c r="V597" s="94"/>
      <c r="W597" s="94"/>
      <c r="X597" s="94"/>
      <c r="Y597" s="94"/>
      <c r="Z597" s="94"/>
      <c r="AA597" s="94"/>
    </row>
    <row r="598" spans="1:27" ht="15.75" customHeight="1">
      <c r="A598" s="94"/>
      <c r="B598" s="248"/>
      <c r="C598" s="94"/>
      <c r="D598" s="94"/>
      <c r="E598" s="94"/>
      <c r="F598" s="249"/>
      <c r="G598" s="248"/>
      <c r="H598" s="94"/>
      <c r="I598" s="249"/>
      <c r="J598" s="94"/>
      <c r="K598" s="250"/>
      <c r="L598" s="250"/>
      <c r="M598" s="250"/>
      <c r="N598" s="250"/>
      <c r="O598" s="250"/>
      <c r="P598" s="250"/>
      <c r="Q598" s="249"/>
      <c r="R598" s="94"/>
      <c r="S598" s="94"/>
      <c r="T598" s="251"/>
      <c r="U598" s="94"/>
      <c r="V598" s="94"/>
      <c r="W598" s="94"/>
      <c r="X598" s="94"/>
      <c r="Y598" s="94"/>
      <c r="Z598" s="94"/>
      <c r="AA598" s="94"/>
    </row>
    <row r="599" spans="1:27" ht="15.75" customHeight="1">
      <c r="A599" s="94"/>
      <c r="B599" s="248"/>
      <c r="C599" s="94"/>
      <c r="D599" s="94"/>
      <c r="E599" s="94"/>
      <c r="F599" s="249"/>
      <c r="G599" s="248"/>
      <c r="H599" s="94"/>
      <c r="I599" s="249"/>
      <c r="J599" s="94"/>
      <c r="K599" s="250"/>
      <c r="L599" s="250"/>
      <c r="M599" s="250"/>
      <c r="N599" s="250"/>
      <c r="O599" s="250"/>
      <c r="P599" s="250"/>
      <c r="Q599" s="249"/>
      <c r="R599" s="94"/>
      <c r="S599" s="94"/>
      <c r="T599" s="251"/>
      <c r="U599" s="94"/>
      <c r="V599" s="94"/>
      <c r="W599" s="94"/>
      <c r="X599" s="94"/>
      <c r="Y599" s="94"/>
      <c r="Z599" s="94"/>
      <c r="AA599" s="94"/>
    </row>
    <row r="600" spans="1:27" ht="15.75" customHeight="1">
      <c r="A600" s="94"/>
      <c r="B600" s="248"/>
      <c r="C600" s="94"/>
      <c r="D600" s="94"/>
      <c r="E600" s="94"/>
      <c r="F600" s="249"/>
      <c r="G600" s="248"/>
      <c r="H600" s="94"/>
      <c r="I600" s="249"/>
      <c r="J600" s="94"/>
      <c r="K600" s="250"/>
      <c r="L600" s="250"/>
      <c r="M600" s="250"/>
      <c r="N600" s="250"/>
      <c r="O600" s="250"/>
      <c r="P600" s="250"/>
      <c r="Q600" s="249"/>
      <c r="R600" s="94"/>
      <c r="S600" s="94"/>
      <c r="T600" s="251"/>
      <c r="U600" s="94"/>
      <c r="V600" s="94"/>
      <c r="W600" s="94"/>
      <c r="X600" s="94"/>
      <c r="Y600" s="94"/>
      <c r="Z600" s="94"/>
      <c r="AA600" s="94"/>
    </row>
    <row r="601" spans="1:27" ht="15.75" customHeight="1">
      <c r="A601" s="94"/>
      <c r="B601" s="248"/>
      <c r="C601" s="94"/>
      <c r="D601" s="94"/>
      <c r="E601" s="94"/>
      <c r="F601" s="249"/>
      <c r="G601" s="248"/>
      <c r="H601" s="94"/>
      <c r="I601" s="249"/>
      <c r="J601" s="94"/>
      <c r="K601" s="250"/>
      <c r="L601" s="250"/>
      <c r="M601" s="250"/>
      <c r="N601" s="250"/>
      <c r="O601" s="250"/>
      <c r="P601" s="250"/>
      <c r="Q601" s="249"/>
      <c r="R601" s="94"/>
      <c r="S601" s="94"/>
      <c r="T601" s="251"/>
      <c r="U601" s="94"/>
      <c r="V601" s="94"/>
      <c r="W601" s="94"/>
      <c r="X601" s="94"/>
      <c r="Y601" s="94"/>
      <c r="Z601" s="94"/>
      <c r="AA601" s="94"/>
    </row>
    <row r="602" spans="1:27" ht="15.75" customHeight="1">
      <c r="A602" s="94"/>
      <c r="B602" s="248"/>
      <c r="C602" s="94"/>
      <c r="D602" s="94"/>
      <c r="E602" s="94"/>
      <c r="F602" s="249"/>
      <c r="G602" s="248"/>
      <c r="H602" s="94"/>
      <c r="I602" s="249"/>
      <c r="J602" s="94"/>
      <c r="K602" s="250"/>
      <c r="L602" s="250"/>
      <c r="M602" s="250"/>
      <c r="N602" s="250"/>
      <c r="O602" s="250"/>
      <c r="P602" s="250"/>
      <c r="Q602" s="249"/>
      <c r="R602" s="94"/>
      <c r="S602" s="94"/>
      <c r="T602" s="251"/>
      <c r="U602" s="94"/>
      <c r="V602" s="94"/>
      <c r="W602" s="94"/>
      <c r="X602" s="94"/>
      <c r="Y602" s="94"/>
      <c r="Z602" s="94"/>
      <c r="AA602" s="94"/>
    </row>
    <row r="603" spans="1:27" ht="15.75" customHeight="1">
      <c r="A603" s="94"/>
      <c r="B603" s="248"/>
      <c r="C603" s="94"/>
      <c r="D603" s="94"/>
      <c r="E603" s="94"/>
      <c r="F603" s="249"/>
      <c r="G603" s="248"/>
      <c r="H603" s="94"/>
      <c r="I603" s="249"/>
      <c r="J603" s="94"/>
      <c r="K603" s="250"/>
      <c r="L603" s="250"/>
      <c r="M603" s="250"/>
      <c r="N603" s="250"/>
      <c r="O603" s="250"/>
      <c r="P603" s="250"/>
      <c r="Q603" s="249"/>
      <c r="R603" s="94"/>
      <c r="S603" s="94"/>
      <c r="T603" s="251"/>
      <c r="U603" s="94"/>
      <c r="V603" s="94"/>
      <c r="W603" s="94"/>
      <c r="X603" s="94"/>
      <c r="Y603" s="94"/>
      <c r="Z603" s="94"/>
      <c r="AA603" s="94"/>
    </row>
    <row r="604" spans="1:27" ht="15.75" customHeight="1">
      <c r="A604" s="94"/>
      <c r="B604" s="248"/>
      <c r="C604" s="94"/>
      <c r="D604" s="94"/>
      <c r="E604" s="94"/>
      <c r="F604" s="249"/>
      <c r="G604" s="248"/>
      <c r="H604" s="94"/>
      <c r="I604" s="249"/>
      <c r="J604" s="94"/>
      <c r="K604" s="250"/>
      <c r="L604" s="250"/>
      <c r="M604" s="250"/>
      <c r="N604" s="250"/>
      <c r="O604" s="250"/>
      <c r="P604" s="250"/>
      <c r="Q604" s="249"/>
      <c r="R604" s="94"/>
      <c r="S604" s="94"/>
      <c r="T604" s="251"/>
      <c r="U604" s="94"/>
      <c r="V604" s="94"/>
      <c r="W604" s="94"/>
      <c r="X604" s="94"/>
      <c r="Y604" s="94"/>
      <c r="Z604" s="94"/>
      <c r="AA604" s="94"/>
    </row>
    <row r="605" spans="1:27" ht="15.75" customHeight="1">
      <c r="A605" s="94"/>
      <c r="B605" s="248"/>
      <c r="C605" s="94"/>
      <c r="D605" s="94"/>
      <c r="E605" s="94"/>
      <c r="F605" s="249"/>
      <c r="G605" s="248"/>
      <c r="H605" s="94"/>
      <c r="I605" s="249"/>
      <c r="J605" s="94"/>
      <c r="K605" s="250"/>
      <c r="L605" s="250"/>
      <c r="M605" s="250"/>
      <c r="N605" s="250"/>
      <c r="O605" s="250"/>
      <c r="P605" s="250"/>
      <c r="Q605" s="249"/>
      <c r="R605" s="94"/>
      <c r="S605" s="94"/>
      <c r="T605" s="251"/>
      <c r="U605" s="94"/>
      <c r="V605" s="94"/>
      <c r="W605" s="94"/>
      <c r="X605" s="94"/>
      <c r="Y605" s="94"/>
      <c r="Z605" s="94"/>
      <c r="AA605" s="94"/>
    </row>
    <row r="606" spans="1:27" ht="15.75" customHeight="1">
      <c r="A606" s="94"/>
      <c r="B606" s="248"/>
      <c r="C606" s="94"/>
      <c r="D606" s="94"/>
      <c r="E606" s="94"/>
      <c r="F606" s="249"/>
      <c r="G606" s="248"/>
      <c r="H606" s="94"/>
      <c r="I606" s="249"/>
      <c r="J606" s="94"/>
      <c r="K606" s="250"/>
      <c r="L606" s="250"/>
      <c r="M606" s="250"/>
      <c r="N606" s="250"/>
      <c r="O606" s="250"/>
      <c r="P606" s="250"/>
      <c r="Q606" s="249"/>
      <c r="R606" s="94"/>
      <c r="S606" s="94"/>
      <c r="T606" s="251"/>
      <c r="U606" s="94"/>
      <c r="V606" s="94"/>
      <c r="W606" s="94"/>
      <c r="X606" s="94"/>
      <c r="Y606" s="94"/>
      <c r="Z606" s="94"/>
      <c r="AA606" s="94"/>
    </row>
    <row r="607" spans="1:27" ht="15.75" customHeight="1">
      <c r="A607" s="94"/>
      <c r="B607" s="248"/>
      <c r="C607" s="94"/>
      <c r="D607" s="94"/>
      <c r="E607" s="94"/>
      <c r="F607" s="249"/>
      <c r="G607" s="248"/>
      <c r="H607" s="94"/>
      <c r="I607" s="249"/>
      <c r="J607" s="94"/>
      <c r="K607" s="250"/>
      <c r="L607" s="250"/>
      <c r="M607" s="250"/>
      <c r="N607" s="250"/>
      <c r="O607" s="250"/>
      <c r="P607" s="250"/>
      <c r="Q607" s="249"/>
      <c r="R607" s="94"/>
      <c r="S607" s="94"/>
      <c r="T607" s="251"/>
      <c r="U607" s="94"/>
      <c r="V607" s="94"/>
      <c r="W607" s="94"/>
      <c r="X607" s="94"/>
      <c r="Y607" s="94"/>
      <c r="Z607" s="94"/>
      <c r="AA607" s="94"/>
    </row>
    <row r="608" spans="1:27" ht="15.75" customHeight="1">
      <c r="A608" s="94"/>
      <c r="B608" s="248"/>
      <c r="C608" s="94"/>
      <c r="D608" s="94"/>
      <c r="E608" s="94"/>
      <c r="F608" s="249"/>
      <c r="G608" s="248"/>
      <c r="H608" s="94"/>
      <c r="I608" s="249"/>
      <c r="J608" s="94"/>
      <c r="K608" s="250"/>
      <c r="L608" s="250"/>
      <c r="M608" s="250"/>
      <c r="N608" s="250"/>
      <c r="O608" s="250"/>
      <c r="P608" s="250"/>
      <c r="Q608" s="249"/>
      <c r="R608" s="94"/>
      <c r="S608" s="94"/>
      <c r="T608" s="251"/>
      <c r="U608" s="94"/>
      <c r="V608" s="94"/>
      <c r="W608" s="94"/>
      <c r="X608" s="94"/>
      <c r="Y608" s="94"/>
      <c r="Z608" s="94"/>
      <c r="AA608" s="94"/>
    </row>
    <row r="609" spans="1:27" ht="15.75" customHeight="1">
      <c r="A609" s="94"/>
      <c r="B609" s="248"/>
      <c r="C609" s="94"/>
      <c r="D609" s="94"/>
      <c r="E609" s="94"/>
      <c r="F609" s="249"/>
      <c r="G609" s="248"/>
      <c r="H609" s="94"/>
      <c r="I609" s="249"/>
      <c r="J609" s="94"/>
      <c r="K609" s="250"/>
      <c r="L609" s="250"/>
      <c r="M609" s="250"/>
      <c r="N609" s="250"/>
      <c r="O609" s="250"/>
      <c r="P609" s="250"/>
      <c r="Q609" s="249"/>
      <c r="R609" s="94"/>
      <c r="S609" s="94"/>
      <c r="T609" s="251"/>
      <c r="U609" s="94"/>
      <c r="V609" s="94"/>
      <c r="W609" s="94"/>
      <c r="X609" s="94"/>
      <c r="Y609" s="94"/>
      <c r="Z609" s="94"/>
      <c r="AA609" s="94"/>
    </row>
    <row r="610" spans="1:27" ht="15.75" customHeight="1">
      <c r="A610" s="94"/>
      <c r="B610" s="248"/>
      <c r="C610" s="94"/>
      <c r="D610" s="94"/>
      <c r="E610" s="94"/>
      <c r="F610" s="249"/>
      <c r="G610" s="248"/>
      <c r="H610" s="94"/>
      <c r="I610" s="249"/>
      <c r="J610" s="94"/>
      <c r="K610" s="250"/>
      <c r="L610" s="250"/>
      <c r="M610" s="250"/>
      <c r="N610" s="250"/>
      <c r="O610" s="250"/>
      <c r="P610" s="250"/>
      <c r="Q610" s="249"/>
      <c r="R610" s="94"/>
      <c r="S610" s="94"/>
      <c r="T610" s="251"/>
      <c r="U610" s="94"/>
      <c r="V610" s="94"/>
      <c r="W610" s="94"/>
      <c r="X610" s="94"/>
      <c r="Y610" s="94"/>
      <c r="Z610" s="94"/>
      <c r="AA610" s="94"/>
    </row>
    <row r="611" spans="1:27" ht="15.75" customHeight="1">
      <c r="A611" s="94"/>
      <c r="B611" s="248"/>
      <c r="C611" s="94"/>
      <c r="D611" s="94"/>
      <c r="E611" s="94"/>
      <c r="F611" s="249"/>
      <c r="G611" s="248"/>
      <c r="H611" s="94"/>
      <c r="I611" s="249"/>
      <c r="J611" s="94"/>
      <c r="K611" s="250"/>
      <c r="L611" s="250"/>
      <c r="M611" s="250"/>
      <c r="N611" s="250"/>
      <c r="O611" s="250"/>
      <c r="P611" s="250"/>
      <c r="Q611" s="249"/>
      <c r="R611" s="94"/>
      <c r="S611" s="94"/>
      <c r="T611" s="251"/>
      <c r="U611" s="94"/>
      <c r="V611" s="94"/>
      <c r="W611" s="94"/>
      <c r="X611" s="94"/>
      <c r="Y611" s="94"/>
      <c r="Z611" s="94"/>
      <c r="AA611" s="94"/>
    </row>
    <row r="612" spans="1:27" ht="15.75" customHeight="1">
      <c r="A612" s="94"/>
      <c r="B612" s="248"/>
      <c r="C612" s="94"/>
      <c r="D612" s="94"/>
      <c r="E612" s="94"/>
      <c r="F612" s="249"/>
      <c r="G612" s="248"/>
      <c r="H612" s="94"/>
      <c r="I612" s="249"/>
      <c r="J612" s="94"/>
      <c r="K612" s="250"/>
      <c r="L612" s="250"/>
      <c r="M612" s="250"/>
      <c r="N612" s="250"/>
      <c r="O612" s="250"/>
      <c r="P612" s="250"/>
      <c r="Q612" s="249"/>
      <c r="R612" s="94"/>
      <c r="S612" s="94"/>
      <c r="T612" s="251"/>
      <c r="U612" s="94"/>
      <c r="V612" s="94"/>
      <c r="W612" s="94"/>
      <c r="X612" s="94"/>
      <c r="Y612" s="94"/>
      <c r="Z612" s="94"/>
      <c r="AA612" s="94"/>
    </row>
    <row r="613" spans="1:27" ht="15.75" customHeight="1">
      <c r="A613" s="94"/>
      <c r="B613" s="248"/>
      <c r="C613" s="94"/>
      <c r="D613" s="94"/>
      <c r="E613" s="94"/>
      <c r="F613" s="249"/>
      <c r="G613" s="248"/>
      <c r="H613" s="94"/>
      <c r="I613" s="249"/>
      <c r="J613" s="94"/>
      <c r="K613" s="250"/>
      <c r="L613" s="250"/>
      <c r="M613" s="250"/>
      <c r="N613" s="250"/>
      <c r="O613" s="250"/>
      <c r="P613" s="250"/>
      <c r="Q613" s="249"/>
      <c r="R613" s="94"/>
      <c r="S613" s="94"/>
      <c r="T613" s="251"/>
      <c r="U613" s="94"/>
      <c r="V613" s="94"/>
      <c r="W613" s="94"/>
      <c r="X613" s="94"/>
      <c r="Y613" s="94"/>
      <c r="Z613" s="94"/>
      <c r="AA613" s="94"/>
    </row>
    <row r="614" spans="1:27" ht="15.75" customHeight="1">
      <c r="A614" s="94"/>
      <c r="B614" s="248"/>
      <c r="C614" s="94"/>
      <c r="D614" s="94"/>
      <c r="E614" s="94"/>
      <c r="F614" s="249"/>
      <c r="G614" s="248"/>
      <c r="H614" s="94"/>
      <c r="I614" s="249"/>
      <c r="J614" s="94"/>
      <c r="K614" s="250"/>
      <c r="L614" s="250"/>
      <c r="M614" s="250"/>
      <c r="N614" s="250"/>
      <c r="O614" s="250"/>
      <c r="P614" s="250"/>
      <c r="Q614" s="249"/>
      <c r="R614" s="94"/>
      <c r="S614" s="94"/>
      <c r="T614" s="251"/>
      <c r="U614" s="94"/>
      <c r="V614" s="94"/>
      <c r="W614" s="94"/>
      <c r="X614" s="94"/>
      <c r="Y614" s="94"/>
      <c r="Z614" s="94"/>
      <c r="AA614" s="94"/>
    </row>
    <row r="615" spans="1:27" ht="15.75" customHeight="1">
      <c r="A615" s="94"/>
      <c r="B615" s="248"/>
      <c r="C615" s="94"/>
      <c r="D615" s="94"/>
      <c r="E615" s="94"/>
      <c r="F615" s="249"/>
      <c r="G615" s="248"/>
      <c r="H615" s="94"/>
      <c r="I615" s="249"/>
      <c r="J615" s="94"/>
      <c r="K615" s="250"/>
      <c r="L615" s="250"/>
      <c r="M615" s="250"/>
      <c r="N615" s="250"/>
      <c r="O615" s="250"/>
      <c r="P615" s="250"/>
      <c r="Q615" s="249"/>
      <c r="R615" s="94"/>
      <c r="S615" s="94"/>
      <c r="T615" s="251"/>
      <c r="U615" s="94"/>
      <c r="V615" s="94"/>
      <c r="W615" s="94"/>
      <c r="X615" s="94"/>
      <c r="Y615" s="94"/>
      <c r="Z615" s="94"/>
      <c r="AA615" s="94"/>
    </row>
    <row r="616" spans="1:27" ht="15.75" customHeight="1">
      <c r="A616" s="94"/>
      <c r="B616" s="248"/>
      <c r="C616" s="94"/>
      <c r="D616" s="94"/>
      <c r="E616" s="94"/>
      <c r="F616" s="249"/>
      <c r="G616" s="248"/>
      <c r="H616" s="94"/>
      <c r="I616" s="249"/>
      <c r="J616" s="94"/>
      <c r="K616" s="250"/>
      <c r="L616" s="250"/>
      <c r="M616" s="250"/>
      <c r="N616" s="250"/>
      <c r="O616" s="250"/>
      <c r="P616" s="250"/>
      <c r="Q616" s="249"/>
      <c r="R616" s="94"/>
      <c r="S616" s="94"/>
      <c r="T616" s="251"/>
      <c r="U616" s="94"/>
      <c r="V616" s="94"/>
      <c r="W616" s="94"/>
      <c r="X616" s="94"/>
      <c r="Y616" s="94"/>
      <c r="Z616" s="94"/>
      <c r="AA616" s="94"/>
    </row>
    <row r="617" spans="1:27" ht="15.75" customHeight="1">
      <c r="A617" s="94"/>
      <c r="B617" s="248"/>
      <c r="C617" s="94"/>
      <c r="D617" s="94"/>
      <c r="E617" s="94"/>
      <c r="F617" s="249"/>
      <c r="G617" s="248"/>
      <c r="H617" s="94"/>
      <c r="I617" s="249"/>
      <c r="J617" s="94"/>
      <c r="K617" s="250"/>
      <c r="L617" s="250"/>
      <c r="M617" s="250"/>
      <c r="N617" s="250"/>
      <c r="O617" s="250"/>
      <c r="P617" s="250"/>
      <c r="Q617" s="249"/>
      <c r="R617" s="94"/>
      <c r="S617" s="94"/>
      <c r="T617" s="251"/>
      <c r="U617" s="94"/>
      <c r="V617" s="94"/>
      <c r="W617" s="94"/>
      <c r="X617" s="94"/>
      <c r="Y617" s="94"/>
      <c r="Z617" s="94"/>
      <c r="AA617" s="94"/>
    </row>
    <row r="618" spans="1:27" ht="15.75" customHeight="1">
      <c r="A618" s="94"/>
      <c r="B618" s="248"/>
      <c r="C618" s="94"/>
      <c r="D618" s="94"/>
      <c r="E618" s="94"/>
      <c r="F618" s="249"/>
      <c r="G618" s="248"/>
      <c r="H618" s="94"/>
      <c r="I618" s="249"/>
      <c r="J618" s="94"/>
      <c r="K618" s="250"/>
      <c r="L618" s="250"/>
      <c r="M618" s="250"/>
      <c r="N618" s="250"/>
      <c r="O618" s="250"/>
      <c r="P618" s="250"/>
      <c r="Q618" s="249"/>
      <c r="R618" s="94"/>
      <c r="S618" s="94"/>
      <c r="T618" s="251"/>
      <c r="U618" s="94"/>
      <c r="V618" s="94"/>
      <c r="W618" s="94"/>
      <c r="X618" s="94"/>
      <c r="Y618" s="94"/>
      <c r="Z618" s="94"/>
      <c r="AA618" s="94"/>
    </row>
    <row r="619" spans="1:27" ht="15.75" customHeight="1">
      <c r="A619" s="94"/>
      <c r="B619" s="248"/>
      <c r="C619" s="94"/>
      <c r="D619" s="94"/>
      <c r="E619" s="94"/>
      <c r="F619" s="249"/>
      <c r="G619" s="248"/>
      <c r="H619" s="94"/>
      <c r="I619" s="249"/>
      <c r="J619" s="94"/>
      <c r="K619" s="250"/>
      <c r="L619" s="250"/>
      <c r="M619" s="250"/>
      <c r="N619" s="250"/>
      <c r="O619" s="250"/>
      <c r="P619" s="250"/>
      <c r="Q619" s="249"/>
      <c r="R619" s="94"/>
      <c r="S619" s="94"/>
      <c r="T619" s="251"/>
      <c r="U619" s="94"/>
      <c r="V619" s="94"/>
      <c r="W619" s="94"/>
      <c r="X619" s="94"/>
      <c r="Y619" s="94"/>
      <c r="Z619" s="94"/>
      <c r="AA619" s="94"/>
    </row>
    <row r="620" spans="1:27" ht="15.75" customHeight="1">
      <c r="A620" s="94"/>
      <c r="B620" s="248"/>
      <c r="C620" s="94"/>
      <c r="D620" s="94"/>
      <c r="E620" s="94"/>
      <c r="F620" s="249"/>
      <c r="G620" s="248"/>
      <c r="H620" s="94"/>
      <c r="I620" s="249"/>
      <c r="J620" s="94"/>
      <c r="K620" s="250"/>
      <c r="L620" s="250"/>
      <c r="M620" s="250"/>
      <c r="N620" s="250"/>
      <c r="O620" s="250"/>
      <c r="P620" s="250"/>
      <c r="Q620" s="249"/>
      <c r="R620" s="94"/>
      <c r="S620" s="94"/>
      <c r="T620" s="251"/>
      <c r="U620" s="94"/>
      <c r="V620" s="94"/>
      <c r="W620" s="94"/>
      <c r="X620" s="94"/>
      <c r="Y620" s="94"/>
      <c r="Z620" s="94"/>
      <c r="AA620" s="94"/>
    </row>
    <row r="621" spans="1:27" ht="15.75" customHeight="1">
      <c r="A621" s="94"/>
      <c r="B621" s="248"/>
      <c r="C621" s="94"/>
      <c r="D621" s="94"/>
      <c r="E621" s="94"/>
      <c r="F621" s="249"/>
      <c r="G621" s="248"/>
      <c r="H621" s="94"/>
      <c r="I621" s="249"/>
      <c r="J621" s="94"/>
      <c r="K621" s="250"/>
      <c r="L621" s="250"/>
      <c r="M621" s="250"/>
      <c r="N621" s="250"/>
      <c r="O621" s="250"/>
      <c r="P621" s="250"/>
      <c r="Q621" s="249"/>
      <c r="R621" s="94"/>
      <c r="S621" s="94"/>
      <c r="T621" s="251"/>
      <c r="U621" s="94"/>
      <c r="V621" s="94"/>
      <c r="W621" s="94"/>
      <c r="X621" s="94"/>
      <c r="Y621" s="94"/>
      <c r="Z621" s="94"/>
      <c r="AA621" s="94"/>
    </row>
    <row r="622" spans="1:27" ht="15.75" customHeight="1">
      <c r="A622" s="94"/>
      <c r="B622" s="248"/>
      <c r="C622" s="94"/>
      <c r="D622" s="94"/>
      <c r="E622" s="94"/>
      <c r="F622" s="249"/>
      <c r="G622" s="248"/>
      <c r="H622" s="94"/>
      <c r="I622" s="249"/>
      <c r="J622" s="94"/>
      <c r="K622" s="250"/>
      <c r="L622" s="250"/>
      <c r="M622" s="250"/>
      <c r="N622" s="250"/>
      <c r="O622" s="250"/>
      <c r="P622" s="250"/>
      <c r="Q622" s="249"/>
      <c r="R622" s="94"/>
      <c r="S622" s="94"/>
      <c r="T622" s="251"/>
      <c r="U622" s="94"/>
      <c r="V622" s="94"/>
      <c r="W622" s="94"/>
      <c r="X622" s="94"/>
      <c r="Y622" s="94"/>
      <c r="Z622" s="94"/>
      <c r="AA622" s="94"/>
    </row>
    <row r="623" spans="1:27" ht="15.75" customHeight="1">
      <c r="A623" s="94"/>
      <c r="B623" s="248"/>
      <c r="C623" s="94"/>
      <c r="D623" s="94"/>
      <c r="E623" s="94"/>
      <c r="F623" s="249"/>
      <c r="G623" s="248"/>
      <c r="H623" s="94"/>
      <c r="I623" s="249"/>
      <c r="J623" s="94"/>
      <c r="K623" s="250"/>
      <c r="L623" s="250"/>
      <c r="M623" s="250"/>
      <c r="N623" s="250"/>
      <c r="O623" s="250"/>
      <c r="P623" s="250"/>
      <c r="Q623" s="249"/>
      <c r="R623" s="94"/>
      <c r="S623" s="94"/>
      <c r="T623" s="251"/>
      <c r="U623" s="94"/>
      <c r="V623" s="94"/>
      <c r="W623" s="94"/>
      <c r="X623" s="94"/>
      <c r="Y623" s="94"/>
      <c r="Z623" s="94"/>
      <c r="AA623" s="94"/>
    </row>
    <row r="624" spans="1:27" ht="15.75" customHeight="1">
      <c r="A624" s="94"/>
      <c r="B624" s="248"/>
      <c r="C624" s="94"/>
      <c r="D624" s="94"/>
      <c r="E624" s="94"/>
      <c r="F624" s="249"/>
      <c r="G624" s="248"/>
      <c r="H624" s="94"/>
      <c r="I624" s="249"/>
      <c r="J624" s="94"/>
      <c r="K624" s="250"/>
      <c r="L624" s="250"/>
      <c r="M624" s="250"/>
      <c r="N624" s="250"/>
      <c r="O624" s="250"/>
      <c r="P624" s="250"/>
      <c r="Q624" s="249"/>
      <c r="R624" s="94"/>
      <c r="S624" s="94"/>
      <c r="T624" s="251"/>
      <c r="U624" s="94"/>
      <c r="V624" s="94"/>
      <c r="W624" s="94"/>
      <c r="X624" s="94"/>
      <c r="Y624" s="94"/>
      <c r="Z624" s="94"/>
      <c r="AA624" s="94"/>
    </row>
    <row r="625" spans="1:27" ht="15.75" customHeight="1">
      <c r="A625" s="94"/>
      <c r="B625" s="248"/>
      <c r="C625" s="94"/>
      <c r="D625" s="94"/>
      <c r="E625" s="94"/>
      <c r="F625" s="249"/>
      <c r="G625" s="248"/>
      <c r="H625" s="94"/>
      <c r="I625" s="249"/>
      <c r="J625" s="94"/>
      <c r="K625" s="250"/>
      <c r="L625" s="250"/>
      <c r="M625" s="250"/>
      <c r="N625" s="250"/>
      <c r="O625" s="250"/>
      <c r="P625" s="250"/>
      <c r="Q625" s="249"/>
      <c r="R625" s="94"/>
      <c r="S625" s="94"/>
      <c r="T625" s="251"/>
      <c r="U625" s="94"/>
      <c r="V625" s="94"/>
      <c r="W625" s="94"/>
      <c r="X625" s="94"/>
      <c r="Y625" s="94"/>
      <c r="Z625" s="94"/>
      <c r="AA625" s="94"/>
    </row>
    <row r="626" spans="1:27" ht="15.75" customHeight="1">
      <c r="A626" s="94"/>
      <c r="B626" s="248"/>
      <c r="C626" s="94"/>
      <c r="D626" s="94"/>
      <c r="E626" s="94"/>
      <c r="F626" s="249"/>
      <c r="G626" s="248"/>
      <c r="H626" s="94"/>
      <c r="I626" s="249"/>
      <c r="J626" s="94"/>
      <c r="K626" s="250"/>
      <c r="L626" s="250"/>
      <c r="M626" s="250"/>
      <c r="N626" s="250"/>
      <c r="O626" s="250"/>
      <c r="P626" s="250"/>
      <c r="Q626" s="249"/>
      <c r="R626" s="94"/>
      <c r="S626" s="94"/>
      <c r="T626" s="251"/>
      <c r="U626" s="94"/>
      <c r="V626" s="94"/>
      <c r="W626" s="94"/>
      <c r="X626" s="94"/>
      <c r="Y626" s="94"/>
      <c r="Z626" s="94"/>
      <c r="AA626" s="94"/>
    </row>
    <row r="627" spans="1:27" ht="15.75" customHeight="1">
      <c r="A627" s="94"/>
      <c r="B627" s="248"/>
      <c r="C627" s="94"/>
      <c r="D627" s="94"/>
      <c r="E627" s="94"/>
      <c r="F627" s="249"/>
      <c r="G627" s="248"/>
      <c r="H627" s="94"/>
      <c r="I627" s="249"/>
      <c r="J627" s="94"/>
      <c r="K627" s="250"/>
      <c r="L627" s="250"/>
      <c r="M627" s="250"/>
      <c r="N627" s="250"/>
      <c r="O627" s="250"/>
      <c r="P627" s="250"/>
      <c r="Q627" s="249"/>
      <c r="R627" s="94"/>
      <c r="S627" s="94"/>
      <c r="T627" s="251"/>
      <c r="U627" s="94"/>
      <c r="V627" s="94"/>
      <c r="W627" s="94"/>
      <c r="X627" s="94"/>
      <c r="Y627" s="94"/>
      <c r="Z627" s="94"/>
      <c r="AA627" s="94"/>
    </row>
    <row r="628" spans="1:27" ht="15.75" customHeight="1">
      <c r="A628" s="94"/>
      <c r="B628" s="248"/>
      <c r="C628" s="94"/>
      <c r="D628" s="94"/>
      <c r="E628" s="94"/>
      <c r="F628" s="249"/>
      <c r="G628" s="248"/>
      <c r="H628" s="94"/>
      <c r="I628" s="249"/>
      <c r="J628" s="94"/>
      <c r="K628" s="250"/>
      <c r="L628" s="250"/>
      <c r="M628" s="250"/>
      <c r="N628" s="250"/>
      <c r="O628" s="250"/>
      <c r="P628" s="250"/>
      <c r="Q628" s="249"/>
      <c r="R628" s="94"/>
      <c r="S628" s="94"/>
      <c r="T628" s="251"/>
      <c r="U628" s="94"/>
      <c r="V628" s="94"/>
      <c r="W628" s="94"/>
      <c r="X628" s="94"/>
      <c r="Y628" s="94"/>
      <c r="Z628" s="94"/>
      <c r="AA628" s="94"/>
    </row>
    <row r="629" spans="1:27" ht="15.75" customHeight="1">
      <c r="A629" s="94"/>
      <c r="B629" s="248"/>
      <c r="C629" s="94"/>
      <c r="D629" s="94"/>
      <c r="E629" s="94"/>
      <c r="F629" s="249"/>
      <c r="G629" s="248"/>
      <c r="H629" s="94"/>
      <c r="I629" s="249"/>
      <c r="J629" s="94"/>
      <c r="K629" s="250"/>
      <c r="L629" s="250"/>
      <c r="M629" s="250"/>
      <c r="N629" s="250"/>
      <c r="O629" s="250"/>
      <c r="P629" s="250"/>
      <c r="Q629" s="249"/>
      <c r="R629" s="94"/>
      <c r="S629" s="94"/>
      <c r="T629" s="251"/>
      <c r="U629" s="94"/>
      <c r="V629" s="94"/>
      <c r="W629" s="94"/>
      <c r="X629" s="94"/>
      <c r="Y629" s="94"/>
      <c r="Z629" s="94"/>
      <c r="AA629" s="94"/>
    </row>
    <row r="630" spans="1:27" ht="15.75" customHeight="1">
      <c r="A630" s="94"/>
      <c r="B630" s="248"/>
      <c r="C630" s="94"/>
      <c r="D630" s="94"/>
      <c r="E630" s="94"/>
      <c r="F630" s="249"/>
      <c r="G630" s="248"/>
      <c r="H630" s="94"/>
      <c r="I630" s="249"/>
      <c r="J630" s="94"/>
      <c r="K630" s="250"/>
      <c r="L630" s="250"/>
      <c r="M630" s="250"/>
      <c r="N630" s="250"/>
      <c r="O630" s="250"/>
      <c r="P630" s="250"/>
      <c r="Q630" s="249"/>
      <c r="R630" s="94"/>
      <c r="S630" s="94"/>
      <c r="T630" s="251"/>
      <c r="U630" s="94"/>
      <c r="V630" s="94"/>
      <c r="W630" s="94"/>
      <c r="X630" s="94"/>
      <c r="Y630" s="94"/>
      <c r="Z630" s="94"/>
      <c r="AA630" s="94"/>
    </row>
    <row r="631" spans="1:27" ht="15.75" customHeight="1">
      <c r="A631" s="94"/>
      <c r="B631" s="248"/>
      <c r="C631" s="94"/>
      <c r="D631" s="94"/>
      <c r="E631" s="94"/>
      <c r="F631" s="249"/>
      <c r="G631" s="248"/>
      <c r="H631" s="94"/>
      <c r="I631" s="249"/>
      <c r="J631" s="94"/>
      <c r="K631" s="250"/>
      <c r="L631" s="250"/>
      <c r="M631" s="250"/>
      <c r="N631" s="250"/>
      <c r="O631" s="250"/>
      <c r="P631" s="250"/>
      <c r="Q631" s="249"/>
      <c r="R631" s="94"/>
      <c r="S631" s="94"/>
      <c r="T631" s="251"/>
      <c r="U631" s="94"/>
      <c r="V631" s="94"/>
      <c r="W631" s="94"/>
      <c r="X631" s="94"/>
      <c r="Y631" s="94"/>
      <c r="Z631" s="94"/>
      <c r="AA631" s="94"/>
    </row>
    <row r="632" spans="1:27" ht="15.75" customHeight="1">
      <c r="A632" s="94"/>
      <c r="B632" s="248"/>
      <c r="C632" s="94"/>
      <c r="D632" s="94"/>
      <c r="E632" s="94"/>
      <c r="F632" s="249"/>
      <c r="G632" s="248"/>
      <c r="H632" s="94"/>
      <c r="I632" s="249"/>
      <c r="J632" s="94"/>
      <c r="K632" s="250"/>
      <c r="L632" s="250"/>
      <c r="M632" s="250"/>
      <c r="N632" s="250"/>
      <c r="O632" s="250"/>
      <c r="P632" s="250"/>
      <c r="Q632" s="249"/>
      <c r="R632" s="94"/>
      <c r="S632" s="94"/>
      <c r="T632" s="251"/>
      <c r="U632" s="94"/>
      <c r="V632" s="94"/>
      <c r="W632" s="94"/>
      <c r="X632" s="94"/>
      <c r="Y632" s="94"/>
      <c r="Z632" s="94"/>
      <c r="AA632" s="94"/>
    </row>
    <row r="633" spans="1:27" ht="15.75" customHeight="1">
      <c r="A633" s="94"/>
      <c r="B633" s="248"/>
      <c r="C633" s="94"/>
      <c r="D633" s="94"/>
      <c r="E633" s="94"/>
      <c r="F633" s="249"/>
      <c r="G633" s="248"/>
      <c r="H633" s="94"/>
      <c r="I633" s="249"/>
      <c r="J633" s="94"/>
      <c r="K633" s="250"/>
      <c r="L633" s="250"/>
      <c r="M633" s="250"/>
      <c r="N633" s="250"/>
      <c r="O633" s="250"/>
      <c r="P633" s="250"/>
      <c r="Q633" s="249"/>
      <c r="R633" s="94"/>
      <c r="S633" s="94"/>
      <c r="T633" s="251"/>
      <c r="U633" s="94"/>
      <c r="V633" s="94"/>
      <c r="W633" s="94"/>
      <c r="X633" s="94"/>
      <c r="Y633" s="94"/>
      <c r="Z633" s="94"/>
      <c r="AA633" s="94"/>
    </row>
    <row r="634" spans="1:27" ht="15.75" customHeight="1">
      <c r="A634" s="94"/>
      <c r="B634" s="248"/>
      <c r="C634" s="94"/>
      <c r="D634" s="94"/>
      <c r="E634" s="94"/>
      <c r="F634" s="249"/>
      <c r="G634" s="248"/>
      <c r="H634" s="94"/>
      <c r="I634" s="249"/>
      <c r="J634" s="94"/>
      <c r="K634" s="250"/>
      <c r="L634" s="250"/>
      <c r="M634" s="250"/>
      <c r="N634" s="250"/>
      <c r="O634" s="250"/>
      <c r="P634" s="250"/>
      <c r="Q634" s="249"/>
      <c r="R634" s="94"/>
      <c r="S634" s="94"/>
      <c r="T634" s="251"/>
      <c r="U634" s="94"/>
      <c r="V634" s="94"/>
      <c r="W634" s="94"/>
      <c r="X634" s="94"/>
      <c r="Y634" s="94"/>
      <c r="Z634" s="94"/>
      <c r="AA634" s="94"/>
    </row>
    <row r="635" spans="1:27" ht="15.75" customHeight="1">
      <c r="A635" s="94"/>
      <c r="B635" s="248"/>
      <c r="C635" s="94"/>
      <c r="D635" s="94"/>
      <c r="E635" s="94"/>
      <c r="F635" s="249"/>
      <c r="G635" s="248"/>
      <c r="H635" s="94"/>
      <c r="I635" s="249"/>
      <c r="J635" s="94"/>
      <c r="K635" s="250"/>
      <c r="L635" s="250"/>
      <c r="M635" s="250"/>
      <c r="N635" s="250"/>
      <c r="O635" s="250"/>
      <c r="P635" s="250"/>
      <c r="Q635" s="249"/>
      <c r="R635" s="94"/>
      <c r="S635" s="94"/>
      <c r="T635" s="251"/>
      <c r="U635" s="94"/>
      <c r="V635" s="94"/>
      <c r="W635" s="94"/>
      <c r="X635" s="94"/>
      <c r="Y635" s="94"/>
      <c r="Z635" s="94"/>
      <c r="AA635" s="94"/>
    </row>
    <row r="636" spans="1:27" ht="15.75" customHeight="1">
      <c r="A636" s="94"/>
      <c r="B636" s="248"/>
      <c r="C636" s="94"/>
      <c r="D636" s="94"/>
      <c r="E636" s="94"/>
      <c r="F636" s="249"/>
      <c r="G636" s="248"/>
      <c r="H636" s="94"/>
      <c r="I636" s="249"/>
      <c r="J636" s="94"/>
      <c r="K636" s="250"/>
      <c r="L636" s="250"/>
      <c r="M636" s="250"/>
      <c r="N636" s="250"/>
      <c r="O636" s="250"/>
      <c r="P636" s="250"/>
      <c r="Q636" s="249"/>
      <c r="R636" s="94"/>
      <c r="S636" s="94"/>
      <c r="T636" s="251"/>
      <c r="U636" s="94"/>
      <c r="V636" s="94"/>
      <c r="W636" s="94"/>
      <c r="X636" s="94"/>
      <c r="Y636" s="94"/>
      <c r="Z636" s="94"/>
      <c r="AA636" s="94"/>
    </row>
    <row r="637" spans="1:27" ht="15.75" customHeight="1">
      <c r="A637" s="94"/>
      <c r="B637" s="248"/>
      <c r="C637" s="94"/>
      <c r="D637" s="94"/>
      <c r="E637" s="94"/>
      <c r="F637" s="249"/>
      <c r="G637" s="248"/>
      <c r="H637" s="94"/>
      <c r="I637" s="249"/>
      <c r="J637" s="94"/>
      <c r="K637" s="250"/>
      <c r="L637" s="250"/>
      <c r="M637" s="250"/>
      <c r="N637" s="250"/>
      <c r="O637" s="250"/>
      <c r="P637" s="250"/>
      <c r="Q637" s="249"/>
      <c r="R637" s="94"/>
      <c r="S637" s="94"/>
      <c r="T637" s="251"/>
      <c r="U637" s="94"/>
      <c r="V637" s="94"/>
      <c r="W637" s="94"/>
      <c r="X637" s="94"/>
      <c r="Y637" s="94"/>
      <c r="Z637" s="94"/>
      <c r="AA637" s="94"/>
    </row>
    <row r="638" spans="1:27" ht="15.75" customHeight="1">
      <c r="A638" s="94"/>
      <c r="B638" s="248"/>
      <c r="C638" s="94"/>
      <c r="D638" s="94"/>
      <c r="E638" s="94"/>
      <c r="F638" s="249"/>
      <c r="G638" s="248"/>
      <c r="H638" s="94"/>
      <c r="I638" s="249"/>
      <c r="J638" s="94"/>
      <c r="K638" s="250"/>
      <c r="L638" s="250"/>
      <c r="M638" s="250"/>
      <c r="N638" s="250"/>
      <c r="O638" s="250"/>
      <c r="P638" s="250"/>
      <c r="Q638" s="249"/>
      <c r="R638" s="94"/>
      <c r="S638" s="94"/>
      <c r="T638" s="251"/>
      <c r="U638" s="94"/>
      <c r="V638" s="94"/>
      <c r="W638" s="94"/>
      <c r="X638" s="94"/>
      <c r="Y638" s="94"/>
      <c r="Z638" s="94"/>
      <c r="AA638" s="94"/>
    </row>
    <row r="639" spans="1:27" ht="15.75" customHeight="1">
      <c r="A639" s="94"/>
      <c r="B639" s="248"/>
      <c r="C639" s="94"/>
      <c r="D639" s="94"/>
      <c r="E639" s="94"/>
      <c r="F639" s="249"/>
      <c r="G639" s="248"/>
      <c r="H639" s="94"/>
      <c r="I639" s="249"/>
      <c r="J639" s="94"/>
      <c r="K639" s="250"/>
      <c r="L639" s="250"/>
      <c r="M639" s="250"/>
      <c r="N639" s="250"/>
      <c r="O639" s="250"/>
      <c r="P639" s="250"/>
      <c r="Q639" s="249"/>
      <c r="R639" s="94"/>
      <c r="S639" s="94"/>
      <c r="T639" s="251"/>
      <c r="U639" s="94"/>
      <c r="V639" s="94"/>
      <c r="W639" s="94"/>
      <c r="X639" s="94"/>
      <c r="Y639" s="94"/>
      <c r="Z639" s="94"/>
      <c r="AA639" s="94"/>
    </row>
    <row r="640" spans="1:27" ht="15.75" customHeight="1">
      <c r="A640" s="94"/>
      <c r="B640" s="248"/>
      <c r="C640" s="94"/>
      <c r="D640" s="94"/>
      <c r="E640" s="94"/>
      <c r="F640" s="249"/>
      <c r="G640" s="248"/>
      <c r="H640" s="94"/>
      <c r="I640" s="249"/>
      <c r="J640" s="94"/>
      <c r="K640" s="250"/>
      <c r="L640" s="250"/>
      <c r="M640" s="250"/>
      <c r="N640" s="250"/>
      <c r="O640" s="250"/>
      <c r="P640" s="250"/>
      <c r="Q640" s="249"/>
      <c r="R640" s="94"/>
      <c r="S640" s="94"/>
      <c r="T640" s="251"/>
      <c r="U640" s="94"/>
      <c r="V640" s="94"/>
      <c r="W640" s="94"/>
      <c r="X640" s="94"/>
      <c r="Y640" s="94"/>
      <c r="Z640" s="94"/>
      <c r="AA640" s="94"/>
    </row>
    <row r="641" spans="1:27" ht="15.75" customHeight="1">
      <c r="A641" s="94"/>
      <c r="B641" s="248"/>
      <c r="C641" s="94"/>
      <c r="D641" s="94"/>
      <c r="E641" s="94"/>
      <c r="F641" s="249"/>
      <c r="G641" s="248"/>
      <c r="H641" s="94"/>
      <c r="I641" s="249"/>
      <c r="J641" s="94"/>
      <c r="K641" s="250"/>
      <c r="L641" s="250"/>
      <c r="M641" s="250"/>
      <c r="N641" s="250"/>
      <c r="O641" s="250"/>
      <c r="P641" s="250"/>
      <c r="Q641" s="249"/>
      <c r="R641" s="94"/>
      <c r="S641" s="94"/>
      <c r="T641" s="251"/>
      <c r="U641" s="94"/>
      <c r="V641" s="94"/>
      <c r="W641" s="94"/>
      <c r="X641" s="94"/>
      <c r="Y641" s="94"/>
      <c r="Z641" s="94"/>
      <c r="AA641" s="94"/>
    </row>
    <row r="642" spans="1:27" ht="15.75" customHeight="1">
      <c r="A642" s="94"/>
      <c r="B642" s="248"/>
      <c r="C642" s="94"/>
      <c r="D642" s="94"/>
      <c r="E642" s="94"/>
      <c r="F642" s="249"/>
      <c r="G642" s="248"/>
      <c r="H642" s="94"/>
      <c r="I642" s="249"/>
      <c r="J642" s="94"/>
      <c r="K642" s="250"/>
      <c r="L642" s="250"/>
      <c r="M642" s="250"/>
      <c r="N642" s="250"/>
      <c r="O642" s="250"/>
      <c r="P642" s="250"/>
      <c r="Q642" s="249"/>
      <c r="R642" s="94"/>
      <c r="S642" s="94"/>
      <c r="T642" s="251"/>
      <c r="U642" s="94"/>
      <c r="V642" s="94"/>
      <c r="W642" s="94"/>
      <c r="X642" s="94"/>
      <c r="Y642" s="94"/>
      <c r="Z642" s="94"/>
      <c r="AA642" s="94"/>
    </row>
    <row r="643" spans="1:27" ht="15.75" customHeight="1">
      <c r="A643" s="94"/>
      <c r="B643" s="248"/>
      <c r="C643" s="94"/>
      <c r="D643" s="94"/>
      <c r="E643" s="94"/>
      <c r="F643" s="249"/>
      <c r="G643" s="248"/>
      <c r="H643" s="94"/>
      <c r="I643" s="249"/>
      <c r="J643" s="94"/>
      <c r="K643" s="250"/>
      <c r="L643" s="250"/>
      <c r="M643" s="250"/>
      <c r="N643" s="250"/>
      <c r="O643" s="250"/>
      <c r="P643" s="250"/>
      <c r="Q643" s="249"/>
      <c r="R643" s="94"/>
      <c r="S643" s="94"/>
      <c r="T643" s="251"/>
      <c r="U643" s="94"/>
      <c r="V643" s="94"/>
      <c r="W643" s="94"/>
      <c r="X643" s="94"/>
      <c r="Y643" s="94"/>
      <c r="Z643" s="94"/>
      <c r="AA643" s="94"/>
    </row>
    <row r="644" spans="1:27" ht="15.75" customHeight="1">
      <c r="A644" s="94"/>
      <c r="B644" s="248"/>
      <c r="C644" s="94"/>
      <c r="D644" s="94"/>
      <c r="E644" s="94"/>
      <c r="F644" s="249"/>
      <c r="G644" s="248"/>
      <c r="H644" s="94"/>
      <c r="I644" s="249"/>
      <c r="J644" s="94"/>
      <c r="K644" s="250"/>
      <c r="L644" s="250"/>
      <c r="M644" s="250"/>
      <c r="N644" s="250"/>
      <c r="O644" s="250"/>
      <c r="P644" s="250"/>
      <c r="Q644" s="249"/>
      <c r="R644" s="94"/>
      <c r="S644" s="94"/>
      <c r="T644" s="251"/>
      <c r="U644" s="94"/>
      <c r="V644" s="94"/>
      <c r="W644" s="94"/>
      <c r="X644" s="94"/>
      <c r="Y644" s="94"/>
      <c r="Z644" s="94"/>
      <c r="AA644" s="94"/>
    </row>
    <row r="645" spans="1:27" ht="15.75" customHeight="1">
      <c r="A645" s="94"/>
      <c r="B645" s="248"/>
      <c r="C645" s="94"/>
      <c r="D645" s="94"/>
      <c r="E645" s="94"/>
      <c r="F645" s="249"/>
      <c r="G645" s="248"/>
      <c r="H645" s="94"/>
      <c r="I645" s="249"/>
      <c r="J645" s="94"/>
      <c r="K645" s="250"/>
      <c r="L645" s="250"/>
      <c r="M645" s="250"/>
      <c r="N645" s="250"/>
      <c r="O645" s="250"/>
      <c r="P645" s="250"/>
      <c r="Q645" s="249"/>
      <c r="R645" s="94"/>
      <c r="S645" s="94"/>
      <c r="T645" s="251"/>
      <c r="U645" s="94"/>
      <c r="V645" s="94"/>
      <c r="W645" s="94"/>
      <c r="X645" s="94"/>
      <c r="Y645" s="94"/>
      <c r="Z645" s="94"/>
      <c r="AA645" s="94"/>
    </row>
    <row r="646" spans="1:27" ht="15.75" customHeight="1">
      <c r="A646" s="94"/>
      <c r="B646" s="248"/>
      <c r="C646" s="94"/>
      <c r="D646" s="94"/>
      <c r="E646" s="94"/>
      <c r="F646" s="249"/>
      <c r="G646" s="248"/>
      <c r="H646" s="94"/>
      <c r="I646" s="249"/>
      <c r="J646" s="94"/>
      <c r="K646" s="250"/>
      <c r="L646" s="250"/>
      <c r="M646" s="250"/>
      <c r="N646" s="250"/>
      <c r="O646" s="250"/>
      <c r="P646" s="250"/>
      <c r="Q646" s="249"/>
      <c r="R646" s="94"/>
      <c r="S646" s="94"/>
      <c r="T646" s="251"/>
      <c r="U646" s="94"/>
      <c r="V646" s="94"/>
      <c r="W646" s="94"/>
      <c r="X646" s="94"/>
      <c r="Y646" s="94"/>
      <c r="Z646" s="94"/>
      <c r="AA646" s="94"/>
    </row>
    <row r="647" spans="1:27" ht="15.75" customHeight="1">
      <c r="A647" s="94"/>
      <c r="B647" s="248"/>
      <c r="C647" s="94"/>
      <c r="D647" s="94"/>
      <c r="E647" s="94"/>
      <c r="F647" s="249"/>
      <c r="G647" s="248"/>
      <c r="H647" s="94"/>
      <c r="I647" s="249"/>
      <c r="J647" s="94"/>
      <c r="K647" s="250"/>
      <c r="L647" s="250"/>
      <c r="M647" s="250"/>
      <c r="N647" s="250"/>
      <c r="O647" s="250"/>
      <c r="P647" s="250"/>
      <c r="Q647" s="249"/>
      <c r="R647" s="94"/>
      <c r="S647" s="94"/>
      <c r="T647" s="251"/>
      <c r="U647" s="94"/>
      <c r="V647" s="94"/>
      <c r="W647" s="94"/>
      <c r="X647" s="94"/>
      <c r="Y647" s="94"/>
      <c r="Z647" s="94"/>
      <c r="AA647" s="94"/>
    </row>
    <row r="648" spans="1:27" ht="15.75" customHeight="1">
      <c r="A648" s="94"/>
      <c r="B648" s="248"/>
      <c r="C648" s="94"/>
      <c r="D648" s="94"/>
      <c r="E648" s="94"/>
      <c r="F648" s="249"/>
      <c r="G648" s="248"/>
      <c r="H648" s="94"/>
      <c r="I648" s="249"/>
      <c r="J648" s="94"/>
      <c r="K648" s="250"/>
      <c r="L648" s="250"/>
      <c r="M648" s="250"/>
      <c r="N648" s="250"/>
      <c r="O648" s="250"/>
      <c r="P648" s="250"/>
      <c r="Q648" s="249"/>
      <c r="R648" s="94"/>
      <c r="S648" s="94"/>
      <c r="T648" s="251"/>
      <c r="U648" s="94"/>
      <c r="V648" s="94"/>
      <c r="W648" s="94"/>
      <c r="X648" s="94"/>
      <c r="Y648" s="94"/>
      <c r="Z648" s="94"/>
      <c r="AA648" s="94"/>
    </row>
    <row r="649" spans="1:27" ht="15.75" customHeight="1">
      <c r="A649" s="94"/>
      <c r="B649" s="248"/>
      <c r="C649" s="94"/>
      <c r="D649" s="94"/>
      <c r="E649" s="94"/>
      <c r="F649" s="249"/>
      <c r="G649" s="248"/>
      <c r="H649" s="94"/>
      <c r="I649" s="249"/>
      <c r="J649" s="94"/>
      <c r="K649" s="250"/>
      <c r="L649" s="250"/>
      <c r="M649" s="250"/>
      <c r="N649" s="250"/>
      <c r="O649" s="250"/>
      <c r="P649" s="250"/>
      <c r="Q649" s="249"/>
      <c r="R649" s="94"/>
      <c r="S649" s="94"/>
      <c r="T649" s="251"/>
      <c r="U649" s="94"/>
      <c r="V649" s="94"/>
      <c r="W649" s="94"/>
      <c r="X649" s="94"/>
      <c r="Y649" s="94"/>
      <c r="Z649" s="94"/>
      <c r="AA649" s="94"/>
    </row>
    <row r="650" spans="1:27" ht="15.75" customHeight="1">
      <c r="A650" s="94"/>
      <c r="B650" s="248"/>
      <c r="C650" s="94"/>
      <c r="D650" s="94"/>
      <c r="E650" s="94"/>
      <c r="F650" s="249"/>
      <c r="G650" s="248"/>
      <c r="H650" s="94"/>
      <c r="I650" s="249"/>
      <c r="J650" s="94"/>
      <c r="K650" s="250"/>
      <c r="L650" s="250"/>
      <c r="M650" s="250"/>
      <c r="N650" s="250"/>
      <c r="O650" s="250"/>
      <c r="P650" s="250"/>
      <c r="Q650" s="249"/>
      <c r="R650" s="94"/>
      <c r="S650" s="94"/>
      <c r="T650" s="251"/>
      <c r="U650" s="94"/>
      <c r="V650" s="94"/>
      <c r="W650" s="94"/>
      <c r="X650" s="94"/>
      <c r="Y650" s="94"/>
      <c r="Z650" s="94"/>
      <c r="AA650" s="94"/>
    </row>
    <row r="651" spans="1:27" ht="15.75" customHeight="1">
      <c r="A651" s="94"/>
      <c r="B651" s="248"/>
      <c r="C651" s="94"/>
      <c r="D651" s="94"/>
      <c r="E651" s="94"/>
      <c r="F651" s="249"/>
      <c r="G651" s="248"/>
      <c r="H651" s="94"/>
      <c r="I651" s="249"/>
      <c r="J651" s="94"/>
      <c r="K651" s="250"/>
      <c r="L651" s="250"/>
      <c r="M651" s="250"/>
      <c r="N651" s="250"/>
      <c r="O651" s="250"/>
      <c r="P651" s="250"/>
      <c r="Q651" s="249"/>
      <c r="R651" s="94"/>
      <c r="S651" s="94"/>
      <c r="T651" s="251"/>
      <c r="U651" s="94"/>
      <c r="V651" s="94"/>
      <c r="W651" s="94"/>
      <c r="X651" s="94"/>
      <c r="Y651" s="94"/>
      <c r="Z651" s="94"/>
      <c r="AA651" s="94"/>
    </row>
    <row r="652" spans="1:27" ht="15.75" customHeight="1">
      <c r="A652" s="94"/>
      <c r="B652" s="248"/>
      <c r="C652" s="94"/>
      <c r="D652" s="94"/>
      <c r="E652" s="94"/>
      <c r="F652" s="249"/>
      <c r="G652" s="248"/>
      <c r="H652" s="94"/>
      <c r="I652" s="249"/>
      <c r="J652" s="94"/>
      <c r="K652" s="250"/>
      <c r="L652" s="250"/>
      <c r="M652" s="250"/>
      <c r="N652" s="250"/>
      <c r="O652" s="250"/>
      <c r="P652" s="250"/>
      <c r="Q652" s="249"/>
      <c r="R652" s="94"/>
      <c r="S652" s="94"/>
      <c r="T652" s="251"/>
      <c r="U652" s="94"/>
      <c r="V652" s="94"/>
      <c r="W652" s="94"/>
      <c r="X652" s="94"/>
      <c r="Y652" s="94"/>
      <c r="Z652" s="94"/>
      <c r="AA652" s="94"/>
    </row>
    <row r="653" spans="1:27" ht="15.75" customHeight="1">
      <c r="A653" s="94"/>
      <c r="B653" s="248"/>
      <c r="C653" s="94"/>
      <c r="D653" s="94"/>
      <c r="E653" s="94"/>
      <c r="F653" s="249"/>
      <c r="G653" s="248"/>
      <c r="H653" s="94"/>
      <c r="I653" s="249"/>
      <c r="J653" s="94"/>
      <c r="K653" s="250"/>
      <c r="L653" s="250"/>
      <c r="M653" s="250"/>
      <c r="N653" s="250"/>
      <c r="O653" s="250"/>
      <c r="P653" s="250"/>
      <c r="Q653" s="249"/>
      <c r="R653" s="94"/>
      <c r="S653" s="94"/>
      <c r="T653" s="251"/>
      <c r="U653" s="94"/>
      <c r="V653" s="94"/>
      <c r="W653" s="94"/>
      <c r="X653" s="94"/>
      <c r="Y653" s="94"/>
      <c r="Z653" s="94"/>
      <c r="AA653" s="94"/>
    </row>
    <row r="654" spans="1:27" ht="15.75" customHeight="1">
      <c r="A654" s="94"/>
      <c r="B654" s="248"/>
      <c r="C654" s="94"/>
      <c r="D654" s="94"/>
      <c r="E654" s="94"/>
      <c r="F654" s="249"/>
      <c r="G654" s="248"/>
      <c r="H654" s="94"/>
      <c r="I654" s="249"/>
      <c r="J654" s="94"/>
      <c r="K654" s="250"/>
      <c r="L654" s="250"/>
      <c r="M654" s="250"/>
      <c r="N654" s="250"/>
      <c r="O654" s="250"/>
      <c r="P654" s="250"/>
      <c r="Q654" s="249"/>
      <c r="R654" s="94"/>
      <c r="S654" s="94"/>
      <c r="T654" s="251"/>
      <c r="U654" s="94"/>
      <c r="V654" s="94"/>
      <c r="W654" s="94"/>
      <c r="X654" s="94"/>
      <c r="Y654" s="94"/>
      <c r="Z654" s="94"/>
      <c r="AA654" s="94"/>
    </row>
    <row r="655" spans="1:27" ht="15.75" customHeight="1">
      <c r="A655" s="94"/>
      <c r="B655" s="248"/>
      <c r="C655" s="94"/>
      <c r="D655" s="94"/>
      <c r="E655" s="94"/>
      <c r="F655" s="249"/>
      <c r="G655" s="248"/>
      <c r="H655" s="94"/>
      <c r="I655" s="249"/>
      <c r="J655" s="94"/>
      <c r="K655" s="250"/>
      <c r="L655" s="250"/>
      <c r="M655" s="250"/>
      <c r="N655" s="250"/>
      <c r="O655" s="250"/>
      <c r="P655" s="250"/>
      <c r="Q655" s="249"/>
      <c r="R655" s="94"/>
      <c r="S655" s="94"/>
      <c r="T655" s="251"/>
      <c r="U655" s="94"/>
      <c r="V655" s="94"/>
      <c r="W655" s="94"/>
      <c r="X655" s="94"/>
      <c r="Y655" s="94"/>
      <c r="Z655" s="94"/>
      <c r="AA655" s="94"/>
    </row>
    <row r="656" spans="1:27" ht="15.75" customHeight="1">
      <c r="A656" s="94"/>
      <c r="B656" s="248"/>
      <c r="C656" s="94"/>
      <c r="D656" s="94"/>
      <c r="E656" s="94"/>
      <c r="F656" s="249"/>
      <c r="G656" s="248"/>
      <c r="H656" s="94"/>
      <c r="I656" s="249"/>
      <c r="J656" s="94"/>
      <c r="K656" s="250"/>
      <c r="L656" s="250"/>
      <c r="M656" s="250"/>
      <c r="N656" s="250"/>
      <c r="O656" s="250"/>
      <c r="P656" s="250"/>
      <c r="Q656" s="249"/>
      <c r="R656" s="94"/>
      <c r="S656" s="94"/>
      <c r="T656" s="251"/>
      <c r="U656" s="94"/>
      <c r="V656" s="94"/>
      <c r="W656" s="94"/>
      <c r="X656" s="94"/>
      <c r="Y656" s="94"/>
      <c r="Z656" s="94"/>
      <c r="AA656" s="94"/>
    </row>
    <row r="657" spans="1:27" ht="15.75" customHeight="1">
      <c r="A657" s="94"/>
      <c r="B657" s="248"/>
      <c r="C657" s="94"/>
      <c r="D657" s="94"/>
      <c r="E657" s="94"/>
      <c r="F657" s="249"/>
      <c r="G657" s="248"/>
      <c r="H657" s="94"/>
      <c r="I657" s="249"/>
      <c r="J657" s="94"/>
      <c r="K657" s="250"/>
      <c r="L657" s="250"/>
      <c r="M657" s="250"/>
      <c r="N657" s="250"/>
      <c r="O657" s="250"/>
      <c r="P657" s="250"/>
      <c r="Q657" s="249"/>
      <c r="R657" s="94"/>
      <c r="S657" s="94"/>
      <c r="T657" s="251"/>
      <c r="U657" s="94"/>
      <c r="V657" s="94"/>
      <c r="W657" s="94"/>
      <c r="X657" s="94"/>
      <c r="Y657" s="94"/>
      <c r="Z657" s="94"/>
      <c r="AA657" s="94"/>
    </row>
    <row r="658" spans="1:27" ht="15.75" customHeight="1">
      <c r="A658" s="94"/>
      <c r="B658" s="248"/>
      <c r="C658" s="94"/>
      <c r="D658" s="94"/>
      <c r="E658" s="94"/>
      <c r="F658" s="249"/>
      <c r="G658" s="248"/>
      <c r="H658" s="94"/>
      <c r="I658" s="249"/>
      <c r="J658" s="94"/>
      <c r="K658" s="250"/>
      <c r="L658" s="250"/>
      <c r="M658" s="250"/>
      <c r="N658" s="250"/>
      <c r="O658" s="250"/>
      <c r="P658" s="250"/>
      <c r="Q658" s="249"/>
      <c r="R658" s="94"/>
      <c r="S658" s="94"/>
      <c r="T658" s="251"/>
      <c r="U658" s="94"/>
      <c r="V658" s="94"/>
      <c r="W658" s="94"/>
      <c r="X658" s="94"/>
      <c r="Y658" s="94"/>
      <c r="Z658" s="94"/>
      <c r="AA658" s="94"/>
    </row>
    <row r="659" spans="1:27" ht="15.75" customHeight="1">
      <c r="A659" s="94"/>
      <c r="B659" s="248"/>
      <c r="C659" s="94"/>
      <c r="D659" s="94"/>
      <c r="E659" s="94"/>
      <c r="F659" s="249"/>
      <c r="G659" s="248"/>
      <c r="H659" s="94"/>
      <c r="I659" s="249"/>
      <c r="J659" s="94"/>
      <c r="K659" s="250"/>
      <c r="L659" s="250"/>
      <c r="M659" s="250"/>
      <c r="N659" s="250"/>
      <c r="O659" s="250"/>
      <c r="P659" s="250"/>
      <c r="Q659" s="249"/>
      <c r="R659" s="94"/>
      <c r="S659" s="94"/>
      <c r="T659" s="251"/>
      <c r="U659" s="94"/>
      <c r="V659" s="94"/>
      <c r="W659" s="94"/>
      <c r="X659" s="94"/>
      <c r="Y659" s="94"/>
      <c r="Z659" s="94"/>
      <c r="AA659" s="94"/>
    </row>
    <row r="660" spans="1:27" ht="15.75" customHeight="1">
      <c r="A660" s="94"/>
      <c r="B660" s="248"/>
      <c r="C660" s="94"/>
      <c r="D660" s="94"/>
      <c r="E660" s="94"/>
      <c r="F660" s="249"/>
      <c r="G660" s="248"/>
      <c r="H660" s="94"/>
      <c r="I660" s="249"/>
      <c r="J660" s="94"/>
      <c r="K660" s="250"/>
      <c r="L660" s="250"/>
      <c r="M660" s="250"/>
      <c r="N660" s="250"/>
      <c r="O660" s="250"/>
      <c r="P660" s="250"/>
      <c r="Q660" s="249"/>
      <c r="R660" s="94"/>
      <c r="S660" s="94"/>
      <c r="T660" s="251"/>
      <c r="U660" s="94"/>
      <c r="V660" s="94"/>
      <c r="W660" s="94"/>
      <c r="X660" s="94"/>
      <c r="Y660" s="94"/>
      <c r="Z660" s="94"/>
      <c r="AA660" s="94"/>
    </row>
    <row r="661" spans="1:27" ht="15.75" customHeight="1">
      <c r="A661" s="94"/>
      <c r="B661" s="248"/>
      <c r="C661" s="94"/>
      <c r="D661" s="94"/>
      <c r="E661" s="94"/>
      <c r="F661" s="249"/>
      <c r="G661" s="248"/>
      <c r="H661" s="94"/>
      <c r="I661" s="249"/>
      <c r="J661" s="94"/>
      <c r="K661" s="250"/>
      <c r="L661" s="250"/>
      <c r="M661" s="250"/>
      <c r="N661" s="250"/>
      <c r="O661" s="250"/>
      <c r="P661" s="250"/>
      <c r="Q661" s="249"/>
      <c r="R661" s="94"/>
      <c r="S661" s="94"/>
      <c r="T661" s="251"/>
      <c r="U661" s="94"/>
      <c r="V661" s="94"/>
      <c r="W661" s="94"/>
      <c r="X661" s="94"/>
      <c r="Y661" s="94"/>
      <c r="Z661" s="94"/>
      <c r="AA661" s="94"/>
    </row>
    <row r="662" spans="1:27" ht="15.75" customHeight="1">
      <c r="A662" s="94"/>
      <c r="B662" s="248"/>
      <c r="C662" s="94"/>
      <c r="D662" s="94"/>
      <c r="E662" s="94"/>
      <c r="F662" s="249"/>
      <c r="G662" s="248"/>
      <c r="H662" s="94"/>
      <c r="I662" s="249"/>
      <c r="J662" s="94"/>
      <c r="K662" s="250"/>
      <c r="L662" s="250"/>
      <c r="M662" s="250"/>
      <c r="N662" s="250"/>
      <c r="O662" s="250"/>
      <c r="P662" s="250"/>
      <c r="Q662" s="249"/>
      <c r="R662" s="94"/>
      <c r="S662" s="94"/>
      <c r="T662" s="251"/>
      <c r="U662" s="94"/>
      <c r="V662" s="94"/>
      <c r="W662" s="94"/>
      <c r="X662" s="94"/>
      <c r="Y662" s="94"/>
      <c r="Z662" s="94"/>
      <c r="AA662" s="94"/>
    </row>
    <row r="663" spans="1:27" ht="15.75" customHeight="1">
      <c r="A663" s="94"/>
      <c r="B663" s="248"/>
      <c r="C663" s="94"/>
      <c r="D663" s="94"/>
      <c r="E663" s="94"/>
      <c r="F663" s="249"/>
      <c r="G663" s="248"/>
      <c r="H663" s="94"/>
      <c r="I663" s="249"/>
      <c r="J663" s="94"/>
      <c r="K663" s="250"/>
      <c r="L663" s="250"/>
      <c r="M663" s="250"/>
      <c r="N663" s="250"/>
      <c r="O663" s="250"/>
      <c r="P663" s="250"/>
      <c r="Q663" s="249"/>
      <c r="R663" s="94"/>
      <c r="S663" s="94"/>
      <c r="T663" s="251"/>
      <c r="U663" s="94"/>
      <c r="V663" s="94"/>
      <c r="W663" s="94"/>
      <c r="X663" s="94"/>
      <c r="Y663" s="94"/>
      <c r="Z663" s="94"/>
      <c r="AA663" s="94"/>
    </row>
    <row r="664" spans="1:27" ht="15.75" customHeight="1">
      <c r="A664" s="94"/>
      <c r="B664" s="248"/>
      <c r="C664" s="94"/>
      <c r="D664" s="94"/>
      <c r="E664" s="94"/>
      <c r="F664" s="249"/>
      <c r="G664" s="248"/>
      <c r="H664" s="94"/>
      <c r="I664" s="249"/>
      <c r="J664" s="94"/>
      <c r="K664" s="250"/>
      <c r="L664" s="250"/>
      <c r="M664" s="250"/>
      <c r="N664" s="250"/>
      <c r="O664" s="250"/>
      <c r="P664" s="250"/>
      <c r="Q664" s="249"/>
      <c r="R664" s="94"/>
      <c r="S664" s="94"/>
      <c r="T664" s="251"/>
      <c r="U664" s="94"/>
      <c r="V664" s="94"/>
      <c r="W664" s="94"/>
      <c r="X664" s="94"/>
      <c r="Y664" s="94"/>
      <c r="Z664" s="94"/>
      <c r="AA664" s="94"/>
    </row>
    <row r="665" spans="1:27" ht="15.75" customHeight="1">
      <c r="A665" s="94"/>
      <c r="B665" s="248"/>
      <c r="C665" s="94"/>
      <c r="D665" s="94"/>
      <c r="E665" s="94"/>
      <c r="F665" s="249"/>
      <c r="G665" s="248"/>
      <c r="H665" s="94"/>
      <c r="I665" s="249"/>
      <c r="J665" s="94"/>
      <c r="K665" s="250"/>
      <c r="L665" s="250"/>
      <c r="M665" s="250"/>
      <c r="N665" s="250"/>
      <c r="O665" s="250"/>
      <c r="P665" s="250"/>
      <c r="Q665" s="249"/>
      <c r="R665" s="94"/>
      <c r="S665" s="94"/>
      <c r="T665" s="251"/>
      <c r="U665" s="94"/>
      <c r="V665" s="94"/>
      <c r="W665" s="94"/>
      <c r="X665" s="94"/>
      <c r="Y665" s="94"/>
      <c r="Z665" s="94"/>
      <c r="AA665" s="94"/>
    </row>
    <row r="666" spans="1:27" ht="15.75" customHeight="1">
      <c r="A666" s="94"/>
      <c r="B666" s="248"/>
      <c r="C666" s="94"/>
      <c r="D666" s="94"/>
      <c r="E666" s="94"/>
      <c r="F666" s="249"/>
      <c r="G666" s="248"/>
      <c r="H666" s="94"/>
      <c r="I666" s="249"/>
      <c r="J666" s="94"/>
      <c r="K666" s="250"/>
      <c r="L666" s="250"/>
      <c r="M666" s="250"/>
      <c r="N666" s="250"/>
      <c r="O666" s="250"/>
      <c r="P666" s="250"/>
      <c r="Q666" s="249"/>
      <c r="R666" s="94"/>
      <c r="S666" s="94"/>
      <c r="T666" s="251"/>
      <c r="U666" s="94"/>
      <c r="V666" s="94"/>
      <c r="W666" s="94"/>
      <c r="X666" s="94"/>
      <c r="Y666" s="94"/>
      <c r="Z666" s="94"/>
      <c r="AA666" s="94"/>
    </row>
    <row r="667" spans="1:27" ht="15.75" customHeight="1">
      <c r="A667" s="94"/>
      <c r="B667" s="248"/>
      <c r="C667" s="94"/>
      <c r="D667" s="94"/>
      <c r="E667" s="94"/>
      <c r="F667" s="249"/>
      <c r="G667" s="248"/>
      <c r="H667" s="94"/>
      <c r="I667" s="249"/>
      <c r="J667" s="94"/>
      <c r="K667" s="250"/>
      <c r="L667" s="250"/>
      <c r="M667" s="250"/>
      <c r="N667" s="250"/>
      <c r="O667" s="250"/>
      <c r="P667" s="250"/>
      <c r="Q667" s="249"/>
      <c r="R667" s="94"/>
      <c r="S667" s="94"/>
      <c r="T667" s="251"/>
      <c r="U667" s="94"/>
      <c r="V667" s="94"/>
      <c r="W667" s="94"/>
      <c r="X667" s="94"/>
      <c r="Y667" s="94"/>
      <c r="Z667" s="94"/>
      <c r="AA667" s="94"/>
    </row>
    <row r="668" spans="1:27" ht="15.75" customHeight="1">
      <c r="A668" s="94"/>
      <c r="B668" s="248"/>
      <c r="C668" s="94"/>
      <c r="D668" s="94"/>
      <c r="E668" s="94"/>
      <c r="F668" s="249"/>
      <c r="G668" s="248"/>
      <c r="H668" s="94"/>
      <c r="I668" s="249"/>
      <c r="J668" s="94"/>
      <c r="K668" s="250"/>
      <c r="L668" s="250"/>
      <c r="M668" s="250"/>
      <c r="N668" s="250"/>
      <c r="O668" s="250"/>
      <c r="P668" s="250"/>
      <c r="Q668" s="249"/>
      <c r="R668" s="94"/>
      <c r="S668" s="94"/>
      <c r="T668" s="251"/>
      <c r="U668" s="94"/>
      <c r="V668" s="94"/>
      <c r="W668" s="94"/>
      <c r="X668" s="94"/>
      <c r="Y668" s="94"/>
      <c r="Z668" s="94"/>
      <c r="AA668" s="94"/>
    </row>
    <row r="669" spans="1:27" ht="15.75" customHeight="1">
      <c r="A669" s="94"/>
      <c r="B669" s="248"/>
      <c r="C669" s="94"/>
      <c r="D669" s="94"/>
      <c r="E669" s="94"/>
      <c r="F669" s="249"/>
      <c r="G669" s="248"/>
      <c r="H669" s="94"/>
      <c r="I669" s="249"/>
      <c r="J669" s="94"/>
      <c r="K669" s="250"/>
      <c r="L669" s="250"/>
      <c r="M669" s="250"/>
      <c r="N669" s="250"/>
      <c r="O669" s="250"/>
      <c r="P669" s="250"/>
      <c r="Q669" s="249"/>
      <c r="R669" s="94"/>
      <c r="S669" s="94"/>
      <c r="T669" s="251"/>
      <c r="U669" s="94"/>
      <c r="V669" s="94"/>
      <c r="W669" s="94"/>
      <c r="X669" s="94"/>
      <c r="Y669" s="94"/>
      <c r="Z669" s="94"/>
      <c r="AA669" s="94"/>
    </row>
    <row r="670" spans="1:27" ht="15.75" customHeight="1">
      <c r="A670" s="94"/>
      <c r="B670" s="248"/>
      <c r="C670" s="94"/>
      <c r="D670" s="94"/>
      <c r="E670" s="94"/>
      <c r="F670" s="249"/>
      <c r="G670" s="248"/>
      <c r="H670" s="94"/>
      <c r="I670" s="249"/>
      <c r="J670" s="94"/>
      <c r="K670" s="250"/>
      <c r="L670" s="250"/>
      <c r="M670" s="250"/>
      <c r="N670" s="250"/>
      <c r="O670" s="250"/>
      <c r="P670" s="250"/>
      <c r="Q670" s="249"/>
      <c r="R670" s="94"/>
      <c r="S670" s="94"/>
      <c r="T670" s="251"/>
      <c r="U670" s="94"/>
      <c r="V670" s="94"/>
      <c r="W670" s="94"/>
      <c r="X670" s="94"/>
      <c r="Y670" s="94"/>
      <c r="Z670" s="94"/>
      <c r="AA670" s="94"/>
    </row>
    <row r="671" spans="1:27" ht="15.75" customHeight="1">
      <c r="A671" s="94"/>
      <c r="B671" s="248"/>
      <c r="C671" s="94"/>
      <c r="D671" s="94"/>
      <c r="E671" s="94"/>
      <c r="F671" s="249"/>
      <c r="G671" s="248"/>
      <c r="H671" s="94"/>
      <c r="I671" s="249"/>
      <c r="J671" s="94"/>
      <c r="K671" s="250"/>
      <c r="L671" s="250"/>
      <c r="M671" s="250"/>
      <c r="N671" s="250"/>
      <c r="O671" s="250"/>
      <c r="P671" s="250"/>
      <c r="Q671" s="249"/>
      <c r="R671" s="94"/>
      <c r="S671" s="94"/>
      <c r="T671" s="251"/>
      <c r="U671" s="94"/>
      <c r="V671" s="94"/>
      <c r="W671" s="94"/>
      <c r="X671" s="94"/>
      <c r="Y671" s="94"/>
      <c r="Z671" s="94"/>
      <c r="AA671" s="94"/>
    </row>
    <row r="672" spans="1:27" ht="15.75" customHeight="1">
      <c r="A672" s="94"/>
      <c r="B672" s="248"/>
      <c r="C672" s="94"/>
      <c r="D672" s="94"/>
      <c r="E672" s="94"/>
      <c r="F672" s="249"/>
      <c r="G672" s="248"/>
      <c r="H672" s="94"/>
      <c r="I672" s="249"/>
      <c r="J672" s="94"/>
      <c r="K672" s="250"/>
      <c r="L672" s="250"/>
      <c r="M672" s="250"/>
      <c r="N672" s="250"/>
      <c r="O672" s="250"/>
      <c r="P672" s="250"/>
      <c r="Q672" s="249"/>
      <c r="R672" s="94"/>
      <c r="S672" s="94"/>
      <c r="T672" s="251"/>
      <c r="U672" s="94"/>
      <c r="V672" s="94"/>
      <c r="W672" s="94"/>
      <c r="X672" s="94"/>
      <c r="Y672" s="94"/>
      <c r="Z672" s="94"/>
      <c r="AA672" s="94"/>
    </row>
    <row r="673" spans="1:27" ht="15.75" customHeight="1">
      <c r="A673" s="94"/>
      <c r="B673" s="248"/>
      <c r="C673" s="94"/>
      <c r="D673" s="94"/>
      <c r="E673" s="94"/>
      <c r="F673" s="249"/>
      <c r="G673" s="248"/>
      <c r="H673" s="94"/>
      <c r="I673" s="249"/>
      <c r="J673" s="94"/>
      <c r="K673" s="250"/>
      <c r="L673" s="250"/>
      <c r="M673" s="250"/>
      <c r="N673" s="250"/>
      <c r="O673" s="250"/>
      <c r="P673" s="250"/>
      <c r="Q673" s="249"/>
      <c r="R673" s="94"/>
      <c r="S673" s="94"/>
      <c r="T673" s="251"/>
      <c r="U673" s="94"/>
      <c r="V673" s="94"/>
      <c r="W673" s="94"/>
      <c r="X673" s="94"/>
      <c r="Y673" s="94"/>
      <c r="Z673" s="94"/>
      <c r="AA673" s="94"/>
    </row>
    <row r="674" spans="1:27" ht="15.75" customHeight="1">
      <c r="A674" s="94"/>
      <c r="B674" s="248"/>
      <c r="C674" s="94"/>
      <c r="D674" s="94"/>
      <c r="E674" s="94"/>
      <c r="F674" s="249"/>
      <c r="G674" s="248"/>
      <c r="H674" s="94"/>
      <c r="I674" s="249"/>
      <c r="J674" s="94"/>
      <c r="K674" s="250"/>
      <c r="L674" s="250"/>
      <c r="M674" s="250"/>
      <c r="N674" s="250"/>
      <c r="O674" s="250"/>
      <c r="P674" s="250"/>
      <c r="Q674" s="249"/>
      <c r="R674" s="94"/>
      <c r="S674" s="94"/>
      <c r="T674" s="251"/>
      <c r="U674" s="94"/>
      <c r="V674" s="94"/>
      <c r="W674" s="94"/>
      <c r="X674" s="94"/>
      <c r="Y674" s="94"/>
      <c r="Z674" s="94"/>
      <c r="AA674" s="94"/>
    </row>
    <row r="675" spans="1:27" ht="15.75" customHeight="1">
      <c r="A675" s="94"/>
      <c r="B675" s="248"/>
      <c r="C675" s="94"/>
      <c r="D675" s="94"/>
      <c r="E675" s="94"/>
      <c r="F675" s="249"/>
      <c r="G675" s="248"/>
      <c r="H675" s="94"/>
      <c r="I675" s="249"/>
      <c r="J675" s="94"/>
      <c r="K675" s="250"/>
      <c r="L675" s="250"/>
      <c r="M675" s="250"/>
      <c r="N675" s="250"/>
      <c r="O675" s="250"/>
      <c r="P675" s="250"/>
      <c r="Q675" s="249"/>
      <c r="R675" s="94"/>
      <c r="S675" s="94"/>
      <c r="T675" s="251"/>
      <c r="U675" s="94"/>
      <c r="V675" s="94"/>
      <c r="W675" s="94"/>
      <c r="X675" s="94"/>
      <c r="Y675" s="94"/>
      <c r="Z675" s="94"/>
      <c r="AA675" s="94"/>
    </row>
    <row r="676" spans="1:27" ht="15.75" customHeight="1">
      <c r="A676" s="94"/>
      <c r="B676" s="248"/>
      <c r="C676" s="94"/>
      <c r="D676" s="94"/>
      <c r="E676" s="94"/>
      <c r="F676" s="249"/>
      <c r="G676" s="248"/>
      <c r="H676" s="94"/>
      <c r="I676" s="249"/>
      <c r="J676" s="94"/>
      <c r="K676" s="250"/>
      <c r="L676" s="250"/>
      <c r="M676" s="250"/>
      <c r="N676" s="250"/>
      <c r="O676" s="250"/>
      <c r="P676" s="250"/>
      <c r="Q676" s="249"/>
      <c r="R676" s="94"/>
      <c r="S676" s="94"/>
      <c r="T676" s="251"/>
      <c r="U676" s="94"/>
      <c r="V676" s="94"/>
      <c r="W676" s="94"/>
      <c r="X676" s="94"/>
      <c r="Y676" s="94"/>
      <c r="Z676" s="94"/>
      <c r="AA676" s="94"/>
    </row>
    <row r="677" spans="1:27" ht="15.75" customHeight="1">
      <c r="A677" s="94"/>
      <c r="B677" s="248"/>
      <c r="C677" s="94"/>
      <c r="D677" s="94"/>
      <c r="E677" s="94"/>
      <c r="F677" s="249"/>
      <c r="G677" s="248"/>
      <c r="H677" s="94"/>
      <c r="I677" s="249"/>
      <c r="J677" s="94"/>
      <c r="K677" s="250"/>
      <c r="L677" s="250"/>
      <c r="M677" s="250"/>
      <c r="N677" s="250"/>
      <c r="O677" s="250"/>
      <c r="P677" s="250"/>
      <c r="Q677" s="249"/>
      <c r="R677" s="94"/>
      <c r="S677" s="94"/>
      <c r="T677" s="251"/>
      <c r="U677" s="94"/>
      <c r="V677" s="94"/>
      <c r="W677" s="94"/>
      <c r="X677" s="94"/>
      <c r="Y677" s="94"/>
      <c r="Z677" s="94"/>
      <c r="AA677" s="94"/>
    </row>
    <row r="678" spans="1:27" ht="15.75" customHeight="1">
      <c r="A678" s="94"/>
      <c r="B678" s="248"/>
      <c r="C678" s="94"/>
      <c r="D678" s="94"/>
      <c r="E678" s="94"/>
      <c r="F678" s="249"/>
      <c r="G678" s="248"/>
      <c r="H678" s="94"/>
      <c r="I678" s="249"/>
      <c r="J678" s="94"/>
      <c r="K678" s="250"/>
      <c r="L678" s="250"/>
      <c r="M678" s="250"/>
      <c r="N678" s="250"/>
      <c r="O678" s="250"/>
      <c r="P678" s="250"/>
      <c r="Q678" s="249"/>
      <c r="R678" s="94"/>
      <c r="S678" s="94"/>
      <c r="T678" s="251"/>
      <c r="U678" s="94"/>
      <c r="V678" s="94"/>
      <c r="W678" s="94"/>
      <c r="X678" s="94"/>
      <c r="Y678" s="94"/>
      <c r="Z678" s="94"/>
      <c r="AA678" s="94"/>
    </row>
    <row r="679" spans="1:27" ht="15.75" customHeight="1">
      <c r="A679" s="94"/>
      <c r="B679" s="248"/>
      <c r="C679" s="94"/>
      <c r="D679" s="94"/>
      <c r="E679" s="94"/>
      <c r="F679" s="249"/>
      <c r="G679" s="248"/>
      <c r="H679" s="94"/>
      <c r="I679" s="249"/>
      <c r="J679" s="94"/>
      <c r="K679" s="250"/>
      <c r="L679" s="250"/>
      <c r="M679" s="250"/>
      <c r="N679" s="250"/>
      <c r="O679" s="250"/>
      <c r="P679" s="250"/>
      <c r="Q679" s="249"/>
      <c r="R679" s="94"/>
      <c r="S679" s="94"/>
      <c r="T679" s="251"/>
      <c r="U679" s="94"/>
      <c r="V679" s="94"/>
      <c r="W679" s="94"/>
      <c r="X679" s="94"/>
      <c r="Y679" s="94"/>
      <c r="Z679" s="94"/>
      <c r="AA679" s="94"/>
    </row>
    <row r="680" spans="1:27" ht="15.75" customHeight="1">
      <c r="A680" s="94"/>
      <c r="B680" s="248"/>
      <c r="C680" s="94"/>
      <c r="D680" s="94"/>
      <c r="E680" s="94"/>
      <c r="F680" s="249"/>
      <c r="G680" s="248"/>
      <c r="H680" s="94"/>
      <c r="I680" s="249"/>
      <c r="J680" s="94"/>
      <c r="K680" s="250"/>
      <c r="L680" s="250"/>
      <c r="M680" s="250"/>
      <c r="N680" s="250"/>
      <c r="O680" s="250"/>
      <c r="P680" s="250"/>
      <c r="Q680" s="249"/>
      <c r="R680" s="94"/>
      <c r="S680" s="94"/>
      <c r="T680" s="251"/>
      <c r="U680" s="94"/>
      <c r="V680" s="94"/>
      <c r="W680" s="94"/>
      <c r="X680" s="94"/>
      <c r="Y680" s="94"/>
      <c r="Z680" s="94"/>
      <c r="AA680" s="94"/>
    </row>
    <row r="681" spans="1:27" ht="15.75" customHeight="1">
      <c r="A681" s="94"/>
      <c r="B681" s="248"/>
      <c r="C681" s="94"/>
      <c r="D681" s="94"/>
      <c r="E681" s="94"/>
      <c r="F681" s="249"/>
      <c r="G681" s="248"/>
      <c r="H681" s="94"/>
      <c r="I681" s="249"/>
      <c r="J681" s="94"/>
      <c r="K681" s="250"/>
      <c r="L681" s="250"/>
      <c r="M681" s="250"/>
      <c r="N681" s="250"/>
      <c r="O681" s="250"/>
      <c r="P681" s="250"/>
      <c r="Q681" s="249"/>
      <c r="R681" s="94"/>
      <c r="S681" s="94"/>
      <c r="T681" s="251"/>
      <c r="U681" s="94"/>
      <c r="V681" s="94"/>
      <c r="W681" s="94"/>
      <c r="X681" s="94"/>
      <c r="Y681" s="94"/>
      <c r="Z681" s="94"/>
      <c r="AA681" s="94"/>
    </row>
    <row r="682" spans="1:27" ht="15.75" customHeight="1">
      <c r="A682" s="94"/>
      <c r="B682" s="248"/>
      <c r="C682" s="94"/>
      <c r="D682" s="94"/>
      <c r="E682" s="94"/>
      <c r="F682" s="249"/>
      <c r="G682" s="248"/>
      <c r="H682" s="94"/>
      <c r="I682" s="249"/>
      <c r="J682" s="94"/>
      <c r="K682" s="250"/>
      <c r="L682" s="250"/>
      <c r="M682" s="250"/>
      <c r="N682" s="250"/>
      <c r="O682" s="250"/>
      <c r="P682" s="250"/>
      <c r="Q682" s="249"/>
      <c r="R682" s="94"/>
      <c r="S682" s="94"/>
      <c r="T682" s="251"/>
      <c r="U682" s="94"/>
      <c r="V682" s="94"/>
      <c r="W682" s="94"/>
      <c r="X682" s="94"/>
      <c r="Y682" s="94"/>
      <c r="Z682" s="94"/>
      <c r="AA682" s="94"/>
    </row>
    <row r="683" spans="1:27" ht="15.75" customHeight="1">
      <c r="A683" s="94"/>
      <c r="B683" s="248"/>
      <c r="C683" s="94"/>
      <c r="D683" s="94"/>
      <c r="E683" s="94"/>
      <c r="F683" s="249"/>
      <c r="G683" s="248"/>
      <c r="H683" s="94"/>
      <c r="I683" s="249"/>
      <c r="J683" s="94"/>
      <c r="K683" s="250"/>
      <c r="L683" s="250"/>
      <c r="M683" s="250"/>
      <c r="N683" s="250"/>
      <c r="O683" s="250"/>
      <c r="P683" s="250"/>
      <c r="Q683" s="249"/>
      <c r="R683" s="94"/>
      <c r="S683" s="94"/>
      <c r="T683" s="251"/>
      <c r="U683" s="94"/>
      <c r="V683" s="94"/>
      <c r="W683" s="94"/>
      <c r="X683" s="94"/>
      <c r="Y683" s="94"/>
      <c r="Z683" s="94"/>
      <c r="AA683" s="94"/>
    </row>
    <row r="684" spans="1:27" ht="15.75" customHeight="1">
      <c r="A684" s="94"/>
      <c r="B684" s="248"/>
      <c r="C684" s="94"/>
      <c r="D684" s="94"/>
      <c r="E684" s="94"/>
      <c r="F684" s="249"/>
      <c r="G684" s="248"/>
      <c r="H684" s="94"/>
      <c r="I684" s="249"/>
      <c r="J684" s="94"/>
      <c r="K684" s="250"/>
      <c r="L684" s="250"/>
      <c r="M684" s="250"/>
      <c r="N684" s="250"/>
      <c r="O684" s="250"/>
      <c r="P684" s="250"/>
      <c r="Q684" s="249"/>
      <c r="R684" s="94"/>
      <c r="S684" s="94"/>
      <c r="T684" s="251"/>
      <c r="U684" s="94"/>
      <c r="V684" s="94"/>
      <c r="W684" s="94"/>
      <c r="X684" s="94"/>
      <c r="Y684" s="94"/>
      <c r="Z684" s="94"/>
      <c r="AA684" s="94"/>
    </row>
    <row r="685" spans="1:27" ht="15.75" customHeight="1">
      <c r="A685" s="94"/>
      <c r="B685" s="248"/>
      <c r="C685" s="94"/>
      <c r="D685" s="94"/>
      <c r="E685" s="94"/>
      <c r="F685" s="249"/>
      <c r="G685" s="248"/>
      <c r="H685" s="94"/>
      <c r="I685" s="249"/>
      <c r="J685" s="94"/>
      <c r="K685" s="250"/>
      <c r="L685" s="250"/>
      <c r="M685" s="250"/>
      <c r="N685" s="250"/>
      <c r="O685" s="250"/>
      <c r="P685" s="250"/>
      <c r="Q685" s="249"/>
      <c r="R685" s="94"/>
      <c r="S685" s="94"/>
      <c r="T685" s="251"/>
      <c r="U685" s="94"/>
      <c r="V685" s="94"/>
      <c r="W685" s="94"/>
      <c r="X685" s="94"/>
      <c r="Y685" s="94"/>
      <c r="Z685" s="94"/>
      <c r="AA685" s="94"/>
    </row>
    <row r="686" spans="1:27" ht="15.75" customHeight="1">
      <c r="A686" s="94"/>
      <c r="B686" s="248"/>
      <c r="C686" s="94"/>
      <c r="D686" s="94"/>
      <c r="E686" s="94"/>
      <c r="F686" s="249"/>
      <c r="G686" s="248"/>
      <c r="H686" s="94"/>
      <c r="I686" s="249"/>
      <c r="J686" s="94"/>
      <c r="K686" s="250"/>
      <c r="L686" s="250"/>
      <c r="M686" s="250"/>
      <c r="N686" s="250"/>
      <c r="O686" s="250"/>
      <c r="P686" s="250"/>
      <c r="Q686" s="249"/>
      <c r="R686" s="94"/>
      <c r="S686" s="94"/>
      <c r="T686" s="251"/>
      <c r="U686" s="94"/>
      <c r="V686" s="94"/>
      <c r="W686" s="94"/>
      <c r="X686" s="94"/>
      <c r="Y686" s="94"/>
      <c r="Z686" s="94"/>
      <c r="AA686" s="94"/>
    </row>
    <row r="687" spans="1:27" ht="15.75" customHeight="1">
      <c r="A687" s="94"/>
      <c r="B687" s="248"/>
      <c r="C687" s="94"/>
      <c r="D687" s="94"/>
      <c r="E687" s="94"/>
      <c r="F687" s="249"/>
      <c r="G687" s="248"/>
      <c r="H687" s="94"/>
      <c r="I687" s="249"/>
      <c r="J687" s="94"/>
      <c r="K687" s="250"/>
      <c r="L687" s="250"/>
      <c r="M687" s="250"/>
      <c r="N687" s="250"/>
      <c r="O687" s="250"/>
      <c r="P687" s="250"/>
      <c r="Q687" s="249"/>
      <c r="R687" s="94"/>
      <c r="S687" s="94"/>
      <c r="T687" s="251"/>
      <c r="U687" s="94"/>
      <c r="V687" s="94"/>
      <c r="W687" s="94"/>
      <c r="X687" s="94"/>
      <c r="Y687" s="94"/>
      <c r="Z687" s="94"/>
      <c r="AA687" s="94"/>
    </row>
    <row r="688" spans="1:27" ht="15.75" customHeight="1">
      <c r="A688" s="94"/>
      <c r="B688" s="248"/>
      <c r="C688" s="94"/>
      <c r="D688" s="94"/>
      <c r="E688" s="94"/>
      <c r="F688" s="249"/>
      <c r="G688" s="248"/>
      <c r="H688" s="94"/>
      <c r="I688" s="249"/>
      <c r="J688" s="94"/>
      <c r="K688" s="250"/>
      <c r="L688" s="250"/>
      <c r="M688" s="250"/>
      <c r="N688" s="250"/>
      <c r="O688" s="250"/>
      <c r="P688" s="250"/>
      <c r="Q688" s="249"/>
      <c r="R688" s="94"/>
      <c r="S688" s="94"/>
      <c r="T688" s="251"/>
      <c r="U688" s="94"/>
      <c r="V688" s="94"/>
      <c r="W688" s="94"/>
      <c r="X688" s="94"/>
      <c r="Y688" s="94"/>
      <c r="Z688" s="94"/>
      <c r="AA688" s="94"/>
    </row>
    <row r="689" spans="1:27" ht="15.75" customHeight="1">
      <c r="A689" s="94"/>
      <c r="B689" s="248"/>
      <c r="C689" s="94"/>
      <c r="D689" s="94"/>
      <c r="E689" s="94"/>
      <c r="F689" s="249"/>
      <c r="G689" s="248"/>
      <c r="H689" s="94"/>
      <c r="I689" s="249"/>
      <c r="J689" s="94"/>
      <c r="K689" s="250"/>
      <c r="L689" s="250"/>
      <c r="M689" s="250"/>
      <c r="N689" s="250"/>
      <c r="O689" s="250"/>
      <c r="P689" s="250"/>
      <c r="Q689" s="249"/>
      <c r="R689" s="94"/>
      <c r="S689" s="94"/>
      <c r="T689" s="251"/>
      <c r="U689" s="94"/>
      <c r="V689" s="94"/>
      <c r="W689" s="94"/>
      <c r="X689" s="94"/>
      <c r="Y689" s="94"/>
      <c r="Z689" s="94"/>
      <c r="AA689" s="94"/>
    </row>
    <row r="690" spans="1:27" ht="15.75" customHeight="1">
      <c r="A690" s="94"/>
      <c r="B690" s="248"/>
      <c r="C690" s="94"/>
      <c r="D690" s="94"/>
      <c r="E690" s="94"/>
      <c r="F690" s="249"/>
      <c r="G690" s="248"/>
      <c r="H690" s="94"/>
      <c r="I690" s="249"/>
      <c r="J690" s="94"/>
      <c r="K690" s="250"/>
      <c r="L690" s="250"/>
      <c r="M690" s="250"/>
      <c r="N690" s="250"/>
      <c r="O690" s="250"/>
      <c r="P690" s="250"/>
      <c r="Q690" s="249"/>
      <c r="R690" s="94"/>
      <c r="S690" s="94"/>
      <c r="T690" s="251"/>
      <c r="U690" s="94"/>
      <c r="V690" s="94"/>
      <c r="W690" s="94"/>
      <c r="X690" s="94"/>
      <c r="Y690" s="94"/>
      <c r="Z690" s="94"/>
      <c r="AA690" s="94"/>
    </row>
    <row r="691" spans="1:27" ht="15.75" customHeight="1">
      <c r="A691" s="94"/>
      <c r="B691" s="248"/>
      <c r="C691" s="94"/>
      <c r="D691" s="94"/>
      <c r="E691" s="94"/>
      <c r="F691" s="249"/>
      <c r="G691" s="248"/>
      <c r="H691" s="94"/>
      <c r="I691" s="249"/>
      <c r="J691" s="94"/>
      <c r="K691" s="250"/>
      <c r="L691" s="250"/>
      <c r="M691" s="250"/>
      <c r="N691" s="250"/>
      <c r="O691" s="250"/>
      <c r="P691" s="250"/>
      <c r="Q691" s="249"/>
      <c r="R691" s="94"/>
      <c r="S691" s="94"/>
      <c r="T691" s="251"/>
      <c r="U691" s="94"/>
      <c r="V691" s="94"/>
      <c r="W691" s="94"/>
      <c r="X691" s="94"/>
      <c r="Y691" s="94"/>
      <c r="Z691" s="94"/>
      <c r="AA691" s="94"/>
    </row>
    <row r="692" spans="1:27" ht="15.75" customHeight="1">
      <c r="A692" s="94"/>
      <c r="B692" s="248"/>
      <c r="C692" s="94"/>
      <c r="D692" s="94"/>
      <c r="E692" s="94"/>
      <c r="F692" s="249"/>
      <c r="G692" s="248"/>
      <c r="H692" s="94"/>
      <c r="I692" s="249"/>
      <c r="J692" s="94"/>
      <c r="K692" s="250"/>
      <c r="L692" s="250"/>
      <c r="M692" s="250"/>
      <c r="N692" s="250"/>
      <c r="O692" s="250"/>
      <c r="P692" s="250"/>
      <c r="Q692" s="249"/>
      <c r="R692" s="94"/>
      <c r="S692" s="94"/>
      <c r="T692" s="251"/>
      <c r="U692" s="94"/>
      <c r="V692" s="94"/>
      <c r="W692" s="94"/>
      <c r="X692" s="94"/>
      <c r="Y692" s="94"/>
      <c r="Z692" s="94"/>
      <c r="AA692" s="94"/>
    </row>
    <row r="693" spans="1:27" ht="15.75" customHeight="1">
      <c r="A693" s="94"/>
      <c r="B693" s="248"/>
      <c r="C693" s="94"/>
      <c r="D693" s="94"/>
      <c r="E693" s="94"/>
      <c r="F693" s="249"/>
      <c r="G693" s="248"/>
      <c r="H693" s="94"/>
      <c r="I693" s="249"/>
      <c r="J693" s="94"/>
      <c r="K693" s="250"/>
      <c r="L693" s="250"/>
      <c r="M693" s="250"/>
      <c r="N693" s="250"/>
      <c r="O693" s="250"/>
      <c r="P693" s="250"/>
      <c r="Q693" s="249"/>
      <c r="R693" s="94"/>
      <c r="S693" s="94"/>
      <c r="T693" s="251"/>
      <c r="U693" s="94"/>
      <c r="V693" s="94"/>
      <c r="W693" s="94"/>
      <c r="X693" s="94"/>
      <c r="Y693" s="94"/>
      <c r="Z693" s="94"/>
      <c r="AA693" s="94"/>
    </row>
    <row r="694" spans="1:27" ht="15.75" customHeight="1">
      <c r="A694" s="94"/>
      <c r="B694" s="248"/>
      <c r="C694" s="94"/>
      <c r="D694" s="94"/>
      <c r="E694" s="94"/>
      <c r="F694" s="249"/>
      <c r="G694" s="248"/>
      <c r="H694" s="94"/>
      <c r="I694" s="249"/>
      <c r="J694" s="94"/>
      <c r="K694" s="250"/>
      <c r="L694" s="250"/>
      <c r="M694" s="250"/>
      <c r="N694" s="250"/>
      <c r="O694" s="250"/>
      <c r="P694" s="250"/>
      <c r="Q694" s="249"/>
      <c r="R694" s="94"/>
      <c r="S694" s="94"/>
      <c r="T694" s="251"/>
      <c r="U694" s="94"/>
      <c r="V694" s="94"/>
      <c r="W694" s="94"/>
      <c r="X694" s="94"/>
      <c r="Y694" s="94"/>
      <c r="Z694" s="94"/>
      <c r="AA694" s="94"/>
    </row>
    <row r="695" spans="1:27" ht="15.75" customHeight="1">
      <c r="A695" s="94"/>
      <c r="B695" s="248"/>
      <c r="C695" s="94"/>
      <c r="D695" s="94"/>
      <c r="E695" s="94"/>
      <c r="F695" s="249"/>
      <c r="G695" s="248"/>
      <c r="H695" s="94"/>
      <c r="I695" s="249"/>
      <c r="J695" s="94"/>
      <c r="K695" s="250"/>
      <c r="L695" s="250"/>
      <c r="M695" s="250"/>
      <c r="N695" s="250"/>
      <c r="O695" s="250"/>
      <c r="P695" s="250"/>
      <c r="Q695" s="249"/>
      <c r="R695" s="94"/>
      <c r="S695" s="94"/>
      <c r="T695" s="251"/>
      <c r="U695" s="94"/>
      <c r="V695" s="94"/>
      <c r="W695" s="94"/>
      <c r="X695" s="94"/>
      <c r="Y695" s="94"/>
      <c r="Z695" s="94"/>
      <c r="AA695" s="94"/>
    </row>
    <row r="696" spans="1:27" ht="15.75" customHeight="1">
      <c r="A696" s="94"/>
      <c r="B696" s="248"/>
      <c r="C696" s="94"/>
      <c r="D696" s="94"/>
      <c r="E696" s="94"/>
      <c r="F696" s="249"/>
      <c r="G696" s="248"/>
      <c r="H696" s="94"/>
      <c r="I696" s="249"/>
      <c r="J696" s="94"/>
      <c r="K696" s="250"/>
      <c r="L696" s="250"/>
      <c r="M696" s="250"/>
      <c r="N696" s="250"/>
      <c r="O696" s="250"/>
      <c r="P696" s="250"/>
      <c r="Q696" s="249"/>
      <c r="R696" s="94"/>
      <c r="S696" s="94"/>
      <c r="T696" s="251"/>
      <c r="U696" s="94"/>
      <c r="V696" s="94"/>
      <c r="W696" s="94"/>
      <c r="X696" s="94"/>
      <c r="Y696" s="94"/>
      <c r="Z696" s="94"/>
      <c r="AA696" s="94"/>
    </row>
    <row r="697" spans="1:27" ht="15.75" customHeight="1">
      <c r="A697" s="94"/>
      <c r="B697" s="248"/>
      <c r="C697" s="94"/>
      <c r="D697" s="94"/>
      <c r="E697" s="94"/>
      <c r="F697" s="249"/>
      <c r="G697" s="248"/>
      <c r="H697" s="94"/>
      <c r="I697" s="249"/>
      <c r="J697" s="94"/>
      <c r="K697" s="250"/>
      <c r="L697" s="250"/>
      <c r="M697" s="250"/>
      <c r="N697" s="250"/>
      <c r="O697" s="250"/>
      <c r="P697" s="250"/>
      <c r="Q697" s="249"/>
      <c r="R697" s="94"/>
      <c r="S697" s="94"/>
      <c r="T697" s="251"/>
      <c r="U697" s="94"/>
      <c r="V697" s="94"/>
      <c r="W697" s="94"/>
      <c r="X697" s="94"/>
      <c r="Y697" s="94"/>
      <c r="Z697" s="94"/>
      <c r="AA697" s="94"/>
    </row>
    <row r="698" spans="1:27" ht="15.75" customHeight="1">
      <c r="A698" s="94"/>
      <c r="B698" s="248"/>
      <c r="C698" s="94"/>
      <c r="D698" s="94"/>
      <c r="E698" s="94"/>
      <c r="F698" s="249"/>
      <c r="G698" s="248"/>
      <c r="H698" s="94"/>
      <c r="I698" s="249"/>
      <c r="J698" s="94"/>
      <c r="K698" s="250"/>
      <c r="L698" s="250"/>
      <c r="M698" s="250"/>
      <c r="N698" s="250"/>
      <c r="O698" s="250"/>
      <c r="P698" s="250"/>
      <c r="Q698" s="249"/>
      <c r="R698" s="94"/>
      <c r="S698" s="94"/>
      <c r="T698" s="251"/>
      <c r="U698" s="94"/>
      <c r="V698" s="94"/>
      <c r="W698" s="94"/>
      <c r="X698" s="94"/>
      <c r="Y698" s="94"/>
      <c r="Z698" s="94"/>
      <c r="AA698" s="94"/>
    </row>
    <row r="699" spans="1:27" ht="15.75" customHeight="1">
      <c r="A699" s="94"/>
      <c r="B699" s="248"/>
      <c r="C699" s="94"/>
      <c r="D699" s="94"/>
      <c r="E699" s="94"/>
      <c r="F699" s="249"/>
      <c r="G699" s="248"/>
      <c r="H699" s="94"/>
      <c r="I699" s="249"/>
      <c r="J699" s="94"/>
      <c r="K699" s="250"/>
      <c r="L699" s="250"/>
      <c r="M699" s="250"/>
      <c r="N699" s="250"/>
      <c r="O699" s="250"/>
      <c r="P699" s="250"/>
      <c r="Q699" s="249"/>
      <c r="R699" s="94"/>
      <c r="S699" s="94"/>
      <c r="T699" s="251"/>
      <c r="U699" s="94"/>
      <c r="V699" s="94"/>
      <c r="W699" s="94"/>
      <c r="X699" s="94"/>
      <c r="Y699" s="94"/>
      <c r="Z699" s="94"/>
      <c r="AA699" s="94"/>
    </row>
    <row r="700" spans="1:27" ht="15.75" customHeight="1">
      <c r="A700" s="94"/>
      <c r="B700" s="248"/>
      <c r="C700" s="94"/>
      <c r="D700" s="94"/>
      <c r="E700" s="94"/>
      <c r="F700" s="249"/>
      <c r="G700" s="248"/>
      <c r="H700" s="94"/>
      <c r="I700" s="249"/>
      <c r="J700" s="94"/>
      <c r="K700" s="250"/>
      <c r="L700" s="250"/>
      <c r="M700" s="250"/>
      <c r="N700" s="250"/>
      <c r="O700" s="250"/>
      <c r="P700" s="250"/>
      <c r="Q700" s="249"/>
      <c r="R700" s="94"/>
      <c r="S700" s="94"/>
      <c r="T700" s="251"/>
      <c r="U700" s="94"/>
      <c r="V700" s="94"/>
      <c r="W700" s="94"/>
      <c r="X700" s="94"/>
      <c r="Y700" s="94"/>
      <c r="Z700" s="94"/>
      <c r="AA700" s="94"/>
    </row>
    <row r="701" spans="1:27" ht="15.75" customHeight="1">
      <c r="A701" s="94"/>
      <c r="B701" s="248"/>
      <c r="C701" s="94"/>
      <c r="D701" s="94"/>
      <c r="E701" s="94"/>
      <c r="F701" s="249"/>
      <c r="G701" s="248"/>
      <c r="H701" s="94"/>
      <c r="I701" s="249"/>
      <c r="J701" s="94"/>
      <c r="K701" s="250"/>
      <c r="L701" s="250"/>
      <c r="M701" s="250"/>
      <c r="N701" s="250"/>
      <c r="O701" s="250"/>
      <c r="P701" s="250"/>
      <c r="Q701" s="249"/>
      <c r="R701" s="94"/>
      <c r="S701" s="94"/>
      <c r="T701" s="251"/>
      <c r="U701" s="94"/>
      <c r="V701" s="94"/>
      <c r="W701" s="94"/>
      <c r="X701" s="94"/>
      <c r="Y701" s="94"/>
      <c r="Z701" s="94"/>
      <c r="AA701" s="94"/>
    </row>
    <row r="702" spans="1:27" ht="15.75" customHeight="1">
      <c r="A702" s="94"/>
      <c r="B702" s="248"/>
      <c r="C702" s="94"/>
      <c r="D702" s="94"/>
      <c r="E702" s="94"/>
      <c r="F702" s="249"/>
      <c r="G702" s="248"/>
      <c r="H702" s="94"/>
      <c r="I702" s="249"/>
      <c r="J702" s="94"/>
      <c r="K702" s="250"/>
      <c r="L702" s="250"/>
      <c r="M702" s="250"/>
      <c r="N702" s="250"/>
      <c r="O702" s="250"/>
      <c r="P702" s="250"/>
      <c r="Q702" s="249"/>
      <c r="R702" s="94"/>
      <c r="S702" s="94"/>
      <c r="T702" s="251"/>
      <c r="U702" s="94"/>
      <c r="V702" s="94"/>
      <c r="W702" s="94"/>
      <c r="X702" s="94"/>
      <c r="Y702" s="94"/>
      <c r="Z702" s="94"/>
      <c r="AA702" s="94"/>
    </row>
    <row r="703" spans="1:27" ht="15.75" customHeight="1">
      <c r="A703" s="94"/>
      <c r="B703" s="248"/>
      <c r="C703" s="94"/>
      <c r="D703" s="94"/>
      <c r="E703" s="94"/>
      <c r="F703" s="249"/>
      <c r="G703" s="248"/>
      <c r="H703" s="94"/>
      <c r="I703" s="249"/>
      <c r="J703" s="94"/>
      <c r="K703" s="250"/>
      <c r="L703" s="250"/>
      <c r="M703" s="250"/>
      <c r="N703" s="250"/>
      <c r="O703" s="250"/>
      <c r="P703" s="250"/>
      <c r="Q703" s="249"/>
      <c r="R703" s="94"/>
      <c r="S703" s="94"/>
      <c r="T703" s="251"/>
      <c r="U703" s="94"/>
      <c r="V703" s="94"/>
      <c r="W703" s="94"/>
      <c r="X703" s="94"/>
      <c r="Y703" s="94"/>
      <c r="Z703" s="94"/>
      <c r="AA703" s="94"/>
    </row>
    <row r="704" spans="1:27" ht="15.75" customHeight="1">
      <c r="A704" s="94"/>
      <c r="B704" s="248"/>
      <c r="C704" s="94"/>
      <c r="D704" s="94"/>
      <c r="E704" s="94"/>
      <c r="F704" s="249"/>
      <c r="G704" s="248"/>
      <c r="H704" s="94"/>
      <c r="I704" s="249"/>
      <c r="J704" s="94"/>
      <c r="K704" s="250"/>
      <c r="L704" s="250"/>
      <c r="M704" s="250"/>
      <c r="N704" s="250"/>
      <c r="O704" s="250"/>
      <c r="P704" s="250"/>
      <c r="Q704" s="249"/>
      <c r="R704" s="94"/>
      <c r="S704" s="94"/>
      <c r="T704" s="251"/>
      <c r="U704" s="94"/>
      <c r="V704" s="94"/>
      <c r="W704" s="94"/>
      <c r="X704" s="94"/>
      <c r="Y704" s="94"/>
      <c r="Z704" s="94"/>
      <c r="AA704" s="94"/>
    </row>
    <row r="705" spans="1:27" ht="15.75" customHeight="1">
      <c r="A705" s="94"/>
      <c r="B705" s="248"/>
      <c r="C705" s="94"/>
      <c r="D705" s="94"/>
      <c r="E705" s="94"/>
      <c r="F705" s="249"/>
      <c r="G705" s="248"/>
      <c r="H705" s="94"/>
      <c r="I705" s="249"/>
      <c r="J705" s="94"/>
      <c r="K705" s="250"/>
      <c r="L705" s="250"/>
      <c r="M705" s="250"/>
      <c r="N705" s="250"/>
      <c r="O705" s="250"/>
      <c r="P705" s="250"/>
      <c r="Q705" s="249"/>
      <c r="R705" s="94"/>
      <c r="S705" s="94"/>
      <c r="T705" s="251"/>
      <c r="U705" s="94"/>
      <c r="V705" s="94"/>
      <c r="W705" s="94"/>
      <c r="X705" s="94"/>
      <c r="Y705" s="94"/>
      <c r="Z705" s="94"/>
      <c r="AA705" s="94"/>
    </row>
    <row r="706" spans="1:27" ht="15.75" customHeight="1">
      <c r="A706" s="94"/>
      <c r="B706" s="248"/>
      <c r="C706" s="94"/>
      <c r="D706" s="94"/>
      <c r="E706" s="94"/>
      <c r="F706" s="249"/>
      <c r="G706" s="248"/>
      <c r="H706" s="94"/>
      <c r="I706" s="249"/>
      <c r="J706" s="94"/>
      <c r="K706" s="250"/>
      <c r="L706" s="250"/>
      <c r="M706" s="250"/>
      <c r="N706" s="250"/>
      <c r="O706" s="250"/>
      <c r="P706" s="250"/>
      <c r="Q706" s="249"/>
      <c r="R706" s="94"/>
      <c r="S706" s="94"/>
      <c r="T706" s="251"/>
      <c r="U706" s="94"/>
      <c r="V706" s="94"/>
      <c r="W706" s="94"/>
      <c r="X706" s="94"/>
      <c r="Y706" s="94"/>
      <c r="Z706" s="94"/>
      <c r="AA706" s="94"/>
    </row>
    <row r="707" spans="1:27" ht="15.75" customHeight="1">
      <c r="A707" s="94"/>
      <c r="B707" s="248"/>
      <c r="C707" s="94"/>
      <c r="D707" s="94"/>
      <c r="E707" s="94"/>
      <c r="F707" s="249"/>
      <c r="G707" s="248"/>
      <c r="H707" s="94"/>
      <c r="I707" s="249"/>
      <c r="J707" s="94"/>
      <c r="K707" s="250"/>
      <c r="L707" s="250"/>
      <c r="M707" s="250"/>
      <c r="N707" s="250"/>
      <c r="O707" s="250"/>
      <c r="P707" s="250"/>
      <c r="Q707" s="249"/>
      <c r="R707" s="94"/>
      <c r="S707" s="94"/>
      <c r="T707" s="251"/>
      <c r="U707" s="94"/>
      <c r="V707" s="94"/>
      <c r="W707" s="94"/>
      <c r="X707" s="94"/>
      <c r="Y707" s="94"/>
      <c r="Z707" s="94"/>
      <c r="AA707" s="94"/>
    </row>
    <row r="708" spans="1:27" ht="15.75" customHeight="1">
      <c r="A708" s="94"/>
      <c r="B708" s="248"/>
      <c r="C708" s="94"/>
      <c r="D708" s="94"/>
      <c r="E708" s="94"/>
      <c r="F708" s="249"/>
      <c r="G708" s="248"/>
      <c r="H708" s="94"/>
      <c r="I708" s="249"/>
      <c r="J708" s="94"/>
      <c r="K708" s="250"/>
      <c r="L708" s="250"/>
      <c r="M708" s="250"/>
      <c r="N708" s="250"/>
      <c r="O708" s="250"/>
      <c r="P708" s="250"/>
      <c r="Q708" s="249"/>
      <c r="R708" s="94"/>
      <c r="S708" s="94"/>
      <c r="T708" s="251"/>
      <c r="U708" s="94"/>
      <c r="V708" s="94"/>
      <c r="W708" s="94"/>
      <c r="X708" s="94"/>
      <c r="Y708" s="94"/>
      <c r="Z708" s="94"/>
      <c r="AA708" s="94"/>
    </row>
    <row r="709" spans="1:27" ht="15.75" customHeight="1">
      <c r="A709" s="94"/>
      <c r="B709" s="248"/>
      <c r="C709" s="94"/>
      <c r="D709" s="94"/>
      <c r="E709" s="94"/>
      <c r="F709" s="249"/>
      <c r="G709" s="248"/>
      <c r="H709" s="94"/>
      <c r="I709" s="249"/>
      <c r="J709" s="94"/>
      <c r="K709" s="250"/>
      <c r="L709" s="250"/>
      <c r="M709" s="250"/>
      <c r="N709" s="250"/>
      <c r="O709" s="250"/>
      <c r="P709" s="250"/>
      <c r="Q709" s="249"/>
      <c r="R709" s="94"/>
      <c r="S709" s="94"/>
      <c r="T709" s="251"/>
      <c r="U709" s="94"/>
      <c r="V709" s="94"/>
      <c r="W709" s="94"/>
      <c r="X709" s="94"/>
      <c r="Y709" s="94"/>
      <c r="Z709" s="94"/>
      <c r="AA709" s="94"/>
    </row>
    <row r="710" spans="1:27" ht="15.75" customHeight="1">
      <c r="A710" s="94"/>
      <c r="B710" s="248"/>
      <c r="C710" s="94"/>
      <c r="D710" s="94"/>
      <c r="E710" s="94"/>
      <c r="F710" s="249"/>
      <c r="G710" s="248"/>
      <c r="H710" s="94"/>
      <c r="I710" s="249"/>
      <c r="J710" s="94"/>
      <c r="K710" s="250"/>
      <c r="L710" s="250"/>
      <c r="M710" s="250"/>
      <c r="N710" s="250"/>
      <c r="O710" s="250"/>
      <c r="P710" s="250"/>
      <c r="Q710" s="249"/>
      <c r="R710" s="94"/>
      <c r="S710" s="94"/>
      <c r="T710" s="251"/>
      <c r="U710" s="94"/>
      <c r="V710" s="94"/>
      <c r="W710" s="94"/>
      <c r="X710" s="94"/>
      <c r="Y710" s="94"/>
      <c r="Z710" s="94"/>
      <c r="AA710" s="94"/>
    </row>
    <row r="711" spans="1:27" ht="15.75" customHeight="1">
      <c r="A711" s="94"/>
      <c r="B711" s="248"/>
      <c r="C711" s="94"/>
      <c r="D711" s="94"/>
      <c r="E711" s="94"/>
      <c r="F711" s="249"/>
      <c r="G711" s="248"/>
      <c r="H711" s="94"/>
      <c r="I711" s="249"/>
      <c r="J711" s="94"/>
      <c r="K711" s="250"/>
      <c r="L711" s="250"/>
      <c r="M711" s="250"/>
      <c r="N711" s="250"/>
      <c r="O711" s="250"/>
      <c r="P711" s="250"/>
      <c r="Q711" s="249"/>
      <c r="R711" s="94"/>
      <c r="S711" s="94"/>
      <c r="T711" s="251"/>
      <c r="U711" s="94"/>
      <c r="V711" s="94"/>
      <c r="W711" s="94"/>
      <c r="X711" s="94"/>
      <c r="Y711" s="94"/>
      <c r="Z711" s="94"/>
      <c r="AA711" s="94"/>
    </row>
    <row r="712" spans="1:27" ht="15.75" customHeight="1">
      <c r="A712" s="94"/>
      <c r="B712" s="248"/>
      <c r="C712" s="94"/>
      <c r="D712" s="94"/>
      <c r="E712" s="94"/>
      <c r="F712" s="249"/>
      <c r="G712" s="248"/>
      <c r="H712" s="94"/>
      <c r="I712" s="249"/>
      <c r="J712" s="94"/>
      <c r="K712" s="250"/>
      <c r="L712" s="250"/>
      <c r="M712" s="250"/>
      <c r="N712" s="250"/>
      <c r="O712" s="250"/>
      <c r="P712" s="250"/>
      <c r="Q712" s="249"/>
      <c r="R712" s="94"/>
      <c r="S712" s="94"/>
      <c r="T712" s="251"/>
      <c r="U712" s="94"/>
      <c r="V712" s="94"/>
      <c r="W712" s="94"/>
      <c r="X712" s="94"/>
      <c r="Y712" s="94"/>
      <c r="Z712" s="94"/>
      <c r="AA712" s="94"/>
    </row>
    <row r="713" spans="1:27" ht="15.75" customHeight="1">
      <c r="A713" s="94"/>
      <c r="B713" s="248"/>
      <c r="C713" s="94"/>
      <c r="D713" s="94"/>
      <c r="E713" s="94"/>
      <c r="F713" s="249"/>
      <c r="G713" s="248"/>
      <c r="H713" s="94"/>
      <c r="I713" s="249"/>
      <c r="J713" s="94"/>
      <c r="K713" s="250"/>
      <c r="L713" s="250"/>
      <c r="M713" s="250"/>
      <c r="N713" s="250"/>
      <c r="O713" s="250"/>
      <c r="P713" s="250"/>
      <c r="Q713" s="249"/>
      <c r="R713" s="94"/>
      <c r="S713" s="94"/>
      <c r="T713" s="251"/>
      <c r="U713" s="94"/>
      <c r="V713" s="94"/>
      <c r="W713" s="94"/>
      <c r="X713" s="94"/>
      <c r="Y713" s="94"/>
      <c r="Z713" s="94"/>
      <c r="AA713" s="94"/>
    </row>
    <row r="714" spans="1:27" ht="15.75" customHeight="1">
      <c r="A714" s="94"/>
      <c r="B714" s="248"/>
      <c r="C714" s="94"/>
      <c r="D714" s="94"/>
      <c r="E714" s="94"/>
      <c r="F714" s="249"/>
      <c r="G714" s="248"/>
      <c r="H714" s="94"/>
      <c r="I714" s="249"/>
      <c r="J714" s="94"/>
      <c r="K714" s="250"/>
      <c r="L714" s="250"/>
      <c r="M714" s="250"/>
      <c r="N714" s="250"/>
      <c r="O714" s="250"/>
      <c r="P714" s="250"/>
      <c r="Q714" s="249"/>
      <c r="R714" s="94"/>
      <c r="S714" s="94"/>
      <c r="T714" s="251"/>
      <c r="U714" s="94"/>
      <c r="V714" s="94"/>
      <c r="W714" s="94"/>
      <c r="X714" s="94"/>
      <c r="Y714" s="94"/>
      <c r="Z714" s="94"/>
      <c r="AA714" s="94"/>
    </row>
    <row r="715" spans="1:27" ht="15.75" customHeight="1">
      <c r="A715" s="94"/>
      <c r="B715" s="248"/>
      <c r="C715" s="94"/>
      <c r="D715" s="94"/>
      <c r="E715" s="94"/>
      <c r="F715" s="249"/>
      <c r="G715" s="248"/>
      <c r="H715" s="94"/>
      <c r="I715" s="249"/>
      <c r="J715" s="94"/>
      <c r="K715" s="250"/>
      <c r="L715" s="250"/>
      <c r="M715" s="250"/>
      <c r="N715" s="250"/>
      <c r="O715" s="250"/>
      <c r="P715" s="250"/>
      <c r="Q715" s="249"/>
      <c r="R715" s="94"/>
      <c r="S715" s="94"/>
      <c r="T715" s="251"/>
      <c r="U715" s="94"/>
      <c r="V715" s="94"/>
      <c r="W715" s="94"/>
      <c r="X715" s="94"/>
      <c r="Y715" s="94"/>
      <c r="Z715" s="94"/>
      <c r="AA715" s="94"/>
    </row>
    <row r="716" spans="1:27" ht="15.75" customHeight="1">
      <c r="A716" s="94"/>
      <c r="B716" s="248"/>
      <c r="C716" s="94"/>
      <c r="D716" s="94"/>
      <c r="E716" s="94"/>
      <c r="F716" s="249"/>
      <c r="G716" s="248"/>
      <c r="H716" s="94"/>
      <c r="I716" s="249"/>
      <c r="J716" s="94"/>
      <c r="K716" s="250"/>
      <c r="L716" s="250"/>
      <c r="M716" s="250"/>
      <c r="N716" s="250"/>
      <c r="O716" s="250"/>
      <c r="P716" s="250"/>
      <c r="Q716" s="249"/>
      <c r="R716" s="94"/>
      <c r="S716" s="94"/>
      <c r="T716" s="251"/>
      <c r="U716" s="94"/>
      <c r="V716" s="94"/>
      <c r="W716" s="94"/>
      <c r="X716" s="94"/>
      <c r="Y716" s="94"/>
      <c r="Z716" s="94"/>
      <c r="AA716" s="94"/>
    </row>
    <row r="717" spans="1:27" ht="15.75" customHeight="1">
      <c r="A717" s="94"/>
      <c r="B717" s="248"/>
      <c r="C717" s="94"/>
      <c r="D717" s="94"/>
      <c r="E717" s="94"/>
      <c r="F717" s="249"/>
      <c r="G717" s="248"/>
      <c r="H717" s="94"/>
      <c r="I717" s="249"/>
      <c r="J717" s="94"/>
      <c r="K717" s="250"/>
      <c r="L717" s="250"/>
      <c r="M717" s="250"/>
      <c r="N717" s="250"/>
      <c r="O717" s="250"/>
      <c r="P717" s="250"/>
      <c r="Q717" s="249"/>
      <c r="R717" s="94"/>
      <c r="S717" s="94"/>
      <c r="T717" s="251"/>
      <c r="U717" s="94"/>
      <c r="V717" s="94"/>
      <c r="W717" s="94"/>
      <c r="X717" s="94"/>
      <c r="Y717" s="94"/>
      <c r="Z717" s="94"/>
      <c r="AA717" s="94"/>
    </row>
    <row r="718" spans="1:27" ht="15.75" customHeight="1">
      <c r="A718" s="94"/>
      <c r="B718" s="248"/>
      <c r="C718" s="94"/>
      <c r="D718" s="94"/>
      <c r="E718" s="94"/>
      <c r="F718" s="249"/>
      <c r="G718" s="248"/>
      <c r="H718" s="94"/>
      <c r="I718" s="249"/>
      <c r="J718" s="94"/>
      <c r="K718" s="250"/>
      <c r="L718" s="250"/>
      <c r="M718" s="250"/>
      <c r="N718" s="250"/>
      <c r="O718" s="250"/>
      <c r="P718" s="250"/>
      <c r="Q718" s="249"/>
      <c r="R718" s="94"/>
      <c r="S718" s="94"/>
      <c r="T718" s="251"/>
      <c r="U718" s="94"/>
      <c r="V718" s="94"/>
      <c r="W718" s="94"/>
      <c r="X718" s="94"/>
      <c r="Y718" s="94"/>
      <c r="Z718" s="94"/>
      <c r="AA718" s="94"/>
    </row>
    <row r="719" spans="1:27" ht="15.75" customHeight="1">
      <c r="A719" s="94"/>
      <c r="B719" s="248"/>
      <c r="C719" s="94"/>
      <c r="D719" s="94"/>
      <c r="E719" s="94"/>
      <c r="F719" s="249"/>
      <c r="G719" s="248"/>
      <c r="H719" s="94"/>
      <c r="I719" s="249"/>
      <c r="J719" s="94"/>
      <c r="K719" s="250"/>
      <c r="L719" s="250"/>
      <c r="M719" s="250"/>
      <c r="N719" s="250"/>
      <c r="O719" s="250"/>
      <c r="P719" s="250"/>
      <c r="Q719" s="249"/>
      <c r="R719" s="94"/>
      <c r="S719" s="94"/>
      <c r="T719" s="251"/>
      <c r="U719" s="94"/>
      <c r="V719" s="94"/>
      <c r="W719" s="94"/>
      <c r="X719" s="94"/>
      <c r="Y719" s="94"/>
      <c r="Z719" s="94"/>
      <c r="AA719" s="94"/>
    </row>
    <row r="720" spans="1:27" ht="15.75" customHeight="1">
      <c r="A720" s="94"/>
      <c r="B720" s="248"/>
      <c r="C720" s="94"/>
      <c r="D720" s="94"/>
      <c r="E720" s="94"/>
      <c r="F720" s="249"/>
      <c r="G720" s="248"/>
      <c r="H720" s="94"/>
      <c r="I720" s="249"/>
      <c r="J720" s="94"/>
      <c r="K720" s="250"/>
      <c r="L720" s="250"/>
      <c r="M720" s="250"/>
      <c r="N720" s="250"/>
      <c r="O720" s="250"/>
      <c r="P720" s="250"/>
      <c r="Q720" s="249"/>
      <c r="R720" s="94"/>
      <c r="S720" s="94"/>
      <c r="T720" s="251"/>
      <c r="U720" s="94"/>
      <c r="V720" s="94"/>
      <c r="W720" s="94"/>
      <c r="X720" s="94"/>
      <c r="Y720" s="94"/>
      <c r="Z720" s="94"/>
      <c r="AA720" s="94"/>
    </row>
    <row r="721" spans="1:27" ht="15.75" customHeight="1">
      <c r="A721" s="94"/>
      <c r="B721" s="248"/>
      <c r="C721" s="94"/>
      <c r="D721" s="94"/>
      <c r="E721" s="94"/>
      <c r="F721" s="249"/>
      <c r="G721" s="248"/>
      <c r="H721" s="94"/>
      <c r="I721" s="249"/>
      <c r="J721" s="94"/>
      <c r="K721" s="250"/>
      <c r="L721" s="250"/>
      <c r="M721" s="250"/>
      <c r="N721" s="250"/>
      <c r="O721" s="250"/>
      <c r="P721" s="250"/>
      <c r="Q721" s="249"/>
      <c r="R721" s="94"/>
      <c r="S721" s="94"/>
      <c r="T721" s="251"/>
      <c r="U721" s="94"/>
      <c r="V721" s="94"/>
      <c r="W721" s="94"/>
      <c r="X721" s="94"/>
      <c r="Y721" s="94"/>
      <c r="Z721" s="94"/>
      <c r="AA721" s="94"/>
    </row>
    <row r="722" spans="1:27" ht="15.75" customHeight="1">
      <c r="A722" s="94"/>
      <c r="B722" s="248"/>
      <c r="C722" s="94"/>
      <c r="D722" s="94"/>
      <c r="E722" s="94"/>
      <c r="F722" s="249"/>
      <c r="G722" s="248"/>
      <c r="H722" s="94"/>
      <c r="I722" s="249"/>
      <c r="J722" s="94"/>
      <c r="K722" s="250"/>
      <c r="L722" s="250"/>
      <c r="M722" s="250"/>
      <c r="N722" s="250"/>
      <c r="O722" s="250"/>
      <c r="P722" s="250"/>
      <c r="Q722" s="249"/>
      <c r="R722" s="94"/>
      <c r="S722" s="94"/>
      <c r="T722" s="251"/>
      <c r="U722" s="94"/>
      <c r="V722" s="94"/>
      <c r="W722" s="94"/>
      <c r="X722" s="94"/>
      <c r="Y722" s="94"/>
      <c r="Z722" s="94"/>
      <c r="AA722" s="94"/>
    </row>
    <row r="723" spans="1:27" ht="15.75" customHeight="1">
      <c r="A723" s="94"/>
      <c r="B723" s="248"/>
      <c r="C723" s="94"/>
      <c r="D723" s="94"/>
      <c r="E723" s="94"/>
      <c r="F723" s="249"/>
      <c r="G723" s="248"/>
      <c r="H723" s="94"/>
      <c r="I723" s="249"/>
      <c r="J723" s="94"/>
      <c r="K723" s="250"/>
      <c r="L723" s="250"/>
      <c r="M723" s="250"/>
      <c r="N723" s="250"/>
      <c r="O723" s="250"/>
      <c r="P723" s="250"/>
      <c r="Q723" s="249"/>
      <c r="R723" s="94"/>
      <c r="S723" s="94"/>
      <c r="T723" s="251"/>
      <c r="U723" s="94"/>
      <c r="V723" s="94"/>
      <c r="W723" s="94"/>
      <c r="X723" s="94"/>
      <c r="Y723" s="94"/>
      <c r="Z723" s="94"/>
      <c r="AA723" s="94"/>
    </row>
    <row r="724" spans="1:27" ht="15.75" customHeight="1">
      <c r="A724" s="94"/>
      <c r="B724" s="248"/>
      <c r="C724" s="94"/>
      <c r="D724" s="94"/>
      <c r="E724" s="94"/>
      <c r="F724" s="249"/>
      <c r="G724" s="248"/>
      <c r="H724" s="94"/>
      <c r="I724" s="249"/>
      <c r="J724" s="94"/>
      <c r="K724" s="250"/>
      <c r="L724" s="250"/>
      <c r="M724" s="250"/>
      <c r="N724" s="250"/>
      <c r="O724" s="250"/>
      <c r="P724" s="250"/>
      <c r="Q724" s="249"/>
      <c r="R724" s="94"/>
      <c r="S724" s="94"/>
      <c r="T724" s="251"/>
      <c r="U724" s="94"/>
      <c r="V724" s="94"/>
      <c r="W724" s="94"/>
      <c r="X724" s="94"/>
      <c r="Y724" s="94"/>
      <c r="Z724" s="94"/>
      <c r="AA724" s="94"/>
    </row>
    <row r="725" spans="1:27" ht="15.75" customHeight="1">
      <c r="A725" s="94"/>
      <c r="B725" s="248"/>
      <c r="C725" s="94"/>
      <c r="D725" s="94"/>
      <c r="E725" s="94"/>
      <c r="F725" s="249"/>
      <c r="G725" s="248"/>
      <c r="H725" s="94"/>
      <c r="I725" s="249"/>
      <c r="J725" s="94"/>
      <c r="K725" s="250"/>
      <c r="L725" s="250"/>
      <c r="M725" s="250"/>
      <c r="N725" s="250"/>
      <c r="O725" s="250"/>
      <c r="P725" s="250"/>
      <c r="Q725" s="249"/>
      <c r="R725" s="94"/>
      <c r="S725" s="94"/>
      <c r="T725" s="251"/>
      <c r="U725" s="94"/>
      <c r="V725" s="94"/>
      <c r="W725" s="94"/>
      <c r="X725" s="94"/>
      <c r="Y725" s="94"/>
      <c r="Z725" s="94"/>
      <c r="AA725" s="94"/>
    </row>
    <row r="726" spans="1:27" ht="15.75" customHeight="1">
      <c r="A726" s="94"/>
      <c r="B726" s="248"/>
      <c r="C726" s="94"/>
      <c r="D726" s="94"/>
      <c r="E726" s="94"/>
      <c r="F726" s="249"/>
      <c r="G726" s="248"/>
      <c r="H726" s="94"/>
      <c r="I726" s="249"/>
      <c r="J726" s="94"/>
      <c r="K726" s="250"/>
      <c r="L726" s="250"/>
      <c r="M726" s="250"/>
      <c r="N726" s="250"/>
      <c r="O726" s="250"/>
      <c r="P726" s="250"/>
      <c r="Q726" s="249"/>
      <c r="R726" s="94"/>
      <c r="S726" s="94"/>
      <c r="T726" s="251"/>
      <c r="U726" s="94"/>
      <c r="V726" s="94"/>
      <c r="W726" s="94"/>
      <c r="X726" s="94"/>
      <c r="Y726" s="94"/>
      <c r="Z726" s="94"/>
      <c r="AA726" s="94"/>
    </row>
    <row r="727" spans="1:27" ht="15.75" customHeight="1">
      <c r="A727" s="94"/>
      <c r="B727" s="248"/>
      <c r="C727" s="94"/>
      <c r="D727" s="94"/>
      <c r="E727" s="94"/>
      <c r="F727" s="249"/>
      <c r="G727" s="248"/>
      <c r="H727" s="94"/>
      <c r="I727" s="249"/>
      <c r="J727" s="94"/>
      <c r="K727" s="250"/>
      <c r="L727" s="250"/>
      <c r="M727" s="250"/>
      <c r="N727" s="250"/>
      <c r="O727" s="250"/>
      <c r="P727" s="250"/>
      <c r="Q727" s="249"/>
      <c r="R727" s="94"/>
      <c r="S727" s="94"/>
      <c r="T727" s="251"/>
      <c r="U727" s="94"/>
      <c r="V727" s="94"/>
      <c r="W727" s="94"/>
      <c r="X727" s="94"/>
      <c r="Y727" s="94"/>
      <c r="Z727" s="94"/>
      <c r="AA727" s="94"/>
    </row>
    <row r="728" spans="1:27" ht="15.75" customHeight="1">
      <c r="A728" s="94"/>
      <c r="B728" s="248"/>
      <c r="C728" s="94"/>
      <c r="D728" s="94"/>
      <c r="E728" s="94"/>
      <c r="F728" s="249"/>
      <c r="G728" s="248"/>
      <c r="H728" s="94"/>
      <c r="I728" s="249"/>
      <c r="J728" s="94"/>
      <c r="K728" s="250"/>
      <c r="L728" s="250"/>
      <c r="M728" s="250"/>
      <c r="N728" s="250"/>
      <c r="O728" s="250"/>
      <c r="P728" s="250"/>
      <c r="Q728" s="249"/>
      <c r="R728" s="94"/>
      <c r="S728" s="94"/>
      <c r="T728" s="251"/>
      <c r="U728" s="94"/>
      <c r="V728" s="94"/>
      <c r="W728" s="94"/>
      <c r="X728" s="94"/>
      <c r="Y728" s="94"/>
      <c r="Z728" s="94"/>
      <c r="AA728" s="94"/>
    </row>
    <row r="729" spans="1:27" ht="15.75" customHeight="1">
      <c r="A729" s="94"/>
      <c r="B729" s="248"/>
      <c r="C729" s="94"/>
      <c r="D729" s="94"/>
      <c r="E729" s="94"/>
      <c r="F729" s="249"/>
      <c r="G729" s="248"/>
      <c r="H729" s="94"/>
      <c r="I729" s="249"/>
      <c r="J729" s="94"/>
      <c r="K729" s="250"/>
      <c r="L729" s="250"/>
      <c r="M729" s="250"/>
      <c r="N729" s="250"/>
      <c r="O729" s="250"/>
      <c r="P729" s="250"/>
      <c r="Q729" s="249"/>
      <c r="R729" s="94"/>
      <c r="S729" s="94"/>
      <c r="T729" s="251"/>
      <c r="U729" s="94"/>
      <c r="V729" s="94"/>
      <c r="W729" s="94"/>
      <c r="X729" s="94"/>
      <c r="Y729" s="94"/>
      <c r="Z729" s="94"/>
      <c r="AA729" s="94"/>
    </row>
    <row r="730" spans="1:27" ht="15.75" customHeight="1">
      <c r="A730" s="94"/>
      <c r="B730" s="248"/>
      <c r="C730" s="94"/>
      <c r="D730" s="94"/>
      <c r="E730" s="94"/>
      <c r="F730" s="249"/>
      <c r="G730" s="248"/>
      <c r="H730" s="94"/>
      <c r="I730" s="249"/>
      <c r="J730" s="94"/>
      <c r="K730" s="250"/>
      <c r="L730" s="250"/>
      <c r="M730" s="250"/>
      <c r="N730" s="250"/>
      <c r="O730" s="250"/>
      <c r="P730" s="250"/>
      <c r="Q730" s="249"/>
      <c r="R730" s="94"/>
      <c r="S730" s="94"/>
      <c r="T730" s="251"/>
      <c r="U730" s="94"/>
      <c r="V730" s="94"/>
      <c r="W730" s="94"/>
      <c r="X730" s="94"/>
      <c r="Y730" s="94"/>
      <c r="Z730" s="94"/>
      <c r="AA730" s="94"/>
    </row>
    <row r="731" spans="1:27" ht="15.75" customHeight="1">
      <c r="A731" s="94"/>
      <c r="B731" s="248"/>
      <c r="C731" s="94"/>
      <c r="D731" s="94"/>
      <c r="E731" s="94"/>
      <c r="F731" s="249"/>
      <c r="G731" s="248"/>
      <c r="H731" s="94"/>
      <c r="I731" s="249"/>
      <c r="J731" s="94"/>
      <c r="K731" s="250"/>
      <c r="L731" s="250"/>
      <c r="M731" s="250"/>
      <c r="N731" s="250"/>
      <c r="O731" s="250"/>
      <c r="P731" s="250"/>
      <c r="Q731" s="249"/>
      <c r="R731" s="94"/>
      <c r="S731" s="94"/>
      <c r="T731" s="251"/>
      <c r="U731" s="94"/>
      <c r="V731" s="94"/>
      <c r="W731" s="94"/>
      <c r="X731" s="94"/>
      <c r="Y731" s="94"/>
      <c r="Z731" s="94"/>
      <c r="AA731" s="94"/>
    </row>
    <row r="732" spans="1:27" ht="15.75" customHeight="1">
      <c r="A732" s="94"/>
      <c r="B732" s="248"/>
      <c r="C732" s="94"/>
      <c r="D732" s="94"/>
      <c r="E732" s="94"/>
      <c r="F732" s="249"/>
      <c r="G732" s="248"/>
      <c r="H732" s="94"/>
      <c r="I732" s="249"/>
      <c r="J732" s="94"/>
      <c r="K732" s="250"/>
      <c r="L732" s="250"/>
      <c r="M732" s="250"/>
      <c r="N732" s="250"/>
      <c r="O732" s="250"/>
      <c r="P732" s="250"/>
      <c r="Q732" s="249"/>
      <c r="R732" s="94"/>
      <c r="S732" s="94"/>
      <c r="T732" s="251"/>
      <c r="U732" s="94"/>
      <c r="V732" s="94"/>
      <c r="W732" s="94"/>
      <c r="X732" s="94"/>
      <c r="Y732" s="94"/>
      <c r="Z732" s="94"/>
      <c r="AA732" s="94"/>
    </row>
    <row r="733" spans="1:27" ht="15.75" customHeight="1">
      <c r="A733" s="94"/>
      <c r="B733" s="248"/>
      <c r="C733" s="94"/>
      <c r="D733" s="94"/>
      <c r="E733" s="94"/>
      <c r="F733" s="249"/>
      <c r="G733" s="248"/>
      <c r="H733" s="94"/>
      <c r="I733" s="249"/>
      <c r="J733" s="94"/>
      <c r="K733" s="250"/>
      <c r="L733" s="250"/>
      <c r="M733" s="250"/>
      <c r="N733" s="250"/>
      <c r="O733" s="250"/>
      <c r="P733" s="250"/>
      <c r="Q733" s="249"/>
      <c r="R733" s="94"/>
      <c r="S733" s="94"/>
      <c r="T733" s="251"/>
      <c r="U733" s="94"/>
      <c r="V733" s="94"/>
      <c r="W733" s="94"/>
      <c r="X733" s="94"/>
      <c r="Y733" s="94"/>
      <c r="Z733" s="94"/>
      <c r="AA733" s="94"/>
    </row>
    <row r="734" spans="1:27" ht="15.75" customHeight="1">
      <c r="A734" s="94"/>
      <c r="B734" s="248"/>
      <c r="C734" s="94"/>
      <c r="D734" s="94"/>
      <c r="E734" s="94"/>
      <c r="F734" s="249"/>
      <c r="G734" s="248"/>
      <c r="H734" s="94"/>
      <c r="I734" s="249"/>
      <c r="J734" s="94"/>
      <c r="K734" s="250"/>
      <c r="L734" s="250"/>
      <c r="M734" s="250"/>
      <c r="N734" s="250"/>
      <c r="O734" s="250"/>
      <c r="P734" s="250"/>
      <c r="Q734" s="249"/>
      <c r="R734" s="94"/>
      <c r="S734" s="94"/>
      <c r="T734" s="251"/>
      <c r="U734" s="94"/>
      <c r="V734" s="94"/>
      <c r="W734" s="94"/>
      <c r="X734" s="94"/>
      <c r="Y734" s="94"/>
      <c r="Z734" s="94"/>
      <c r="AA734" s="94"/>
    </row>
    <row r="735" spans="1:27" ht="15.75" customHeight="1">
      <c r="A735" s="94"/>
      <c r="B735" s="248"/>
      <c r="C735" s="94"/>
      <c r="D735" s="94"/>
      <c r="E735" s="94"/>
      <c r="F735" s="249"/>
      <c r="G735" s="248"/>
      <c r="H735" s="94"/>
      <c r="I735" s="249"/>
      <c r="J735" s="94"/>
      <c r="K735" s="250"/>
      <c r="L735" s="250"/>
      <c r="M735" s="250"/>
      <c r="N735" s="250"/>
      <c r="O735" s="250"/>
      <c r="P735" s="250"/>
      <c r="Q735" s="249"/>
      <c r="R735" s="94"/>
      <c r="S735" s="94"/>
      <c r="T735" s="251"/>
      <c r="U735" s="94"/>
      <c r="V735" s="94"/>
      <c r="W735" s="94"/>
      <c r="X735" s="94"/>
      <c r="Y735" s="94"/>
      <c r="Z735" s="94"/>
      <c r="AA735" s="94"/>
    </row>
    <row r="736" spans="1:27" ht="15.75" customHeight="1">
      <c r="A736" s="94"/>
      <c r="B736" s="248"/>
      <c r="C736" s="94"/>
      <c r="D736" s="94"/>
      <c r="E736" s="94"/>
      <c r="F736" s="249"/>
      <c r="G736" s="248"/>
      <c r="H736" s="94"/>
      <c r="I736" s="249"/>
      <c r="J736" s="94"/>
      <c r="K736" s="250"/>
      <c r="L736" s="250"/>
      <c r="M736" s="250"/>
      <c r="N736" s="250"/>
      <c r="O736" s="250"/>
      <c r="P736" s="250"/>
      <c r="Q736" s="249"/>
      <c r="R736" s="94"/>
      <c r="S736" s="94"/>
      <c r="T736" s="251"/>
      <c r="U736" s="94"/>
      <c r="V736" s="94"/>
      <c r="W736" s="94"/>
      <c r="X736" s="94"/>
      <c r="Y736" s="94"/>
      <c r="Z736" s="94"/>
      <c r="AA736" s="94"/>
    </row>
    <row r="737" spans="1:27" ht="15.75" customHeight="1">
      <c r="A737" s="94"/>
      <c r="B737" s="248"/>
      <c r="C737" s="94"/>
      <c r="D737" s="94"/>
      <c r="E737" s="94"/>
      <c r="F737" s="249"/>
      <c r="G737" s="248"/>
      <c r="H737" s="94"/>
      <c r="I737" s="249"/>
      <c r="J737" s="94"/>
      <c r="K737" s="250"/>
      <c r="L737" s="250"/>
      <c r="M737" s="250"/>
      <c r="N737" s="250"/>
      <c r="O737" s="250"/>
      <c r="P737" s="250"/>
      <c r="Q737" s="249"/>
      <c r="R737" s="94"/>
      <c r="S737" s="94"/>
      <c r="T737" s="251"/>
      <c r="U737" s="94"/>
      <c r="V737" s="94"/>
      <c r="W737" s="94"/>
      <c r="X737" s="94"/>
      <c r="Y737" s="94"/>
      <c r="Z737" s="94"/>
      <c r="AA737" s="94"/>
    </row>
    <row r="738" spans="1:27" ht="15.75" customHeight="1">
      <c r="A738" s="94"/>
      <c r="B738" s="248"/>
      <c r="C738" s="94"/>
      <c r="D738" s="94"/>
      <c r="E738" s="94"/>
      <c r="F738" s="249"/>
      <c r="G738" s="248"/>
      <c r="H738" s="94"/>
      <c r="I738" s="249"/>
      <c r="J738" s="94"/>
      <c r="K738" s="250"/>
      <c r="L738" s="250"/>
      <c r="M738" s="250"/>
      <c r="N738" s="250"/>
      <c r="O738" s="250"/>
      <c r="P738" s="250"/>
      <c r="Q738" s="249"/>
      <c r="R738" s="94"/>
      <c r="S738" s="94"/>
      <c r="T738" s="251"/>
      <c r="U738" s="94"/>
      <c r="V738" s="94"/>
      <c r="W738" s="94"/>
      <c r="X738" s="94"/>
      <c r="Y738" s="94"/>
      <c r="Z738" s="94"/>
      <c r="AA738" s="94"/>
    </row>
    <row r="739" spans="1:27" ht="15.75" customHeight="1">
      <c r="A739" s="94"/>
      <c r="B739" s="248"/>
      <c r="C739" s="94"/>
      <c r="D739" s="94"/>
      <c r="E739" s="94"/>
      <c r="F739" s="249"/>
      <c r="G739" s="248"/>
      <c r="H739" s="94"/>
      <c r="I739" s="249"/>
      <c r="J739" s="94"/>
      <c r="K739" s="250"/>
      <c r="L739" s="250"/>
      <c r="M739" s="250"/>
      <c r="N739" s="250"/>
      <c r="O739" s="250"/>
      <c r="P739" s="250"/>
      <c r="Q739" s="249"/>
      <c r="R739" s="94"/>
      <c r="S739" s="94"/>
      <c r="T739" s="251"/>
      <c r="U739" s="94"/>
      <c r="V739" s="94"/>
      <c r="W739" s="94"/>
      <c r="X739" s="94"/>
      <c r="Y739" s="94"/>
      <c r="Z739" s="94"/>
      <c r="AA739" s="94"/>
    </row>
    <row r="740" spans="1:27" ht="15.75" customHeight="1">
      <c r="A740" s="94"/>
      <c r="B740" s="248"/>
      <c r="C740" s="94"/>
      <c r="D740" s="94"/>
      <c r="E740" s="94"/>
      <c r="F740" s="249"/>
      <c r="G740" s="248"/>
      <c r="H740" s="94"/>
      <c r="I740" s="249"/>
      <c r="J740" s="94"/>
      <c r="K740" s="250"/>
      <c r="L740" s="250"/>
      <c r="M740" s="250"/>
      <c r="N740" s="250"/>
      <c r="O740" s="250"/>
      <c r="P740" s="250"/>
      <c r="Q740" s="249"/>
      <c r="R740" s="94"/>
      <c r="S740" s="94"/>
      <c r="T740" s="251"/>
      <c r="U740" s="94"/>
      <c r="V740" s="94"/>
      <c r="W740" s="94"/>
      <c r="X740" s="94"/>
      <c r="Y740" s="94"/>
      <c r="Z740" s="94"/>
      <c r="AA740" s="94"/>
    </row>
    <row r="741" spans="1:27" ht="15.75" customHeight="1">
      <c r="A741" s="94"/>
      <c r="B741" s="248"/>
      <c r="C741" s="94"/>
      <c r="D741" s="94"/>
      <c r="E741" s="94"/>
      <c r="F741" s="249"/>
      <c r="G741" s="248"/>
      <c r="H741" s="94"/>
      <c r="I741" s="249"/>
      <c r="J741" s="94"/>
      <c r="K741" s="250"/>
      <c r="L741" s="250"/>
      <c r="M741" s="250"/>
      <c r="N741" s="250"/>
      <c r="O741" s="250"/>
      <c r="P741" s="250"/>
      <c r="Q741" s="249"/>
      <c r="R741" s="94"/>
      <c r="S741" s="94"/>
      <c r="T741" s="251"/>
      <c r="U741" s="94"/>
      <c r="V741" s="94"/>
      <c r="W741" s="94"/>
      <c r="X741" s="94"/>
      <c r="Y741" s="94"/>
      <c r="Z741" s="94"/>
      <c r="AA741" s="94"/>
    </row>
    <row r="742" spans="1:27" ht="15.75" customHeight="1">
      <c r="A742" s="94"/>
      <c r="B742" s="248"/>
      <c r="C742" s="94"/>
      <c r="D742" s="94"/>
      <c r="E742" s="94"/>
      <c r="F742" s="249"/>
      <c r="G742" s="248"/>
      <c r="H742" s="94"/>
      <c r="I742" s="249"/>
      <c r="J742" s="94"/>
      <c r="K742" s="250"/>
      <c r="L742" s="250"/>
      <c r="M742" s="250"/>
      <c r="N742" s="250"/>
      <c r="O742" s="250"/>
      <c r="P742" s="250"/>
      <c r="Q742" s="249"/>
      <c r="R742" s="94"/>
      <c r="S742" s="94"/>
      <c r="T742" s="251"/>
      <c r="U742" s="94"/>
      <c r="V742" s="94"/>
      <c r="W742" s="94"/>
      <c r="X742" s="94"/>
      <c r="Y742" s="94"/>
      <c r="Z742" s="94"/>
      <c r="AA742" s="94"/>
    </row>
    <row r="743" spans="1:27" ht="15.75" customHeight="1">
      <c r="A743" s="94"/>
      <c r="B743" s="248"/>
      <c r="C743" s="94"/>
      <c r="D743" s="94"/>
      <c r="E743" s="94"/>
      <c r="F743" s="249"/>
      <c r="G743" s="248"/>
      <c r="H743" s="94"/>
      <c r="I743" s="249"/>
      <c r="J743" s="94"/>
      <c r="K743" s="250"/>
      <c r="L743" s="250"/>
      <c r="M743" s="250"/>
      <c r="N743" s="250"/>
      <c r="O743" s="250"/>
      <c r="P743" s="250"/>
      <c r="Q743" s="249"/>
      <c r="R743" s="94"/>
      <c r="S743" s="94"/>
      <c r="T743" s="251"/>
      <c r="U743" s="94"/>
      <c r="V743" s="94"/>
      <c r="W743" s="94"/>
      <c r="X743" s="94"/>
      <c r="Y743" s="94"/>
      <c r="Z743" s="94"/>
      <c r="AA743" s="94"/>
    </row>
    <row r="744" spans="1:27" ht="15.75" customHeight="1">
      <c r="A744" s="94"/>
      <c r="B744" s="248"/>
      <c r="C744" s="94"/>
      <c r="D744" s="94"/>
      <c r="E744" s="94"/>
      <c r="F744" s="249"/>
      <c r="G744" s="248"/>
      <c r="H744" s="94"/>
      <c r="I744" s="249"/>
      <c r="J744" s="94"/>
      <c r="K744" s="250"/>
      <c r="L744" s="250"/>
      <c r="M744" s="250"/>
      <c r="N744" s="250"/>
      <c r="O744" s="250"/>
      <c r="P744" s="250"/>
      <c r="Q744" s="249"/>
      <c r="R744" s="94"/>
      <c r="S744" s="94"/>
      <c r="T744" s="251"/>
      <c r="U744" s="94"/>
      <c r="V744" s="94"/>
      <c r="W744" s="94"/>
      <c r="X744" s="94"/>
      <c r="Y744" s="94"/>
      <c r="Z744" s="94"/>
      <c r="AA744" s="94"/>
    </row>
    <row r="745" spans="1:27" ht="15.75" customHeight="1">
      <c r="A745" s="94"/>
      <c r="B745" s="248"/>
      <c r="C745" s="94"/>
      <c r="D745" s="94"/>
      <c r="E745" s="94"/>
      <c r="F745" s="249"/>
      <c r="G745" s="248"/>
      <c r="H745" s="94"/>
      <c r="I745" s="249"/>
      <c r="J745" s="94"/>
      <c r="K745" s="250"/>
      <c r="L745" s="250"/>
      <c r="M745" s="250"/>
      <c r="N745" s="250"/>
      <c r="O745" s="250"/>
      <c r="P745" s="250"/>
      <c r="Q745" s="249"/>
      <c r="R745" s="94"/>
      <c r="S745" s="94"/>
      <c r="T745" s="251"/>
      <c r="U745" s="94"/>
      <c r="V745" s="94"/>
      <c r="W745" s="94"/>
      <c r="X745" s="94"/>
      <c r="Y745" s="94"/>
      <c r="Z745" s="94"/>
      <c r="AA745" s="94"/>
    </row>
    <row r="746" spans="1:27" ht="15.75" customHeight="1">
      <c r="A746" s="94"/>
      <c r="B746" s="248"/>
      <c r="C746" s="94"/>
      <c r="D746" s="94"/>
      <c r="E746" s="94"/>
      <c r="F746" s="249"/>
      <c r="G746" s="248"/>
      <c r="H746" s="94"/>
      <c r="I746" s="249"/>
      <c r="J746" s="94"/>
      <c r="K746" s="250"/>
      <c r="L746" s="250"/>
      <c r="M746" s="250"/>
      <c r="N746" s="250"/>
      <c r="O746" s="250"/>
      <c r="P746" s="250"/>
      <c r="Q746" s="249"/>
      <c r="R746" s="94"/>
      <c r="S746" s="94"/>
      <c r="T746" s="251"/>
      <c r="U746" s="94"/>
      <c r="V746" s="94"/>
      <c r="W746" s="94"/>
      <c r="X746" s="94"/>
      <c r="Y746" s="94"/>
      <c r="Z746" s="94"/>
      <c r="AA746" s="94"/>
    </row>
    <row r="747" spans="1:27" ht="15.75" customHeight="1">
      <c r="A747" s="94"/>
      <c r="B747" s="248"/>
      <c r="C747" s="94"/>
      <c r="D747" s="94"/>
      <c r="E747" s="94"/>
      <c r="F747" s="249"/>
      <c r="G747" s="248"/>
      <c r="H747" s="94"/>
      <c r="I747" s="249"/>
      <c r="J747" s="94"/>
      <c r="K747" s="250"/>
      <c r="L747" s="250"/>
      <c r="M747" s="250"/>
      <c r="N747" s="250"/>
      <c r="O747" s="250"/>
      <c r="P747" s="250"/>
      <c r="Q747" s="249"/>
      <c r="R747" s="94"/>
      <c r="S747" s="94"/>
      <c r="T747" s="251"/>
      <c r="U747" s="94"/>
      <c r="V747" s="94"/>
      <c r="W747" s="94"/>
      <c r="X747" s="94"/>
      <c r="Y747" s="94"/>
      <c r="Z747" s="94"/>
      <c r="AA747" s="94"/>
    </row>
    <row r="748" spans="1:27" ht="15.75" customHeight="1">
      <c r="A748" s="94"/>
      <c r="B748" s="248"/>
      <c r="C748" s="94"/>
      <c r="D748" s="94"/>
      <c r="E748" s="94"/>
      <c r="F748" s="249"/>
      <c r="G748" s="248"/>
      <c r="H748" s="94"/>
      <c r="I748" s="249"/>
      <c r="J748" s="94"/>
      <c r="K748" s="250"/>
      <c r="L748" s="250"/>
      <c r="M748" s="250"/>
      <c r="N748" s="250"/>
      <c r="O748" s="250"/>
      <c r="P748" s="250"/>
      <c r="Q748" s="249"/>
      <c r="R748" s="94"/>
      <c r="S748" s="94"/>
      <c r="T748" s="251"/>
      <c r="U748" s="94"/>
      <c r="V748" s="94"/>
      <c r="W748" s="94"/>
      <c r="X748" s="94"/>
      <c r="Y748" s="94"/>
      <c r="Z748" s="94"/>
      <c r="AA748" s="94"/>
    </row>
    <row r="749" spans="1:27" ht="15.75" customHeight="1">
      <c r="A749" s="94"/>
      <c r="B749" s="248"/>
      <c r="C749" s="94"/>
      <c r="D749" s="94"/>
      <c r="E749" s="94"/>
      <c r="F749" s="249"/>
      <c r="G749" s="248"/>
      <c r="H749" s="94"/>
      <c r="I749" s="249"/>
      <c r="J749" s="94"/>
      <c r="K749" s="250"/>
      <c r="L749" s="250"/>
      <c r="M749" s="250"/>
      <c r="N749" s="250"/>
      <c r="O749" s="250"/>
      <c r="P749" s="250"/>
      <c r="Q749" s="249"/>
      <c r="R749" s="94"/>
      <c r="S749" s="94"/>
      <c r="T749" s="251"/>
      <c r="U749" s="94"/>
      <c r="V749" s="94"/>
      <c r="W749" s="94"/>
      <c r="X749" s="94"/>
      <c r="Y749" s="94"/>
      <c r="Z749" s="94"/>
      <c r="AA749" s="94"/>
    </row>
    <row r="750" spans="1:27" ht="15.75" customHeight="1">
      <c r="A750" s="94"/>
      <c r="B750" s="248"/>
      <c r="C750" s="94"/>
      <c r="D750" s="94"/>
      <c r="E750" s="94"/>
      <c r="F750" s="249"/>
      <c r="G750" s="248"/>
      <c r="H750" s="94"/>
      <c r="I750" s="249"/>
      <c r="J750" s="94"/>
      <c r="K750" s="250"/>
      <c r="L750" s="250"/>
      <c r="M750" s="250"/>
      <c r="N750" s="250"/>
      <c r="O750" s="250"/>
      <c r="P750" s="250"/>
      <c r="Q750" s="249"/>
      <c r="R750" s="94"/>
      <c r="S750" s="94"/>
      <c r="T750" s="251"/>
      <c r="U750" s="94"/>
      <c r="V750" s="94"/>
      <c r="W750" s="94"/>
      <c r="X750" s="94"/>
      <c r="Y750" s="94"/>
      <c r="Z750" s="94"/>
      <c r="AA750" s="94"/>
    </row>
    <row r="751" spans="1:27" ht="15.75" customHeight="1">
      <c r="A751" s="94"/>
      <c r="B751" s="248"/>
      <c r="C751" s="94"/>
      <c r="D751" s="94"/>
      <c r="E751" s="94"/>
      <c r="F751" s="249"/>
      <c r="G751" s="248"/>
      <c r="H751" s="94"/>
      <c r="I751" s="249"/>
      <c r="J751" s="94"/>
      <c r="K751" s="250"/>
      <c r="L751" s="250"/>
      <c r="M751" s="250"/>
      <c r="N751" s="250"/>
      <c r="O751" s="250"/>
      <c r="P751" s="250"/>
      <c r="Q751" s="249"/>
      <c r="R751" s="94"/>
      <c r="S751" s="94"/>
      <c r="T751" s="251"/>
      <c r="U751" s="94"/>
      <c r="V751" s="94"/>
      <c r="W751" s="94"/>
      <c r="X751" s="94"/>
      <c r="Y751" s="94"/>
      <c r="Z751" s="94"/>
      <c r="AA751" s="94"/>
    </row>
    <row r="752" spans="1:27" ht="15.75" customHeight="1">
      <c r="A752" s="94"/>
      <c r="B752" s="248"/>
      <c r="C752" s="94"/>
      <c r="D752" s="94"/>
      <c r="E752" s="94"/>
      <c r="F752" s="249"/>
      <c r="G752" s="248"/>
      <c r="H752" s="94"/>
      <c r="I752" s="249"/>
      <c r="J752" s="94"/>
      <c r="K752" s="250"/>
      <c r="L752" s="250"/>
      <c r="M752" s="250"/>
      <c r="N752" s="250"/>
      <c r="O752" s="250"/>
      <c r="P752" s="250"/>
      <c r="Q752" s="249"/>
      <c r="R752" s="94"/>
      <c r="S752" s="94"/>
      <c r="T752" s="251"/>
      <c r="U752" s="94"/>
      <c r="V752" s="94"/>
      <c r="W752" s="94"/>
      <c r="X752" s="94"/>
      <c r="Y752" s="94"/>
      <c r="Z752" s="94"/>
      <c r="AA752" s="94"/>
    </row>
    <row r="753" spans="1:27" ht="15.75" customHeight="1">
      <c r="A753" s="94"/>
      <c r="B753" s="248"/>
      <c r="C753" s="94"/>
      <c r="D753" s="94"/>
      <c r="E753" s="94"/>
      <c r="F753" s="249"/>
      <c r="G753" s="248"/>
      <c r="H753" s="94"/>
      <c r="I753" s="249"/>
      <c r="J753" s="94"/>
      <c r="K753" s="250"/>
      <c r="L753" s="250"/>
      <c r="M753" s="250"/>
      <c r="N753" s="250"/>
      <c r="O753" s="250"/>
      <c r="P753" s="250"/>
      <c r="Q753" s="249"/>
      <c r="R753" s="94"/>
      <c r="S753" s="94"/>
      <c r="T753" s="251"/>
      <c r="U753" s="94"/>
      <c r="V753" s="94"/>
      <c r="W753" s="94"/>
      <c r="X753" s="94"/>
      <c r="Y753" s="94"/>
      <c r="Z753" s="94"/>
      <c r="AA753" s="94"/>
    </row>
    <row r="754" spans="1:27" ht="15.75" customHeight="1">
      <c r="A754" s="94"/>
      <c r="B754" s="248"/>
      <c r="C754" s="94"/>
      <c r="D754" s="94"/>
      <c r="E754" s="94"/>
      <c r="F754" s="249"/>
      <c r="G754" s="248"/>
      <c r="H754" s="94"/>
      <c r="I754" s="249"/>
      <c r="J754" s="94"/>
      <c r="K754" s="250"/>
      <c r="L754" s="250"/>
      <c r="M754" s="250"/>
      <c r="N754" s="250"/>
      <c r="O754" s="250"/>
      <c r="P754" s="250"/>
      <c r="Q754" s="249"/>
      <c r="R754" s="94"/>
      <c r="S754" s="94"/>
      <c r="T754" s="251"/>
      <c r="U754" s="94"/>
      <c r="V754" s="94"/>
      <c r="W754" s="94"/>
      <c r="X754" s="94"/>
      <c r="Y754" s="94"/>
      <c r="Z754" s="94"/>
      <c r="AA754" s="94"/>
    </row>
    <row r="755" spans="1:27" ht="15.75" customHeight="1">
      <c r="A755" s="94"/>
      <c r="B755" s="248"/>
      <c r="C755" s="94"/>
      <c r="D755" s="94"/>
      <c r="E755" s="94"/>
      <c r="F755" s="249"/>
      <c r="G755" s="248"/>
      <c r="H755" s="94"/>
      <c r="I755" s="249"/>
      <c r="J755" s="94"/>
      <c r="K755" s="250"/>
      <c r="L755" s="250"/>
      <c r="M755" s="250"/>
      <c r="N755" s="250"/>
      <c r="O755" s="250"/>
      <c r="P755" s="250"/>
      <c r="Q755" s="249"/>
      <c r="R755" s="94"/>
      <c r="S755" s="94"/>
      <c r="T755" s="251"/>
      <c r="U755" s="94"/>
      <c r="V755" s="94"/>
      <c r="W755" s="94"/>
      <c r="X755" s="94"/>
      <c r="Y755" s="94"/>
      <c r="Z755" s="94"/>
      <c r="AA755" s="94"/>
    </row>
    <row r="756" spans="1:27" ht="15.75" customHeight="1">
      <c r="A756" s="94"/>
      <c r="B756" s="248"/>
      <c r="C756" s="94"/>
      <c r="D756" s="94"/>
      <c r="E756" s="94"/>
      <c r="F756" s="249"/>
      <c r="G756" s="248"/>
      <c r="H756" s="94"/>
      <c r="I756" s="249"/>
      <c r="J756" s="94"/>
      <c r="K756" s="250"/>
      <c r="L756" s="250"/>
      <c r="M756" s="250"/>
      <c r="N756" s="250"/>
      <c r="O756" s="250"/>
      <c r="P756" s="250"/>
      <c r="Q756" s="249"/>
      <c r="R756" s="94"/>
      <c r="S756" s="94"/>
      <c r="T756" s="251"/>
      <c r="U756" s="94"/>
      <c r="V756" s="94"/>
      <c r="W756" s="94"/>
      <c r="X756" s="94"/>
      <c r="Y756" s="94"/>
      <c r="Z756" s="94"/>
      <c r="AA756" s="94"/>
    </row>
    <row r="757" spans="1:27" ht="15.75" customHeight="1">
      <c r="A757" s="94"/>
      <c r="B757" s="248"/>
      <c r="C757" s="94"/>
      <c r="D757" s="94"/>
      <c r="E757" s="94"/>
      <c r="F757" s="249"/>
      <c r="G757" s="248"/>
      <c r="H757" s="94"/>
      <c r="I757" s="249"/>
      <c r="J757" s="94"/>
      <c r="K757" s="250"/>
      <c r="L757" s="250"/>
      <c r="M757" s="250"/>
      <c r="N757" s="250"/>
      <c r="O757" s="250"/>
      <c r="P757" s="250"/>
      <c r="Q757" s="249"/>
      <c r="R757" s="94"/>
      <c r="S757" s="94"/>
      <c r="T757" s="251"/>
      <c r="U757" s="94"/>
      <c r="V757" s="94"/>
      <c r="W757" s="94"/>
      <c r="X757" s="94"/>
      <c r="Y757" s="94"/>
      <c r="Z757" s="94"/>
      <c r="AA757" s="94"/>
    </row>
    <row r="758" spans="1:27" ht="15.75" customHeight="1">
      <c r="A758" s="94"/>
      <c r="B758" s="248"/>
      <c r="C758" s="94"/>
      <c r="D758" s="94"/>
      <c r="E758" s="94"/>
      <c r="F758" s="249"/>
      <c r="G758" s="248"/>
      <c r="H758" s="94"/>
      <c r="I758" s="249"/>
      <c r="J758" s="94"/>
      <c r="K758" s="250"/>
      <c r="L758" s="250"/>
      <c r="M758" s="250"/>
      <c r="N758" s="250"/>
      <c r="O758" s="250"/>
      <c r="P758" s="250"/>
      <c r="Q758" s="249"/>
      <c r="R758" s="94"/>
      <c r="S758" s="94"/>
      <c r="T758" s="251"/>
      <c r="U758" s="94"/>
      <c r="V758" s="94"/>
      <c r="W758" s="94"/>
      <c r="X758" s="94"/>
      <c r="Y758" s="94"/>
      <c r="Z758" s="94"/>
      <c r="AA758" s="94"/>
    </row>
    <row r="759" spans="1:27" ht="15.75" customHeight="1">
      <c r="A759" s="94"/>
      <c r="B759" s="248"/>
      <c r="C759" s="94"/>
      <c r="D759" s="94"/>
      <c r="E759" s="94"/>
      <c r="F759" s="249"/>
      <c r="G759" s="248"/>
      <c r="H759" s="94"/>
      <c r="I759" s="249"/>
      <c r="J759" s="94"/>
      <c r="K759" s="250"/>
      <c r="L759" s="250"/>
      <c r="M759" s="250"/>
      <c r="N759" s="250"/>
      <c r="O759" s="250"/>
      <c r="P759" s="250"/>
      <c r="Q759" s="249"/>
      <c r="R759" s="94"/>
      <c r="S759" s="94"/>
      <c r="T759" s="251"/>
      <c r="U759" s="94"/>
      <c r="V759" s="94"/>
      <c r="W759" s="94"/>
      <c r="X759" s="94"/>
      <c r="Y759" s="94"/>
      <c r="Z759" s="94"/>
      <c r="AA759" s="94"/>
    </row>
    <row r="760" spans="1:27" ht="15.75" customHeight="1">
      <c r="A760" s="94"/>
      <c r="B760" s="248"/>
      <c r="C760" s="94"/>
      <c r="D760" s="94"/>
      <c r="E760" s="94"/>
      <c r="F760" s="249"/>
      <c r="G760" s="248"/>
      <c r="H760" s="94"/>
      <c r="I760" s="249"/>
      <c r="J760" s="94"/>
      <c r="K760" s="250"/>
      <c r="L760" s="250"/>
      <c r="M760" s="250"/>
      <c r="N760" s="250"/>
      <c r="O760" s="250"/>
      <c r="P760" s="250"/>
      <c r="Q760" s="249"/>
      <c r="R760" s="94"/>
      <c r="S760" s="94"/>
      <c r="T760" s="251"/>
      <c r="U760" s="94"/>
      <c r="V760" s="94"/>
      <c r="W760" s="94"/>
      <c r="X760" s="94"/>
      <c r="Y760" s="94"/>
      <c r="Z760" s="94"/>
      <c r="AA760" s="94"/>
    </row>
    <row r="761" spans="1:27" ht="15.75" customHeight="1">
      <c r="A761" s="94"/>
      <c r="B761" s="248"/>
      <c r="C761" s="94"/>
      <c r="D761" s="94"/>
      <c r="E761" s="94"/>
      <c r="F761" s="249"/>
      <c r="G761" s="248"/>
      <c r="H761" s="94"/>
      <c r="I761" s="249"/>
      <c r="J761" s="94"/>
      <c r="K761" s="250"/>
      <c r="L761" s="250"/>
      <c r="M761" s="250"/>
      <c r="N761" s="250"/>
      <c r="O761" s="250"/>
      <c r="P761" s="250"/>
      <c r="Q761" s="249"/>
      <c r="R761" s="94"/>
      <c r="S761" s="94"/>
      <c r="T761" s="251"/>
      <c r="U761" s="94"/>
      <c r="V761" s="94"/>
      <c r="W761" s="94"/>
      <c r="X761" s="94"/>
      <c r="Y761" s="94"/>
      <c r="Z761" s="94"/>
      <c r="AA761" s="94"/>
    </row>
    <row r="762" spans="1:27" ht="15.75" customHeight="1">
      <c r="A762" s="94"/>
      <c r="B762" s="248"/>
      <c r="C762" s="94"/>
      <c r="D762" s="94"/>
      <c r="E762" s="94"/>
      <c r="F762" s="249"/>
      <c r="G762" s="248"/>
      <c r="H762" s="94"/>
      <c r="I762" s="249"/>
      <c r="J762" s="94"/>
      <c r="K762" s="250"/>
      <c r="L762" s="250"/>
      <c r="M762" s="250"/>
      <c r="N762" s="250"/>
      <c r="O762" s="250"/>
      <c r="P762" s="250"/>
      <c r="Q762" s="249"/>
      <c r="R762" s="94"/>
      <c r="S762" s="94"/>
      <c r="T762" s="251"/>
      <c r="U762" s="94"/>
      <c r="V762" s="94"/>
      <c r="W762" s="94"/>
      <c r="X762" s="94"/>
      <c r="Y762" s="94"/>
      <c r="Z762" s="94"/>
      <c r="AA762" s="94"/>
    </row>
    <row r="763" spans="1:27" ht="15.75" customHeight="1">
      <c r="A763" s="94"/>
      <c r="B763" s="248"/>
      <c r="C763" s="94"/>
      <c r="D763" s="94"/>
      <c r="E763" s="94"/>
      <c r="F763" s="249"/>
      <c r="G763" s="248"/>
      <c r="H763" s="94"/>
      <c r="I763" s="249"/>
      <c r="J763" s="94"/>
      <c r="K763" s="250"/>
      <c r="L763" s="250"/>
      <c r="M763" s="250"/>
      <c r="N763" s="250"/>
      <c r="O763" s="250"/>
      <c r="P763" s="250"/>
      <c r="Q763" s="249"/>
      <c r="R763" s="94"/>
      <c r="S763" s="94"/>
      <c r="T763" s="251"/>
      <c r="U763" s="94"/>
      <c r="V763" s="94"/>
      <c r="W763" s="94"/>
      <c r="X763" s="94"/>
      <c r="Y763" s="94"/>
      <c r="Z763" s="94"/>
      <c r="AA763" s="94"/>
    </row>
    <row r="764" spans="1:27" ht="15.75" customHeight="1">
      <c r="A764" s="94"/>
      <c r="B764" s="248"/>
      <c r="C764" s="94"/>
      <c r="D764" s="94"/>
      <c r="E764" s="94"/>
      <c r="F764" s="249"/>
      <c r="G764" s="248"/>
      <c r="H764" s="94"/>
      <c r="I764" s="249"/>
      <c r="J764" s="94"/>
      <c r="K764" s="250"/>
      <c r="L764" s="250"/>
      <c r="M764" s="250"/>
      <c r="N764" s="250"/>
      <c r="O764" s="250"/>
      <c r="P764" s="250"/>
      <c r="Q764" s="249"/>
      <c r="R764" s="94"/>
      <c r="S764" s="94"/>
      <c r="T764" s="251"/>
      <c r="U764" s="94"/>
      <c r="V764" s="94"/>
      <c r="W764" s="94"/>
      <c r="X764" s="94"/>
      <c r="Y764" s="94"/>
      <c r="Z764" s="94"/>
      <c r="AA764" s="94"/>
    </row>
    <row r="765" spans="1:27" ht="15.75" customHeight="1">
      <c r="A765" s="94"/>
      <c r="B765" s="248"/>
      <c r="C765" s="94"/>
      <c r="D765" s="94"/>
      <c r="E765" s="94"/>
      <c r="F765" s="249"/>
      <c r="G765" s="248"/>
      <c r="H765" s="94"/>
      <c r="I765" s="249"/>
      <c r="J765" s="94"/>
      <c r="K765" s="250"/>
      <c r="L765" s="250"/>
      <c r="M765" s="250"/>
      <c r="N765" s="250"/>
      <c r="O765" s="250"/>
      <c r="P765" s="250"/>
      <c r="Q765" s="249"/>
      <c r="R765" s="94"/>
      <c r="S765" s="94"/>
      <c r="T765" s="251"/>
      <c r="U765" s="94"/>
      <c r="V765" s="94"/>
      <c r="W765" s="94"/>
      <c r="X765" s="94"/>
      <c r="Y765" s="94"/>
      <c r="Z765" s="94"/>
      <c r="AA765" s="94"/>
    </row>
    <row r="766" spans="1:27" ht="15.75" customHeight="1">
      <c r="A766" s="94"/>
      <c r="B766" s="248"/>
      <c r="C766" s="94"/>
      <c r="D766" s="94"/>
      <c r="E766" s="94"/>
      <c r="F766" s="249"/>
      <c r="G766" s="248"/>
      <c r="H766" s="94"/>
      <c r="I766" s="249"/>
      <c r="J766" s="94"/>
      <c r="K766" s="250"/>
      <c r="L766" s="250"/>
      <c r="M766" s="250"/>
      <c r="N766" s="250"/>
      <c r="O766" s="250"/>
      <c r="P766" s="250"/>
      <c r="Q766" s="249"/>
      <c r="R766" s="94"/>
      <c r="S766" s="94"/>
      <c r="T766" s="251"/>
      <c r="U766" s="94"/>
      <c r="V766" s="94"/>
      <c r="W766" s="94"/>
      <c r="X766" s="94"/>
      <c r="Y766" s="94"/>
      <c r="Z766" s="94"/>
      <c r="AA766" s="94"/>
    </row>
    <row r="767" spans="1:27" ht="15.75" customHeight="1">
      <c r="A767" s="94"/>
      <c r="B767" s="248"/>
      <c r="C767" s="94"/>
      <c r="D767" s="94"/>
      <c r="E767" s="94"/>
      <c r="F767" s="249"/>
      <c r="G767" s="248"/>
      <c r="H767" s="94"/>
      <c r="I767" s="249"/>
      <c r="J767" s="94"/>
      <c r="K767" s="250"/>
      <c r="L767" s="250"/>
      <c r="M767" s="250"/>
      <c r="N767" s="250"/>
      <c r="O767" s="250"/>
      <c r="P767" s="250"/>
      <c r="Q767" s="249"/>
      <c r="R767" s="94"/>
      <c r="S767" s="94"/>
      <c r="T767" s="251"/>
      <c r="U767" s="94"/>
      <c r="V767" s="94"/>
      <c r="W767" s="94"/>
      <c r="X767" s="94"/>
      <c r="Y767" s="94"/>
      <c r="Z767" s="94"/>
      <c r="AA767" s="94"/>
    </row>
    <row r="768" spans="1:27" ht="15.75" customHeight="1">
      <c r="A768" s="94"/>
      <c r="B768" s="248"/>
      <c r="C768" s="94"/>
      <c r="D768" s="94"/>
      <c r="E768" s="94"/>
      <c r="F768" s="249"/>
      <c r="G768" s="248"/>
      <c r="H768" s="94"/>
      <c r="I768" s="249"/>
      <c r="J768" s="94"/>
      <c r="K768" s="250"/>
      <c r="L768" s="250"/>
      <c r="M768" s="250"/>
      <c r="N768" s="250"/>
      <c r="O768" s="250"/>
      <c r="P768" s="250"/>
      <c r="Q768" s="249"/>
      <c r="R768" s="94"/>
      <c r="S768" s="94"/>
      <c r="T768" s="251"/>
      <c r="U768" s="94"/>
      <c r="V768" s="94"/>
      <c r="W768" s="94"/>
      <c r="X768" s="94"/>
      <c r="Y768" s="94"/>
      <c r="Z768" s="94"/>
      <c r="AA768" s="94"/>
    </row>
    <row r="769" spans="1:27" ht="15.75" customHeight="1">
      <c r="A769" s="94"/>
      <c r="B769" s="248"/>
      <c r="C769" s="94"/>
      <c r="D769" s="94"/>
      <c r="E769" s="94"/>
      <c r="F769" s="249"/>
      <c r="G769" s="248"/>
      <c r="H769" s="94"/>
      <c r="I769" s="249"/>
      <c r="J769" s="94"/>
      <c r="K769" s="250"/>
      <c r="L769" s="250"/>
      <c r="M769" s="250"/>
      <c r="N769" s="250"/>
      <c r="O769" s="250"/>
      <c r="P769" s="250"/>
      <c r="Q769" s="249"/>
      <c r="R769" s="94"/>
      <c r="S769" s="94"/>
      <c r="T769" s="251"/>
      <c r="U769" s="94"/>
      <c r="V769" s="94"/>
      <c r="W769" s="94"/>
      <c r="X769" s="94"/>
      <c r="Y769" s="94"/>
      <c r="Z769" s="94"/>
      <c r="AA769" s="94"/>
    </row>
    <row r="770" spans="1:27" ht="15.75" customHeight="1">
      <c r="A770" s="94"/>
      <c r="B770" s="248"/>
      <c r="C770" s="94"/>
      <c r="D770" s="94"/>
      <c r="E770" s="94"/>
      <c r="F770" s="249"/>
      <c r="G770" s="248"/>
      <c r="H770" s="94"/>
      <c r="I770" s="249"/>
      <c r="J770" s="94"/>
      <c r="K770" s="250"/>
      <c r="L770" s="250"/>
      <c r="M770" s="250"/>
      <c r="N770" s="250"/>
      <c r="O770" s="250"/>
      <c r="P770" s="250"/>
      <c r="Q770" s="249"/>
      <c r="R770" s="94"/>
      <c r="S770" s="94"/>
      <c r="T770" s="251"/>
      <c r="U770" s="94"/>
      <c r="V770" s="94"/>
      <c r="W770" s="94"/>
      <c r="X770" s="94"/>
      <c r="Y770" s="94"/>
      <c r="Z770" s="94"/>
      <c r="AA770" s="94"/>
    </row>
    <row r="771" spans="1:27" ht="15.75" customHeight="1">
      <c r="A771" s="94"/>
      <c r="B771" s="248"/>
      <c r="C771" s="94"/>
      <c r="D771" s="94"/>
      <c r="E771" s="94"/>
      <c r="F771" s="249"/>
      <c r="G771" s="248"/>
      <c r="H771" s="94"/>
      <c r="I771" s="249"/>
      <c r="J771" s="94"/>
      <c r="K771" s="250"/>
      <c r="L771" s="250"/>
      <c r="M771" s="250"/>
      <c r="N771" s="250"/>
      <c r="O771" s="250"/>
      <c r="P771" s="250"/>
      <c r="Q771" s="249"/>
      <c r="R771" s="94"/>
      <c r="S771" s="94"/>
      <c r="T771" s="251"/>
      <c r="U771" s="94"/>
      <c r="V771" s="94"/>
      <c r="W771" s="94"/>
      <c r="X771" s="94"/>
      <c r="Y771" s="94"/>
      <c r="Z771" s="94"/>
      <c r="AA771" s="94"/>
    </row>
    <row r="772" spans="1:27" ht="15.75" customHeight="1">
      <c r="A772" s="94"/>
      <c r="B772" s="248"/>
      <c r="C772" s="94"/>
      <c r="D772" s="94"/>
      <c r="E772" s="94"/>
      <c r="F772" s="249"/>
      <c r="G772" s="248"/>
      <c r="H772" s="94"/>
      <c r="I772" s="249"/>
      <c r="J772" s="94"/>
      <c r="K772" s="250"/>
      <c r="L772" s="250"/>
      <c r="M772" s="250"/>
      <c r="N772" s="250"/>
      <c r="O772" s="250"/>
      <c r="P772" s="250"/>
      <c r="Q772" s="249"/>
      <c r="R772" s="94"/>
      <c r="S772" s="94"/>
      <c r="T772" s="251"/>
      <c r="U772" s="94"/>
      <c r="V772" s="94"/>
      <c r="W772" s="94"/>
      <c r="X772" s="94"/>
      <c r="Y772" s="94"/>
      <c r="Z772" s="94"/>
      <c r="AA772" s="94"/>
    </row>
    <row r="773" spans="1:27" ht="15.75" customHeight="1">
      <c r="A773" s="94"/>
      <c r="B773" s="248"/>
      <c r="C773" s="94"/>
      <c r="D773" s="94"/>
      <c r="E773" s="94"/>
      <c r="F773" s="249"/>
      <c r="G773" s="248"/>
      <c r="H773" s="94"/>
      <c r="I773" s="249"/>
      <c r="J773" s="94"/>
      <c r="K773" s="250"/>
      <c r="L773" s="250"/>
      <c r="M773" s="250"/>
      <c r="N773" s="250"/>
      <c r="O773" s="250"/>
      <c r="P773" s="250"/>
      <c r="Q773" s="249"/>
      <c r="R773" s="94"/>
      <c r="S773" s="94"/>
      <c r="T773" s="251"/>
      <c r="U773" s="94"/>
      <c r="V773" s="94"/>
      <c r="W773" s="94"/>
      <c r="X773" s="94"/>
      <c r="Y773" s="94"/>
      <c r="Z773" s="94"/>
      <c r="AA773" s="94"/>
    </row>
    <row r="774" spans="1:27" ht="15.75" customHeight="1">
      <c r="A774" s="94"/>
      <c r="B774" s="248"/>
      <c r="C774" s="94"/>
      <c r="D774" s="94"/>
      <c r="E774" s="94"/>
      <c r="F774" s="249"/>
      <c r="G774" s="248"/>
      <c r="H774" s="94"/>
      <c r="I774" s="249"/>
      <c r="J774" s="94"/>
      <c r="K774" s="250"/>
      <c r="L774" s="250"/>
      <c r="M774" s="250"/>
      <c r="N774" s="250"/>
      <c r="O774" s="250"/>
      <c r="P774" s="250"/>
      <c r="Q774" s="249"/>
      <c r="R774" s="94"/>
      <c r="S774" s="94"/>
      <c r="T774" s="251"/>
      <c r="U774" s="94"/>
      <c r="V774" s="94"/>
      <c r="W774" s="94"/>
      <c r="X774" s="94"/>
      <c r="Y774" s="94"/>
      <c r="Z774" s="94"/>
      <c r="AA774" s="94"/>
    </row>
    <row r="775" spans="1:27" ht="15.75" customHeight="1">
      <c r="A775" s="94"/>
      <c r="B775" s="248"/>
      <c r="C775" s="94"/>
      <c r="D775" s="94"/>
      <c r="E775" s="94"/>
      <c r="F775" s="249"/>
      <c r="G775" s="248"/>
      <c r="H775" s="94"/>
      <c r="I775" s="249"/>
      <c r="J775" s="94"/>
      <c r="K775" s="250"/>
      <c r="L775" s="250"/>
      <c r="M775" s="250"/>
      <c r="N775" s="250"/>
      <c r="O775" s="250"/>
      <c r="P775" s="250"/>
      <c r="Q775" s="249"/>
      <c r="R775" s="94"/>
      <c r="S775" s="94"/>
      <c r="T775" s="251"/>
      <c r="U775" s="94"/>
      <c r="V775" s="94"/>
      <c r="W775" s="94"/>
      <c r="X775" s="94"/>
      <c r="Y775" s="94"/>
      <c r="Z775" s="94"/>
      <c r="AA775" s="94"/>
    </row>
    <row r="776" spans="1:27" ht="15.75" customHeight="1">
      <c r="A776" s="94"/>
      <c r="B776" s="248"/>
      <c r="C776" s="94"/>
      <c r="D776" s="94"/>
      <c r="E776" s="94"/>
      <c r="F776" s="249"/>
      <c r="G776" s="248"/>
      <c r="H776" s="94"/>
      <c r="I776" s="249"/>
      <c r="J776" s="94"/>
      <c r="K776" s="250"/>
      <c r="L776" s="250"/>
      <c r="M776" s="250"/>
      <c r="N776" s="250"/>
      <c r="O776" s="250"/>
      <c r="P776" s="250"/>
      <c r="Q776" s="249"/>
      <c r="R776" s="94"/>
      <c r="S776" s="94"/>
      <c r="T776" s="251"/>
      <c r="U776" s="94"/>
      <c r="V776" s="94"/>
      <c r="W776" s="94"/>
      <c r="X776" s="94"/>
      <c r="Y776" s="94"/>
      <c r="Z776" s="94"/>
      <c r="AA776" s="94"/>
    </row>
    <row r="777" spans="1:27" ht="15.75" customHeight="1">
      <c r="A777" s="94"/>
      <c r="B777" s="248"/>
      <c r="C777" s="94"/>
      <c r="D777" s="94"/>
      <c r="E777" s="94"/>
      <c r="F777" s="249"/>
      <c r="G777" s="248"/>
      <c r="H777" s="94"/>
      <c r="I777" s="249"/>
      <c r="J777" s="94"/>
      <c r="K777" s="250"/>
      <c r="L777" s="250"/>
      <c r="M777" s="250"/>
      <c r="N777" s="250"/>
      <c r="O777" s="250"/>
      <c r="P777" s="250"/>
      <c r="Q777" s="249"/>
      <c r="R777" s="94"/>
      <c r="S777" s="94"/>
      <c r="T777" s="251"/>
      <c r="U777" s="94"/>
      <c r="V777" s="94"/>
      <c r="W777" s="94"/>
      <c r="X777" s="94"/>
      <c r="Y777" s="94"/>
      <c r="Z777" s="94"/>
      <c r="AA777" s="94"/>
    </row>
    <row r="778" spans="1:27" ht="15.75" customHeight="1">
      <c r="A778" s="94"/>
      <c r="B778" s="248"/>
      <c r="C778" s="94"/>
      <c r="D778" s="94"/>
      <c r="E778" s="94"/>
      <c r="F778" s="249"/>
      <c r="G778" s="248"/>
      <c r="H778" s="94"/>
      <c r="I778" s="249"/>
      <c r="J778" s="94"/>
      <c r="K778" s="250"/>
      <c r="L778" s="250"/>
      <c r="M778" s="250"/>
      <c r="N778" s="250"/>
      <c r="O778" s="250"/>
      <c r="P778" s="250"/>
      <c r="Q778" s="249"/>
      <c r="R778" s="94"/>
      <c r="S778" s="94"/>
      <c r="T778" s="251"/>
      <c r="U778" s="94"/>
      <c r="V778" s="94"/>
      <c r="W778" s="94"/>
      <c r="X778" s="94"/>
      <c r="Y778" s="94"/>
      <c r="Z778" s="94"/>
      <c r="AA778" s="94"/>
    </row>
    <row r="779" spans="1:27" ht="15.75" customHeight="1">
      <c r="A779" s="94"/>
      <c r="B779" s="248"/>
      <c r="C779" s="94"/>
      <c r="D779" s="94"/>
      <c r="E779" s="94"/>
      <c r="F779" s="249"/>
      <c r="G779" s="248"/>
      <c r="H779" s="94"/>
      <c r="I779" s="249"/>
      <c r="J779" s="94"/>
      <c r="K779" s="250"/>
      <c r="L779" s="250"/>
      <c r="M779" s="250"/>
      <c r="N779" s="250"/>
      <c r="O779" s="250"/>
      <c r="P779" s="250"/>
      <c r="Q779" s="249"/>
      <c r="R779" s="94"/>
      <c r="S779" s="94"/>
      <c r="T779" s="251"/>
      <c r="U779" s="94"/>
      <c r="V779" s="94"/>
      <c r="W779" s="94"/>
      <c r="X779" s="94"/>
      <c r="Y779" s="94"/>
      <c r="Z779" s="94"/>
      <c r="AA779" s="94"/>
    </row>
    <row r="780" spans="1:27" ht="15.75" customHeight="1">
      <c r="A780" s="94"/>
      <c r="B780" s="248"/>
      <c r="C780" s="94"/>
      <c r="D780" s="94"/>
      <c r="E780" s="94"/>
      <c r="F780" s="249"/>
      <c r="G780" s="248"/>
      <c r="H780" s="94"/>
      <c r="I780" s="249"/>
      <c r="J780" s="94"/>
      <c r="K780" s="250"/>
      <c r="L780" s="250"/>
      <c r="M780" s="250"/>
      <c r="N780" s="250"/>
      <c r="O780" s="250"/>
      <c r="P780" s="250"/>
      <c r="Q780" s="249"/>
      <c r="R780" s="94"/>
      <c r="S780" s="94"/>
      <c r="T780" s="251"/>
      <c r="U780" s="94"/>
      <c r="V780" s="94"/>
      <c r="W780" s="94"/>
      <c r="X780" s="94"/>
      <c r="Y780" s="94"/>
      <c r="Z780" s="94"/>
      <c r="AA780" s="94"/>
    </row>
    <row r="781" spans="1:27" ht="15.75" customHeight="1">
      <c r="A781" s="94"/>
      <c r="B781" s="248"/>
      <c r="C781" s="94"/>
      <c r="D781" s="94"/>
      <c r="E781" s="94"/>
      <c r="F781" s="249"/>
      <c r="G781" s="248"/>
      <c r="H781" s="94"/>
      <c r="I781" s="249"/>
      <c r="J781" s="94"/>
      <c r="K781" s="250"/>
      <c r="L781" s="250"/>
      <c r="M781" s="250"/>
      <c r="N781" s="250"/>
      <c r="O781" s="250"/>
      <c r="P781" s="250"/>
      <c r="Q781" s="249"/>
      <c r="R781" s="94"/>
      <c r="S781" s="94"/>
      <c r="T781" s="251"/>
      <c r="U781" s="94"/>
      <c r="V781" s="94"/>
      <c r="W781" s="94"/>
      <c r="X781" s="94"/>
      <c r="Y781" s="94"/>
      <c r="Z781" s="94"/>
      <c r="AA781" s="94"/>
    </row>
    <row r="782" spans="1:27" ht="15.75" customHeight="1">
      <c r="A782" s="94"/>
      <c r="B782" s="248"/>
      <c r="C782" s="94"/>
      <c r="D782" s="94"/>
      <c r="E782" s="94"/>
      <c r="F782" s="249"/>
      <c r="G782" s="248"/>
      <c r="H782" s="94"/>
      <c r="I782" s="249"/>
      <c r="J782" s="94"/>
      <c r="K782" s="250"/>
      <c r="L782" s="250"/>
      <c r="M782" s="250"/>
      <c r="N782" s="250"/>
      <c r="O782" s="250"/>
      <c r="P782" s="250"/>
      <c r="Q782" s="249"/>
      <c r="R782" s="94"/>
      <c r="S782" s="94"/>
      <c r="T782" s="251"/>
      <c r="U782" s="94"/>
      <c r="V782" s="94"/>
      <c r="W782" s="94"/>
      <c r="X782" s="94"/>
      <c r="Y782" s="94"/>
      <c r="Z782" s="94"/>
      <c r="AA782" s="94"/>
    </row>
    <row r="783" spans="1:27" ht="15.75" customHeight="1">
      <c r="A783" s="94"/>
      <c r="B783" s="248"/>
      <c r="C783" s="94"/>
      <c r="D783" s="94"/>
      <c r="E783" s="94"/>
      <c r="F783" s="249"/>
      <c r="G783" s="248"/>
      <c r="H783" s="94"/>
      <c r="I783" s="249"/>
      <c r="J783" s="94"/>
      <c r="K783" s="250"/>
      <c r="L783" s="250"/>
      <c r="M783" s="250"/>
      <c r="N783" s="250"/>
      <c r="O783" s="250"/>
      <c r="P783" s="250"/>
      <c r="Q783" s="249"/>
      <c r="R783" s="94"/>
      <c r="S783" s="94"/>
      <c r="T783" s="251"/>
      <c r="U783" s="94"/>
      <c r="V783" s="94"/>
      <c r="W783" s="94"/>
      <c r="X783" s="94"/>
      <c r="Y783" s="94"/>
      <c r="Z783" s="94"/>
      <c r="AA783" s="94"/>
    </row>
    <row r="784" spans="1:27" ht="15.75" customHeight="1">
      <c r="A784" s="94"/>
      <c r="B784" s="248"/>
      <c r="C784" s="94"/>
      <c r="D784" s="94"/>
      <c r="E784" s="94"/>
      <c r="F784" s="249"/>
      <c r="G784" s="248"/>
      <c r="H784" s="94"/>
      <c r="I784" s="249"/>
      <c r="J784" s="94"/>
      <c r="K784" s="250"/>
      <c r="L784" s="250"/>
      <c r="M784" s="250"/>
      <c r="N784" s="250"/>
      <c r="O784" s="250"/>
      <c r="P784" s="250"/>
      <c r="Q784" s="249"/>
      <c r="R784" s="94"/>
      <c r="S784" s="94"/>
      <c r="T784" s="251"/>
      <c r="U784" s="94"/>
      <c r="V784" s="94"/>
      <c r="W784" s="94"/>
      <c r="X784" s="94"/>
      <c r="Y784" s="94"/>
      <c r="Z784" s="94"/>
      <c r="AA784" s="94"/>
    </row>
    <row r="785" spans="1:27" ht="15.75" customHeight="1">
      <c r="A785" s="94"/>
      <c r="B785" s="248"/>
      <c r="C785" s="94"/>
      <c r="D785" s="94"/>
      <c r="E785" s="94"/>
      <c r="F785" s="249"/>
      <c r="G785" s="248"/>
      <c r="H785" s="94"/>
      <c r="I785" s="249"/>
      <c r="J785" s="94"/>
      <c r="K785" s="250"/>
      <c r="L785" s="250"/>
      <c r="M785" s="250"/>
      <c r="N785" s="250"/>
      <c r="O785" s="250"/>
      <c r="P785" s="250"/>
      <c r="Q785" s="249"/>
      <c r="R785" s="94"/>
      <c r="S785" s="94"/>
      <c r="T785" s="251"/>
      <c r="U785" s="94"/>
      <c r="V785" s="94"/>
      <c r="W785" s="94"/>
      <c r="X785" s="94"/>
      <c r="Y785" s="94"/>
      <c r="Z785" s="94"/>
      <c r="AA785" s="94"/>
    </row>
    <row r="786" spans="1:27" ht="15.75" customHeight="1">
      <c r="A786" s="94"/>
      <c r="B786" s="248"/>
      <c r="C786" s="94"/>
      <c r="D786" s="94"/>
      <c r="E786" s="94"/>
      <c r="F786" s="249"/>
      <c r="G786" s="248"/>
      <c r="H786" s="94"/>
      <c r="I786" s="249"/>
      <c r="J786" s="94"/>
      <c r="K786" s="250"/>
      <c r="L786" s="250"/>
      <c r="M786" s="250"/>
      <c r="N786" s="250"/>
      <c r="O786" s="250"/>
      <c r="P786" s="250"/>
      <c r="Q786" s="249"/>
      <c r="R786" s="94"/>
      <c r="S786" s="94"/>
      <c r="T786" s="251"/>
      <c r="U786" s="94"/>
      <c r="V786" s="94"/>
      <c r="W786" s="94"/>
      <c r="X786" s="94"/>
      <c r="Y786" s="94"/>
      <c r="Z786" s="94"/>
      <c r="AA786" s="94"/>
    </row>
    <row r="787" spans="1:27" ht="15.75" customHeight="1">
      <c r="A787" s="94"/>
      <c r="B787" s="248"/>
      <c r="C787" s="94"/>
      <c r="D787" s="94"/>
      <c r="E787" s="94"/>
      <c r="F787" s="249"/>
      <c r="G787" s="248"/>
      <c r="H787" s="94"/>
      <c r="I787" s="249"/>
      <c r="J787" s="94"/>
      <c r="K787" s="250"/>
      <c r="L787" s="250"/>
      <c r="M787" s="250"/>
      <c r="N787" s="250"/>
      <c r="O787" s="250"/>
      <c r="P787" s="250"/>
      <c r="Q787" s="249"/>
      <c r="R787" s="94"/>
      <c r="S787" s="94"/>
      <c r="T787" s="251"/>
      <c r="U787" s="94"/>
      <c r="V787" s="94"/>
      <c r="W787" s="94"/>
      <c r="X787" s="94"/>
      <c r="Y787" s="94"/>
      <c r="Z787" s="94"/>
      <c r="AA787" s="94"/>
    </row>
    <row r="788" spans="1:27" ht="15.75" customHeight="1">
      <c r="A788" s="94"/>
      <c r="B788" s="248"/>
      <c r="C788" s="94"/>
      <c r="D788" s="94"/>
      <c r="E788" s="94"/>
      <c r="F788" s="249"/>
      <c r="G788" s="248"/>
      <c r="H788" s="94"/>
      <c r="I788" s="249"/>
      <c r="J788" s="94"/>
      <c r="K788" s="250"/>
      <c r="L788" s="250"/>
      <c r="M788" s="250"/>
      <c r="N788" s="250"/>
      <c r="O788" s="250"/>
      <c r="P788" s="250"/>
      <c r="Q788" s="249"/>
      <c r="R788" s="94"/>
      <c r="S788" s="94"/>
      <c r="T788" s="251"/>
      <c r="U788" s="94"/>
      <c r="V788" s="94"/>
      <c r="W788" s="94"/>
      <c r="X788" s="94"/>
      <c r="Y788" s="94"/>
      <c r="Z788" s="94"/>
      <c r="AA788" s="94"/>
    </row>
    <row r="789" spans="1:27" ht="15.75" customHeight="1">
      <c r="A789" s="94"/>
      <c r="B789" s="248"/>
      <c r="C789" s="94"/>
      <c r="D789" s="94"/>
      <c r="E789" s="94"/>
      <c r="F789" s="249"/>
      <c r="G789" s="248"/>
      <c r="H789" s="94"/>
      <c r="I789" s="249"/>
      <c r="J789" s="94"/>
      <c r="K789" s="250"/>
      <c r="L789" s="250"/>
      <c r="M789" s="250"/>
      <c r="N789" s="250"/>
      <c r="O789" s="250"/>
      <c r="P789" s="250"/>
      <c r="Q789" s="249"/>
      <c r="R789" s="94"/>
      <c r="S789" s="94"/>
      <c r="T789" s="251"/>
      <c r="U789" s="94"/>
      <c r="V789" s="94"/>
      <c r="W789" s="94"/>
      <c r="X789" s="94"/>
      <c r="Y789" s="94"/>
      <c r="Z789" s="94"/>
      <c r="AA789" s="94"/>
    </row>
    <row r="790" spans="1:27" ht="15.75" customHeight="1">
      <c r="A790" s="94"/>
      <c r="B790" s="248"/>
      <c r="C790" s="94"/>
      <c r="D790" s="94"/>
      <c r="E790" s="94"/>
      <c r="F790" s="249"/>
      <c r="G790" s="248"/>
      <c r="H790" s="94"/>
      <c r="I790" s="249"/>
      <c r="J790" s="94"/>
      <c r="K790" s="250"/>
      <c r="L790" s="250"/>
      <c r="M790" s="250"/>
      <c r="N790" s="250"/>
      <c r="O790" s="250"/>
      <c r="P790" s="250"/>
      <c r="Q790" s="249"/>
      <c r="R790" s="94"/>
      <c r="S790" s="94"/>
      <c r="T790" s="251"/>
      <c r="U790" s="94"/>
      <c r="V790" s="94"/>
      <c r="W790" s="94"/>
      <c r="X790" s="94"/>
      <c r="Y790" s="94"/>
      <c r="Z790" s="94"/>
      <c r="AA790" s="94"/>
    </row>
    <row r="791" spans="1:27" ht="15.75" customHeight="1">
      <c r="A791" s="94"/>
      <c r="B791" s="248"/>
      <c r="C791" s="94"/>
      <c r="D791" s="94"/>
      <c r="E791" s="94"/>
      <c r="F791" s="249"/>
      <c r="G791" s="248"/>
      <c r="H791" s="94"/>
      <c r="I791" s="249"/>
      <c r="J791" s="94"/>
      <c r="K791" s="250"/>
      <c r="L791" s="250"/>
      <c r="M791" s="250"/>
      <c r="N791" s="250"/>
      <c r="O791" s="250"/>
      <c r="P791" s="250"/>
      <c r="Q791" s="249"/>
      <c r="R791" s="94"/>
      <c r="S791" s="94"/>
      <c r="T791" s="251"/>
      <c r="U791" s="94"/>
      <c r="V791" s="94"/>
      <c r="W791" s="94"/>
      <c r="X791" s="94"/>
      <c r="Y791" s="94"/>
      <c r="Z791" s="94"/>
      <c r="AA791" s="94"/>
    </row>
    <row r="792" spans="1:27" ht="15.75" customHeight="1">
      <c r="A792" s="94"/>
      <c r="B792" s="248"/>
      <c r="C792" s="94"/>
      <c r="D792" s="94"/>
      <c r="E792" s="94"/>
      <c r="F792" s="249"/>
      <c r="G792" s="248"/>
      <c r="H792" s="94"/>
      <c r="I792" s="249"/>
      <c r="J792" s="94"/>
      <c r="K792" s="250"/>
      <c r="L792" s="250"/>
      <c r="M792" s="250"/>
      <c r="N792" s="250"/>
      <c r="O792" s="250"/>
      <c r="P792" s="250"/>
      <c r="Q792" s="249"/>
      <c r="R792" s="94"/>
      <c r="S792" s="94"/>
      <c r="T792" s="251"/>
      <c r="U792" s="94"/>
      <c r="V792" s="94"/>
      <c r="W792" s="94"/>
      <c r="X792" s="94"/>
      <c r="Y792" s="94"/>
      <c r="Z792" s="94"/>
      <c r="AA792" s="94"/>
    </row>
    <row r="793" spans="1:27" ht="15.75" customHeight="1">
      <c r="A793" s="94"/>
      <c r="B793" s="248"/>
      <c r="C793" s="94"/>
      <c r="D793" s="94"/>
      <c r="E793" s="94"/>
      <c r="F793" s="249"/>
      <c r="G793" s="248"/>
      <c r="H793" s="94"/>
      <c r="I793" s="249"/>
      <c r="J793" s="94"/>
      <c r="K793" s="250"/>
      <c r="L793" s="250"/>
      <c r="M793" s="250"/>
      <c r="N793" s="250"/>
      <c r="O793" s="250"/>
      <c r="P793" s="250"/>
      <c r="Q793" s="249"/>
      <c r="R793" s="94"/>
      <c r="S793" s="94"/>
      <c r="T793" s="251"/>
      <c r="U793" s="94"/>
      <c r="V793" s="94"/>
      <c r="W793" s="94"/>
      <c r="X793" s="94"/>
      <c r="Y793" s="94"/>
      <c r="Z793" s="94"/>
      <c r="AA793" s="94"/>
    </row>
    <row r="794" spans="1:27" ht="15.75" customHeight="1">
      <c r="A794" s="94"/>
      <c r="B794" s="248"/>
      <c r="C794" s="94"/>
      <c r="D794" s="94"/>
      <c r="E794" s="94"/>
      <c r="F794" s="249"/>
      <c r="G794" s="248"/>
      <c r="H794" s="94"/>
      <c r="I794" s="249"/>
      <c r="J794" s="94"/>
      <c r="K794" s="250"/>
      <c r="L794" s="250"/>
      <c r="M794" s="250"/>
      <c r="N794" s="250"/>
      <c r="O794" s="250"/>
      <c r="P794" s="250"/>
      <c r="Q794" s="249"/>
      <c r="R794" s="94"/>
      <c r="S794" s="94"/>
      <c r="T794" s="251"/>
      <c r="U794" s="94"/>
      <c r="V794" s="94"/>
      <c r="W794" s="94"/>
      <c r="X794" s="94"/>
      <c r="Y794" s="94"/>
      <c r="Z794" s="94"/>
      <c r="AA794" s="94"/>
    </row>
    <row r="795" spans="1:27" ht="15.75" customHeight="1">
      <c r="A795" s="94"/>
      <c r="B795" s="248"/>
      <c r="C795" s="94"/>
      <c r="D795" s="94"/>
      <c r="E795" s="94"/>
      <c r="F795" s="249"/>
      <c r="G795" s="248"/>
      <c r="H795" s="94"/>
      <c r="I795" s="249"/>
      <c r="J795" s="94"/>
      <c r="K795" s="250"/>
      <c r="L795" s="250"/>
      <c r="M795" s="250"/>
      <c r="N795" s="250"/>
      <c r="O795" s="250"/>
      <c r="P795" s="250"/>
      <c r="Q795" s="249"/>
      <c r="R795" s="94"/>
      <c r="S795" s="94"/>
      <c r="T795" s="251"/>
      <c r="U795" s="94"/>
      <c r="V795" s="94"/>
      <c r="W795" s="94"/>
      <c r="X795" s="94"/>
      <c r="Y795" s="94"/>
      <c r="Z795" s="94"/>
      <c r="AA795" s="94"/>
    </row>
    <row r="796" spans="1:27" ht="15.75" customHeight="1">
      <c r="A796" s="94"/>
      <c r="B796" s="248"/>
      <c r="C796" s="94"/>
      <c r="D796" s="94"/>
      <c r="E796" s="94"/>
      <c r="F796" s="249"/>
      <c r="G796" s="248"/>
      <c r="H796" s="94"/>
      <c r="I796" s="249"/>
      <c r="J796" s="94"/>
      <c r="K796" s="250"/>
      <c r="L796" s="250"/>
      <c r="M796" s="250"/>
      <c r="N796" s="250"/>
      <c r="O796" s="250"/>
      <c r="P796" s="250"/>
      <c r="Q796" s="249"/>
      <c r="R796" s="94"/>
      <c r="S796" s="94"/>
      <c r="T796" s="251"/>
      <c r="U796" s="94"/>
      <c r="V796" s="94"/>
      <c r="W796" s="94"/>
      <c r="X796" s="94"/>
      <c r="Y796" s="94"/>
      <c r="Z796" s="94"/>
      <c r="AA796" s="94"/>
    </row>
    <row r="797" spans="1:27" ht="15.75" customHeight="1">
      <c r="A797" s="94"/>
      <c r="B797" s="248"/>
      <c r="C797" s="94"/>
      <c r="D797" s="94"/>
      <c r="E797" s="94"/>
      <c r="F797" s="249"/>
      <c r="G797" s="248"/>
      <c r="H797" s="94"/>
      <c r="I797" s="249"/>
      <c r="J797" s="94"/>
      <c r="K797" s="250"/>
      <c r="L797" s="250"/>
      <c r="M797" s="250"/>
      <c r="N797" s="250"/>
      <c r="O797" s="250"/>
      <c r="P797" s="250"/>
      <c r="Q797" s="249"/>
      <c r="R797" s="94"/>
      <c r="S797" s="94"/>
      <c r="T797" s="251"/>
      <c r="U797" s="94"/>
      <c r="V797" s="94"/>
      <c r="W797" s="94"/>
      <c r="X797" s="94"/>
      <c r="Y797" s="94"/>
      <c r="Z797" s="94"/>
      <c r="AA797" s="94"/>
    </row>
    <row r="798" spans="1:27" ht="15.75" customHeight="1">
      <c r="A798" s="94"/>
      <c r="B798" s="248"/>
      <c r="C798" s="94"/>
      <c r="D798" s="94"/>
      <c r="E798" s="94"/>
      <c r="F798" s="249"/>
      <c r="G798" s="248"/>
      <c r="H798" s="94"/>
      <c r="I798" s="249"/>
      <c r="J798" s="94"/>
      <c r="K798" s="250"/>
      <c r="L798" s="250"/>
      <c r="M798" s="250"/>
      <c r="N798" s="250"/>
      <c r="O798" s="250"/>
      <c r="P798" s="250"/>
      <c r="Q798" s="249"/>
      <c r="R798" s="94"/>
      <c r="S798" s="94"/>
      <c r="T798" s="251"/>
      <c r="U798" s="94"/>
      <c r="V798" s="94"/>
      <c r="W798" s="94"/>
      <c r="X798" s="94"/>
      <c r="Y798" s="94"/>
      <c r="Z798" s="94"/>
      <c r="AA798" s="94"/>
    </row>
    <row r="799" spans="1:27" ht="15.75" customHeight="1">
      <c r="A799" s="94"/>
      <c r="B799" s="248"/>
      <c r="C799" s="94"/>
      <c r="D799" s="94"/>
      <c r="E799" s="94"/>
      <c r="F799" s="249"/>
      <c r="G799" s="248"/>
      <c r="H799" s="94"/>
      <c r="I799" s="249"/>
      <c r="J799" s="94"/>
      <c r="K799" s="250"/>
      <c r="L799" s="250"/>
      <c r="M799" s="250"/>
      <c r="N799" s="250"/>
      <c r="O799" s="250"/>
      <c r="P799" s="250"/>
      <c r="Q799" s="249"/>
      <c r="R799" s="94"/>
      <c r="S799" s="94"/>
      <c r="T799" s="251"/>
      <c r="U799" s="94"/>
      <c r="V799" s="94"/>
      <c r="W799" s="94"/>
      <c r="X799" s="94"/>
      <c r="Y799" s="94"/>
      <c r="Z799" s="94"/>
      <c r="AA799" s="94"/>
    </row>
    <row r="800" spans="1:27" ht="15.75" customHeight="1">
      <c r="A800" s="94"/>
      <c r="B800" s="248"/>
      <c r="C800" s="94"/>
      <c r="D800" s="94"/>
      <c r="E800" s="94"/>
      <c r="F800" s="249"/>
      <c r="G800" s="248"/>
      <c r="H800" s="94"/>
      <c r="I800" s="249"/>
      <c r="J800" s="94"/>
      <c r="K800" s="250"/>
      <c r="L800" s="250"/>
      <c r="M800" s="250"/>
      <c r="N800" s="250"/>
      <c r="O800" s="250"/>
      <c r="P800" s="250"/>
      <c r="Q800" s="249"/>
      <c r="R800" s="94"/>
      <c r="S800" s="94"/>
      <c r="T800" s="251"/>
      <c r="U800" s="94"/>
      <c r="V800" s="94"/>
      <c r="W800" s="94"/>
      <c r="X800" s="94"/>
      <c r="Y800" s="94"/>
      <c r="Z800" s="94"/>
      <c r="AA800" s="94"/>
    </row>
    <row r="801" spans="1:27" ht="15.75" customHeight="1">
      <c r="A801" s="94"/>
      <c r="B801" s="248"/>
      <c r="C801" s="94"/>
      <c r="D801" s="94"/>
      <c r="E801" s="94"/>
      <c r="F801" s="249"/>
      <c r="G801" s="248"/>
      <c r="H801" s="94"/>
      <c r="I801" s="249"/>
      <c r="J801" s="94"/>
      <c r="K801" s="250"/>
      <c r="L801" s="250"/>
      <c r="M801" s="250"/>
      <c r="N801" s="250"/>
      <c r="O801" s="250"/>
      <c r="P801" s="250"/>
      <c r="Q801" s="249"/>
      <c r="R801" s="94"/>
      <c r="S801" s="94"/>
      <c r="T801" s="251"/>
      <c r="U801" s="94"/>
      <c r="V801" s="94"/>
      <c r="W801" s="94"/>
      <c r="X801" s="94"/>
      <c r="Y801" s="94"/>
      <c r="Z801" s="94"/>
      <c r="AA801" s="94"/>
    </row>
    <row r="802" spans="1:27" ht="15.75" customHeight="1">
      <c r="A802" s="94"/>
      <c r="B802" s="248"/>
      <c r="C802" s="94"/>
      <c r="D802" s="94"/>
      <c r="E802" s="94"/>
      <c r="F802" s="249"/>
      <c r="G802" s="248"/>
      <c r="H802" s="94"/>
      <c r="I802" s="249"/>
      <c r="J802" s="94"/>
      <c r="K802" s="250"/>
      <c r="L802" s="250"/>
      <c r="M802" s="250"/>
      <c r="N802" s="250"/>
      <c r="O802" s="250"/>
      <c r="P802" s="250"/>
      <c r="Q802" s="249"/>
      <c r="R802" s="94"/>
      <c r="S802" s="94"/>
      <c r="T802" s="251"/>
      <c r="U802" s="94"/>
      <c r="V802" s="94"/>
      <c r="W802" s="94"/>
      <c r="X802" s="94"/>
      <c r="Y802" s="94"/>
      <c r="Z802" s="94"/>
      <c r="AA802" s="94"/>
    </row>
    <row r="803" spans="1:27" ht="15.75" customHeight="1">
      <c r="A803" s="94"/>
      <c r="B803" s="248"/>
      <c r="C803" s="94"/>
      <c r="D803" s="94"/>
      <c r="E803" s="94"/>
      <c r="F803" s="249"/>
      <c r="G803" s="248"/>
      <c r="H803" s="94"/>
      <c r="I803" s="249"/>
      <c r="J803" s="94"/>
      <c r="K803" s="250"/>
      <c r="L803" s="250"/>
      <c r="M803" s="250"/>
      <c r="N803" s="250"/>
      <c r="O803" s="250"/>
      <c r="P803" s="250"/>
      <c r="Q803" s="249"/>
      <c r="R803" s="94"/>
      <c r="S803" s="94"/>
      <c r="T803" s="251"/>
      <c r="U803" s="94"/>
      <c r="V803" s="94"/>
      <c r="W803" s="94"/>
      <c r="X803" s="94"/>
      <c r="Y803" s="94"/>
      <c r="Z803" s="94"/>
      <c r="AA803" s="94"/>
    </row>
    <row r="804" spans="1:27" ht="15.75" customHeight="1">
      <c r="A804" s="94"/>
      <c r="B804" s="248"/>
      <c r="C804" s="94"/>
      <c r="D804" s="94"/>
      <c r="E804" s="94"/>
      <c r="F804" s="249"/>
      <c r="G804" s="248"/>
      <c r="H804" s="94"/>
      <c r="I804" s="249"/>
      <c r="J804" s="94"/>
      <c r="K804" s="250"/>
      <c r="L804" s="250"/>
      <c r="M804" s="250"/>
      <c r="N804" s="250"/>
      <c r="O804" s="250"/>
      <c r="P804" s="250"/>
      <c r="Q804" s="249"/>
      <c r="R804" s="94"/>
      <c r="S804" s="94"/>
      <c r="T804" s="251"/>
      <c r="U804" s="94"/>
      <c r="V804" s="94"/>
      <c r="W804" s="94"/>
      <c r="X804" s="94"/>
      <c r="Y804" s="94"/>
      <c r="Z804" s="94"/>
      <c r="AA804" s="94"/>
    </row>
    <row r="805" spans="1:27" ht="15.75" customHeight="1">
      <c r="A805" s="94"/>
      <c r="B805" s="248"/>
      <c r="C805" s="94"/>
      <c r="D805" s="94"/>
      <c r="E805" s="94"/>
      <c r="F805" s="249"/>
      <c r="G805" s="248"/>
      <c r="H805" s="94"/>
      <c r="I805" s="249"/>
      <c r="J805" s="94"/>
      <c r="K805" s="250"/>
      <c r="L805" s="250"/>
      <c r="M805" s="250"/>
      <c r="N805" s="250"/>
      <c r="O805" s="250"/>
      <c r="P805" s="250"/>
      <c r="Q805" s="249"/>
      <c r="R805" s="94"/>
      <c r="S805" s="94"/>
      <c r="T805" s="251"/>
      <c r="U805" s="94"/>
      <c r="V805" s="94"/>
      <c r="W805" s="94"/>
      <c r="X805" s="94"/>
      <c r="Y805" s="94"/>
      <c r="Z805" s="94"/>
      <c r="AA805" s="94"/>
    </row>
    <row r="806" spans="1:27" ht="15.75" customHeight="1">
      <c r="A806" s="94"/>
      <c r="B806" s="248"/>
      <c r="C806" s="94"/>
      <c r="D806" s="94"/>
      <c r="E806" s="94"/>
      <c r="F806" s="249"/>
      <c r="G806" s="248"/>
      <c r="H806" s="94"/>
      <c r="I806" s="249"/>
      <c r="J806" s="94"/>
      <c r="K806" s="250"/>
      <c r="L806" s="250"/>
      <c r="M806" s="250"/>
      <c r="N806" s="250"/>
      <c r="O806" s="250"/>
      <c r="P806" s="250"/>
      <c r="Q806" s="249"/>
      <c r="R806" s="94"/>
      <c r="S806" s="94"/>
      <c r="T806" s="251"/>
      <c r="U806" s="94"/>
      <c r="V806" s="94"/>
      <c r="W806" s="94"/>
      <c r="X806" s="94"/>
      <c r="Y806" s="94"/>
      <c r="Z806" s="94"/>
      <c r="AA806" s="94"/>
    </row>
    <row r="807" spans="1:27" ht="15.75" customHeight="1">
      <c r="A807" s="94"/>
      <c r="B807" s="248"/>
      <c r="C807" s="94"/>
      <c r="D807" s="94"/>
      <c r="E807" s="94"/>
      <c r="F807" s="249"/>
      <c r="G807" s="248"/>
      <c r="H807" s="94"/>
      <c r="I807" s="249"/>
      <c r="J807" s="94"/>
      <c r="K807" s="250"/>
      <c r="L807" s="250"/>
      <c r="M807" s="250"/>
      <c r="N807" s="250"/>
      <c r="O807" s="250"/>
      <c r="P807" s="250"/>
      <c r="Q807" s="249"/>
      <c r="R807" s="94"/>
      <c r="S807" s="94"/>
      <c r="T807" s="251"/>
      <c r="U807" s="94"/>
      <c r="V807" s="94"/>
      <c r="W807" s="94"/>
      <c r="X807" s="94"/>
      <c r="Y807" s="94"/>
      <c r="Z807" s="94"/>
      <c r="AA807" s="94"/>
    </row>
    <row r="808" spans="1:27" ht="15.75" customHeight="1">
      <c r="A808" s="94"/>
      <c r="B808" s="248"/>
      <c r="C808" s="94"/>
      <c r="D808" s="94"/>
      <c r="E808" s="94"/>
      <c r="F808" s="249"/>
      <c r="G808" s="248"/>
      <c r="H808" s="94"/>
      <c r="I808" s="249"/>
      <c r="J808" s="94"/>
      <c r="K808" s="250"/>
      <c r="L808" s="250"/>
      <c r="M808" s="250"/>
      <c r="N808" s="250"/>
      <c r="O808" s="250"/>
      <c r="P808" s="250"/>
      <c r="Q808" s="249"/>
      <c r="R808" s="94"/>
      <c r="S808" s="94"/>
      <c r="T808" s="251"/>
      <c r="U808" s="94"/>
      <c r="V808" s="94"/>
      <c r="W808" s="94"/>
      <c r="X808" s="94"/>
      <c r="Y808" s="94"/>
      <c r="Z808" s="94"/>
      <c r="AA808" s="94"/>
    </row>
    <row r="809" spans="1:27" ht="15.75" customHeight="1">
      <c r="A809" s="94"/>
      <c r="B809" s="248"/>
      <c r="C809" s="94"/>
      <c r="D809" s="94"/>
      <c r="E809" s="94"/>
      <c r="F809" s="249"/>
      <c r="G809" s="248"/>
      <c r="H809" s="94"/>
      <c r="I809" s="249"/>
      <c r="J809" s="94"/>
      <c r="K809" s="250"/>
      <c r="L809" s="250"/>
      <c r="M809" s="250"/>
      <c r="N809" s="250"/>
      <c r="O809" s="250"/>
      <c r="P809" s="250"/>
      <c r="Q809" s="249"/>
      <c r="R809" s="94"/>
      <c r="S809" s="94"/>
      <c r="T809" s="251"/>
      <c r="U809" s="94"/>
      <c r="V809" s="94"/>
      <c r="W809" s="94"/>
      <c r="X809" s="94"/>
      <c r="Y809" s="94"/>
      <c r="Z809" s="94"/>
      <c r="AA809" s="94"/>
    </row>
    <row r="810" spans="1:27" ht="15.75" customHeight="1">
      <c r="A810" s="94"/>
      <c r="B810" s="248"/>
      <c r="C810" s="94"/>
      <c r="D810" s="94"/>
      <c r="E810" s="94"/>
      <c r="F810" s="249"/>
      <c r="G810" s="248"/>
      <c r="H810" s="94"/>
      <c r="I810" s="249"/>
      <c r="J810" s="94"/>
      <c r="K810" s="250"/>
      <c r="L810" s="250"/>
      <c r="M810" s="250"/>
      <c r="N810" s="250"/>
      <c r="O810" s="250"/>
      <c r="P810" s="250"/>
      <c r="Q810" s="249"/>
      <c r="R810" s="94"/>
      <c r="S810" s="94"/>
      <c r="T810" s="251"/>
      <c r="U810" s="94"/>
      <c r="V810" s="94"/>
      <c r="W810" s="94"/>
      <c r="X810" s="94"/>
      <c r="Y810" s="94"/>
      <c r="Z810" s="94"/>
      <c r="AA810" s="94"/>
    </row>
    <row r="811" spans="1:27" ht="15.75" customHeight="1">
      <c r="A811" s="94"/>
      <c r="B811" s="248"/>
      <c r="C811" s="94"/>
      <c r="D811" s="94"/>
      <c r="E811" s="94"/>
      <c r="F811" s="249"/>
      <c r="G811" s="248"/>
      <c r="H811" s="94"/>
      <c r="I811" s="249"/>
      <c r="J811" s="94"/>
      <c r="K811" s="250"/>
      <c r="L811" s="250"/>
      <c r="M811" s="250"/>
      <c r="N811" s="250"/>
      <c r="O811" s="250"/>
      <c r="P811" s="250"/>
      <c r="Q811" s="249"/>
      <c r="R811" s="94"/>
      <c r="S811" s="94"/>
      <c r="T811" s="251"/>
      <c r="U811" s="94"/>
      <c r="V811" s="94"/>
      <c r="W811" s="94"/>
      <c r="X811" s="94"/>
      <c r="Y811" s="94"/>
      <c r="Z811" s="94"/>
      <c r="AA811" s="94"/>
    </row>
    <row r="812" spans="1:27" ht="15.75" customHeight="1">
      <c r="A812" s="94"/>
      <c r="B812" s="248"/>
      <c r="C812" s="94"/>
      <c r="D812" s="94"/>
      <c r="E812" s="94"/>
      <c r="F812" s="249"/>
      <c r="G812" s="248"/>
      <c r="H812" s="94"/>
      <c r="I812" s="249"/>
      <c r="J812" s="94"/>
      <c r="K812" s="250"/>
      <c r="L812" s="250"/>
      <c r="M812" s="250"/>
      <c r="N812" s="250"/>
      <c r="O812" s="250"/>
      <c r="P812" s="250"/>
      <c r="Q812" s="249"/>
      <c r="R812" s="94"/>
      <c r="S812" s="94"/>
      <c r="T812" s="251"/>
      <c r="U812" s="94"/>
      <c r="V812" s="94"/>
      <c r="W812" s="94"/>
      <c r="X812" s="94"/>
      <c r="Y812" s="94"/>
      <c r="Z812" s="94"/>
      <c r="AA812" s="94"/>
    </row>
    <row r="813" spans="1:27" ht="15.75" customHeight="1">
      <c r="A813" s="94"/>
      <c r="B813" s="248"/>
      <c r="C813" s="94"/>
      <c r="D813" s="94"/>
      <c r="E813" s="94"/>
      <c r="F813" s="249"/>
      <c r="G813" s="248"/>
      <c r="H813" s="94"/>
      <c r="I813" s="249"/>
      <c r="J813" s="94"/>
      <c r="K813" s="250"/>
      <c r="L813" s="250"/>
      <c r="M813" s="250"/>
      <c r="N813" s="250"/>
      <c r="O813" s="250"/>
      <c r="P813" s="250"/>
      <c r="Q813" s="249"/>
      <c r="R813" s="94"/>
      <c r="S813" s="94"/>
      <c r="T813" s="251"/>
      <c r="U813" s="94"/>
      <c r="V813" s="94"/>
      <c r="W813" s="94"/>
      <c r="X813" s="94"/>
      <c r="Y813" s="94"/>
      <c r="Z813" s="94"/>
      <c r="AA813" s="94"/>
    </row>
    <row r="814" spans="1:27" ht="15.75" customHeight="1">
      <c r="A814" s="94"/>
      <c r="B814" s="248"/>
      <c r="C814" s="94"/>
      <c r="D814" s="94"/>
      <c r="E814" s="94"/>
      <c r="F814" s="249"/>
      <c r="G814" s="248"/>
      <c r="H814" s="94"/>
      <c r="I814" s="249"/>
      <c r="J814" s="94"/>
      <c r="K814" s="250"/>
      <c r="L814" s="250"/>
      <c r="M814" s="250"/>
      <c r="N814" s="250"/>
      <c r="O814" s="250"/>
      <c r="P814" s="250"/>
      <c r="Q814" s="249"/>
      <c r="R814" s="94"/>
      <c r="S814" s="94"/>
      <c r="T814" s="251"/>
      <c r="U814" s="94"/>
      <c r="V814" s="94"/>
      <c r="W814" s="94"/>
      <c r="X814" s="94"/>
      <c r="Y814" s="94"/>
      <c r="Z814" s="94"/>
      <c r="AA814" s="94"/>
    </row>
    <row r="815" spans="1:27" ht="15.75" customHeight="1">
      <c r="A815" s="94"/>
      <c r="B815" s="248"/>
      <c r="C815" s="94"/>
      <c r="D815" s="94"/>
      <c r="E815" s="94"/>
      <c r="F815" s="249"/>
      <c r="G815" s="248"/>
      <c r="H815" s="94"/>
      <c r="I815" s="249"/>
      <c r="J815" s="94"/>
      <c r="K815" s="250"/>
      <c r="L815" s="250"/>
      <c r="M815" s="250"/>
      <c r="N815" s="250"/>
      <c r="O815" s="250"/>
      <c r="P815" s="250"/>
      <c r="Q815" s="249"/>
      <c r="R815" s="94"/>
      <c r="S815" s="94"/>
      <c r="T815" s="251"/>
      <c r="U815" s="94"/>
      <c r="V815" s="94"/>
      <c r="W815" s="94"/>
      <c r="X815" s="94"/>
      <c r="Y815" s="94"/>
      <c r="Z815" s="94"/>
      <c r="AA815" s="94"/>
    </row>
    <row r="816" spans="1:27" ht="15.75" customHeight="1">
      <c r="A816" s="94"/>
      <c r="B816" s="248"/>
      <c r="C816" s="94"/>
      <c r="D816" s="94"/>
      <c r="E816" s="94"/>
      <c r="F816" s="249"/>
      <c r="G816" s="248"/>
      <c r="H816" s="94"/>
      <c r="I816" s="249"/>
      <c r="J816" s="94"/>
      <c r="K816" s="250"/>
      <c r="L816" s="250"/>
      <c r="M816" s="250"/>
      <c r="N816" s="250"/>
      <c r="O816" s="250"/>
      <c r="P816" s="250"/>
      <c r="Q816" s="249"/>
      <c r="R816" s="94"/>
      <c r="S816" s="94"/>
      <c r="T816" s="251"/>
      <c r="U816" s="94"/>
      <c r="V816" s="94"/>
      <c r="W816" s="94"/>
      <c r="X816" s="94"/>
      <c r="Y816" s="94"/>
      <c r="Z816" s="94"/>
      <c r="AA816" s="94"/>
    </row>
    <row r="817" spans="1:27" ht="15.75" customHeight="1">
      <c r="A817" s="94"/>
      <c r="B817" s="248"/>
      <c r="C817" s="94"/>
      <c r="D817" s="94"/>
      <c r="E817" s="94"/>
      <c r="F817" s="249"/>
      <c r="G817" s="248"/>
      <c r="H817" s="94"/>
      <c r="I817" s="249"/>
      <c r="J817" s="94"/>
      <c r="K817" s="250"/>
      <c r="L817" s="250"/>
      <c r="M817" s="250"/>
      <c r="N817" s="250"/>
      <c r="O817" s="250"/>
      <c r="P817" s="250"/>
      <c r="Q817" s="249"/>
      <c r="R817" s="94"/>
      <c r="S817" s="94"/>
      <c r="T817" s="251"/>
      <c r="U817" s="94"/>
      <c r="V817" s="94"/>
      <c r="W817" s="94"/>
      <c r="X817" s="94"/>
      <c r="Y817" s="94"/>
      <c r="Z817" s="94"/>
      <c r="AA817" s="94"/>
    </row>
    <row r="818" spans="1:27" ht="15.75" customHeight="1">
      <c r="A818" s="94"/>
      <c r="B818" s="248"/>
      <c r="C818" s="94"/>
      <c r="D818" s="94"/>
      <c r="E818" s="94"/>
      <c r="F818" s="249"/>
      <c r="G818" s="248"/>
      <c r="H818" s="94"/>
      <c r="I818" s="249"/>
      <c r="J818" s="94"/>
      <c r="K818" s="250"/>
      <c r="L818" s="250"/>
      <c r="M818" s="250"/>
      <c r="N818" s="250"/>
      <c r="O818" s="250"/>
      <c r="P818" s="250"/>
      <c r="Q818" s="249"/>
      <c r="R818" s="94"/>
      <c r="S818" s="94"/>
      <c r="T818" s="251"/>
      <c r="U818" s="94"/>
      <c r="V818" s="94"/>
      <c r="W818" s="94"/>
      <c r="X818" s="94"/>
      <c r="Y818" s="94"/>
      <c r="Z818" s="94"/>
      <c r="AA818" s="94"/>
    </row>
    <row r="819" spans="1:27" ht="15.75" customHeight="1">
      <c r="A819" s="94"/>
      <c r="B819" s="248"/>
      <c r="C819" s="94"/>
      <c r="D819" s="94"/>
      <c r="E819" s="94"/>
      <c r="F819" s="249"/>
      <c r="G819" s="248"/>
      <c r="H819" s="94"/>
      <c r="I819" s="249"/>
      <c r="J819" s="94"/>
      <c r="K819" s="250"/>
      <c r="L819" s="250"/>
      <c r="M819" s="250"/>
      <c r="N819" s="250"/>
      <c r="O819" s="250"/>
      <c r="P819" s="250"/>
      <c r="Q819" s="249"/>
      <c r="R819" s="94"/>
      <c r="S819" s="94"/>
      <c r="T819" s="251"/>
      <c r="U819" s="94"/>
      <c r="V819" s="94"/>
      <c r="W819" s="94"/>
      <c r="X819" s="94"/>
      <c r="Y819" s="94"/>
      <c r="Z819" s="94"/>
      <c r="AA819" s="94"/>
    </row>
    <row r="820" spans="1:27" ht="15.75" customHeight="1">
      <c r="A820" s="94"/>
      <c r="B820" s="248"/>
      <c r="C820" s="94"/>
      <c r="D820" s="94"/>
      <c r="E820" s="94"/>
      <c r="F820" s="249"/>
      <c r="G820" s="248"/>
      <c r="H820" s="94"/>
      <c r="I820" s="249"/>
      <c r="J820" s="94"/>
      <c r="K820" s="250"/>
      <c r="L820" s="250"/>
      <c r="M820" s="250"/>
      <c r="N820" s="250"/>
      <c r="O820" s="250"/>
      <c r="P820" s="250"/>
      <c r="Q820" s="249"/>
      <c r="R820" s="94"/>
      <c r="S820" s="94"/>
      <c r="T820" s="251"/>
      <c r="U820" s="94"/>
      <c r="V820" s="94"/>
      <c r="W820" s="94"/>
      <c r="X820" s="94"/>
      <c r="Y820" s="94"/>
      <c r="Z820" s="94"/>
      <c r="AA820" s="94"/>
    </row>
    <row r="821" spans="1:27" ht="15.75" customHeight="1">
      <c r="A821" s="94"/>
      <c r="B821" s="248"/>
      <c r="C821" s="94"/>
      <c r="D821" s="94"/>
      <c r="E821" s="94"/>
      <c r="F821" s="249"/>
      <c r="G821" s="248"/>
      <c r="H821" s="94"/>
      <c r="I821" s="249"/>
      <c r="J821" s="94"/>
      <c r="K821" s="250"/>
      <c r="L821" s="250"/>
      <c r="M821" s="250"/>
      <c r="N821" s="250"/>
      <c r="O821" s="250"/>
      <c r="P821" s="250"/>
      <c r="Q821" s="249"/>
      <c r="R821" s="94"/>
      <c r="S821" s="94"/>
      <c r="T821" s="251"/>
      <c r="U821" s="94"/>
      <c r="V821" s="94"/>
      <c r="W821" s="94"/>
      <c r="X821" s="94"/>
      <c r="Y821" s="94"/>
      <c r="Z821" s="94"/>
      <c r="AA821" s="94"/>
    </row>
    <row r="822" spans="1:27" ht="15.75" customHeight="1">
      <c r="A822" s="94"/>
      <c r="B822" s="248"/>
      <c r="C822" s="94"/>
      <c r="D822" s="94"/>
      <c r="E822" s="94"/>
      <c r="F822" s="249"/>
      <c r="G822" s="248"/>
      <c r="H822" s="94"/>
      <c r="I822" s="249"/>
      <c r="J822" s="94"/>
      <c r="K822" s="250"/>
      <c r="L822" s="250"/>
      <c r="M822" s="250"/>
      <c r="N822" s="250"/>
      <c r="O822" s="250"/>
      <c r="P822" s="250"/>
      <c r="Q822" s="249"/>
      <c r="R822" s="94"/>
      <c r="S822" s="94"/>
      <c r="T822" s="251"/>
      <c r="U822" s="94"/>
      <c r="V822" s="94"/>
      <c r="W822" s="94"/>
      <c r="X822" s="94"/>
      <c r="Y822" s="94"/>
      <c r="Z822" s="94"/>
      <c r="AA822" s="94"/>
    </row>
    <row r="823" spans="1:27" ht="15.75" customHeight="1">
      <c r="A823" s="94"/>
      <c r="B823" s="248"/>
      <c r="C823" s="94"/>
      <c r="D823" s="94"/>
      <c r="E823" s="94"/>
      <c r="F823" s="249"/>
      <c r="G823" s="248"/>
      <c r="H823" s="94"/>
      <c r="I823" s="249"/>
      <c r="J823" s="94"/>
      <c r="K823" s="250"/>
      <c r="L823" s="250"/>
      <c r="M823" s="250"/>
      <c r="N823" s="250"/>
      <c r="O823" s="250"/>
      <c r="P823" s="250"/>
      <c r="Q823" s="249"/>
      <c r="R823" s="94"/>
      <c r="S823" s="94"/>
      <c r="T823" s="251"/>
      <c r="U823" s="94"/>
      <c r="V823" s="94"/>
      <c r="W823" s="94"/>
      <c r="X823" s="94"/>
      <c r="Y823" s="94"/>
      <c r="Z823" s="94"/>
      <c r="AA823" s="94"/>
    </row>
    <row r="824" spans="1:27" ht="15.75" customHeight="1">
      <c r="A824" s="94"/>
      <c r="B824" s="248"/>
      <c r="C824" s="94"/>
      <c r="D824" s="94"/>
      <c r="E824" s="94"/>
      <c r="F824" s="249"/>
      <c r="G824" s="248"/>
      <c r="H824" s="94"/>
      <c r="I824" s="249"/>
      <c r="J824" s="94"/>
      <c r="K824" s="250"/>
      <c r="L824" s="250"/>
      <c r="M824" s="250"/>
      <c r="N824" s="250"/>
      <c r="O824" s="250"/>
      <c r="P824" s="250"/>
      <c r="Q824" s="249"/>
      <c r="R824" s="94"/>
      <c r="S824" s="94"/>
      <c r="T824" s="251"/>
      <c r="U824" s="94"/>
      <c r="V824" s="94"/>
      <c r="W824" s="94"/>
      <c r="X824" s="94"/>
      <c r="Y824" s="94"/>
      <c r="Z824" s="94"/>
      <c r="AA824" s="94"/>
    </row>
    <row r="825" spans="1:27" ht="15.75" customHeight="1">
      <c r="A825" s="94"/>
      <c r="B825" s="248"/>
      <c r="C825" s="94"/>
      <c r="D825" s="94"/>
      <c r="E825" s="94"/>
      <c r="F825" s="249"/>
      <c r="G825" s="248"/>
      <c r="H825" s="94"/>
      <c r="I825" s="249"/>
      <c r="J825" s="94"/>
      <c r="K825" s="250"/>
      <c r="L825" s="250"/>
      <c r="M825" s="250"/>
      <c r="N825" s="250"/>
      <c r="O825" s="250"/>
      <c r="P825" s="250"/>
      <c r="Q825" s="249"/>
      <c r="R825" s="94"/>
      <c r="S825" s="94"/>
      <c r="T825" s="251"/>
      <c r="U825" s="94"/>
      <c r="V825" s="94"/>
      <c r="W825" s="94"/>
      <c r="X825" s="94"/>
      <c r="Y825" s="94"/>
      <c r="Z825" s="94"/>
      <c r="AA825" s="94"/>
    </row>
    <row r="826" spans="1:27" ht="15.75" customHeight="1">
      <c r="A826" s="94"/>
      <c r="B826" s="248"/>
      <c r="C826" s="94"/>
      <c r="D826" s="94"/>
      <c r="E826" s="94"/>
      <c r="F826" s="249"/>
      <c r="G826" s="248"/>
      <c r="H826" s="94"/>
      <c r="I826" s="249"/>
      <c r="J826" s="94"/>
      <c r="K826" s="250"/>
      <c r="L826" s="250"/>
      <c r="M826" s="250"/>
      <c r="N826" s="250"/>
      <c r="O826" s="250"/>
      <c r="P826" s="250"/>
      <c r="Q826" s="249"/>
      <c r="R826" s="94"/>
      <c r="S826" s="94"/>
      <c r="T826" s="251"/>
      <c r="U826" s="94"/>
      <c r="V826" s="94"/>
      <c r="W826" s="94"/>
      <c r="X826" s="94"/>
      <c r="Y826" s="94"/>
      <c r="Z826" s="94"/>
      <c r="AA826" s="94"/>
    </row>
    <row r="827" spans="1:27" ht="15.75" customHeight="1">
      <c r="A827" s="94"/>
      <c r="B827" s="248"/>
      <c r="C827" s="94"/>
      <c r="D827" s="94"/>
      <c r="E827" s="94"/>
      <c r="F827" s="249"/>
      <c r="G827" s="248"/>
      <c r="H827" s="94"/>
      <c r="I827" s="249"/>
      <c r="J827" s="94"/>
      <c r="K827" s="250"/>
      <c r="L827" s="250"/>
      <c r="M827" s="250"/>
      <c r="N827" s="250"/>
      <c r="O827" s="250"/>
      <c r="P827" s="250"/>
      <c r="Q827" s="249"/>
      <c r="R827" s="94"/>
      <c r="S827" s="94"/>
      <c r="T827" s="251"/>
      <c r="U827" s="94"/>
      <c r="V827" s="94"/>
      <c r="W827" s="94"/>
      <c r="X827" s="94"/>
      <c r="Y827" s="94"/>
      <c r="Z827" s="94"/>
      <c r="AA827" s="94"/>
    </row>
    <row r="828" spans="1:27" ht="15.75" customHeight="1">
      <c r="A828" s="94"/>
      <c r="B828" s="248"/>
      <c r="C828" s="94"/>
      <c r="D828" s="94"/>
      <c r="E828" s="94"/>
      <c r="F828" s="249"/>
      <c r="G828" s="248"/>
      <c r="H828" s="94"/>
      <c r="I828" s="249"/>
      <c r="J828" s="94"/>
      <c r="K828" s="250"/>
      <c r="L828" s="250"/>
      <c r="M828" s="250"/>
      <c r="N828" s="250"/>
      <c r="O828" s="250"/>
      <c r="P828" s="250"/>
      <c r="Q828" s="249"/>
      <c r="R828" s="94"/>
      <c r="S828" s="94"/>
      <c r="T828" s="251"/>
      <c r="U828" s="94"/>
      <c r="V828" s="94"/>
      <c r="W828" s="94"/>
      <c r="X828" s="94"/>
      <c r="Y828" s="94"/>
      <c r="Z828" s="94"/>
      <c r="AA828" s="94"/>
    </row>
    <row r="829" spans="1:27" ht="15.75" customHeight="1">
      <c r="A829" s="94"/>
      <c r="B829" s="248"/>
      <c r="C829" s="94"/>
      <c r="D829" s="94"/>
      <c r="E829" s="94"/>
      <c r="F829" s="249"/>
      <c r="G829" s="248"/>
      <c r="H829" s="94"/>
      <c r="I829" s="249"/>
      <c r="J829" s="94"/>
      <c r="K829" s="250"/>
      <c r="L829" s="250"/>
      <c r="M829" s="250"/>
      <c r="N829" s="250"/>
      <c r="O829" s="250"/>
      <c r="P829" s="250"/>
      <c r="Q829" s="249"/>
      <c r="R829" s="94"/>
      <c r="S829" s="94"/>
      <c r="T829" s="251"/>
      <c r="U829" s="94"/>
      <c r="V829" s="94"/>
      <c r="W829" s="94"/>
      <c r="X829" s="94"/>
      <c r="Y829" s="94"/>
      <c r="Z829" s="94"/>
      <c r="AA829" s="94"/>
    </row>
    <row r="830" spans="1:27" ht="15.75" customHeight="1">
      <c r="A830" s="94"/>
      <c r="B830" s="248"/>
      <c r="C830" s="94"/>
      <c r="D830" s="94"/>
      <c r="E830" s="94"/>
      <c r="F830" s="249"/>
      <c r="G830" s="248"/>
      <c r="H830" s="94"/>
      <c r="I830" s="249"/>
      <c r="J830" s="94"/>
      <c r="K830" s="250"/>
      <c r="L830" s="250"/>
      <c r="M830" s="250"/>
      <c r="N830" s="250"/>
      <c r="O830" s="250"/>
      <c r="P830" s="250"/>
      <c r="Q830" s="249"/>
      <c r="R830" s="94"/>
      <c r="S830" s="94"/>
      <c r="T830" s="251"/>
      <c r="U830" s="94"/>
      <c r="V830" s="94"/>
      <c r="W830" s="94"/>
      <c r="X830" s="94"/>
      <c r="Y830" s="94"/>
      <c r="Z830" s="94"/>
      <c r="AA830" s="94"/>
    </row>
    <row r="831" spans="1:27" ht="15.75" customHeight="1">
      <c r="A831" s="94"/>
      <c r="B831" s="248"/>
      <c r="C831" s="94"/>
      <c r="D831" s="94"/>
      <c r="E831" s="94"/>
      <c r="F831" s="249"/>
      <c r="G831" s="248"/>
      <c r="H831" s="94"/>
      <c r="I831" s="249"/>
      <c r="J831" s="94"/>
      <c r="K831" s="250"/>
      <c r="L831" s="250"/>
      <c r="M831" s="250"/>
      <c r="N831" s="250"/>
      <c r="O831" s="250"/>
      <c r="P831" s="250"/>
      <c r="Q831" s="249"/>
      <c r="R831" s="94"/>
      <c r="S831" s="94"/>
      <c r="T831" s="251"/>
      <c r="U831" s="94"/>
      <c r="V831" s="94"/>
      <c r="W831" s="94"/>
      <c r="X831" s="94"/>
      <c r="Y831" s="94"/>
      <c r="Z831" s="94"/>
      <c r="AA831" s="94"/>
    </row>
    <row r="832" spans="1:27" ht="15.75" customHeight="1">
      <c r="A832" s="94"/>
      <c r="B832" s="248"/>
      <c r="C832" s="94"/>
      <c r="D832" s="94"/>
      <c r="E832" s="94"/>
      <c r="F832" s="249"/>
      <c r="G832" s="248"/>
      <c r="H832" s="94"/>
      <c r="I832" s="249"/>
      <c r="J832" s="94"/>
      <c r="K832" s="250"/>
      <c r="L832" s="250"/>
      <c r="M832" s="250"/>
      <c r="N832" s="250"/>
      <c r="O832" s="250"/>
      <c r="P832" s="250"/>
      <c r="Q832" s="249"/>
      <c r="R832" s="94"/>
      <c r="S832" s="94"/>
      <c r="T832" s="251"/>
      <c r="U832" s="94"/>
      <c r="V832" s="94"/>
      <c r="W832" s="94"/>
      <c r="X832" s="94"/>
      <c r="Y832" s="94"/>
      <c r="Z832" s="94"/>
      <c r="AA832" s="94"/>
    </row>
    <row r="833" spans="1:27" ht="15.75" customHeight="1">
      <c r="A833" s="94"/>
      <c r="B833" s="248"/>
      <c r="C833" s="94"/>
      <c r="D833" s="94"/>
      <c r="E833" s="94"/>
      <c r="F833" s="249"/>
      <c r="G833" s="248"/>
      <c r="H833" s="94"/>
      <c r="I833" s="249"/>
      <c r="J833" s="94"/>
      <c r="K833" s="250"/>
      <c r="L833" s="250"/>
      <c r="M833" s="250"/>
      <c r="N833" s="250"/>
      <c r="O833" s="250"/>
      <c r="P833" s="250"/>
      <c r="Q833" s="249"/>
      <c r="R833" s="94"/>
      <c r="S833" s="94"/>
      <c r="T833" s="251"/>
      <c r="U833" s="94"/>
      <c r="V833" s="94"/>
      <c r="W833" s="94"/>
      <c r="X833" s="94"/>
      <c r="Y833" s="94"/>
      <c r="Z833" s="94"/>
      <c r="AA833" s="94"/>
    </row>
    <row r="834" spans="1:27" ht="15.75" customHeight="1">
      <c r="A834" s="94"/>
      <c r="B834" s="248"/>
      <c r="C834" s="94"/>
      <c r="D834" s="94"/>
      <c r="E834" s="94"/>
      <c r="F834" s="249"/>
      <c r="G834" s="248"/>
      <c r="H834" s="94"/>
      <c r="I834" s="249"/>
      <c r="J834" s="94"/>
      <c r="K834" s="250"/>
      <c r="L834" s="250"/>
      <c r="M834" s="250"/>
      <c r="N834" s="250"/>
      <c r="O834" s="250"/>
      <c r="P834" s="250"/>
      <c r="Q834" s="249"/>
      <c r="R834" s="94"/>
      <c r="S834" s="94"/>
      <c r="T834" s="251"/>
      <c r="U834" s="94"/>
      <c r="V834" s="94"/>
      <c r="W834" s="94"/>
      <c r="X834" s="94"/>
      <c r="Y834" s="94"/>
      <c r="Z834" s="94"/>
      <c r="AA834" s="94"/>
    </row>
    <row r="835" spans="1:27" ht="15.75" customHeight="1">
      <c r="A835" s="94"/>
      <c r="B835" s="248"/>
      <c r="C835" s="94"/>
      <c r="D835" s="94"/>
      <c r="E835" s="94"/>
      <c r="F835" s="249"/>
      <c r="G835" s="248"/>
      <c r="H835" s="94"/>
      <c r="I835" s="249"/>
      <c r="J835" s="94"/>
      <c r="K835" s="250"/>
      <c r="L835" s="250"/>
      <c r="M835" s="250"/>
      <c r="N835" s="250"/>
      <c r="O835" s="250"/>
      <c r="P835" s="250"/>
      <c r="Q835" s="249"/>
      <c r="R835" s="94"/>
      <c r="S835" s="94"/>
      <c r="T835" s="251"/>
      <c r="U835" s="94"/>
      <c r="V835" s="94"/>
      <c r="W835" s="94"/>
      <c r="X835" s="94"/>
      <c r="Y835" s="94"/>
      <c r="Z835" s="94"/>
      <c r="AA835" s="94"/>
    </row>
    <row r="836" spans="1:27" ht="15.75" customHeight="1">
      <c r="A836" s="94"/>
      <c r="B836" s="248"/>
      <c r="C836" s="94"/>
      <c r="D836" s="94"/>
      <c r="E836" s="94"/>
      <c r="F836" s="249"/>
      <c r="G836" s="248"/>
      <c r="H836" s="94"/>
      <c r="I836" s="249"/>
      <c r="J836" s="94"/>
      <c r="K836" s="250"/>
      <c r="L836" s="250"/>
      <c r="M836" s="250"/>
      <c r="N836" s="250"/>
      <c r="O836" s="250"/>
      <c r="P836" s="250"/>
      <c r="Q836" s="249"/>
      <c r="R836" s="94"/>
      <c r="S836" s="94"/>
      <c r="T836" s="251"/>
      <c r="U836" s="94"/>
      <c r="V836" s="94"/>
      <c r="W836" s="94"/>
      <c r="X836" s="94"/>
      <c r="Y836" s="94"/>
      <c r="Z836" s="94"/>
      <c r="AA836" s="94"/>
    </row>
    <row r="837" spans="1:27" ht="15.75" customHeight="1">
      <c r="A837" s="94"/>
      <c r="B837" s="248"/>
      <c r="C837" s="94"/>
      <c r="D837" s="94"/>
      <c r="E837" s="94"/>
      <c r="F837" s="249"/>
      <c r="G837" s="248"/>
      <c r="H837" s="94"/>
      <c r="I837" s="249"/>
      <c r="J837" s="94"/>
      <c r="K837" s="250"/>
      <c r="L837" s="250"/>
      <c r="M837" s="250"/>
      <c r="N837" s="250"/>
      <c r="O837" s="250"/>
      <c r="P837" s="250"/>
      <c r="Q837" s="249"/>
      <c r="R837" s="94"/>
      <c r="S837" s="94"/>
      <c r="T837" s="251"/>
      <c r="U837" s="94"/>
      <c r="V837" s="94"/>
      <c r="W837" s="94"/>
      <c r="X837" s="94"/>
      <c r="Y837" s="94"/>
      <c r="Z837" s="94"/>
      <c r="AA837" s="94"/>
    </row>
    <row r="838" spans="1:27" ht="15.75" customHeight="1">
      <c r="A838" s="94"/>
      <c r="B838" s="248"/>
      <c r="C838" s="94"/>
      <c r="D838" s="94"/>
      <c r="E838" s="94"/>
      <c r="F838" s="249"/>
      <c r="G838" s="248"/>
      <c r="H838" s="94"/>
      <c r="I838" s="249"/>
      <c r="J838" s="94"/>
      <c r="K838" s="250"/>
      <c r="L838" s="250"/>
      <c r="M838" s="250"/>
      <c r="N838" s="250"/>
      <c r="O838" s="250"/>
      <c r="P838" s="250"/>
      <c r="Q838" s="249"/>
      <c r="R838" s="94"/>
      <c r="S838" s="94"/>
      <c r="T838" s="251"/>
      <c r="U838" s="94"/>
      <c r="V838" s="94"/>
      <c r="W838" s="94"/>
      <c r="X838" s="94"/>
      <c r="Y838" s="94"/>
      <c r="Z838" s="94"/>
      <c r="AA838" s="94"/>
    </row>
    <row r="839" spans="1:27" ht="15.75" customHeight="1">
      <c r="A839" s="94"/>
      <c r="B839" s="248"/>
      <c r="C839" s="94"/>
      <c r="D839" s="94"/>
      <c r="E839" s="94"/>
      <c r="F839" s="249"/>
      <c r="G839" s="248"/>
      <c r="H839" s="94"/>
      <c r="I839" s="249"/>
      <c r="J839" s="94"/>
      <c r="K839" s="250"/>
      <c r="L839" s="250"/>
      <c r="M839" s="250"/>
      <c r="N839" s="250"/>
      <c r="O839" s="250"/>
      <c r="P839" s="250"/>
      <c r="Q839" s="249"/>
      <c r="R839" s="94"/>
      <c r="S839" s="94"/>
      <c r="T839" s="251"/>
      <c r="U839" s="94"/>
      <c r="V839" s="94"/>
      <c r="W839" s="94"/>
      <c r="X839" s="94"/>
      <c r="Y839" s="94"/>
      <c r="Z839" s="94"/>
      <c r="AA839" s="94"/>
    </row>
    <row r="840" spans="1:27" ht="15.75" customHeight="1">
      <c r="A840" s="94"/>
      <c r="B840" s="248"/>
      <c r="C840" s="94"/>
      <c r="D840" s="94"/>
      <c r="E840" s="94"/>
      <c r="F840" s="249"/>
      <c r="G840" s="248"/>
      <c r="H840" s="94"/>
      <c r="I840" s="249"/>
      <c r="J840" s="94"/>
      <c r="K840" s="250"/>
      <c r="L840" s="250"/>
      <c r="M840" s="250"/>
      <c r="N840" s="250"/>
      <c r="O840" s="250"/>
      <c r="P840" s="250"/>
      <c r="Q840" s="249"/>
      <c r="R840" s="94"/>
      <c r="S840" s="94"/>
      <c r="T840" s="251"/>
      <c r="U840" s="94"/>
      <c r="V840" s="94"/>
      <c r="W840" s="94"/>
      <c r="X840" s="94"/>
      <c r="Y840" s="94"/>
      <c r="Z840" s="94"/>
      <c r="AA840" s="94"/>
    </row>
    <row r="841" spans="1:27" ht="15.75" customHeight="1">
      <c r="A841" s="94"/>
      <c r="B841" s="248"/>
      <c r="C841" s="94"/>
      <c r="D841" s="94"/>
      <c r="E841" s="94"/>
      <c r="F841" s="249"/>
      <c r="G841" s="248"/>
      <c r="H841" s="94"/>
      <c r="I841" s="249"/>
      <c r="J841" s="94"/>
      <c r="K841" s="250"/>
      <c r="L841" s="250"/>
      <c r="M841" s="250"/>
      <c r="N841" s="250"/>
      <c r="O841" s="250"/>
      <c r="P841" s="250"/>
      <c r="Q841" s="249"/>
      <c r="R841" s="94"/>
      <c r="S841" s="94"/>
      <c r="T841" s="251"/>
      <c r="U841" s="94"/>
      <c r="V841" s="94"/>
      <c r="W841" s="94"/>
      <c r="X841" s="94"/>
      <c r="Y841" s="94"/>
      <c r="Z841" s="94"/>
      <c r="AA841" s="94"/>
    </row>
    <row r="842" spans="1:27" ht="15.75" customHeight="1">
      <c r="A842" s="94"/>
      <c r="B842" s="248"/>
      <c r="C842" s="94"/>
      <c r="D842" s="94"/>
      <c r="E842" s="94"/>
      <c r="F842" s="249"/>
      <c r="G842" s="248"/>
      <c r="H842" s="94"/>
      <c r="I842" s="249"/>
      <c r="J842" s="94"/>
      <c r="K842" s="250"/>
      <c r="L842" s="250"/>
      <c r="M842" s="250"/>
      <c r="N842" s="250"/>
      <c r="O842" s="250"/>
      <c r="P842" s="250"/>
      <c r="Q842" s="249"/>
      <c r="R842" s="94"/>
      <c r="S842" s="94"/>
      <c r="T842" s="251"/>
      <c r="U842" s="94"/>
      <c r="V842" s="94"/>
      <c r="W842" s="94"/>
      <c r="X842" s="94"/>
      <c r="Y842" s="94"/>
      <c r="Z842" s="94"/>
      <c r="AA842" s="94"/>
    </row>
    <row r="843" spans="1:27" ht="15.75" customHeight="1">
      <c r="A843" s="94"/>
      <c r="B843" s="248"/>
      <c r="C843" s="94"/>
      <c r="D843" s="94"/>
      <c r="E843" s="94"/>
      <c r="F843" s="249"/>
      <c r="G843" s="248"/>
      <c r="H843" s="94"/>
      <c r="I843" s="249"/>
      <c r="J843" s="94"/>
      <c r="K843" s="250"/>
      <c r="L843" s="250"/>
      <c r="M843" s="250"/>
      <c r="N843" s="250"/>
      <c r="O843" s="250"/>
      <c r="P843" s="250"/>
      <c r="Q843" s="249"/>
      <c r="R843" s="94"/>
      <c r="S843" s="94"/>
      <c r="T843" s="251"/>
      <c r="U843" s="94"/>
      <c r="V843" s="94"/>
      <c r="W843" s="94"/>
      <c r="X843" s="94"/>
      <c r="Y843" s="94"/>
      <c r="Z843" s="94"/>
      <c r="AA843" s="94"/>
    </row>
    <row r="844" spans="1:27" ht="15.75" customHeight="1">
      <c r="A844" s="94"/>
      <c r="B844" s="248"/>
      <c r="C844" s="94"/>
      <c r="D844" s="94"/>
      <c r="E844" s="94"/>
      <c r="F844" s="249"/>
      <c r="G844" s="248"/>
      <c r="H844" s="94"/>
      <c r="I844" s="249"/>
      <c r="J844" s="94"/>
      <c r="K844" s="250"/>
      <c r="L844" s="250"/>
      <c r="M844" s="250"/>
      <c r="N844" s="250"/>
      <c r="O844" s="250"/>
      <c r="P844" s="250"/>
      <c r="Q844" s="249"/>
      <c r="R844" s="94"/>
      <c r="S844" s="94"/>
      <c r="T844" s="251"/>
      <c r="U844" s="94"/>
      <c r="V844" s="94"/>
      <c r="W844" s="94"/>
      <c r="X844" s="94"/>
      <c r="Y844" s="94"/>
      <c r="Z844" s="94"/>
      <c r="AA844" s="94"/>
    </row>
    <row r="845" spans="1:27" ht="15.75" customHeight="1">
      <c r="A845" s="94"/>
      <c r="B845" s="248"/>
      <c r="C845" s="94"/>
      <c r="D845" s="94"/>
      <c r="E845" s="94"/>
      <c r="F845" s="249"/>
      <c r="G845" s="248"/>
      <c r="H845" s="94"/>
      <c r="I845" s="249"/>
      <c r="J845" s="94"/>
      <c r="K845" s="250"/>
      <c r="L845" s="250"/>
      <c r="M845" s="250"/>
      <c r="N845" s="250"/>
      <c r="O845" s="250"/>
      <c r="P845" s="250"/>
      <c r="Q845" s="249"/>
      <c r="R845" s="94"/>
      <c r="S845" s="94"/>
      <c r="T845" s="251"/>
      <c r="U845" s="94"/>
      <c r="V845" s="94"/>
      <c r="W845" s="94"/>
      <c r="X845" s="94"/>
      <c r="Y845" s="94"/>
      <c r="Z845" s="94"/>
      <c r="AA845" s="94"/>
    </row>
    <row r="846" spans="1:27" ht="15.75" customHeight="1">
      <c r="A846" s="94"/>
      <c r="B846" s="248"/>
      <c r="C846" s="94"/>
      <c r="D846" s="94"/>
      <c r="E846" s="94"/>
      <c r="F846" s="249"/>
      <c r="G846" s="248"/>
      <c r="H846" s="94"/>
      <c r="I846" s="249"/>
      <c r="J846" s="94"/>
      <c r="K846" s="250"/>
      <c r="L846" s="250"/>
      <c r="M846" s="250"/>
      <c r="N846" s="250"/>
      <c r="O846" s="250"/>
      <c r="P846" s="250"/>
      <c r="Q846" s="249"/>
      <c r="R846" s="94"/>
      <c r="S846" s="94"/>
      <c r="T846" s="251"/>
      <c r="U846" s="94"/>
      <c r="V846" s="94"/>
      <c r="W846" s="94"/>
      <c r="X846" s="94"/>
      <c r="Y846" s="94"/>
      <c r="Z846" s="94"/>
      <c r="AA846" s="94"/>
    </row>
    <row r="847" spans="1:27" ht="15.75" customHeight="1">
      <c r="A847" s="94"/>
      <c r="B847" s="248"/>
      <c r="C847" s="94"/>
      <c r="D847" s="94"/>
      <c r="E847" s="94"/>
      <c r="F847" s="249"/>
      <c r="G847" s="248"/>
      <c r="H847" s="94"/>
      <c r="I847" s="249"/>
      <c r="J847" s="94"/>
      <c r="K847" s="250"/>
      <c r="L847" s="250"/>
      <c r="M847" s="250"/>
      <c r="N847" s="250"/>
      <c r="O847" s="250"/>
      <c r="P847" s="250"/>
      <c r="Q847" s="249"/>
      <c r="R847" s="94"/>
      <c r="S847" s="94"/>
      <c r="T847" s="251"/>
      <c r="U847" s="94"/>
      <c r="V847" s="94"/>
      <c r="W847" s="94"/>
      <c r="X847" s="94"/>
      <c r="Y847" s="94"/>
      <c r="Z847" s="94"/>
      <c r="AA847" s="94"/>
    </row>
    <row r="848" spans="1:27" ht="15.75" customHeight="1">
      <c r="A848" s="94"/>
      <c r="B848" s="248"/>
      <c r="C848" s="94"/>
      <c r="D848" s="94"/>
      <c r="E848" s="94"/>
      <c r="F848" s="249"/>
      <c r="G848" s="248"/>
      <c r="H848" s="94"/>
      <c r="I848" s="249"/>
      <c r="J848" s="94"/>
      <c r="K848" s="250"/>
      <c r="L848" s="250"/>
      <c r="M848" s="250"/>
      <c r="N848" s="250"/>
      <c r="O848" s="250"/>
      <c r="P848" s="250"/>
      <c r="Q848" s="249"/>
      <c r="R848" s="94"/>
      <c r="S848" s="94"/>
      <c r="T848" s="251"/>
      <c r="U848" s="94"/>
      <c r="V848" s="94"/>
      <c r="W848" s="94"/>
      <c r="X848" s="94"/>
      <c r="Y848" s="94"/>
      <c r="Z848" s="94"/>
      <c r="AA848" s="94"/>
    </row>
    <row r="849" spans="1:27" ht="15.75" customHeight="1">
      <c r="A849" s="94"/>
      <c r="B849" s="248"/>
      <c r="C849" s="94"/>
      <c r="D849" s="94"/>
      <c r="E849" s="94"/>
      <c r="F849" s="249"/>
      <c r="G849" s="248"/>
      <c r="H849" s="94"/>
      <c r="I849" s="249"/>
      <c r="J849" s="94"/>
      <c r="K849" s="250"/>
      <c r="L849" s="250"/>
      <c r="M849" s="250"/>
      <c r="N849" s="250"/>
      <c r="O849" s="250"/>
      <c r="P849" s="250"/>
      <c r="Q849" s="249"/>
      <c r="R849" s="94"/>
      <c r="S849" s="94"/>
      <c r="T849" s="251"/>
      <c r="U849" s="94"/>
      <c r="V849" s="94"/>
      <c r="W849" s="94"/>
      <c r="X849" s="94"/>
      <c r="Y849" s="94"/>
      <c r="Z849" s="94"/>
      <c r="AA849" s="94"/>
    </row>
    <row r="850" spans="1:27" ht="15.75" customHeight="1">
      <c r="A850" s="94"/>
      <c r="B850" s="248"/>
      <c r="C850" s="94"/>
      <c r="D850" s="94"/>
      <c r="E850" s="94"/>
      <c r="F850" s="249"/>
      <c r="G850" s="248"/>
      <c r="H850" s="94"/>
      <c r="I850" s="249"/>
      <c r="J850" s="94"/>
      <c r="K850" s="250"/>
      <c r="L850" s="250"/>
      <c r="M850" s="250"/>
      <c r="N850" s="250"/>
      <c r="O850" s="250"/>
      <c r="P850" s="250"/>
      <c r="Q850" s="249"/>
      <c r="R850" s="94"/>
      <c r="S850" s="94"/>
      <c r="T850" s="251"/>
      <c r="U850" s="94"/>
      <c r="V850" s="94"/>
      <c r="W850" s="94"/>
      <c r="X850" s="94"/>
      <c r="Y850" s="94"/>
      <c r="Z850" s="94"/>
      <c r="AA850" s="94"/>
    </row>
    <row r="851" spans="1:27" ht="15.75" customHeight="1">
      <c r="A851" s="94"/>
      <c r="B851" s="248"/>
      <c r="C851" s="94"/>
      <c r="D851" s="94"/>
      <c r="E851" s="94"/>
      <c r="F851" s="249"/>
      <c r="G851" s="248"/>
      <c r="H851" s="94"/>
      <c r="I851" s="249"/>
      <c r="J851" s="94"/>
      <c r="K851" s="250"/>
      <c r="L851" s="250"/>
      <c r="M851" s="250"/>
      <c r="N851" s="250"/>
      <c r="O851" s="250"/>
      <c r="P851" s="250"/>
      <c r="Q851" s="249"/>
      <c r="R851" s="94"/>
      <c r="S851" s="94"/>
      <c r="T851" s="251"/>
      <c r="U851" s="94"/>
      <c r="V851" s="94"/>
      <c r="W851" s="94"/>
      <c r="X851" s="94"/>
      <c r="Y851" s="94"/>
      <c r="Z851" s="94"/>
      <c r="AA851" s="94"/>
    </row>
    <row r="852" spans="1:27" ht="15.75" customHeight="1">
      <c r="A852" s="94"/>
      <c r="B852" s="248"/>
      <c r="C852" s="94"/>
      <c r="D852" s="94"/>
      <c r="E852" s="94"/>
      <c r="F852" s="249"/>
      <c r="G852" s="248"/>
      <c r="H852" s="94"/>
      <c r="I852" s="249"/>
      <c r="J852" s="94"/>
      <c r="K852" s="250"/>
      <c r="L852" s="250"/>
      <c r="M852" s="250"/>
      <c r="N852" s="250"/>
      <c r="O852" s="250"/>
      <c r="P852" s="250"/>
      <c r="Q852" s="249"/>
      <c r="R852" s="94"/>
      <c r="S852" s="94"/>
      <c r="T852" s="251"/>
      <c r="U852" s="94"/>
      <c r="V852" s="94"/>
      <c r="W852" s="94"/>
      <c r="X852" s="94"/>
      <c r="Y852" s="94"/>
      <c r="Z852" s="94"/>
      <c r="AA852" s="94"/>
    </row>
    <row r="853" spans="1:27" ht="15.75" customHeight="1">
      <c r="A853" s="94"/>
      <c r="B853" s="248"/>
      <c r="C853" s="94"/>
      <c r="D853" s="94"/>
      <c r="E853" s="94"/>
      <c r="F853" s="249"/>
      <c r="G853" s="248"/>
      <c r="H853" s="94"/>
      <c r="I853" s="249"/>
      <c r="J853" s="94"/>
      <c r="K853" s="250"/>
      <c r="L853" s="250"/>
      <c r="M853" s="250"/>
      <c r="N853" s="250"/>
      <c r="O853" s="250"/>
      <c r="P853" s="250"/>
      <c r="Q853" s="249"/>
      <c r="R853" s="94"/>
      <c r="S853" s="94"/>
      <c r="T853" s="251"/>
      <c r="U853" s="94"/>
      <c r="V853" s="94"/>
      <c r="W853" s="94"/>
      <c r="X853" s="94"/>
      <c r="Y853" s="94"/>
      <c r="Z853" s="94"/>
      <c r="AA853" s="94"/>
    </row>
    <row r="854" spans="1:27" ht="15.75" customHeight="1">
      <c r="A854" s="94"/>
      <c r="B854" s="248"/>
      <c r="C854" s="94"/>
      <c r="D854" s="94"/>
      <c r="E854" s="94"/>
      <c r="F854" s="249"/>
      <c r="G854" s="248"/>
      <c r="H854" s="94"/>
      <c r="I854" s="249"/>
      <c r="J854" s="94"/>
      <c r="K854" s="250"/>
      <c r="L854" s="250"/>
      <c r="M854" s="250"/>
      <c r="N854" s="250"/>
      <c r="O854" s="250"/>
      <c r="P854" s="250"/>
      <c r="Q854" s="249"/>
      <c r="R854" s="94"/>
      <c r="S854" s="94"/>
      <c r="T854" s="251"/>
      <c r="U854" s="94"/>
      <c r="V854" s="94"/>
      <c r="W854" s="94"/>
      <c r="X854" s="94"/>
      <c r="Y854" s="94"/>
      <c r="Z854" s="94"/>
      <c r="AA854" s="94"/>
    </row>
    <row r="855" spans="1:27" ht="15.75" customHeight="1">
      <c r="A855" s="94"/>
      <c r="B855" s="248"/>
      <c r="C855" s="94"/>
      <c r="D855" s="94"/>
      <c r="E855" s="94"/>
      <c r="F855" s="249"/>
      <c r="G855" s="248"/>
      <c r="H855" s="94"/>
      <c r="I855" s="249"/>
      <c r="J855" s="94"/>
      <c r="K855" s="250"/>
      <c r="L855" s="250"/>
      <c r="M855" s="250"/>
      <c r="N855" s="250"/>
      <c r="O855" s="250"/>
      <c r="P855" s="250"/>
      <c r="Q855" s="249"/>
      <c r="R855" s="94"/>
      <c r="S855" s="94"/>
      <c r="T855" s="251"/>
      <c r="U855" s="94"/>
      <c r="V855" s="94"/>
      <c r="W855" s="94"/>
      <c r="X855" s="94"/>
      <c r="Y855" s="94"/>
      <c r="Z855" s="94"/>
      <c r="AA855" s="94"/>
    </row>
    <row r="856" spans="1:27" ht="15.75" customHeight="1">
      <c r="A856" s="94"/>
      <c r="B856" s="248"/>
      <c r="C856" s="94"/>
      <c r="D856" s="94"/>
      <c r="E856" s="94"/>
      <c r="F856" s="249"/>
      <c r="G856" s="248"/>
      <c r="H856" s="94"/>
      <c r="I856" s="249"/>
      <c r="J856" s="94"/>
      <c r="K856" s="250"/>
      <c r="L856" s="250"/>
      <c r="M856" s="250"/>
      <c r="N856" s="250"/>
      <c r="O856" s="250"/>
      <c r="P856" s="250"/>
      <c r="Q856" s="249"/>
      <c r="R856" s="94"/>
      <c r="S856" s="94"/>
      <c r="T856" s="251"/>
      <c r="U856" s="94"/>
      <c r="V856" s="94"/>
      <c r="W856" s="94"/>
      <c r="X856" s="94"/>
      <c r="Y856" s="94"/>
      <c r="Z856" s="94"/>
      <c r="AA856" s="94"/>
    </row>
    <row r="857" spans="1:27" ht="15.75" customHeight="1">
      <c r="A857" s="94"/>
      <c r="B857" s="248"/>
      <c r="C857" s="94"/>
      <c r="D857" s="94"/>
      <c r="E857" s="94"/>
      <c r="F857" s="249"/>
      <c r="G857" s="248"/>
      <c r="H857" s="94"/>
      <c r="I857" s="249"/>
      <c r="J857" s="94"/>
      <c r="K857" s="250"/>
      <c r="L857" s="250"/>
      <c r="M857" s="250"/>
      <c r="N857" s="250"/>
      <c r="O857" s="250"/>
      <c r="P857" s="250"/>
      <c r="Q857" s="249"/>
      <c r="R857" s="94"/>
      <c r="S857" s="94"/>
      <c r="T857" s="251"/>
      <c r="U857" s="94"/>
      <c r="V857" s="94"/>
      <c r="W857" s="94"/>
      <c r="X857" s="94"/>
      <c r="Y857" s="94"/>
      <c r="Z857" s="94"/>
      <c r="AA857" s="94"/>
    </row>
    <row r="858" spans="1:27" ht="15.75" customHeight="1">
      <c r="A858" s="94"/>
      <c r="B858" s="248"/>
      <c r="C858" s="94"/>
      <c r="D858" s="94"/>
      <c r="E858" s="94"/>
      <c r="F858" s="249"/>
      <c r="G858" s="248"/>
      <c r="H858" s="94"/>
      <c r="I858" s="249"/>
      <c r="J858" s="94"/>
      <c r="K858" s="250"/>
      <c r="L858" s="250"/>
      <c r="M858" s="250"/>
      <c r="N858" s="250"/>
      <c r="O858" s="250"/>
      <c r="P858" s="250"/>
      <c r="Q858" s="249"/>
      <c r="R858" s="94"/>
      <c r="S858" s="94"/>
      <c r="T858" s="251"/>
      <c r="U858" s="94"/>
      <c r="V858" s="94"/>
      <c r="W858" s="94"/>
      <c r="X858" s="94"/>
      <c r="Y858" s="94"/>
      <c r="Z858" s="94"/>
      <c r="AA858" s="94"/>
    </row>
    <row r="859" spans="1:27" ht="15.75" customHeight="1">
      <c r="A859" s="94"/>
      <c r="B859" s="248"/>
      <c r="C859" s="94"/>
      <c r="D859" s="94"/>
      <c r="E859" s="94"/>
      <c r="F859" s="249"/>
      <c r="G859" s="248"/>
      <c r="H859" s="94"/>
      <c r="I859" s="249"/>
      <c r="J859" s="94"/>
      <c r="K859" s="250"/>
      <c r="L859" s="250"/>
      <c r="M859" s="250"/>
      <c r="N859" s="250"/>
      <c r="O859" s="250"/>
      <c r="P859" s="250"/>
      <c r="Q859" s="249"/>
      <c r="R859" s="94"/>
      <c r="S859" s="94"/>
      <c r="T859" s="251"/>
      <c r="U859" s="94"/>
      <c r="V859" s="94"/>
      <c r="W859" s="94"/>
      <c r="X859" s="94"/>
      <c r="Y859" s="94"/>
      <c r="Z859" s="94"/>
      <c r="AA859" s="94"/>
    </row>
    <row r="860" spans="1:27" ht="15.75" customHeight="1">
      <c r="A860" s="94"/>
      <c r="B860" s="248"/>
      <c r="C860" s="94"/>
      <c r="D860" s="94"/>
      <c r="E860" s="94"/>
      <c r="F860" s="249"/>
      <c r="G860" s="248"/>
      <c r="H860" s="94"/>
      <c r="I860" s="249"/>
      <c r="J860" s="94"/>
      <c r="K860" s="250"/>
      <c r="L860" s="250"/>
      <c r="M860" s="250"/>
      <c r="N860" s="250"/>
      <c r="O860" s="250"/>
      <c r="P860" s="250"/>
      <c r="Q860" s="249"/>
      <c r="R860" s="94"/>
      <c r="S860" s="94"/>
      <c r="T860" s="251"/>
      <c r="U860" s="94"/>
      <c r="V860" s="94"/>
      <c r="W860" s="94"/>
      <c r="X860" s="94"/>
      <c r="Y860" s="94"/>
      <c r="Z860" s="94"/>
      <c r="AA860" s="94"/>
    </row>
    <row r="861" spans="1:27" ht="15.75" customHeight="1">
      <c r="A861" s="94"/>
      <c r="B861" s="248"/>
      <c r="C861" s="94"/>
      <c r="D861" s="94"/>
      <c r="E861" s="94"/>
      <c r="F861" s="249"/>
      <c r="G861" s="248"/>
      <c r="H861" s="94"/>
      <c r="I861" s="249"/>
      <c r="J861" s="94"/>
      <c r="K861" s="250"/>
      <c r="L861" s="250"/>
      <c r="M861" s="250"/>
      <c r="N861" s="250"/>
      <c r="O861" s="250"/>
      <c r="P861" s="250"/>
      <c r="Q861" s="249"/>
      <c r="R861" s="94"/>
      <c r="S861" s="94"/>
      <c r="T861" s="251"/>
      <c r="U861" s="94"/>
      <c r="V861" s="94"/>
      <c r="W861" s="94"/>
      <c r="X861" s="94"/>
      <c r="Y861" s="94"/>
      <c r="Z861" s="94"/>
      <c r="AA861" s="94"/>
    </row>
    <row r="862" spans="1:27" ht="15.75" customHeight="1">
      <c r="A862" s="94"/>
      <c r="B862" s="248"/>
      <c r="C862" s="94"/>
      <c r="D862" s="94"/>
      <c r="E862" s="94"/>
      <c r="F862" s="249"/>
      <c r="G862" s="248"/>
      <c r="H862" s="94"/>
      <c r="I862" s="249"/>
      <c r="J862" s="94"/>
      <c r="K862" s="250"/>
      <c r="L862" s="250"/>
      <c r="M862" s="250"/>
      <c r="N862" s="250"/>
      <c r="O862" s="250"/>
      <c r="P862" s="250"/>
      <c r="Q862" s="249"/>
      <c r="R862" s="94"/>
      <c r="S862" s="94"/>
      <c r="T862" s="251"/>
      <c r="U862" s="94"/>
      <c r="V862" s="94"/>
      <c r="W862" s="94"/>
      <c r="X862" s="94"/>
      <c r="Y862" s="94"/>
      <c r="Z862" s="94"/>
      <c r="AA862" s="94"/>
    </row>
    <row r="863" spans="1:27" ht="15.75" customHeight="1">
      <c r="A863" s="94"/>
      <c r="B863" s="248"/>
      <c r="C863" s="94"/>
      <c r="D863" s="94"/>
      <c r="E863" s="94"/>
      <c r="F863" s="249"/>
      <c r="G863" s="248"/>
      <c r="H863" s="94"/>
      <c r="I863" s="249"/>
      <c r="J863" s="94"/>
      <c r="K863" s="250"/>
      <c r="L863" s="250"/>
      <c r="M863" s="250"/>
      <c r="N863" s="250"/>
      <c r="O863" s="250"/>
      <c r="P863" s="250"/>
      <c r="Q863" s="249"/>
      <c r="R863" s="94"/>
      <c r="S863" s="94"/>
      <c r="T863" s="251"/>
      <c r="U863" s="94"/>
      <c r="V863" s="94"/>
      <c r="W863" s="94"/>
      <c r="X863" s="94"/>
      <c r="Y863" s="94"/>
      <c r="Z863" s="94"/>
      <c r="AA863" s="94"/>
    </row>
    <row r="864" spans="1:27" ht="15.75" customHeight="1">
      <c r="A864" s="94"/>
      <c r="B864" s="248"/>
      <c r="C864" s="94"/>
      <c r="D864" s="94"/>
      <c r="E864" s="94"/>
      <c r="F864" s="249"/>
      <c r="G864" s="248"/>
      <c r="H864" s="94"/>
      <c r="I864" s="249"/>
      <c r="J864" s="94"/>
      <c r="K864" s="250"/>
      <c r="L864" s="250"/>
      <c r="M864" s="250"/>
      <c r="N864" s="250"/>
      <c r="O864" s="250"/>
      <c r="P864" s="250"/>
      <c r="Q864" s="249"/>
      <c r="R864" s="94"/>
      <c r="S864" s="94"/>
      <c r="T864" s="251"/>
      <c r="U864" s="94"/>
      <c r="V864" s="94"/>
      <c r="W864" s="94"/>
      <c r="X864" s="94"/>
      <c r="Y864" s="94"/>
      <c r="Z864" s="94"/>
      <c r="AA864" s="94"/>
    </row>
    <row r="865" spans="1:27" ht="15.75" customHeight="1">
      <c r="A865" s="94"/>
      <c r="B865" s="248"/>
      <c r="C865" s="94"/>
      <c r="D865" s="94"/>
      <c r="E865" s="94"/>
      <c r="F865" s="249"/>
      <c r="G865" s="248"/>
      <c r="H865" s="94"/>
      <c r="I865" s="249"/>
      <c r="J865" s="94"/>
      <c r="K865" s="250"/>
      <c r="L865" s="250"/>
      <c r="M865" s="250"/>
      <c r="N865" s="250"/>
      <c r="O865" s="250"/>
      <c r="P865" s="250"/>
      <c r="Q865" s="249"/>
      <c r="R865" s="94"/>
      <c r="S865" s="94"/>
      <c r="T865" s="251"/>
      <c r="U865" s="94"/>
      <c r="V865" s="94"/>
      <c r="W865" s="94"/>
      <c r="X865" s="94"/>
      <c r="Y865" s="94"/>
      <c r="Z865" s="94"/>
      <c r="AA865" s="94"/>
    </row>
    <row r="866" spans="1:27" ht="15.75" customHeight="1">
      <c r="A866" s="94"/>
      <c r="B866" s="248"/>
      <c r="C866" s="94"/>
      <c r="D866" s="94"/>
      <c r="E866" s="94"/>
      <c r="F866" s="249"/>
      <c r="G866" s="248"/>
      <c r="H866" s="94"/>
      <c r="I866" s="249"/>
      <c r="J866" s="94"/>
      <c r="K866" s="250"/>
      <c r="L866" s="250"/>
      <c r="M866" s="250"/>
      <c r="N866" s="250"/>
      <c r="O866" s="250"/>
      <c r="P866" s="250"/>
      <c r="Q866" s="249"/>
      <c r="R866" s="94"/>
      <c r="S866" s="94"/>
      <c r="T866" s="251"/>
      <c r="U866" s="94"/>
      <c r="V866" s="94"/>
      <c r="W866" s="94"/>
      <c r="X866" s="94"/>
      <c r="Y866" s="94"/>
      <c r="Z866" s="94"/>
      <c r="AA866" s="94"/>
    </row>
    <row r="867" spans="1:27" ht="15.75" customHeight="1">
      <c r="A867" s="94"/>
      <c r="B867" s="248"/>
      <c r="C867" s="94"/>
      <c r="D867" s="94"/>
      <c r="E867" s="94"/>
      <c r="F867" s="249"/>
      <c r="G867" s="248"/>
      <c r="H867" s="94"/>
      <c r="I867" s="249"/>
      <c r="J867" s="94"/>
      <c r="K867" s="250"/>
      <c r="L867" s="250"/>
      <c r="M867" s="250"/>
      <c r="N867" s="250"/>
      <c r="O867" s="250"/>
      <c r="P867" s="250"/>
      <c r="Q867" s="249"/>
      <c r="R867" s="94"/>
      <c r="S867" s="94"/>
      <c r="T867" s="251"/>
      <c r="U867" s="94"/>
      <c r="V867" s="94"/>
      <c r="W867" s="94"/>
      <c r="X867" s="94"/>
      <c r="Y867" s="94"/>
      <c r="Z867" s="94"/>
      <c r="AA867" s="94"/>
    </row>
    <row r="868" spans="1:27" ht="15.75" customHeight="1">
      <c r="A868" s="94"/>
      <c r="B868" s="248"/>
      <c r="C868" s="94"/>
      <c r="D868" s="94"/>
      <c r="E868" s="94"/>
      <c r="F868" s="249"/>
      <c r="G868" s="248"/>
      <c r="H868" s="94"/>
      <c r="I868" s="249"/>
      <c r="J868" s="94"/>
      <c r="K868" s="250"/>
      <c r="L868" s="250"/>
      <c r="M868" s="250"/>
      <c r="N868" s="250"/>
      <c r="O868" s="250"/>
      <c r="P868" s="250"/>
      <c r="Q868" s="249"/>
      <c r="R868" s="94"/>
      <c r="S868" s="94"/>
      <c r="T868" s="251"/>
      <c r="U868" s="94"/>
      <c r="V868" s="94"/>
      <c r="W868" s="94"/>
      <c r="X868" s="94"/>
      <c r="Y868" s="94"/>
      <c r="Z868" s="94"/>
      <c r="AA868" s="94"/>
    </row>
    <row r="869" spans="1:27" ht="15.75" customHeight="1">
      <c r="A869" s="94"/>
      <c r="B869" s="248"/>
      <c r="C869" s="94"/>
      <c r="D869" s="94"/>
      <c r="E869" s="94"/>
      <c r="F869" s="249"/>
      <c r="G869" s="248"/>
      <c r="H869" s="94"/>
      <c r="I869" s="249"/>
      <c r="J869" s="94"/>
      <c r="K869" s="250"/>
      <c r="L869" s="250"/>
      <c r="M869" s="250"/>
      <c r="N869" s="250"/>
      <c r="O869" s="250"/>
      <c r="P869" s="250"/>
      <c r="Q869" s="249"/>
      <c r="R869" s="94"/>
      <c r="S869" s="94"/>
      <c r="T869" s="251"/>
      <c r="U869" s="94"/>
      <c r="V869" s="94"/>
      <c r="W869" s="94"/>
      <c r="X869" s="94"/>
      <c r="Y869" s="94"/>
      <c r="Z869" s="94"/>
      <c r="AA869" s="94"/>
    </row>
    <row r="870" spans="1:27" ht="15.75" customHeight="1">
      <c r="A870" s="94"/>
      <c r="B870" s="248"/>
      <c r="C870" s="94"/>
      <c r="D870" s="94"/>
      <c r="E870" s="94"/>
      <c r="F870" s="249"/>
      <c r="G870" s="248"/>
      <c r="H870" s="94"/>
      <c r="I870" s="249"/>
      <c r="J870" s="94"/>
      <c r="K870" s="250"/>
      <c r="L870" s="250"/>
      <c r="M870" s="250"/>
      <c r="N870" s="250"/>
      <c r="O870" s="250"/>
      <c r="P870" s="250"/>
      <c r="Q870" s="249"/>
      <c r="R870" s="94"/>
      <c r="S870" s="94"/>
      <c r="T870" s="251"/>
      <c r="U870" s="94"/>
      <c r="V870" s="94"/>
      <c r="W870" s="94"/>
      <c r="X870" s="94"/>
      <c r="Y870" s="94"/>
      <c r="Z870" s="94"/>
      <c r="AA870" s="94"/>
    </row>
    <row r="871" spans="1:27" ht="15.75" customHeight="1">
      <c r="A871" s="94"/>
      <c r="B871" s="248"/>
      <c r="C871" s="94"/>
      <c r="D871" s="94"/>
      <c r="E871" s="94"/>
      <c r="F871" s="249"/>
      <c r="G871" s="248"/>
      <c r="H871" s="94"/>
      <c r="I871" s="249"/>
      <c r="J871" s="94"/>
      <c r="K871" s="250"/>
      <c r="L871" s="250"/>
      <c r="M871" s="250"/>
      <c r="N871" s="250"/>
      <c r="O871" s="250"/>
      <c r="P871" s="250"/>
      <c r="Q871" s="249"/>
      <c r="R871" s="94"/>
      <c r="S871" s="94"/>
      <c r="T871" s="251"/>
      <c r="U871" s="94"/>
      <c r="V871" s="94"/>
      <c r="W871" s="94"/>
      <c r="X871" s="94"/>
      <c r="Y871" s="94"/>
      <c r="Z871" s="94"/>
      <c r="AA871" s="94"/>
    </row>
    <row r="872" spans="1:27" ht="15.75" customHeight="1">
      <c r="A872" s="94"/>
      <c r="B872" s="248"/>
      <c r="C872" s="94"/>
      <c r="D872" s="94"/>
      <c r="E872" s="94"/>
      <c r="F872" s="249"/>
      <c r="G872" s="248"/>
      <c r="H872" s="94"/>
      <c r="I872" s="249"/>
      <c r="J872" s="94"/>
      <c r="K872" s="250"/>
      <c r="L872" s="250"/>
      <c r="M872" s="250"/>
      <c r="N872" s="250"/>
      <c r="O872" s="250"/>
      <c r="P872" s="250"/>
      <c r="Q872" s="249"/>
      <c r="R872" s="94"/>
      <c r="S872" s="94"/>
      <c r="T872" s="251"/>
      <c r="U872" s="94"/>
      <c r="V872" s="94"/>
      <c r="W872" s="94"/>
      <c r="X872" s="94"/>
      <c r="Y872" s="94"/>
      <c r="Z872" s="94"/>
      <c r="AA872" s="94"/>
    </row>
    <row r="873" spans="1:27" ht="15.75" customHeight="1">
      <c r="A873" s="94"/>
      <c r="B873" s="248"/>
      <c r="C873" s="94"/>
      <c r="D873" s="94"/>
      <c r="E873" s="94"/>
      <c r="F873" s="249"/>
      <c r="G873" s="248"/>
      <c r="H873" s="94"/>
      <c r="I873" s="249"/>
      <c r="J873" s="94"/>
      <c r="K873" s="250"/>
      <c r="L873" s="250"/>
      <c r="M873" s="250"/>
      <c r="N873" s="250"/>
      <c r="O873" s="250"/>
      <c r="P873" s="250"/>
      <c r="Q873" s="249"/>
      <c r="R873" s="94"/>
      <c r="S873" s="94"/>
      <c r="T873" s="251"/>
      <c r="U873" s="94"/>
      <c r="V873" s="94"/>
      <c r="W873" s="94"/>
      <c r="X873" s="94"/>
      <c r="Y873" s="94"/>
      <c r="Z873" s="94"/>
      <c r="AA873" s="94"/>
    </row>
    <row r="874" spans="1:27" ht="15.75" customHeight="1">
      <c r="A874" s="94"/>
      <c r="B874" s="248"/>
      <c r="C874" s="94"/>
      <c r="D874" s="94"/>
      <c r="E874" s="94"/>
      <c r="F874" s="249"/>
      <c r="G874" s="248"/>
      <c r="H874" s="94"/>
      <c r="I874" s="249"/>
      <c r="J874" s="94"/>
      <c r="K874" s="250"/>
      <c r="L874" s="250"/>
      <c r="M874" s="250"/>
      <c r="N874" s="250"/>
      <c r="O874" s="250"/>
      <c r="P874" s="250"/>
      <c r="Q874" s="249"/>
      <c r="R874" s="94"/>
      <c r="S874" s="94"/>
      <c r="T874" s="251"/>
      <c r="U874" s="94"/>
      <c r="V874" s="94"/>
      <c r="W874" s="94"/>
      <c r="X874" s="94"/>
      <c r="Y874" s="94"/>
      <c r="Z874" s="94"/>
      <c r="AA874" s="94"/>
    </row>
    <row r="875" spans="1:27" ht="15.75" customHeight="1">
      <c r="A875" s="94"/>
      <c r="B875" s="248"/>
      <c r="C875" s="94"/>
      <c r="D875" s="94"/>
      <c r="E875" s="94"/>
      <c r="F875" s="249"/>
      <c r="G875" s="248"/>
      <c r="H875" s="94"/>
      <c r="I875" s="249"/>
      <c r="J875" s="94"/>
      <c r="K875" s="250"/>
      <c r="L875" s="250"/>
      <c r="M875" s="250"/>
      <c r="N875" s="250"/>
      <c r="O875" s="250"/>
      <c r="P875" s="250"/>
      <c r="Q875" s="249"/>
      <c r="R875" s="94"/>
      <c r="S875" s="94"/>
      <c r="T875" s="251"/>
      <c r="U875" s="94"/>
      <c r="V875" s="94"/>
      <c r="W875" s="94"/>
      <c r="X875" s="94"/>
      <c r="Y875" s="94"/>
      <c r="Z875" s="94"/>
      <c r="AA875" s="94"/>
    </row>
    <row r="876" spans="1:27" ht="15.75" customHeight="1">
      <c r="A876" s="94"/>
      <c r="B876" s="248"/>
      <c r="C876" s="94"/>
      <c r="D876" s="94"/>
      <c r="E876" s="94"/>
      <c r="F876" s="249"/>
      <c r="G876" s="248"/>
      <c r="H876" s="94"/>
      <c r="I876" s="249"/>
      <c r="J876" s="94"/>
      <c r="K876" s="250"/>
      <c r="L876" s="250"/>
      <c r="M876" s="250"/>
      <c r="N876" s="250"/>
      <c r="O876" s="250"/>
      <c r="P876" s="250"/>
      <c r="Q876" s="249"/>
      <c r="R876" s="94"/>
      <c r="S876" s="94"/>
      <c r="T876" s="251"/>
      <c r="U876" s="94"/>
      <c r="V876" s="94"/>
      <c r="W876" s="94"/>
      <c r="X876" s="94"/>
      <c r="Y876" s="94"/>
      <c r="Z876" s="94"/>
      <c r="AA876" s="94"/>
    </row>
    <row r="877" spans="1:27" ht="15.75" customHeight="1">
      <c r="A877" s="94"/>
      <c r="B877" s="248"/>
      <c r="C877" s="94"/>
      <c r="D877" s="94"/>
      <c r="E877" s="94"/>
      <c r="F877" s="249"/>
      <c r="G877" s="248"/>
      <c r="H877" s="94"/>
      <c r="I877" s="249"/>
      <c r="J877" s="94"/>
      <c r="K877" s="250"/>
      <c r="L877" s="250"/>
      <c r="M877" s="250"/>
      <c r="N877" s="250"/>
      <c r="O877" s="250"/>
      <c r="P877" s="250"/>
      <c r="Q877" s="249"/>
      <c r="R877" s="94"/>
      <c r="S877" s="94"/>
      <c r="T877" s="251"/>
      <c r="U877" s="94"/>
      <c r="V877" s="94"/>
      <c r="W877" s="94"/>
      <c r="X877" s="94"/>
      <c r="Y877" s="94"/>
      <c r="Z877" s="94"/>
      <c r="AA877" s="94"/>
    </row>
    <row r="878" spans="1:27" ht="15.75" customHeight="1">
      <c r="A878" s="94"/>
      <c r="B878" s="248"/>
      <c r="C878" s="94"/>
      <c r="D878" s="94"/>
      <c r="E878" s="94"/>
      <c r="F878" s="249"/>
      <c r="G878" s="248"/>
      <c r="H878" s="94"/>
      <c r="I878" s="249"/>
      <c r="J878" s="94"/>
      <c r="K878" s="250"/>
      <c r="L878" s="250"/>
      <c r="M878" s="250"/>
      <c r="N878" s="250"/>
      <c r="O878" s="250"/>
      <c r="P878" s="250"/>
      <c r="Q878" s="249"/>
      <c r="R878" s="94"/>
      <c r="S878" s="94"/>
      <c r="T878" s="251"/>
      <c r="U878" s="94"/>
      <c r="V878" s="94"/>
      <c r="W878" s="94"/>
      <c r="X878" s="94"/>
      <c r="Y878" s="94"/>
      <c r="Z878" s="94"/>
      <c r="AA878" s="94"/>
    </row>
    <row r="879" spans="1:27" ht="15.75" customHeight="1">
      <c r="A879" s="94"/>
      <c r="B879" s="248"/>
      <c r="C879" s="94"/>
      <c r="D879" s="94"/>
      <c r="E879" s="94"/>
      <c r="F879" s="249"/>
      <c r="G879" s="248"/>
      <c r="H879" s="94"/>
      <c r="I879" s="249"/>
      <c r="J879" s="94"/>
      <c r="K879" s="250"/>
      <c r="L879" s="250"/>
      <c r="M879" s="250"/>
      <c r="N879" s="250"/>
      <c r="O879" s="250"/>
      <c r="P879" s="250"/>
      <c r="Q879" s="249"/>
      <c r="R879" s="94"/>
      <c r="S879" s="94"/>
      <c r="T879" s="251"/>
      <c r="U879" s="94"/>
      <c r="V879" s="94"/>
      <c r="W879" s="94"/>
      <c r="X879" s="94"/>
      <c r="Y879" s="94"/>
      <c r="Z879" s="94"/>
      <c r="AA879" s="94"/>
    </row>
    <row r="880" spans="1:27" ht="15.75" customHeight="1">
      <c r="A880" s="94"/>
      <c r="B880" s="248"/>
      <c r="C880" s="94"/>
      <c r="D880" s="94"/>
      <c r="E880" s="94"/>
      <c r="F880" s="249"/>
      <c r="G880" s="248"/>
      <c r="H880" s="94"/>
      <c r="I880" s="249"/>
      <c r="J880" s="94"/>
      <c r="K880" s="250"/>
      <c r="L880" s="250"/>
      <c r="M880" s="250"/>
      <c r="N880" s="250"/>
      <c r="O880" s="250"/>
      <c r="P880" s="250"/>
      <c r="Q880" s="249"/>
      <c r="R880" s="94"/>
      <c r="S880" s="94"/>
      <c r="T880" s="251"/>
      <c r="U880" s="94"/>
      <c r="V880" s="94"/>
      <c r="W880" s="94"/>
      <c r="X880" s="94"/>
      <c r="Y880" s="94"/>
      <c r="Z880" s="94"/>
      <c r="AA880" s="94"/>
    </row>
    <row r="881" spans="1:27" ht="15.75" customHeight="1">
      <c r="A881" s="94"/>
      <c r="B881" s="248"/>
      <c r="C881" s="94"/>
      <c r="D881" s="94"/>
      <c r="E881" s="94"/>
      <c r="F881" s="249"/>
      <c r="G881" s="248"/>
      <c r="H881" s="94"/>
      <c r="I881" s="249"/>
      <c r="J881" s="94"/>
      <c r="K881" s="250"/>
      <c r="L881" s="250"/>
      <c r="M881" s="250"/>
      <c r="N881" s="250"/>
      <c r="O881" s="250"/>
      <c r="P881" s="250"/>
      <c r="Q881" s="249"/>
      <c r="R881" s="94"/>
      <c r="S881" s="94"/>
      <c r="T881" s="251"/>
      <c r="U881" s="94"/>
      <c r="V881" s="94"/>
      <c r="W881" s="94"/>
      <c r="X881" s="94"/>
      <c r="Y881" s="94"/>
      <c r="Z881" s="94"/>
      <c r="AA881" s="94"/>
    </row>
    <row r="882" spans="1:27" ht="15.75" customHeight="1">
      <c r="A882" s="94"/>
      <c r="B882" s="248"/>
      <c r="C882" s="94"/>
      <c r="D882" s="94"/>
      <c r="E882" s="94"/>
      <c r="F882" s="249"/>
      <c r="G882" s="248"/>
      <c r="H882" s="94"/>
      <c r="I882" s="249"/>
      <c r="J882" s="94"/>
      <c r="K882" s="250"/>
      <c r="L882" s="250"/>
      <c r="M882" s="250"/>
      <c r="N882" s="250"/>
      <c r="O882" s="250"/>
      <c r="P882" s="250"/>
      <c r="Q882" s="249"/>
      <c r="R882" s="94"/>
      <c r="S882" s="94"/>
      <c r="T882" s="251"/>
      <c r="U882" s="94"/>
      <c r="V882" s="94"/>
      <c r="W882" s="94"/>
      <c r="X882" s="94"/>
      <c r="Y882" s="94"/>
      <c r="Z882" s="94"/>
      <c r="AA882" s="94"/>
    </row>
    <row r="883" spans="1:27" ht="15.75" customHeight="1">
      <c r="A883" s="94"/>
      <c r="B883" s="248"/>
      <c r="C883" s="94"/>
      <c r="D883" s="94"/>
      <c r="E883" s="94"/>
      <c r="F883" s="249"/>
      <c r="G883" s="248"/>
      <c r="H883" s="94"/>
      <c r="I883" s="249"/>
      <c r="J883" s="94"/>
      <c r="K883" s="250"/>
      <c r="L883" s="250"/>
      <c r="M883" s="250"/>
      <c r="N883" s="250"/>
      <c r="O883" s="250"/>
      <c r="P883" s="250"/>
      <c r="Q883" s="249"/>
      <c r="R883" s="94"/>
      <c r="S883" s="94"/>
      <c r="T883" s="251"/>
      <c r="U883" s="94"/>
      <c r="V883" s="94"/>
      <c r="W883" s="94"/>
      <c r="X883" s="94"/>
      <c r="Y883" s="94"/>
      <c r="Z883" s="94"/>
      <c r="AA883" s="94"/>
    </row>
    <row r="884" spans="1:27" ht="15.75" customHeight="1">
      <c r="A884" s="94"/>
      <c r="B884" s="248"/>
      <c r="C884" s="94"/>
      <c r="D884" s="94"/>
      <c r="E884" s="94"/>
      <c r="F884" s="249"/>
      <c r="G884" s="248"/>
      <c r="H884" s="94"/>
      <c r="I884" s="249"/>
      <c r="J884" s="94"/>
      <c r="K884" s="250"/>
      <c r="L884" s="250"/>
      <c r="M884" s="250"/>
      <c r="N884" s="250"/>
      <c r="O884" s="250"/>
      <c r="P884" s="250"/>
      <c r="Q884" s="249"/>
      <c r="R884" s="94"/>
      <c r="S884" s="94"/>
      <c r="T884" s="251"/>
      <c r="U884" s="94"/>
      <c r="V884" s="94"/>
      <c r="W884" s="94"/>
      <c r="X884" s="94"/>
      <c r="Y884" s="94"/>
      <c r="Z884" s="94"/>
      <c r="AA884" s="94"/>
    </row>
    <row r="885" spans="1:27" ht="15.75" customHeight="1">
      <c r="A885" s="94"/>
      <c r="B885" s="248"/>
      <c r="C885" s="94"/>
      <c r="D885" s="94"/>
      <c r="E885" s="94"/>
      <c r="F885" s="249"/>
      <c r="G885" s="248"/>
      <c r="H885" s="94"/>
      <c r="I885" s="249"/>
      <c r="J885" s="94"/>
      <c r="K885" s="250"/>
      <c r="L885" s="250"/>
      <c r="M885" s="250"/>
      <c r="N885" s="250"/>
      <c r="O885" s="250"/>
      <c r="P885" s="250"/>
      <c r="Q885" s="249"/>
      <c r="R885" s="94"/>
      <c r="S885" s="94"/>
      <c r="T885" s="251"/>
      <c r="U885" s="94"/>
      <c r="V885" s="94"/>
      <c r="W885" s="94"/>
      <c r="X885" s="94"/>
      <c r="Y885" s="94"/>
      <c r="Z885" s="94"/>
      <c r="AA885" s="94"/>
    </row>
    <row r="886" spans="1:27" ht="15.75" customHeight="1">
      <c r="A886" s="94"/>
      <c r="B886" s="248"/>
      <c r="C886" s="94"/>
      <c r="D886" s="94"/>
      <c r="E886" s="94"/>
      <c r="F886" s="249"/>
      <c r="G886" s="248"/>
      <c r="H886" s="94"/>
      <c r="I886" s="249"/>
      <c r="J886" s="94"/>
      <c r="K886" s="250"/>
      <c r="L886" s="250"/>
      <c r="M886" s="250"/>
      <c r="N886" s="250"/>
      <c r="O886" s="250"/>
      <c r="P886" s="250"/>
      <c r="Q886" s="249"/>
      <c r="R886" s="94"/>
      <c r="S886" s="94"/>
      <c r="T886" s="251"/>
      <c r="U886" s="94"/>
      <c r="V886" s="94"/>
      <c r="W886" s="94"/>
      <c r="X886" s="94"/>
      <c r="Y886" s="94"/>
      <c r="Z886" s="94"/>
      <c r="AA886" s="94"/>
    </row>
    <row r="887" spans="1:27" ht="15.75" customHeight="1">
      <c r="A887" s="94"/>
      <c r="B887" s="248"/>
      <c r="C887" s="94"/>
      <c r="D887" s="94"/>
      <c r="E887" s="94"/>
      <c r="F887" s="249"/>
      <c r="G887" s="248"/>
      <c r="H887" s="94"/>
      <c r="I887" s="249"/>
      <c r="J887" s="94"/>
      <c r="K887" s="250"/>
      <c r="L887" s="250"/>
      <c r="M887" s="250"/>
      <c r="N887" s="250"/>
      <c r="O887" s="250"/>
      <c r="P887" s="250"/>
      <c r="Q887" s="249"/>
      <c r="R887" s="94"/>
      <c r="S887" s="94"/>
      <c r="T887" s="251"/>
      <c r="U887" s="94"/>
      <c r="V887" s="94"/>
      <c r="W887" s="94"/>
      <c r="X887" s="94"/>
      <c r="Y887" s="94"/>
      <c r="Z887" s="94"/>
      <c r="AA887" s="94"/>
    </row>
    <row r="888" spans="1:27" ht="15.75" customHeight="1">
      <c r="A888" s="94"/>
      <c r="B888" s="248"/>
      <c r="C888" s="94"/>
      <c r="D888" s="94"/>
      <c r="E888" s="94"/>
      <c r="F888" s="249"/>
      <c r="G888" s="248"/>
      <c r="H888" s="94"/>
      <c r="I888" s="249"/>
      <c r="J888" s="94"/>
      <c r="K888" s="250"/>
      <c r="L888" s="250"/>
      <c r="M888" s="250"/>
      <c r="N888" s="250"/>
      <c r="O888" s="250"/>
      <c r="P888" s="250"/>
      <c r="Q888" s="249"/>
      <c r="R888" s="94"/>
      <c r="S888" s="94"/>
      <c r="T888" s="251"/>
      <c r="U888" s="94"/>
      <c r="V888" s="94"/>
      <c r="W888" s="94"/>
      <c r="X888" s="94"/>
      <c r="Y888" s="94"/>
      <c r="Z888" s="94"/>
      <c r="AA888" s="94"/>
    </row>
    <row r="889" spans="1:27" ht="15.75" customHeight="1">
      <c r="A889" s="94"/>
      <c r="B889" s="248"/>
      <c r="C889" s="94"/>
      <c r="D889" s="94"/>
      <c r="E889" s="94"/>
      <c r="F889" s="249"/>
      <c r="G889" s="248"/>
      <c r="H889" s="94"/>
      <c r="I889" s="249"/>
      <c r="J889" s="94"/>
      <c r="K889" s="250"/>
      <c r="L889" s="250"/>
      <c r="M889" s="250"/>
      <c r="N889" s="250"/>
      <c r="O889" s="250"/>
      <c r="P889" s="250"/>
      <c r="Q889" s="249"/>
      <c r="R889" s="94"/>
      <c r="S889" s="94"/>
      <c r="T889" s="251"/>
      <c r="U889" s="94"/>
      <c r="V889" s="94"/>
      <c r="W889" s="94"/>
      <c r="X889" s="94"/>
      <c r="Y889" s="94"/>
      <c r="Z889" s="94"/>
      <c r="AA889" s="94"/>
    </row>
    <row r="890" spans="1:27" ht="15.75" customHeight="1">
      <c r="A890" s="94"/>
      <c r="B890" s="248"/>
      <c r="C890" s="94"/>
      <c r="D890" s="94"/>
      <c r="E890" s="94"/>
      <c r="F890" s="249"/>
      <c r="G890" s="248"/>
      <c r="H890" s="94"/>
      <c r="I890" s="249"/>
      <c r="J890" s="94"/>
      <c r="K890" s="250"/>
      <c r="L890" s="250"/>
      <c r="M890" s="250"/>
      <c r="N890" s="250"/>
      <c r="O890" s="250"/>
      <c r="P890" s="250"/>
      <c r="Q890" s="249"/>
      <c r="R890" s="94"/>
      <c r="S890" s="94"/>
      <c r="T890" s="251"/>
      <c r="U890" s="94"/>
      <c r="V890" s="94"/>
      <c r="W890" s="94"/>
      <c r="X890" s="94"/>
      <c r="Y890" s="94"/>
      <c r="Z890" s="94"/>
      <c r="AA890" s="94"/>
    </row>
    <row r="891" spans="1:27" ht="15.75" customHeight="1">
      <c r="A891" s="94"/>
      <c r="B891" s="248"/>
      <c r="C891" s="94"/>
      <c r="D891" s="94"/>
      <c r="E891" s="94"/>
      <c r="F891" s="249"/>
      <c r="G891" s="248"/>
      <c r="H891" s="94"/>
      <c r="I891" s="249"/>
      <c r="J891" s="94"/>
      <c r="K891" s="250"/>
      <c r="L891" s="250"/>
      <c r="M891" s="250"/>
      <c r="N891" s="250"/>
      <c r="O891" s="250"/>
      <c r="P891" s="250"/>
      <c r="Q891" s="249"/>
      <c r="R891" s="94"/>
      <c r="S891" s="94"/>
      <c r="T891" s="251"/>
      <c r="U891" s="94"/>
      <c r="V891" s="94"/>
      <c r="W891" s="94"/>
      <c r="X891" s="94"/>
      <c r="Y891" s="94"/>
      <c r="Z891" s="94"/>
      <c r="AA891" s="94"/>
    </row>
    <row r="892" spans="1:27" ht="15.75" customHeight="1">
      <c r="A892" s="94"/>
      <c r="B892" s="248"/>
      <c r="C892" s="94"/>
      <c r="D892" s="94"/>
      <c r="E892" s="94"/>
      <c r="F892" s="249"/>
      <c r="G892" s="248"/>
      <c r="H892" s="94"/>
      <c r="I892" s="249"/>
      <c r="J892" s="94"/>
      <c r="K892" s="250"/>
      <c r="L892" s="250"/>
      <c r="M892" s="250"/>
      <c r="N892" s="250"/>
      <c r="O892" s="250"/>
      <c r="P892" s="250"/>
      <c r="Q892" s="249"/>
      <c r="R892" s="94"/>
      <c r="S892" s="94"/>
      <c r="T892" s="251"/>
      <c r="U892" s="94"/>
      <c r="V892" s="94"/>
      <c r="W892" s="94"/>
      <c r="X892" s="94"/>
      <c r="Y892" s="94"/>
      <c r="Z892" s="94"/>
      <c r="AA892" s="94"/>
    </row>
    <row r="893" spans="1:27" ht="15.75" customHeight="1">
      <c r="A893" s="94"/>
      <c r="B893" s="248"/>
      <c r="C893" s="94"/>
      <c r="D893" s="94"/>
      <c r="E893" s="94"/>
      <c r="F893" s="249"/>
      <c r="G893" s="248"/>
      <c r="H893" s="94"/>
      <c r="I893" s="249"/>
      <c r="J893" s="94"/>
      <c r="K893" s="250"/>
      <c r="L893" s="250"/>
      <c r="M893" s="250"/>
      <c r="N893" s="250"/>
      <c r="O893" s="250"/>
      <c r="P893" s="250"/>
      <c r="Q893" s="249"/>
      <c r="R893" s="94"/>
      <c r="S893" s="94"/>
      <c r="T893" s="251"/>
      <c r="U893" s="94"/>
      <c r="V893" s="94"/>
      <c r="W893" s="94"/>
      <c r="X893" s="94"/>
      <c r="Y893" s="94"/>
      <c r="Z893" s="94"/>
      <c r="AA893" s="94"/>
    </row>
    <row r="894" spans="1:27" ht="15.75" customHeight="1">
      <c r="A894" s="94"/>
      <c r="B894" s="248"/>
      <c r="C894" s="94"/>
      <c r="D894" s="94"/>
      <c r="E894" s="94"/>
      <c r="F894" s="249"/>
      <c r="G894" s="248"/>
      <c r="H894" s="94"/>
      <c r="I894" s="249"/>
      <c r="J894" s="94"/>
      <c r="K894" s="250"/>
      <c r="L894" s="250"/>
      <c r="M894" s="250"/>
      <c r="N894" s="250"/>
      <c r="O894" s="250"/>
      <c r="P894" s="250"/>
      <c r="Q894" s="249"/>
      <c r="R894" s="94"/>
      <c r="S894" s="94"/>
      <c r="T894" s="251"/>
      <c r="U894" s="94"/>
      <c r="V894" s="94"/>
      <c r="W894" s="94"/>
      <c r="X894" s="94"/>
      <c r="Y894" s="94"/>
      <c r="Z894" s="94"/>
      <c r="AA894" s="94"/>
    </row>
    <row r="895" spans="1:27" ht="15.75" customHeight="1">
      <c r="A895" s="94"/>
      <c r="B895" s="248"/>
      <c r="C895" s="94"/>
      <c r="D895" s="94"/>
      <c r="E895" s="94"/>
      <c r="F895" s="249"/>
      <c r="G895" s="248"/>
      <c r="H895" s="94"/>
      <c r="I895" s="249"/>
      <c r="J895" s="94"/>
      <c r="K895" s="250"/>
      <c r="L895" s="250"/>
      <c r="M895" s="250"/>
      <c r="N895" s="250"/>
      <c r="O895" s="250"/>
      <c r="P895" s="250"/>
      <c r="Q895" s="249"/>
      <c r="R895" s="94"/>
      <c r="S895" s="94"/>
      <c r="T895" s="251"/>
      <c r="U895" s="94"/>
      <c r="V895" s="94"/>
      <c r="W895" s="94"/>
      <c r="X895" s="94"/>
      <c r="Y895" s="94"/>
      <c r="Z895" s="94"/>
      <c r="AA895" s="94"/>
    </row>
    <row r="896" spans="1:27" ht="15.75" customHeight="1">
      <c r="A896" s="94"/>
      <c r="B896" s="248"/>
      <c r="C896" s="94"/>
      <c r="D896" s="94"/>
      <c r="E896" s="94"/>
      <c r="F896" s="249"/>
      <c r="G896" s="248"/>
      <c r="H896" s="94"/>
      <c r="I896" s="249"/>
      <c r="J896" s="94"/>
      <c r="K896" s="250"/>
      <c r="L896" s="250"/>
      <c r="M896" s="250"/>
      <c r="N896" s="250"/>
      <c r="O896" s="250"/>
      <c r="P896" s="250"/>
      <c r="Q896" s="249"/>
      <c r="R896" s="94"/>
      <c r="S896" s="94"/>
      <c r="T896" s="251"/>
      <c r="U896" s="94"/>
      <c r="V896" s="94"/>
      <c r="W896" s="94"/>
      <c r="X896" s="94"/>
      <c r="Y896" s="94"/>
      <c r="Z896" s="94"/>
      <c r="AA896" s="94"/>
    </row>
    <row r="897" spans="1:27" ht="15.75" customHeight="1">
      <c r="A897" s="94"/>
      <c r="B897" s="248"/>
      <c r="C897" s="94"/>
      <c r="D897" s="94"/>
      <c r="E897" s="94"/>
      <c r="F897" s="249"/>
      <c r="G897" s="248"/>
      <c r="H897" s="94"/>
      <c r="I897" s="249"/>
      <c r="J897" s="94"/>
      <c r="K897" s="250"/>
      <c r="L897" s="250"/>
      <c r="M897" s="250"/>
      <c r="N897" s="250"/>
      <c r="O897" s="250"/>
      <c r="P897" s="250"/>
      <c r="Q897" s="249"/>
      <c r="R897" s="94"/>
      <c r="S897" s="94"/>
      <c r="T897" s="251"/>
      <c r="U897" s="94"/>
      <c r="V897" s="94"/>
      <c r="W897" s="94"/>
      <c r="X897" s="94"/>
      <c r="Y897" s="94"/>
      <c r="Z897" s="94"/>
      <c r="AA897" s="94"/>
    </row>
    <row r="898" spans="1:27" ht="15.75" customHeight="1">
      <c r="A898" s="94"/>
      <c r="B898" s="248"/>
      <c r="C898" s="94"/>
      <c r="D898" s="94"/>
      <c r="E898" s="94"/>
      <c r="F898" s="249"/>
      <c r="G898" s="248"/>
      <c r="H898" s="94"/>
      <c r="I898" s="249"/>
      <c r="J898" s="94"/>
      <c r="K898" s="250"/>
      <c r="L898" s="250"/>
      <c r="M898" s="250"/>
      <c r="N898" s="250"/>
      <c r="O898" s="250"/>
      <c r="P898" s="250"/>
      <c r="Q898" s="249"/>
      <c r="R898" s="94"/>
      <c r="S898" s="94"/>
      <c r="T898" s="251"/>
      <c r="U898" s="94"/>
      <c r="V898" s="94"/>
      <c r="W898" s="94"/>
      <c r="X898" s="94"/>
      <c r="Y898" s="94"/>
      <c r="Z898" s="94"/>
      <c r="AA898" s="94"/>
    </row>
    <row r="899" spans="1:27" ht="15.75" customHeight="1">
      <c r="A899" s="94"/>
      <c r="B899" s="248"/>
      <c r="C899" s="94"/>
      <c r="D899" s="94"/>
      <c r="E899" s="94"/>
      <c r="F899" s="249"/>
      <c r="G899" s="248"/>
      <c r="H899" s="94"/>
      <c r="I899" s="249"/>
      <c r="J899" s="94"/>
      <c r="K899" s="250"/>
      <c r="L899" s="250"/>
      <c r="M899" s="250"/>
      <c r="N899" s="250"/>
      <c r="O899" s="250"/>
      <c r="P899" s="250"/>
      <c r="Q899" s="249"/>
      <c r="R899" s="94"/>
      <c r="S899" s="94"/>
      <c r="T899" s="251"/>
      <c r="U899" s="94"/>
      <c r="V899" s="94"/>
      <c r="W899" s="94"/>
      <c r="X899" s="94"/>
      <c r="Y899" s="94"/>
      <c r="Z899" s="94"/>
      <c r="AA899" s="94"/>
    </row>
    <row r="900" spans="1:27" ht="15.75" customHeight="1">
      <c r="A900" s="94"/>
      <c r="B900" s="248"/>
      <c r="C900" s="94"/>
      <c r="D900" s="94"/>
      <c r="E900" s="94"/>
      <c r="F900" s="249"/>
      <c r="G900" s="248"/>
      <c r="H900" s="94"/>
      <c r="I900" s="249"/>
      <c r="J900" s="94"/>
      <c r="K900" s="250"/>
      <c r="L900" s="250"/>
      <c r="M900" s="250"/>
      <c r="N900" s="250"/>
      <c r="O900" s="250"/>
      <c r="P900" s="250"/>
      <c r="Q900" s="249"/>
      <c r="R900" s="94"/>
      <c r="S900" s="94"/>
      <c r="T900" s="251"/>
      <c r="U900" s="94"/>
      <c r="V900" s="94"/>
      <c r="W900" s="94"/>
      <c r="X900" s="94"/>
      <c r="Y900" s="94"/>
      <c r="Z900" s="94"/>
      <c r="AA900" s="94"/>
    </row>
    <row r="901" spans="1:27" ht="15.75" customHeight="1">
      <c r="A901" s="94"/>
      <c r="B901" s="248"/>
      <c r="C901" s="94"/>
      <c r="D901" s="94"/>
      <c r="E901" s="94"/>
      <c r="F901" s="249"/>
      <c r="G901" s="248"/>
      <c r="H901" s="94"/>
      <c r="I901" s="249"/>
      <c r="J901" s="94"/>
      <c r="K901" s="250"/>
      <c r="L901" s="250"/>
      <c r="M901" s="250"/>
      <c r="N901" s="250"/>
      <c r="O901" s="250"/>
      <c r="P901" s="250"/>
      <c r="Q901" s="249"/>
      <c r="R901" s="94"/>
      <c r="S901" s="94"/>
      <c r="T901" s="251"/>
      <c r="U901" s="94"/>
      <c r="V901" s="94"/>
      <c r="W901" s="94"/>
      <c r="X901" s="94"/>
      <c r="Y901" s="94"/>
      <c r="Z901" s="94"/>
      <c r="AA901" s="94"/>
    </row>
    <row r="902" spans="1:27" ht="15.75" customHeight="1">
      <c r="A902" s="94"/>
      <c r="B902" s="248"/>
      <c r="C902" s="94"/>
      <c r="D902" s="94"/>
      <c r="E902" s="94"/>
      <c r="F902" s="249"/>
      <c r="G902" s="248"/>
      <c r="H902" s="94"/>
      <c r="I902" s="249"/>
      <c r="J902" s="94"/>
      <c r="K902" s="250"/>
      <c r="L902" s="250"/>
      <c r="M902" s="250"/>
      <c r="N902" s="250"/>
      <c r="O902" s="250"/>
      <c r="P902" s="250"/>
      <c r="Q902" s="249"/>
      <c r="R902" s="94"/>
      <c r="S902" s="94"/>
      <c r="T902" s="251"/>
      <c r="U902" s="94"/>
      <c r="V902" s="94"/>
      <c r="W902" s="94"/>
      <c r="X902" s="94"/>
      <c r="Y902" s="94"/>
      <c r="Z902" s="94"/>
      <c r="AA902" s="94"/>
    </row>
    <row r="903" spans="1:27" ht="15.75" customHeight="1">
      <c r="A903" s="94"/>
      <c r="B903" s="248"/>
      <c r="C903" s="94"/>
      <c r="D903" s="94"/>
      <c r="E903" s="94"/>
      <c r="F903" s="249"/>
      <c r="G903" s="248"/>
      <c r="H903" s="94"/>
      <c r="I903" s="249"/>
      <c r="J903" s="94"/>
      <c r="K903" s="250"/>
      <c r="L903" s="250"/>
      <c r="M903" s="250"/>
      <c r="N903" s="250"/>
      <c r="O903" s="250"/>
      <c r="P903" s="250"/>
      <c r="Q903" s="249"/>
      <c r="R903" s="94"/>
      <c r="S903" s="94"/>
      <c r="T903" s="251"/>
      <c r="U903" s="94"/>
      <c r="V903" s="94"/>
      <c r="W903" s="94"/>
      <c r="X903" s="94"/>
      <c r="Y903" s="94"/>
      <c r="Z903" s="94"/>
      <c r="AA903" s="94"/>
    </row>
    <row r="904" spans="1:27" ht="15.75" customHeight="1">
      <c r="A904" s="94"/>
      <c r="B904" s="248"/>
      <c r="C904" s="94"/>
      <c r="D904" s="94"/>
      <c r="E904" s="94"/>
      <c r="F904" s="249"/>
      <c r="G904" s="248"/>
      <c r="H904" s="94"/>
      <c r="I904" s="249"/>
      <c r="J904" s="94"/>
      <c r="K904" s="250"/>
      <c r="L904" s="250"/>
      <c r="M904" s="250"/>
      <c r="N904" s="250"/>
      <c r="O904" s="250"/>
      <c r="P904" s="250"/>
      <c r="Q904" s="249"/>
      <c r="R904" s="94"/>
      <c r="S904" s="94"/>
      <c r="T904" s="251"/>
      <c r="U904" s="94"/>
      <c r="V904" s="94"/>
      <c r="W904" s="94"/>
      <c r="X904" s="94"/>
      <c r="Y904" s="94"/>
      <c r="Z904" s="94"/>
      <c r="AA904" s="94"/>
    </row>
    <row r="905" spans="1:27" ht="15.75" customHeight="1">
      <c r="A905" s="94"/>
      <c r="B905" s="248"/>
      <c r="C905" s="94"/>
      <c r="D905" s="94"/>
      <c r="E905" s="94"/>
      <c r="F905" s="249"/>
      <c r="G905" s="248"/>
      <c r="H905" s="94"/>
      <c r="I905" s="249"/>
      <c r="J905" s="94"/>
      <c r="K905" s="250"/>
      <c r="L905" s="250"/>
      <c r="M905" s="250"/>
      <c r="N905" s="250"/>
      <c r="O905" s="250"/>
      <c r="P905" s="250"/>
      <c r="Q905" s="249"/>
      <c r="R905" s="94"/>
      <c r="S905" s="94"/>
      <c r="T905" s="251"/>
      <c r="U905" s="94"/>
      <c r="V905" s="94"/>
      <c r="W905" s="94"/>
      <c r="X905" s="94"/>
      <c r="Y905" s="94"/>
      <c r="Z905" s="94"/>
      <c r="AA905" s="94"/>
    </row>
    <row r="906" spans="1:27" ht="15.75" customHeight="1">
      <c r="A906" s="94"/>
      <c r="B906" s="248"/>
      <c r="C906" s="94"/>
      <c r="D906" s="94"/>
      <c r="E906" s="94"/>
      <c r="F906" s="249"/>
      <c r="G906" s="248"/>
      <c r="H906" s="94"/>
      <c r="I906" s="249"/>
      <c r="J906" s="94"/>
      <c r="K906" s="250"/>
      <c r="L906" s="250"/>
      <c r="M906" s="250"/>
      <c r="N906" s="250"/>
      <c r="O906" s="250"/>
      <c r="P906" s="250"/>
      <c r="Q906" s="249"/>
      <c r="R906" s="94"/>
      <c r="S906" s="94"/>
      <c r="T906" s="251"/>
      <c r="U906" s="94"/>
      <c r="V906" s="94"/>
      <c r="W906" s="94"/>
      <c r="X906" s="94"/>
      <c r="Y906" s="94"/>
      <c r="Z906" s="94"/>
      <c r="AA906" s="94"/>
    </row>
    <row r="907" spans="1:27" ht="15.75" customHeight="1">
      <c r="A907" s="94"/>
      <c r="B907" s="248"/>
      <c r="C907" s="94"/>
      <c r="D907" s="94"/>
      <c r="E907" s="94"/>
      <c r="F907" s="249"/>
      <c r="G907" s="248"/>
      <c r="H907" s="94"/>
      <c r="I907" s="249"/>
      <c r="J907" s="94"/>
      <c r="K907" s="250"/>
      <c r="L907" s="250"/>
      <c r="M907" s="250"/>
      <c r="N907" s="250"/>
      <c r="O907" s="250"/>
      <c r="P907" s="250"/>
      <c r="Q907" s="249"/>
      <c r="R907" s="94"/>
      <c r="S907" s="94"/>
      <c r="T907" s="251"/>
      <c r="U907" s="94"/>
      <c r="V907" s="94"/>
      <c r="W907" s="94"/>
      <c r="X907" s="94"/>
      <c r="Y907" s="94"/>
      <c r="Z907" s="94"/>
      <c r="AA907" s="94"/>
    </row>
    <row r="908" spans="1:27" ht="15.75" customHeight="1">
      <c r="A908" s="94"/>
      <c r="B908" s="248"/>
      <c r="C908" s="94"/>
      <c r="D908" s="94"/>
      <c r="E908" s="94"/>
      <c r="F908" s="249"/>
      <c r="G908" s="248"/>
      <c r="H908" s="94"/>
      <c r="I908" s="249"/>
      <c r="J908" s="94"/>
      <c r="K908" s="250"/>
      <c r="L908" s="250"/>
      <c r="M908" s="250"/>
      <c r="N908" s="250"/>
      <c r="O908" s="250"/>
      <c r="P908" s="250"/>
      <c r="Q908" s="249"/>
      <c r="R908" s="94"/>
      <c r="S908" s="94"/>
      <c r="T908" s="251"/>
      <c r="U908" s="94"/>
      <c r="V908" s="94"/>
      <c r="W908" s="94"/>
      <c r="X908" s="94"/>
      <c r="Y908" s="94"/>
      <c r="Z908" s="94"/>
      <c r="AA908" s="94"/>
    </row>
    <row r="909" spans="1:27" ht="15.75" customHeight="1">
      <c r="A909" s="94"/>
      <c r="B909" s="248"/>
      <c r="C909" s="94"/>
      <c r="D909" s="94"/>
      <c r="E909" s="94"/>
      <c r="F909" s="249"/>
      <c r="G909" s="248"/>
      <c r="H909" s="94"/>
      <c r="I909" s="249"/>
      <c r="J909" s="94"/>
      <c r="K909" s="250"/>
      <c r="L909" s="250"/>
      <c r="M909" s="250"/>
      <c r="N909" s="250"/>
      <c r="O909" s="250"/>
      <c r="P909" s="250"/>
      <c r="Q909" s="249"/>
      <c r="R909" s="94"/>
      <c r="S909" s="94"/>
      <c r="T909" s="251"/>
      <c r="U909" s="94"/>
      <c r="V909" s="94"/>
      <c r="W909" s="94"/>
      <c r="X909" s="94"/>
      <c r="Y909" s="94"/>
      <c r="Z909" s="94"/>
      <c r="AA909" s="94"/>
    </row>
    <row r="910" spans="1:27" ht="15.75" customHeight="1">
      <c r="A910" s="94"/>
      <c r="B910" s="248"/>
      <c r="C910" s="94"/>
      <c r="D910" s="94"/>
      <c r="E910" s="94"/>
      <c r="F910" s="249"/>
      <c r="G910" s="248"/>
      <c r="H910" s="94"/>
      <c r="I910" s="249"/>
      <c r="J910" s="94"/>
      <c r="K910" s="250"/>
      <c r="L910" s="250"/>
      <c r="M910" s="250"/>
      <c r="N910" s="250"/>
      <c r="O910" s="250"/>
      <c r="P910" s="250"/>
      <c r="Q910" s="249"/>
      <c r="R910" s="94"/>
      <c r="S910" s="94"/>
      <c r="T910" s="251"/>
      <c r="U910" s="94"/>
      <c r="V910" s="94"/>
      <c r="W910" s="94"/>
      <c r="X910" s="94"/>
      <c r="Y910" s="94"/>
      <c r="Z910" s="94"/>
      <c r="AA910" s="94"/>
    </row>
    <row r="911" spans="1:27" ht="15.75" customHeight="1">
      <c r="A911" s="94"/>
      <c r="B911" s="248"/>
      <c r="C911" s="94"/>
      <c r="D911" s="94"/>
      <c r="E911" s="94"/>
      <c r="F911" s="249"/>
      <c r="G911" s="248"/>
      <c r="H911" s="94"/>
      <c r="I911" s="249"/>
      <c r="J911" s="94"/>
      <c r="K911" s="250"/>
      <c r="L911" s="250"/>
      <c r="M911" s="250"/>
      <c r="N911" s="250"/>
      <c r="O911" s="250"/>
      <c r="P911" s="250"/>
      <c r="Q911" s="249"/>
      <c r="R911" s="94"/>
      <c r="S911" s="94"/>
      <c r="T911" s="251"/>
      <c r="U911" s="94"/>
      <c r="V911" s="94"/>
      <c r="W911" s="94"/>
      <c r="X911" s="94"/>
      <c r="Y911" s="94"/>
      <c r="Z911" s="94"/>
      <c r="AA911" s="94"/>
    </row>
    <row r="912" spans="1:27" ht="15.75" customHeight="1">
      <c r="A912" s="94"/>
      <c r="B912" s="248"/>
      <c r="C912" s="94"/>
      <c r="D912" s="94"/>
      <c r="E912" s="94"/>
      <c r="F912" s="249"/>
      <c r="G912" s="248"/>
      <c r="H912" s="94"/>
      <c r="I912" s="249"/>
      <c r="J912" s="94"/>
      <c r="K912" s="250"/>
      <c r="L912" s="250"/>
      <c r="M912" s="250"/>
      <c r="N912" s="250"/>
      <c r="O912" s="250"/>
      <c r="P912" s="250"/>
      <c r="Q912" s="249"/>
      <c r="R912" s="94"/>
      <c r="S912" s="94"/>
      <c r="T912" s="251"/>
      <c r="U912" s="94"/>
      <c r="V912" s="94"/>
      <c r="W912" s="94"/>
      <c r="X912" s="94"/>
      <c r="Y912" s="94"/>
      <c r="Z912" s="94"/>
      <c r="AA912" s="94"/>
    </row>
    <row r="913" spans="1:27" ht="15.75" customHeight="1">
      <c r="A913" s="94"/>
      <c r="B913" s="248"/>
      <c r="C913" s="94"/>
      <c r="D913" s="94"/>
      <c r="E913" s="94"/>
      <c r="F913" s="249"/>
      <c r="G913" s="248"/>
      <c r="H913" s="94"/>
      <c r="I913" s="249"/>
      <c r="J913" s="94"/>
      <c r="K913" s="250"/>
      <c r="L913" s="250"/>
      <c r="M913" s="250"/>
      <c r="N913" s="250"/>
      <c r="O913" s="250"/>
      <c r="P913" s="250"/>
      <c r="Q913" s="249"/>
      <c r="R913" s="94"/>
      <c r="S913" s="94"/>
      <c r="T913" s="251"/>
      <c r="U913" s="94"/>
      <c r="V913" s="94"/>
      <c r="W913" s="94"/>
      <c r="X913" s="94"/>
      <c r="Y913" s="94"/>
      <c r="Z913" s="94"/>
      <c r="AA913" s="94"/>
    </row>
    <row r="914" spans="1:27" ht="15.75" customHeight="1">
      <c r="A914" s="94"/>
      <c r="B914" s="248"/>
      <c r="C914" s="94"/>
      <c r="D914" s="94"/>
      <c r="E914" s="94"/>
      <c r="F914" s="249"/>
      <c r="G914" s="248"/>
      <c r="H914" s="94"/>
      <c r="I914" s="249"/>
      <c r="J914" s="94"/>
      <c r="K914" s="250"/>
      <c r="L914" s="250"/>
      <c r="M914" s="250"/>
      <c r="N914" s="250"/>
      <c r="O914" s="250"/>
      <c r="P914" s="250"/>
      <c r="Q914" s="249"/>
      <c r="R914" s="94"/>
      <c r="S914" s="94"/>
      <c r="T914" s="251"/>
      <c r="U914" s="94"/>
      <c r="V914" s="94"/>
      <c r="W914" s="94"/>
      <c r="X914" s="94"/>
      <c r="Y914" s="94"/>
      <c r="Z914" s="94"/>
      <c r="AA914" s="94"/>
    </row>
    <row r="915" spans="1:27" ht="15.75" customHeight="1">
      <c r="A915" s="94"/>
      <c r="B915" s="248"/>
      <c r="C915" s="94"/>
      <c r="D915" s="94"/>
      <c r="E915" s="94"/>
      <c r="F915" s="249"/>
      <c r="G915" s="248"/>
      <c r="H915" s="94"/>
      <c r="I915" s="249"/>
      <c r="J915" s="94"/>
      <c r="K915" s="250"/>
      <c r="L915" s="250"/>
      <c r="M915" s="250"/>
      <c r="N915" s="250"/>
      <c r="O915" s="250"/>
      <c r="P915" s="250"/>
      <c r="Q915" s="249"/>
      <c r="R915" s="94"/>
      <c r="S915" s="94"/>
      <c r="T915" s="251"/>
      <c r="U915" s="94"/>
      <c r="V915" s="94"/>
      <c r="W915" s="94"/>
      <c r="X915" s="94"/>
      <c r="Y915" s="94"/>
      <c r="Z915" s="94"/>
      <c r="AA915" s="94"/>
    </row>
    <row r="916" spans="1:27" ht="15.75" customHeight="1">
      <c r="A916" s="94"/>
      <c r="B916" s="248"/>
      <c r="C916" s="94"/>
      <c r="D916" s="94"/>
      <c r="E916" s="94"/>
      <c r="F916" s="249"/>
      <c r="G916" s="248"/>
      <c r="H916" s="94"/>
      <c r="I916" s="249"/>
      <c r="J916" s="94"/>
      <c r="K916" s="250"/>
      <c r="L916" s="250"/>
      <c r="M916" s="250"/>
      <c r="N916" s="250"/>
      <c r="O916" s="250"/>
      <c r="P916" s="250"/>
      <c r="Q916" s="249"/>
      <c r="R916" s="94"/>
      <c r="S916" s="94"/>
      <c r="T916" s="251"/>
      <c r="U916" s="94"/>
      <c r="V916" s="94"/>
      <c r="W916" s="94"/>
      <c r="X916" s="94"/>
      <c r="Y916" s="94"/>
      <c r="Z916" s="94"/>
      <c r="AA916" s="94"/>
    </row>
    <row r="917" spans="1:27" ht="15.75" customHeight="1">
      <c r="A917" s="94"/>
      <c r="B917" s="248"/>
      <c r="C917" s="94"/>
      <c r="D917" s="94"/>
      <c r="E917" s="94"/>
      <c r="F917" s="249"/>
      <c r="G917" s="248"/>
      <c r="H917" s="94"/>
      <c r="I917" s="249"/>
      <c r="J917" s="94"/>
      <c r="K917" s="250"/>
      <c r="L917" s="250"/>
      <c r="M917" s="250"/>
      <c r="N917" s="250"/>
      <c r="O917" s="250"/>
      <c r="P917" s="250"/>
      <c r="Q917" s="249"/>
      <c r="R917" s="94"/>
      <c r="S917" s="94"/>
      <c r="T917" s="251"/>
      <c r="U917" s="94"/>
      <c r="V917" s="94"/>
      <c r="W917" s="94"/>
      <c r="X917" s="94"/>
      <c r="Y917" s="94"/>
      <c r="Z917" s="94"/>
      <c r="AA917" s="94"/>
    </row>
    <row r="918" spans="1:27" ht="15.75" customHeight="1">
      <c r="A918" s="94"/>
      <c r="B918" s="248"/>
      <c r="C918" s="94"/>
      <c r="D918" s="94"/>
      <c r="E918" s="94"/>
      <c r="F918" s="249"/>
      <c r="G918" s="248"/>
      <c r="H918" s="94"/>
      <c r="I918" s="249"/>
      <c r="J918" s="94"/>
      <c r="K918" s="250"/>
      <c r="L918" s="250"/>
      <c r="M918" s="250"/>
      <c r="N918" s="250"/>
      <c r="O918" s="250"/>
      <c r="P918" s="250"/>
      <c r="Q918" s="249"/>
      <c r="R918" s="94"/>
      <c r="S918" s="94"/>
      <c r="T918" s="251"/>
      <c r="U918" s="94"/>
      <c r="V918" s="94"/>
      <c r="W918" s="94"/>
      <c r="X918" s="94"/>
      <c r="Y918" s="94"/>
      <c r="Z918" s="94"/>
      <c r="AA918" s="94"/>
    </row>
    <row r="919" spans="1:27" ht="15.75" customHeight="1">
      <c r="A919" s="94"/>
      <c r="B919" s="248"/>
      <c r="C919" s="94"/>
      <c r="D919" s="94"/>
      <c r="E919" s="94"/>
      <c r="F919" s="249"/>
      <c r="G919" s="248"/>
      <c r="H919" s="94"/>
      <c r="I919" s="249"/>
      <c r="J919" s="94"/>
      <c r="K919" s="250"/>
      <c r="L919" s="250"/>
      <c r="M919" s="250"/>
      <c r="N919" s="250"/>
      <c r="O919" s="250"/>
      <c r="P919" s="250"/>
      <c r="Q919" s="249"/>
      <c r="R919" s="94"/>
      <c r="S919" s="94"/>
      <c r="T919" s="251"/>
      <c r="U919" s="94"/>
      <c r="V919" s="94"/>
      <c r="W919" s="94"/>
      <c r="X919" s="94"/>
      <c r="Y919" s="94"/>
      <c r="Z919" s="94"/>
      <c r="AA919" s="94"/>
    </row>
    <row r="920" spans="1:27" ht="15.75" customHeight="1">
      <c r="A920" s="94"/>
      <c r="B920" s="248"/>
      <c r="C920" s="94"/>
      <c r="D920" s="94"/>
      <c r="E920" s="94"/>
      <c r="F920" s="249"/>
      <c r="G920" s="248"/>
      <c r="H920" s="94"/>
      <c r="I920" s="249"/>
      <c r="J920" s="94"/>
      <c r="K920" s="250"/>
      <c r="L920" s="250"/>
      <c r="M920" s="250"/>
      <c r="N920" s="250"/>
      <c r="O920" s="250"/>
      <c r="P920" s="250"/>
      <c r="Q920" s="249"/>
      <c r="R920" s="94"/>
      <c r="S920" s="94"/>
      <c r="T920" s="251"/>
      <c r="U920" s="94"/>
      <c r="V920" s="94"/>
      <c r="W920" s="94"/>
      <c r="X920" s="94"/>
      <c r="Y920" s="94"/>
      <c r="Z920" s="94"/>
      <c r="AA920" s="94"/>
    </row>
    <row r="921" spans="1:27" ht="15.75" customHeight="1">
      <c r="A921" s="94"/>
      <c r="B921" s="248"/>
      <c r="C921" s="94"/>
      <c r="D921" s="94"/>
      <c r="E921" s="94"/>
      <c r="F921" s="249"/>
      <c r="G921" s="248"/>
      <c r="H921" s="94"/>
      <c r="I921" s="249"/>
      <c r="J921" s="94"/>
      <c r="K921" s="250"/>
      <c r="L921" s="250"/>
      <c r="M921" s="250"/>
      <c r="N921" s="250"/>
      <c r="O921" s="250"/>
      <c r="P921" s="250"/>
      <c r="Q921" s="249"/>
      <c r="R921" s="94"/>
      <c r="S921" s="94"/>
      <c r="T921" s="251"/>
      <c r="U921" s="94"/>
      <c r="V921" s="94"/>
      <c r="W921" s="94"/>
      <c r="X921" s="94"/>
      <c r="Y921" s="94"/>
      <c r="Z921" s="94"/>
      <c r="AA921" s="94"/>
    </row>
    <row r="922" spans="1:27" ht="15.75" customHeight="1">
      <c r="A922" s="94"/>
      <c r="B922" s="248"/>
      <c r="C922" s="94"/>
      <c r="D922" s="94"/>
      <c r="E922" s="94"/>
      <c r="F922" s="249"/>
      <c r="G922" s="248"/>
      <c r="H922" s="94"/>
      <c r="I922" s="249"/>
      <c r="J922" s="94"/>
      <c r="K922" s="250"/>
      <c r="L922" s="250"/>
      <c r="M922" s="250"/>
      <c r="N922" s="250"/>
      <c r="O922" s="250"/>
      <c r="P922" s="250"/>
      <c r="Q922" s="249"/>
      <c r="R922" s="94"/>
      <c r="S922" s="94"/>
      <c r="T922" s="251"/>
      <c r="U922" s="94"/>
      <c r="V922" s="94"/>
      <c r="W922" s="94"/>
      <c r="X922" s="94"/>
      <c r="Y922" s="94"/>
      <c r="Z922" s="94"/>
      <c r="AA922" s="94"/>
    </row>
    <row r="923" spans="1:27" ht="15.75" customHeight="1">
      <c r="A923" s="94"/>
      <c r="B923" s="248"/>
      <c r="C923" s="94"/>
      <c r="D923" s="94"/>
      <c r="E923" s="94"/>
      <c r="F923" s="249"/>
      <c r="G923" s="248"/>
      <c r="H923" s="94"/>
      <c r="I923" s="249"/>
      <c r="J923" s="94"/>
      <c r="K923" s="250"/>
      <c r="L923" s="250"/>
      <c r="M923" s="250"/>
      <c r="N923" s="250"/>
      <c r="O923" s="250"/>
      <c r="P923" s="250"/>
      <c r="Q923" s="249"/>
      <c r="R923" s="94"/>
      <c r="S923" s="94"/>
      <c r="T923" s="251"/>
      <c r="U923" s="94"/>
      <c r="V923" s="94"/>
      <c r="W923" s="94"/>
      <c r="X923" s="94"/>
      <c r="Y923" s="94"/>
      <c r="Z923" s="94"/>
      <c r="AA923" s="94"/>
    </row>
    <row r="924" spans="1:27" ht="15.75" customHeight="1">
      <c r="A924" s="94"/>
      <c r="B924" s="248"/>
      <c r="C924" s="94"/>
      <c r="D924" s="94"/>
      <c r="E924" s="94"/>
      <c r="F924" s="249"/>
      <c r="G924" s="248"/>
      <c r="H924" s="94"/>
      <c r="I924" s="249"/>
      <c r="J924" s="94"/>
      <c r="K924" s="250"/>
      <c r="L924" s="250"/>
      <c r="M924" s="250"/>
      <c r="N924" s="250"/>
      <c r="O924" s="250"/>
      <c r="P924" s="250"/>
      <c r="Q924" s="249"/>
      <c r="R924" s="94"/>
      <c r="S924" s="94"/>
      <c r="T924" s="251"/>
      <c r="U924" s="94"/>
      <c r="V924" s="94"/>
      <c r="W924" s="94"/>
      <c r="X924" s="94"/>
      <c r="Y924" s="94"/>
      <c r="Z924" s="94"/>
      <c r="AA924" s="94"/>
    </row>
    <row r="925" spans="1:27" ht="15.75" customHeight="1">
      <c r="A925" s="94"/>
      <c r="B925" s="248"/>
      <c r="C925" s="94"/>
      <c r="D925" s="94"/>
      <c r="E925" s="94"/>
      <c r="F925" s="249"/>
      <c r="G925" s="248"/>
      <c r="H925" s="94"/>
      <c r="I925" s="249"/>
      <c r="J925" s="94"/>
      <c r="K925" s="250"/>
      <c r="L925" s="250"/>
      <c r="M925" s="250"/>
      <c r="N925" s="250"/>
      <c r="O925" s="250"/>
      <c r="P925" s="250"/>
      <c r="Q925" s="249"/>
      <c r="R925" s="94"/>
      <c r="S925" s="94"/>
      <c r="T925" s="251"/>
      <c r="U925" s="94"/>
      <c r="V925" s="94"/>
      <c r="W925" s="94"/>
      <c r="X925" s="94"/>
      <c r="Y925" s="94"/>
      <c r="Z925" s="94"/>
      <c r="AA925" s="94"/>
    </row>
    <row r="926" spans="1:27" ht="15.75" customHeight="1">
      <c r="A926" s="94"/>
      <c r="B926" s="248"/>
      <c r="C926" s="94"/>
      <c r="D926" s="94"/>
      <c r="E926" s="94"/>
      <c r="F926" s="249"/>
      <c r="G926" s="248"/>
      <c r="H926" s="94"/>
      <c r="I926" s="249"/>
      <c r="J926" s="94"/>
      <c r="K926" s="250"/>
      <c r="L926" s="250"/>
      <c r="M926" s="250"/>
      <c r="N926" s="250"/>
      <c r="O926" s="250"/>
      <c r="P926" s="250"/>
      <c r="Q926" s="249"/>
      <c r="R926" s="94"/>
      <c r="S926" s="94"/>
      <c r="T926" s="251"/>
      <c r="U926" s="94"/>
      <c r="V926" s="94"/>
      <c r="W926" s="94"/>
      <c r="X926" s="94"/>
      <c r="Y926" s="94"/>
      <c r="Z926" s="94"/>
      <c r="AA926" s="94"/>
    </row>
    <row r="927" spans="1:27" ht="15.75" customHeight="1">
      <c r="A927" s="94"/>
      <c r="B927" s="248"/>
      <c r="C927" s="94"/>
      <c r="D927" s="94"/>
      <c r="E927" s="94"/>
      <c r="F927" s="249"/>
      <c r="G927" s="248"/>
      <c r="H927" s="94"/>
      <c r="I927" s="249"/>
      <c r="J927" s="94"/>
      <c r="K927" s="250"/>
      <c r="L927" s="250"/>
      <c r="M927" s="250"/>
      <c r="N927" s="250"/>
      <c r="O927" s="250"/>
      <c r="P927" s="250"/>
      <c r="Q927" s="249"/>
      <c r="R927" s="94"/>
      <c r="S927" s="94"/>
      <c r="T927" s="251"/>
      <c r="U927" s="94"/>
      <c r="V927" s="94"/>
      <c r="W927" s="94"/>
      <c r="X927" s="94"/>
      <c r="Y927" s="94"/>
      <c r="Z927" s="94"/>
      <c r="AA927" s="94"/>
    </row>
    <row r="928" spans="1:27" ht="15.75" customHeight="1">
      <c r="A928" s="94"/>
      <c r="B928" s="248"/>
      <c r="C928" s="94"/>
      <c r="D928" s="94"/>
      <c r="E928" s="94"/>
      <c r="F928" s="249"/>
      <c r="G928" s="248"/>
      <c r="H928" s="94"/>
      <c r="I928" s="249"/>
      <c r="J928" s="94"/>
      <c r="K928" s="250"/>
      <c r="L928" s="250"/>
      <c r="M928" s="250"/>
      <c r="N928" s="250"/>
      <c r="O928" s="250"/>
      <c r="P928" s="250"/>
      <c r="Q928" s="249"/>
      <c r="R928" s="94"/>
      <c r="S928" s="94"/>
      <c r="T928" s="251"/>
      <c r="U928" s="94"/>
      <c r="V928" s="94"/>
      <c r="W928" s="94"/>
      <c r="X928" s="94"/>
      <c r="Y928" s="94"/>
      <c r="Z928" s="94"/>
      <c r="AA928" s="94"/>
    </row>
    <row r="929" spans="1:27" ht="15.75" customHeight="1">
      <c r="A929" s="94"/>
      <c r="B929" s="248"/>
      <c r="C929" s="94"/>
      <c r="D929" s="94"/>
      <c r="E929" s="94"/>
      <c r="F929" s="249"/>
      <c r="G929" s="248"/>
      <c r="H929" s="94"/>
      <c r="I929" s="249"/>
      <c r="J929" s="94"/>
      <c r="K929" s="250"/>
      <c r="L929" s="250"/>
      <c r="M929" s="250"/>
      <c r="N929" s="250"/>
      <c r="O929" s="250"/>
      <c r="P929" s="250"/>
      <c r="Q929" s="249"/>
      <c r="R929" s="94"/>
      <c r="S929" s="94"/>
      <c r="T929" s="251"/>
      <c r="U929" s="94"/>
      <c r="V929" s="94"/>
      <c r="W929" s="94"/>
      <c r="X929" s="94"/>
      <c r="Y929" s="94"/>
      <c r="Z929" s="94"/>
      <c r="AA929" s="94"/>
    </row>
    <row r="930" spans="1:27" ht="15.75" customHeight="1">
      <c r="A930" s="94"/>
      <c r="B930" s="248"/>
      <c r="C930" s="94"/>
      <c r="D930" s="94"/>
      <c r="E930" s="94"/>
      <c r="F930" s="249"/>
      <c r="G930" s="248"/>
      <c r="H930" s="94"/>
      <c r="I930" s="249"/>
      <c r="J930" s="94"/>
      <c r="K930" s="250"/>
      <c r="L930" s="250"/>
      <c r="M930" s="250"/>
      <c r="N930" s="250"/>
      <c r="O930" s="250"/>
      <c r="P930" s="250"/>
      <c r="Q930" s="249"/>
      <c r="R930" s="94"/>
      <c r="S930" s="94"/>
      <c r="T930" s="251"/>
      <c r="U930" s="94"/>
      <c r="V930" s="94"/>
      <c r="W930" s="94"/>
      <c r="X930" s="94"/>
      <c r="Y930" s="94"/>
      <c r="Z930" s="94"/>
      <c r="AA930" s="94"/>
    </row>
    <row r="931" spans="1:27" ht="15.75" customHeight="1">
      <c r="A931" s="94"/>
      <c r="B931" s="248"/>
      <c r="C931" s="94"/>
      <c r="D931" s="94"/>
      <c r="E931" s="94"/>
      <c r="F931" s="249"/>
      <c r="G931" s="248"/>
      <c r="H931" s="94"/>
      <c r="I931" s="249"/>
      <c r="J931" s="94"/>
      <c r="K931" s="250"/>
      <c r="L931" s="250"/>
      <c r="M931" s="250"/>
      <c r="N931" s="250"/>
      <c r="O931" s="250"/>
      <c r="P931" s="250"/>
      <c r="Q931" s="249"/>
      <c r="R931" s="94"/>
      <c r="S931" s="94"/>
      <c r="T931" s="251"/>
      <c r="U931" s="94"/>
      <c r="V931" s="94"/>
      <c r="W931" s="94"/>
      <c r="X931" s="94"/>
      <c r="Y931" s="94"/>
      <c r="Z931" s="94"/>
      <c r="AA931" s="94"/>
    </row>
    <row r="932" spans="1:27" ht="15.75" customHeight="1">
      <c r="A932" s="94"/>
      <c r="B932" s="248"/>
      <c r="C932" s="94"/>
      <c r="D932" s="94"/>
      <c r="E932" s="94"/>
      <c r="F932" s="249"/>
      <c r="G932" s="248"/>
      <c r="H932" s="94"/>
      <c r="I932" s="249"/>
      <c r="J932" s="94"/>
      <c r="K932" s="250"/>
      <c r="L932" s="250"/>
      <c r="M932" s="250"/>
      <c r="N932" s="250"/>
      <c r="O932" s="250"/>
      <c r="P932" s="250"/>
      <c r="Q932" s="249"/>
      <c r="R932" s="94"/>
      <c r="S932" s="94"/>
      <c r="T932" s="251"/>
      <c r="U932" s="94"/>
      <c r="V932" s="94"/>
      <c r="W932" s="94"/>
      <c r="X932" s="94"/>
      <c r="Y932" s="94"/>
      <c r="Z932" s="94"/>
      <c r="AA932" s="94"/>
    </row>
    <row r="933" spans="1:27" ht="15.75" customHeight="1">
      <c r="A933" s="94"/>
      <c r="B933" s="248"/>
      <c r="C933" s="94"/>
      <c r="D933" s="94"/>
      <c r="E933" s="94"/>
      <c r="F933" s="249"/>
      <c r="G933" s="248"/>
      <c r="H933" s="94"/>
      <c r="I933" s="249"/>
      <c r="J933" s="94"/>
      <c r="K933" s="250"/>
      <c r="L933" s="250"/>
      <c r="M933" s="250"/>
      <c r="N933" s="250"/>
      <c r="O933" s="250"/>
      <c r="P933" s="250"/>
      <c r="Q933" s="249"/>
      <c r="R933" s="94"/>
      <c r="S933" s="94"/>
      <c r="T933" s="251"/>
      <c r="U933" s="94"/>
      <c r="V933" s="94"/>
      <c r="W933" s="94"/>
      <c r="X933" s="94"/>
      <c r="Y933" s="94"/>
      <c r="Z933" s="94"/>
      <c r="AA933" s="94"/>
    </row>
    <row r="934" spans="1:27" ht="15.75" customHeight="1">
      <c r="A934" s="94"/>
      <c r="B934" s="248"/>
      <c r="C934" s="94"/>
      <c r="D934" s="94"/>
      <c r="E934" s="94"/>
      <c r="F934" s="249"/>
      <c r="G934" s="248"/>
      <c r="H934" s="94"/>
      <c r="I934" s="249"/>
      <c r="J934" s="94"/>
      <c r="K934" s="250"/>
      <c r="L934" s="250"/>
      <c r="M934" s="250"/>
      <c r="N934" s="250"/>
      <c r="O934" s="250"/>
      <c r="P934" s="250"/>
      <c r="Q934" s="249"/>
      <c r="R934" s="94"/>
      <c r="S934" s="94"/>
      <c r="T934" s="251"/>
      <c r="U934" s="94"/>
      <c r="V934" s="94"/>
      <c r="W934" s="94"/>
      <c r="X934" s="94"/>
      <c r="Y934" s="94"/>
      <c r="Z934" s="94"/>
      <c r="AA934" s="94"/>
    </row>
    <row r="935" spans="1:27" ht="15.75" customHeight="1">
      <c r="A935" s="94"/>
      <c r="B935" s="248"/>
      <c r="C935" s="94"/>
      <c r="D935" s="94"/>
      <c r="E935" s="94"/>
      <c r="F935" s="249"/>
      <c r="G935" s="248"/>
      <c r="H935" s="94"/>
      <c r="I935" s="249"/>
      <c r="J935" s="94"/>
      <c r="K935" s="250"/>
      <c r="L935" s="250"/>
      <c r="M935" s="250"/>
      <c r="N935" s="250"/>
      <c r="O935" s="250"/>
      <c r="P935" s="250"/>
      <c r="Q935" s="249"/>
      <c r="R935" s="94"/>
      <c r="S935" s="94"/>
      <c r="T935" s="251"/>
      <c r="U935" s="94"/>
      <c r="V935" s="94"/>
      <c r="W935" s="94"/>
      <c r="X935" s="94"/>
      <c r="Y935" s="94"/>
      <c r="Z935" s="94"/>
      <c r="AA935" s="94"/>
    </row>
    <row r="936" spans="1:27" ht="15.75" customHeight="1">
      <c r="A936" s="94"/>
      <c r="B936" s="248"/>
      <c r="C936" s="94"/>
      <c r="D936" s="94"/>
      <c r="E936" s="94"/>
      <c r="F936" s="249"/>
      <c r="G936" s="248"/>
      <c r="H936" s="94"/>
      <c r="I936" s="249"/>
      <c r="J936" s="94"/>
      <c r="K936" s="250"/>
      <c r="L936" s="250"/>
      <c r="M936" s="250"/>
      <c r="N936" s="250"/>
      <c r="O936" s="250"/>
      <c r="P936" s="250"/>
      <c r="Q936" s="249"/>
      <c r="R936" s="94"/>
      <c r="S936" s="94"/>
      <c r="T936" s="251"/>
      <c r="U936" s="94"/>
      <c r="V936" s="94"/>
      <c r="W936" s="94"/>
      <c r="X936" s="94"/>
      <c r="Y936" s="94"/>
      <c r="Z936" s="94"/>
      <c r="AA936" s="94"/>
    </row>
    <row r="937" spans="1:27" ht="15.75" customHeight="1">
      <c r="A937" s="94"/>
      <c r="B937" s="248"/>
      <c r="C937" s="94"/>
      <c r="D937" s="94"/>
      <c r="E937" s="94"/>
      <c r="F937" s="249"/>
      <c r="G937" s="248"/>
      <c r="H937" s="94"/>
      <c r="I937" s="249"/>
      <c r="J937" s="94"/>
      <c r="K937" s="250"/>
      <c r="L937" s="250"/>
      <c r="M937" s="250"/>
      <c r="N937" s="250"/>
      <c r="O937" s="250"/>
      <c r="P937" s="250"/>
      <c r="Q937" s="249"/>
      <c r="R937" s="94"/>
      <c r="S937" s="94"/>
      <c r="T937" s="251"/>
      <c r="U937" s="94"/>
      <c r="V937" s="94"/>
      <c r="W937" s="94"/>
      <c r="X937" s="94"/>
      <c r="Y937" s="94"/>
      <c r="Z937" s="94"/>
      <c r="AA937" s="94"/>
    </row>
    <row r="938" spans="1:27" ht="15.75" customHeight="1">
      <c r="A938" s="94"/>
      <c r="B938" s="248"/>
      <c r="C938" s="94"/>
      <c r="D938" s="94"/>
      <c r="E938" s="94"/>
      <c r="F938" s="249"/>
      <c r="G938" s="248"/>
      <c r="H938" s="94"/>
      <c r="I938" s="249"/>
      <c r="J938" s="94"/>
      <c r="K938" s="250"/>
      <c r="L938" s="250"/>
      <c r="M938" s="250"/>
      <c r="N938" s="250"/>
      <c r="O938" s="250"/>
      <c r="P938" s="250"/>
      <c r="Q938" s="249"/>
      <c r="R938" s="94"/>
      <c r="S938" s="94"/>
      <c r="T938" s="251"/>
      <c r="U938" s="94"/>
      <c r="V938" s="94"/>
      <c r="W938" s="94"/>
      <c r="X938" s="94"/>
      <c r="Y938" s="94"/>
      <c r="Z938" s="94"/>
      <c r="AA938" s="94"/>
    </row>
    <row r="939" spans="1:27" ht="15.75" customHeight="1">
      <c r="A939" s="94"/>
      <c r="B939" s="248"/>
      <c r="C939" s="94"/>
      <c r="D939" s="94"/>
      <c r="E939" s="94"/>
      <c r="F939" s="249"/>
      <c r="G939" s="248"/>
      <c r="H939" s="94"/>
      <c r="I939" s="249"/>
      <c r="J939" s="94"/>
      <c r="K939" s="250"/>
      <c r="L939" s="250"/>
      <c r="M939" s="250"/>
      <c r="N939" s="250"/>
      <c r="O939" s="250"/>
      <c r="P939" s="250"/>
      <c r="Q939" s="249"/>
      <c r="R939" s="94"/>
      <c r="S939" s="94"/>
      <c r="T939" s="251"/>
      <c r="U939" s="94"/>
      <c r="V939" s="94"/>
      <c r="W939" s="94"/>
      <c r="X939" s="94"/>
      <c r="Y939" s="94"/>
      <c r="Z939" s="94"/>
      <c r="AA939" s="94"/>
    </row>
    <row r="940" spans="1:27" ht="15.75" customHeight="1">
      <c r="A940" s="94"/>
      <c r="B940" s="248"/>
      <c r="C940" s="94"/>
      <c r="D940" s="94"/>
      <c r="E940" s="94"/>
      <c r="F940" s="249"/>
      <c r="G940" s="248"/>
      <c r="H940" s="94"/>
      <c r="I940" s="249"/>
      <c r="J940" s="94"/>
      <c r="K940" s="250"/>
      <c r="L940" s="250"/>
      <c r="M940" s="250"/>
      <c r="N940" s="250"/>
      <c r="O940" s="250"/>
      <c r="P940" s="250"/>
      <c r="Q940" s="249"/>
      <c r="R940" s="94"/>
      <c r="S940" s="94"/>
      <c r="T940" s="251"/>
      <c r="U940" s="94"/>
      <c r="V940" s="94"/>
      <c r="W940" s="94"/>
      <c r="X940" s="94"/>
      <c r="Y940" s="94"/>
      <c r="Z940" s="94"/>
      <c r="AA940" s="94"/>
    </row>
    <row r="941" spans="1:27" ht="15.75" customHeight="1">
      <c r="A941" s="94"/>
      <c r="B941" s="248"/>
      <c r="C941" s="94"/>
      <c r="D941" s="94"/>
      <c r="E941" s="94"/>
      <c r="F941" s="249"/>
      <c r="G941" s="248"/>
      <c r="H941" s="94"/>
      <c r="I941" s="249"/>
      <c r="J941" s="94"/>
      <c r="K941" s="250"/>
      <c r="L941" s="250"/>
      <c r="M941" s="250"/>
      <c r="N941" s="250"/>
      <c r="O941" s="250"/>
      <c r="P941" s="250"/>
      <c r="Q941" s="249"/>
      <c r="R941" s="94"/>
      <c r="S941" s="94"/>
      <c r="T941" s="251"/>
      <c r="U941" s="94"/>
      <c r="V941" s="94"/>
      <c r="W941" s="94"/>
      <c r="X941" s="94"/>
      <c r="Y941" s="94"/>
      <c r="Z941" s="94"/>
      <c r="AA941" s="94"/>
    </row>
    <row r="942" spans="1:27" ht="15.75" customHeight="1">
      <c r="A942" s="94"/>
      <c r="B942" s="248"/>
      <c r="C942" s="94"/>
      <c r="D942" s="94"/>
      <c r="E942" s="94"/>
      <c r="F942" s="249"/>
      <c r="G942" s="248"/>
      <c r="H942" s="94"/>
      <c r="I942" s="249"/>
      <c r="J942" s="94"/>
      <c r="K942" s="250"/>
      <c r="L942" s="250"/>
      <c r="M942" s="250"/>
      <c r="N942" s="250"/>
      <c r="O942" s="250"/>
      <c r="P942" s="250"/>
      <c r="Q942" s="249"/>
      <c r="R942" s="94"/>
      <c r="S942" s="94"/>
      <c r="T942" s="251"/>
      <c r="U942" s="94"/>
      <c r="V942" s="94"/>
      <c r="W942" s="94"/>
      <c r="X942" s="94"/>
      <c r="Y942" s="94"/>
      <c r="Z942" s="94"/>
      <c r="AA942" s="94"/>
    </row>
    <row r="943" spans="1:27" ht="15.75" customHeight="1">
      <c r="A943" s="94"/>
      <c r="B943" s="248"/>
      <c r="C943" s="94"/>
      <c r="D943" s="94"/>
      <c r="E943" s="94"/>
      <c r="F943" s="249"/>
      <c r="G943" s="248"/>
      <c r="H943" s="94"/>
      <c r="I943" s="249"/>
      <c r="J943" s="94"/>
      <c r="K943" s="250"/>
      <c r="L943" s="250"/>
      <c r="M943" s="250"/>
      <c r="N943" s="250"/>
      <c r="O943" s="250"/>
      <c r="P943" s="250"/>
      <c r="Q943" s="249"/>
      <c r="R943" s="94"/>
      <c r="S943" s="94"/>
      <c r="T943" s="251"/>
      <c r="U943" s="94"/>
      <c r="V943" s="94"/>
      <c r="W943" s="94"/>
      <c r="X943" s="94"/>
      <c r="Y943" s="94"/>
      <c r="Z943" s="94"/>
      <c r="AA943" s="94"/>
    </row>
    <row r="944" spans="1:27" ht="15.75" customHeight="1">
      <c r="A944" s="94"/>
      <c r="B944" s="248"/>
      <c r="C944" s="94"/>
      <c r="D944" s="94"/>
      <c r="E944" s="94"/>
      <c r="F944" s="249"/>
      <c r="G944" s="248"/>
      <c r="H944" s="94"/>
      <c r="I944" s="249"/>
      <c r="J944" s="94"/>
      <c r="K944" s="250"/>
      <c r="L944" s="250"/>
      <c r="M944" s="250"/>
      <c r="N944" s="250"/>
      <c r="O944" s="250"/>
      <c r="P944" s="250"/>
      <c r="Q944" s="249"/>
      <c r="R944" s="94"/>
      <c r="S944" s="94"/>
      <c r="T944" s="251"/>
      <c r="U944" s="94"/>
      <c r="V944" s="94"/>
      <c r="W944" s="94"/>
      <c r="X944" s="94"/>
      <c r="Y944" s="94"/>
      <c r="Z944" s="94"/>
      <c r="AA944" s="94"/>
    </row>
    <row r="945" spans="1:27" ht="15.75" customHeight="1">
      <c r="A945" s="94"/>
      <c r="B945" s="248"/>
      <c r="C945" s="94"/>
      <c r="D945" s="94"/>
      <c r="E945" s="94"/>
      <c r="F945" s="249"/>
      <c r="G945" s="248"/>
      <c r="H945" s="94"/>
      <c r="I945" s="249"/>
      <c r="J945" s="94"/>
      <c r="K945" s="250"/>
      <c r="L945" s="250"/>
      <c r="M945" s="250"/>
      <c r="N945" s="250"/>
      <c r="O945" s="250"/>
      <c r="P945" s="250"/>
      <c r="Q945" s="249"/>
      <c r="R945" s="94"/>
      <c r="S945" s="94"/>
      <c r="T945" s="251"/>
      <c r="U945" s="94"/>
      <c r="V945" s="94"/>
      <c r="W945" s="94"/>
      <c r="X945" s="94"/>
      <c r="Y945" s="94"/>
      <c r="Z945" s="94"/>
      <c r="AA945" s="94"/>
    </row>
    <row r="946" spans="1:27" ht="15.75" customHeight="1">
      <c r="A946" s="94"/>
      <c r="B946" s="248"/>
      <c r="C946" s="94"/>
      <c r="D946" s="94"/>
      <c r="E946" s="94"/>
      <c r="F946" s="249"/>
      <c r="G946" s="248"/>
      <c r="H946" s="94"/>
      <c r="I946" s="249"/>
      <c r="J946" s="94"/>
      <c r="K946" s="250"/>
      <c r="L946" s="250"/>
      <c r="M946" s="250"/>
      <c r="N946" s="250"/>
      <c r="O946" s="250"/>
      <c r="P946" s="250"/>
      <c r="Q946" s="249"/>
      <c r="R946" s="94"/>
      <c r="S946" s="94"/>
      <c r="T946" s="251"/>
      <c r="U946" s="94"/>
      <c r="V946" s="94"/>
      <c r="W946" s="94"/>
      <c r="X946" s="94"/>
      <c r="Y946" s="94"/>
      <c r="Z946" s="94"/>
      <c r="AA946" s="94"/>
    </row>
    <row r="947" spans="1:27" ht="15.75" customHeight="1">
      <c r="A947" s="94"/>
      <c r="B947" s="248"/>
      <c r="C947" s="94"/>
      <c r="D947" s="94"/>
      <c r="E947" s="94"/>
      <c r="F947" s="249"/>
      <c r="G947" s="248"/>
      <c r="H947" s="94"/>
      <c r="I947" s="249"/>
      <c r="J947" s="94"/>
      <c r="K947" s="250"/>
      <c r="L947" s="250"/>
      <c r="M947" s="250"/>
      <c r="N947" s="250"/>
      <c r="O947" s="250"/>
      <c r="P947" s="250"/>
      <c r="Q947" s="249"/>
      <c r="R947" s="94"/>
      <c r="S947" s="94"/>
      <c r="T947" s="251"/>
      <c r="U947" s="94"/>
      <c r="V947" s="94"/>
      <c r="W947" s="94"/>
      <c r="X947" s="94"/>
      <c r="Y947" s="94"/>
      <c r="Z947" s="94"/>
      <c r="AA947" s="94"/>
    </row>
    <row r="948" spans="1:27" ht="15.75" customHeight="1">
      <c r="A948" s="94"/>
      <c r="B948" s="248"/>
      <c r="C948" s="94"/>
      <c r="D948" s="94"/>
      <c r="E948" s="94"/>
      <c r="F948" s="249"/>
      <c r="G948" s="248"/>
      <c r="H948" s="94"/>
      <c r="I948" s="249"/>
      <c r="J948" s="94"/>
      <c r="K948" s="250"/>
      <c r="L948" s="250"/>
      <c r="M948" s="250"/>
      <c r="N948" s="250"/>
      <c r="O948" s="250"/>
      <c r="P948" s="250"/>
      <c r="Q948" s="249"/>
      <c r="R948" s="94"/>
      <c r="S948" s="94"/>
      <c r="T948" s="251"/>
      <c r="U948" s="94"/>
      <c r="V948" s="94"/>
      <c r="W948" s="94"/>
      <c r="X948" s="94"/>
      <c r="Y948" s="94"/>
      <c r="Z948" s="94"/>
      <c r="AA948" s="94"/>
    </row>
    <row r="949" spans="1:27" ht="15.75" customHeight="1">
      <c r="A949" s="94"/>
      <c r="B949" s="248"/>
      <c r="C949" s="94"/>
      <c r="D949" s="94"/>
      <c r="E949" s="94"/>
      <c r="F949" s="249"/>
      <c r="G949" s="248"/>
      <c r="H949" s="94"/>
      <c r="I949" s="249"/>
      <c r="J949" s="94"/>
      <c r="K949" s="250"/>
      <c r="L949" s="250"/>
      <c r="M949" s="250"/>
      <c r="N949" s="250"/>
      <c r="O949" s="250"/>
      <c r="P949" s="250"/>
      <c r="Q949" s="249"/>
      <c r="R949" s="94"/>
      <c r="S949" s="94"/>
      <c r="T949" s="251"/>
      <c r="U949" s="94"/>
      <c r="V949" s="94"/>
      <c r="W949" s="94"/>
      <c r="X949" s="94"/>
      <c r="Y949" s="94"/>
      <c r="Z949" s="94"/>
      <c r="AA949" s="94"/>
    </row>
    <row r="950" spans="1:27" ht="15.75" customHeight="1">
      <c r="A950" s="94"/>
      <c r="B950" s="248"/>
      <c r="C950" s="94"/>
      <c r="D950" s="94"/>
      <c r="E950" s="94"/>
      <c r="F950" s="249"/>
      <c r="G950" s="248"/>
      <c r="H950" s="94"/>
      <c r="I950" s="249"/>
      <c r="J950" s="94"/>
      <c r="K950" s="250"/>
      <c r="L950" s="250"/>
      <c r="M950" s="250"/>
      <c r="N950" s="250"/>
      <c r="O950" s="250"/>
      <c r="P950" s="250"/>
      <c r="Q950" s="249"/>
      <c r="R950" s="94"/>
      <c r="S950" s="94"/>
      <c r="T950" s="251"/>
      <c r="U950" s="94"/>
      <c r="V950" s="94"/>
      <c r="W950" s="94"/>
      <c r="X950" s="94"/>
      <c r="Y950" s="94"/>
      <c r="Z950" s="94"/>
      <c r="AA950" s="94"/>
    </row>
    <row r="951" spans="1:27" ht="15.75" customHeight="1">
      <c r="A951" s="94"/>
      <c r="B951" s="248"/>
      <c r="C951" s="94"/>
      <c r="D951" s="94"/>
      <c r="E951" s="94"/>
      <c r="F951" s="249"/>
      <c r="G951" s="248"/>
      <c r="H951" s="94"/>
      <c r="I951" s="249"/>
      <c r="J951" s="94"/>
      <c r="K951" s="250"/>
      <c r="L951" s="250"/>
      <c r="M951" s="250"/>
      <c r="N951" s="250"/>
      <c r="O951" s="250"/>
      <c r="P951" s="250"/>
      <c r="Q951" s="249"/>
      <c r="R951" s="94"/>
      <c r="S951" s="94"/>
      <c r="T951" s="251"/>
      <c r="U951" s="94"/>
      <c r="V951" s="94"/>
      <c r="W951" s="94"/>
      <c r="X951" s="94"/>
      <c r="Y951" s="94"/>
      <c r="Z951" s="94"/>
      <c r="AA951" s="94"/>
    </row>
    <row r="952" spans="1:27" ht="15.75" customHeight="1">
      <c r="A952" s="94"/>
      <c r="B952" s="248"/>
      <c r="C952" s="94"/>
      <c r="D952" s="94"/>
      <c r="E952" s="94"/>
      <c r="F952" s="249"/>
      <c r="G952" s="248"/>
      <c r="H952" s="94"/>
      <c r="I952" s="249"/>
      <c r="J952" s="94"/>
      <c r="K952" s="250"/>
      <c r="L952" s="250"/>
      <c r="M952" s="250"/>
      <c r="N952" s="250"/>
      <c r="O952" s="250"/>
      <c r="P952" s="250"/>
      <c r="Q952" s="249"/>
      <c r="R952" s="94"/>
      <c r="S952" s="94"/>
      <c r="T952" s="251"/>
      <c r="U952" s="94"/>
      <c r="V952" s="94"/>
      <c r="W952" s="94"/>
      <c r="X952" s="94"/>
      <c r="Y952" s="94"/>
      <c r="Z952" s="94"/>
      <c r="AA952" s="94"/>
    </row>
    <row r="953" spans="1:27" ht="15.75" customHeight="1">
      <c r="A953" s="94"/>
      <c r="B953" s="248"/>
      <c r="C953" s="94"/>
      <c r="D953" s="94"/>
      <c r="E953" s="94"/>
      <c r="F953" s="249"/>
      <c r="G953" s="248"/>
      <c r="H953" s="94"/>
      <c r="I953" s="249"/>
      <c r="J953" s="94"/>
      <c r="K953" s="250"/>
      <c r="L953" s="250"/>
      <c r="M953" s="250"/>
      <c r="N953" s="250"/>
      <c r="O953" s="250"/>
      <c r="P953" s="250"/>
      <c r="Q953" s="249"/>
      <c r="R953" s="94"/>
      <c r="S953" s="94"/>
      <c r="T953" s="251"/>
      <c r="U953" s="94"/>
      <c r="V953" s="94"/>
      <c r="W953" s="94"/>
      <c r="X953" s="94"/>
      <c r="Y953" s="94"/>
      <c r="Z953" s="94"/>
      <c r="AA953" s="94"/>
    </row>
    <row r="954" spans="1:27" ht="15.75" customHeight="1">
      <c r="A954" s="94"/>
      <c r="B954" s="248"/>
      <c r="C954" s="94"/>
      <c r="D954" s="94"/>
      <c r="E954" s="94"/>
      <c r="F954" s="249"/>
      <c r="G954" s="248"/>
      <c r="H954" s="94"/>
      <c r="I954" s="249"/>
      <c r="J954" s="94"/>
      <c r="K954" s="250"/>
      <c r="L954" s="250"/>
      <c r="M954" s="250"/>
      <c r="N954" s="250"/>
      <c r="O954" s="250"/>
      <c r="P954" s="250"/>
      <c r="Q954" s="249"/>
      <c r="R954" s="94"/>
      <c r="S954" s="94"/>
      <c r="T954" s="251"/>
      <c r="U954" s="94"/>
      <c r="V954" s="94"/>
      <c r="W954" s="94"/>
      <c r="X954" s="94"/>
      <c r="Y954" s="94"/>
      <c r="Z954" s="94"/>
      <c r="AA954" s="94"/>
    </row>
    <row r="955" spans="1:27" ht="15.75" customHeight="1">
      <c r="A955" s="94"/>
      <c r="B955" s="248"/>
      <c r="C955" s="94"/>
      <c r="D955" s="94"/>
      <c r="E955" s="94"/>
      <c r="F955" s="249"/>
      <c r="G955" s="248"/>
      <c r="H955" s="94"/>
      <c r="I955" s="249"/>
      <c r="J955" s="94"/>
      <c r="K955" s="250"/>
      <c r="L955" s="250"/>
      <c r="M955" s="250"/>
      <c r="N955" s="250"/>
      <c r="O955" s="250"/>
      <c r="P955" s="250"/>
      <c r="Q955" s="249"/>
      <c r="R955" s="94"/>
      <c r="S955" s="94"/>
      <c r="T955" s="251"/>
      <c r="U955" s="94"/>
      <c r="V955" s="94"/>
      <c r="W955" s="94"/>
      <c r="X955" s="94"/>
      <c r="Y955" s="94"/>
      <c r="Z955" s="94"/>
      <c r="AA955" s="94"/>
    </row>
    <row r="956" spans="1:27" ht="15.75" customHeight="1">
      <c r="A956" s="94"/>
      <c r="B956" s="248"/>
      <c r="C956" s="94"/>
      <c r="D956" s="94"/>
      <c r="E956" s="94"/>
      <c r="F956" s="249"/>
      <c r="G956" s="248"/>
      <c r="H956" s="94"/>
      <c r="I956" s="249"/>
      <c r="J956" s="94"/>
      <c r="K956" s="250"/>
      <c r="L956" s="250"/>
      <c r="M956" s="250"/>
      <c r="N956" s="250"/>
      <c r="O956" s="250"/>
      <c r="P956" s="250"/>
      <c r="Q956" s="249"/>
      <c r="R956" s="94"/>
      <c r="S956" s="94"/>
      <c r="T956" s="251"/>
      <c r="U956" s="94"/>
      <c r="V956" s="94"/>
      <c r="W956" s="94"/>
      <c r="X956" s="94"/>
      <c r="Y956" s="94"/>
      <c r="Z956" s="94"/>
      <c r="AA956" s="94"/>
    </row>
    <row r="957" spans="1:27" ht="15.75" customHeight="1">
      <c r="A957" s="94"/>
      <c r="B957" s="248"/>
      <c r="C957" s="94"/>
      <c r="D957" s="94"/>
      <c r="E957" s="94"/>
      <c r="F957" s="249"/>
      <c r="G957" s="248"/>
      <c r="H957" s="94"/>
      <c r="I957" s="249"/>
      <c r="J957" s="94"/>
      <c r="K957" s="250"/>
      <c r="L957" s="250"/>
      <c r="M957" s="250"/>
      <c r="N957" s="250"/>
      <c r="O957" s="250"/>
      <c r="P957" s="250"/>
      <c r="Q957" s="249"/>
      <c r="R957" s="94"/>
      <c r="S957" s="94"/>
      <c r="T957" s="251"/>
      <c r="U957" s="94"/>
      <c r="V957" s="94"/>
      <c r="W957" s="94"/>
      <c r="X957" s="94"/>
      <c r="Y957" s="94"/>
      <c r="Z957" s="94"/>
      <c r="AA957" s="94"/>
    </row>
    <row r="958" spans="1:27" ht="15.75" customHeight="1">
      <c r="A958" s="94"/>
      <c r="B958" s="248"/>
      <c r="C958" s="94"/>
      <c r="D958" s="94"/>
      <c r="E958" s="94"/>
      <c r="F958" s="249"/>
      <c r="G958" s="248"/>
      <c r="H958" s="94"/>
      <c r="I958" s="249"/>
      <c r="J958" s="94"/>
      <c r="K958" s="250"/>
      <c r="L958" s="250"/>
      <c r="M958" s="250"/>
      <c r="N958" s="250"/>
      <c r="O958" s="250"/>
      <c r="P958" s="250"/>
      <c r="Q958" s="249"/>
      <c r="R958" s="94"/>
      <c r="S958" s="94"/>
      <c r="T958" s="251"/>
      <c r="U958" s="94"/>
      <c r="V958" s="94"/>
      <c r="W958" s="94"/>
      <c r="X958" s="94"/>
      <c r="Y958" s="94"/>
      <c r="Z958" s="94"/>
      <c r="AA958" s="94"/>
    </row>
    <row r="959" spans="1:27" ht="15.75" customHeight="1">
      <c r="A959" s="94"/>
      <c r="B959" s="248"/>
      <c r="C959" s="94"/>
      <c r="D959" s="94"/>
      <c r="E959" s="94"/>
      <c r="F959" s="249"/>
      <c r="G959" s="248"/>
      <c r="H959" s="94"/>
      <c r="I959" s="249"/>
      <c r="J959" s="94"/>
      <c r="K959" s="250"/>
      <c r="L959" s="250"/>
      <c r="M959" s="250"/>
      <c r="N959" s="250"/>
      <c r="O959" s="250"/>
      <c r="P959" s="250"/>
      <c r="Q959" s="249"/>
      <c r="R959" s="94"/>
      <c r="S959" s="94"/>
      <c r="T959" s="251"/>
      <c r="U959" s="94"/>
      <c r="V959" s="94"/>
      <c r="W959" s="94"/>
      <c r="X959" s="94"/>
      <c r="Y959" s="94"/>
      <c r="Z959" s="94"/>
      <c r="AA959" s="94"/>
    </row>
    <row r="960" spans="1:27" ht="15.75" customHeight="1">
      <c r="A960" s="94"/>
      <c r="B960" s="248"/>
      <c r="C960" s="94"/>
      <c r="D960" s="94"/>
      <c r="E960" s="94"/>
      <c r="F960" s="249"/>
      <c r="G960" s="248"/>
      <c r="H960" s="94"/>
      <c r="I960" s="249"/>
      <c r="J960" s="94"/>
      <c r="K960" s="250"/>
      <c r="L960" s="250"/>
      <c r="M960" s="250"/>
      <c r="N960" s="250"/>
      <c r="O960" s="250"/>
      <c r="P960" s="250"/>
      <c r="Q960" s="249"/>
      <c r="R960" s="94"/>
      <c r="S960" s="94"/>
      <c r="T960" s="251"/>
      <c r="U960" s="94"/>
      <c r="V960" s="94"/>
      <c r="W960" s="94"/>
      <c r="X960" s="94"/>
      <c r="Y960" s="94"/>
      <c r="Z960" s="94"/>
      <c r="AA960" s="94"/>
    </row>
    <row r="961" spans="1:27" ht="15.75" customHeight="1">
      <c r="A961" s="94"/>
      <c r="B961" s="248"/>
      <c r="C961" s="94"/>
      <c r="D961" s="94"/>
      <c r="E961" s="94"/>
      <c r="F961" s="249"/>
      <c r="G961" s="248"/>
      <c r="H961" s="94"/>
      <c r="I961" s="249"/>
      <c r="J961" s="94"/>
      <c r="K961" s="250"/>
      <c r="L961" s="250"/>
      <c r="M961" s="250"/>
      <c r="N961" s="250"/>
      <c r="O961" s="250"/>
      <c r="P961" s="250"/>
      <c r="Q961" s="249"/>
      <c r="R961" s="94"/>
      <c r="S961" s="94"/>
      <c r="T961" s="251"/>
      <c r="U961" s="94"/>
      <c r="V961" s="94"/>
      <c r="W961" s="94"/>
      <c r="X961" s="94"/>
      <c r="Y961" s="94"/>
      <c r="Z961" s="94"/>
      <c r="AA961" s="94"/>
    </row>
    <row r="962" spans="1:27" ht="15.75" customHeight="1">
      <c r="A962" s="94"/>
      <c r="B962" s="248"/>
      <c r="C962" s="94"/>
      <c r="D962" s="94"/>
      <c r="E962" s="94"/>
      <c r="F962" s="249"/>
      <c r="G962" s="248"/>
      <c r="H962" s="94"/>
      <c r="I962" s="249"/>
      <c r="J962" s="94"/>
      <c r="K962" s="250"/>
      <c r="L962" s="250"/>
      <c r="M962" s="250"/>
      <c r="N962" s="250"/>
      <c r="O962" s="250"/>
      <c r="P962" s="250"/>
      <c r="Q962" s="249"/>
      <c r="R962" s="94"/>
      <c r="S962" s="94"/>
      <c r="T962" s="251"/>
      <c r="U962" s="94"/>
      <c r="V962" s="94"/>
      <c r="W962" s="94"/>
      <c r="X962" s="94"/>
      <c r="Y962" s="94"/>
      <c r="Z962" s="94"/>
      <c r="AA962" s="94"/>
    </row>
    <row r="963" spans="1:27" ht="15.75" customHeight="1">
      <c r="A963" s="94"/>
      <c r="B963" s="248"/>
      <c r="C963" s="94"/>
      <c r="D963" s="94"/>
      <c r="E963" s="94"/>
      <c r="F963" s="249"/>
      <c r="G963" s="248"/>
      <c r="H963" s="94"/>
      <c r="I963" s="249"/>
      <c r="J963" s="94"/>
      <c r="K963" s="250"/>
      <c r="L963" s="250"/>
      <c r="M963" s="250"/>
      <c r="N963" s="250"/>
      <c r="O963" s="250"/>
      <c r="P963" s="250"/>
      <c r="Q963" s="249"/>
      <c r="R963" s="94"/>
      <c r="S963" s="94"/>
      <c r="T963" s="251"/>
      <c r="U963" s="94"/>
      <c r="V963" s="94"/>
      <c r="W963" s="94"/>
      <c r="X963" s="94"/>
      <c r="Y963" s="94"/>
      <c r="Z963" s="94"/>
      <c r="AA963" s="94"/>
    </row>
    <row r="964" spans="1:27" ht="15.75" customHeight="1">
      <c r="A964" s="94"/>
      <c r="B964" s="248"/>
      <c r="C964" s="94"/>
      <c r="D964" s="94"/>
      <c r="E964" s="94"/>
      <c r="F964" s="249"/>
      <c r="G964" s="248"/>
      <c r="H964" s="94"/>
      <c r="I964" s="249"/>
      <c r="J964" s="94"/>
      <c r="K964" s="250"/>
      <c r="L964" s="250"/>
      <c r="M964" s="250"/>
      <c r="N964" s="250"/>
      <c r="O964" s="250"/>
      <c r="P964" s="250"/>
      <c r="Q964" s="249"/>
      <c r="R964" s="94"/>
      <c r="S964" s="94"/>
      <c r="T964" s="251"/>
      <c r="U964" s="94"/>
      <c r="V964" s="94"/>
      <c r="W964" s="94"/>
      <c r="X964" s="94"/>
      <c r="Y964" s="94"/>
      <c r="Z964" s="94"/>
      <c r="AA964" s="94"/>
    </row>
    <row r="965" spans="1:27" ht="15.75" customHeight="1">
      <c r="A965" s="94"/>
      <c r="B965" s="248"/>
      <c r="C965" s="94"/>
      <c r="D965" s="94"/>
      <c r="E965" s="94"/>
      <c r="F965" s="249"/>
      <c r="G965" s="248"/>
      <c r="H965" s="94"/>
      <c r="I965" s="249"/>
      <c r="J965" s="94"/>
      <c r="K965" s="250"/>
      <c r="L965" s="250"/>
      <c r="M965" s="250"/>
      <c r="N965" s="250"/>
      <c r="O965" s="250"/>
      <c r="P965" s="250"/>
      <c r="Q965" s="249"/>
      <c r="R965" s="94"/>
      <c r="S965" s="94"/>
      <c r="T965" s="251"/>
      <c r="U965" s="94"/>
      <c r="V965" s="94"/>
      <c r="W965" s="94"/>
      <c r="X965" s="94"/>
      <c r="Y965" s="94"/>
      <c r="Z965" s="94"/>
      <c r="AA965" s="94"/>
    </row>
    <row r="966" spans="1:27" ht="15.75" customHeight="1">
      <c r="A966" s="94"/>
      <c r="B966" s="248"/>
      <c r="C966" s="94"/>
      <c r="D966" s="94"/>
      <c r="E966" s="94"/>
      <c r="F966" s="249"/>
      <c r="G966" s="248"/>
      <c r="H966" s="94"/>
      <c r="I966" s="249"/>
      <c r="J966" s="94"/>
      <c r="K966" s="250"/>
      <c r="L966" s="250"/>
      <c r="M966" s="250"/>
      <c r="N966" s="250"/>
      <c r="O966" s="250"/>
      <c r="P966" s="250"/>
      <c r="Q966" s="249"/>
      <c r="R966" s="94"/>
      <c r="S966" s="94"/>
      <c r="T966" s="251"/>
      <c r="U966" s="94"/>
      <c r="V966" s="94"/>
      <c r="W966" s="94"/>
      <c r="X966" s="94"/>
      <c r="Y966" s="94"/>
      <c r="Z966" s="94"/>
      <c r="AA966" s="94"/>
    </row>
    <row r="967" spans="1:27" ht="15.75" customHeight="1">
      <c r="A967" s="94"/>
      <c r="B967" s="248"/>
      <c r="C967" s="94"/>
      <c r="D967" s="94"/>
      <c r="E967" s="94"/>
      <c r="F967" s="249"/>
      <c r="G967" s="248"/>
      <c r="H967" s="94"/>
      <c r="I967" s="249"/>
      <c r="J967" s="94"/>
      <c r="K967" s="250"/>
      <c r="L967" s="250"/>
      <c r="M967" s="250"/>
      <c r="N967" s="250"/>
      <c r="O967" s="250"/>
      <c r="P967" s="250"/>
      <c r="Q967" s="249"/>
      <c r="R967" s="94"/>
      <c r="S967" s="94"/>
      <c r="T967" s="251"/>
      <c r="U967" s="94"/>
      <c r="V967" s="94"/>
      <c r="W967" s="94"/>
      <c r="X967" s="94"/>
      <c r="Y967" s="94"/>
      <c r="Z967" s="94"/>
      <c r="AA967" s="94"/>
    </row>
    <row r="968" spans="1:27" ht="15.75" customHeight="1">
      <c r="A968" s="94"/>
      <c r="B968" s="248"/>
      <c r="C968" s="94"/>
      <c r="D968" s="94"/>
      <c r="E968" s="94"/>
      <c r="F968" s="249"/>
      <c r="G968" s="248"/>
      <c r="H968" s="94"/>
      <c r="I968" s="249"/>
      <c r="J968" s="94"/>
      <c r="K968" s="250"/>
      <c r="L968" s="250"/>
      <c r="M968" s="250"/>
      <c r="N968" s="250"/>
      <c r="O968" s="250"/>
      <c r="P968" s="250"/>
      <c r="Q968" s="249"/>
      <c r="R968" s="94"/>
      <c r="S968" s="94"/>
      <c r="T968" s="251"/>
      <c r="U968" s="94"/>
      <c r="V968" s="94"/>
      <c r="W968" s="94"/>
      <c r="X968" s="94"/>
      <c r="Y968" s="94"/>
      <c r="Z968" s="94"/>
      <c r="AA968" s="94"/>
    </row>
    <row r="969" spans="1:27" ht="15.75" customHeight="1">
      <c r="A969" s="94"/>
      <c r="B969" s="248"/>
      <c r="C969" s="94"/>
      <c r="D969" s="94"/>
      <c r="E969" s="94"/>
      <c r="F969" s="249"/>
      <c r="G969" s="248"/>
      <c r="H969" s="94"/>
      <c r="I969" s="249"/>
      <c r="J969" s="94"/>
      <c r="K969" s="250"/>
      <c r="L969" s="250"/>
      <c r="M969" s="250"/>
      <c r="N969" s="250"/>
      <c r="O969" s="250"/>
      <c r="P969" s="250"/>
      <c r="Q969" s="249"/>
      <c r="R969" s="94"/>
      <c r="S969" s="94"/>
      <c r="T969" s="251"/>
      <c r="U969" s="94"/>
      <c r="V969" s="94"/>
      <c r="W969" s="94"/>
      <c r="X969" s="94"/>
      <c r="Y969" s="94"/>
      <c r="Z969" s="94"/>
      <c r="AA969" s="94"/>
    </row>
    <row r="970" spans="1:27" ht="15.75" customHeight="1">
      <c r="A970" s="94"/>
      <c r="B970" s="248"/>
      <c r="C970" s="94"/>
      <c r="D970" s="94"/>
      <c r="E970" s="94"/>
      <c r="F970" s="249"/>
      <c r="G970" s="248"/>
      <c r="H970" s="94"/>
      <c r="I970" s="249"/>
      <c r="J970" s="94"/>
      <c r="K970" s="250"/>
      <c r="L970" s="250"/>
      <c r="M970" s="250"/>
      <c r="N970" s="250"/>
      <c r="O970" s="250"/>
      <c r="P970" s="250"/>
      <c r="Q970" s="249"/>
      <c r="R970" s="94"/>
      <c r="S970" s="94"/>
      <c r="T970" s="251"/>
      <c r="U970" s="94"/>
      <c r="V970" s="94"/>
      <c r="W970" s="94"/>
      <c r="X970" s="94"/>
      <c r="Y970" s="94"/>
      <c r="Z970" s="94"/>
      <c r="AA970" s="94"/>
    </row>
    <row r="971" spans="1:27" ht="15.75" customHeight="1">
      <c r="A971" s="94"/>
      <c r="B971" s="248"/>
      <c r="C971" s="94"/>
      <c r="D971" s="94"/>
      <c r="E971" s="94"/>
      <c r="F971" s="249"/>
      <c r="G971" s="248"/>
      <c r="H971" s="94"/>
      <c r="I971" s="249"/>
      <c r="J971" s="94"/>
      <c r="K971" s="250"/>
      <c r="L971" s="250"/>
      <c r="M971" s="250"/>
      <c r="N971" s="250"/>
      <c r="O971" s="250"/>
      <c r="P971" s="250"/>
      <c r="Q971" s="249"/>
      <c r="R971" s="94"/>
      <c r="S971" s="94"/>
      <c r="T971" s="251"/>
      <c r="U971" s="94"/>
      <c r="V971" s="94"/>
      <c r="W971" s="94"/>
      <c r="X971" s="94"/>
      <c r="Y971" s="94"/>
      <c r="Z971" s="94"/>
      <c r="AA971" s="94"/>
    </row>
    <row r="972" spans="1:27" ht="15.75" customHeight="1">
      <c r="A972" s="94"/>
      <c r="B972" s="248"/>
      <c r="C972" s="94"/>
      <c r="D972" s="94"/>
      <c r="E972" s="94"/>
      <c r="F972" s="249"/>
      <c r="G972" s="248"/>
      <c r="H972" s="94"/>
      <c r="I972" s="249"/>
      <c r="J972" s="94"/>
      <c r="K972" s="250"/>
      <c r="L972" s="250"/>
      <c r="M972" s="250"/>
      <c r="N972" s="250"/>
      <c r="O972" s="250"/>
      <c r="P972" s="250"/>
      <c r="Q972" s="249"/>
      <c r="R972" s="94"/>
      <c r="S972" s="94"/>
      <c r="T972" s="251"/>
      <c r="U972" s="94"/>
      <c r="V972" s="94"/>
      <c r="W972" s="94"/>
      <c r="X972" s="94"/>
      <c r="Y972" s="94"/>
      <c r="Z972" s="94"/>
      <c r="AA972" s="94"/>
    </row>
    <row r="973" spans="1:27" ht="15.75" customHeight="1">
      <c r="A973" s="94"/>
      <c r="B973" s="248"/>
      <c r="C973" s="94"/>
      <c r="D973" s="94"/>
      <c r="E973" s="94"/>
      <c r="F973" s="249"/>
      <c r="G973" s="248"/>
      <c r="H973" s="94"/>
      <c r="I973" s="249"/>
      <c r="J973" s="94"/>
      <c r="K973" s="250"/>
      <c r="L973" s="250"/>
      <c r="M973" s="250"/>
      <c r="N973" s="250"/>
      <c r="O973" s="250"/>
      <c r="P973" s="250"/>
      <c r="Q973" s="249"/>
      <c r="R973" s="94"/>
      <c r="S973" s="94"/>
      <c r="T973" s="251"/>
      <c r="U973" s="94"/>
      <c r="V973" s="94"/>
      <c r="W973" s="94"/>
      <c r="X973" s="94"/>
      <c r="Y973" s="94"/>
      <c r="Z973" s="94"/>
      <c r="AA973" s="94"/>
    </row>
    <row r="974" spans="1:27" ht="15.75" customHeight="1">
      <c r="A974" s="94"/>
      <c r="B974" s="248"/>
      <c r="C974" s="94"/>
      <c r="D974" s="94"/>
      <c r="E974" s="94"/>
      <c r="F974" s="249"/>
      <c r="G974" s="248"/>
      <c r="H974" s="94"/>
      <c r="I974" s="249"/>
      <c r="J974" s="94"/>
      <c r="K974" s="250"/>
      <c r="L974" s="250"/>
      <c r="M974" s="250"/>
      <c r="N974" s="250"/>
      <c r="O974" s="250"/>
      <c r="P974" s="250"/>
      <c r="Q974" s="249"/>
      <c r="R974" s="94"/>
      <c r="S974" s="94"/>
      <c r="T974" s="251"/>
      <c r="U974" s="94"/>
      <c r="V974" s="94"/>
      <c r="W974" s="94"/>
      <c r="X974" s="94"/>
      <c r="Y974" s="94"/>
      <c r="Z974" s="94"/>
      <c r="AA974" s="94"/>
    </row>
    <row r="975" spans="1:27" ht="15.75" customHeight="1">
      <c r="A975" s="94"/>
      <c r="B975" s="248"/>
      <c r="C975" s="94"/>
      <c r="D975" s="94"/>
      <c r="E975" s="94"/>
      <c r="F975" s="249"/>
      <c r="G975" s="248"/>
      <c r="H975" s="94"/>
      <c r="I975" s="249"/>
      <c r="J975" s="94"/>
      <c r="K975" s="250"/>
      <c r="L975" s="250"/>
      <c r="M975" s="250"/>
      <c r="N975" s="250"/>
      <c r="O975" s="250"/>
      <c r="P975" s="250"/>
      <c r="Q975" s="249"/>
      <c r="R975" s="94"/>
      <c r="S975" s="94"/>
      <c r="T975" s="251"/>
      <c r="U975" s="94"/>
      <c r="V975" s="94"/>
      <c r="W975" s="94"/>
      <c r="X975" s="94"/>
      <c r="Y975" s="94"/>
      <c r="Z975" s="94"/>
      <c r="AA975" s="94"/>
    </row>
    <row r="976" spans="1:27" ht="15.75" customHeight="1">
      <c r="A976" s="94"/>
      <c r="B976" s="248"/>
      <c r="C976" s="94"/>
      <c r="D976" s="94"/>
      <c r="E976" s="94"/>
      <c r="F976" s="249"/>
      <c r="G976" s="248"/>
      <c r="H976" s="94"/>
      <c r="I976" s="249"/>
      <c r="J976" s="94"/>
      <c r="K976" s="250"/>
      <c r="L976" s="250"/>
      <c r="M976" s="250"/>
      <c r="N976" s="250"/>
      <c r="O976" s="250"/>
      <c r="P976" s="250"/>
      <c r="Q976" s="249"/>
      <c r="R976" s="94"/>
      <c r="S976" s="94"/>
      <c r="T976" s="251"/>
      <c r="U976" s="94"/>
      <c r="V976" s="94"/>
      <c r="W976" s="94"/>
      <c r="X976" s="94"/>
      <c r="Y976" s="94"/>
      <c r="Z976" s="94"/>
      <c r="AA976" s="94"/>
    </row>
    <row r="977" spans="1:27" ht="15.75" customHeight="1">
      <c r="A977" s="94"/>
      <c r="B977" s="248"/>
      <c r="C977" s="94"/>
      <c r="D977" s="94"/>
      <c r="E977" s="94"/>
      <c r="F977" s="249"/>
      <c r="G977" s="248"/>
      <c r="H977" s="94"/>
      <c r="I977" s="249"/>
      <c r="J977" s="94"/>
      <c r="K977" s="250"/>
      <c r="L977" s="250"/>
      <c r="M977" s="250"/>
      <c r="N977" s="250"/>
      <c r="O977" s="250"/>
      <c r="P977" s="250"/>
      <c r="Q977" s="249"/>
      <c r="R977" s="94"/>
      <c r="S977" s="94"/>
      <c r="T977" s="251"/>
      <c r="U977" s="94"/>
      <c r="V977" s="94"/>
      <c r="W977" s="94"/>
      <c r="X977" s="94"/>
      <c r="Y977" s="94"/>
      <c r="Z977" s="94"/>
      <c r="AA977" s="94"/>
    </row>
    <row r="978" spans="1:27" ht="15.75" customHeight="1">
      <c r="A978" s="94"/>
      <c r="B978" s="248"/>
      <c r="C978" s="94"/>
      <c r="D978" s="94"/>
      <c r="E978" s="94"/>
      <c r="F978" s="249"/>
      <c r="G978" s="248"/>
      <c r="H978" s="94"/>
      <c r="I978" s="249"/>
      <c r="J978" s="94"/>
      <c r="K978" s="250"/>
      <c r="L978" s="250"/>
      <c r="M978" s="250"/>
      <c r="N978" s="250"/>
      <c r="O978" s="250"/>
      <c r="P978" s="250"/>
      <c r="Q978" s="249"/>
      <c r="R978" s="94"/>
      <c r="S978" s="94"/>
      <c r="T978" s="251"/>
      <c r="U978" s="94"/>
      <c r="V978" s="94"/>
      <c r="W978" s="94"/>
      <c r="X978" s="94"/>
      <c r="Y978" s="94"/>
      <c r="Z978" s="94"/>
      <c r="AA978" s="94"/>
    </row>
    <row r="979" spans="1:27" ht="15.75" customHeight="1">
      <c r="A979" s="94"/>
      <c r="B979" s="248"/>
      <c r="C979" s="94"/>
      <c r="D979" s="94"/>
      <c r="E979" s="94"/>
      <c r="F979" s="249"/>
      <c r="G979" s="248"/>
      <c r="H979" s="94"/>
      <c r="I979" s="249"/>
      <c r="J979" s="94"/>
      <c r="K979" s="250"/>
      <c r="L979" s="250"/>
      <c r="M979" s="250"/>
      <c r="N979" s="250"/>
      <c r="O979" s="250"/>
      <c r="P979" s="250"/>
      <c r="Q979" s="249"/>
      <c r="R979" s="94"/>
      <c r="S979" s="94"/>
      <c r="T979" s="251"/>
      <c r="U979" s="94"/>
      <c r="V979" s="94"/>
      <c r="W979" s="94"/>
      <c r="X979" s="94"/>
      <c r="Y979" s="94"/>
      <c r="Z979" s="94"/>
      <c r="AA979" s="94"/>
    </row>
    <row r="980" spans="1:27" ht="15.75" customHeight="1">
      <c r="A980" s="94"/>
      <c r="B980" s="248"/>
      <c r="C980" s="94"/>
      <c r="D980" s="94"/>
      <c r="E980" s="94"/>
      <c r="F980" s="249"/>
      <c r="G980" s="248"/>
      <c r="H980" s="94"/>
      <c r="I980" s="249"/>
      <c r="J980" s="94"/>
      <c r="K980" s="250"/>
      <c r="L980" s="250"/>
      <c r="M980" s="250"/>
      <c r="N980" s="250"/>
      <c r="O980" s="250"/>
      <c r="P980" s="250"/>
      <c r="Q980" s="249"/>
      <c r="R980" s="94"/>
      <c r="S980" s="94"/>
      <c r="T980" s="251"/>
      <c r="U980" s="94"/>
      <c r="V980" s="94"/>
      <c r="W980" s="94"/>
      <c r="X980" s="94"/>
      <c r="Y980" s="94"/>
      <c r="Z980" s="94"/>
      <c r="AA980" s="94"/>
    </row>
    <row r="981" spans="1:27" ht="15.75" customHeight="1">
      <c r="A981" s="94"/>
      <c r="B981" s="248"/>
      <c r="C981" s="94"/>
      <c r="D981" s="94"/>
      <c r="E981" s="94"/>
      <c r="F981" s="249"/>
      <c r="G981" s="248"/>
      <c r="H981" s="94"/>
      <c r="I981" s="249"/>
      <c r="J981" s="94"/>
      <c r="K981" s="250"/>
      <c r="L981" s="250"/>
      <c r="M981" s="250"/>
      <c r="N981" s="250"/>
      <c r="O981" s="250"/>
      <c r="P981" s="250"/>
      <c r="Q981" s="249"/>
      <c r="R981" s="94"/>
      <c r="S981" s="94"/>
      <c r="T981" s="251"/>
      <c r="U981" s="94"/>
      <c r="V981" s="94"/>
      <c r="W981" s="94"/>
      <c r="X981" s="94"/>
      <c r="Y981" s="94"/>
      <c r="Z981" s="94"/>
      <c r="AA981" s="94"/>
    </row>
    <row r="982" spans="1:27" ht="15.75" customHeight="1">
      <c r="A982" s="94"/>
      <c r="B982" s="248"/>
      <c r="C982" s="94"/>
      <c r="D982" s="94"/>
      <c r="E982" s="94"/>
      <c r="F982" s="249"/>
      <c r="G982" s="248"/>
      <c r="H982" s="94"/>
      <c r="I982" s="249"/>
      <c r="J982" s="94"/>
      <c r="K982" s="250"/>
      <c r="L982" s="250"/>
      <c r="M982" s="250"/>
      <c r="N982" s="250"/>
      <c r="O982" s="250"/>
      <c r="P982" s="250"/>
      <c r="Q982" s="249"/>
      <c r="R982" s="94"/>
      <c r="S982" s="94"/>
      <c r="T982" s="251"/>
      <c r="U982" s="94"/>
      <c r="V982" s="94"/>
      <c r="W982" s="94"/>
      <c r="X982" s="94"/>
      <c r="Y982" s="94"/>
      <c r="Z982" s="94"/>
      <c r="AA982" s="94"/>
    </row>
    <row r="983" spans="1:27" ht="15.75" customHeight="1">
      <c r="A983" s="94"/>
      <c r="B983" s="248"/>
      <c r="C983" s="94"/>
      <c r="D983" s="94"/>
      <c r="E983" s="94"/>
      <c r="F983" s="249"/>
      <c r="G983" s="248"/>
      <c r="H983" s="94"/>
      <c r="I983" s="249"/>
      <c r="J983" s="94"/>
      <c r="K983" s="250"/>
      <c r="L983" s="250"/>
      <c r="M983" s="250"/>
      <c r="N983" s="250"/>
      <c r="O983" s="250"/>
      <c r="P983" s="250"/>
      <c r="Q983" s="249"/>
      <c r="R983" s="94"/>
      <c r="S983" s="94"/>
      <c r="T983" s="251"/>
      <c r="U983" s="94"/>
      <c r="V983" s="94"/>
      <c r="W983" s="94"/>
      <c r="X983" s="94"/>
      <c r="Y983" s="94"/>
      <c r="Z983" s="94"/>
      <c r="AA983" s="94"/>
    </row>
    <row r="984" spans="1:27" ht="15.75" customHeight="1">
      <c r="A984" s="94"/>
      <c r="B984" s="248"/>
      <c r="C984" s="94"/>
      <c r="D984" s="94"/>
      <c r="E984" s="94"/>
      <c r="F984" s="249"/>
      <c r="G984" s="248"/>
      <c r="H984" s="94"/>
      <c r="I984" s="249"/>
      <c r="J984" s="94"/>
      <c r="K984" s="250"/>
      <c r="L984" s="250"/>
      <c r="M984" s="250"/>
      <c r="N984" s="250"/>
      <c r="O984" s="250"/>
      <c r="P984" s="250"/>
      <c r="Q984" s="249"/>
      <c r="R984" s="94"/>
      <c r="S984" s="94"/>
      <c r="T984" s="251"/>
      <c r="U984" s="94"/>
      <c r="V984" s="94"/>
      <c r="W984" s="94"/>
      <c r="X984" s="94"/>
      <c r="Y984" s="94"/>
      <c r="Z984" s="94"/>
      <c r="AA984" s="94"/>
    </row>
    <row r="985" spans="1:27" ht="15.75" customHeight="1">
      <c r="A985" s="94"/>
      <c r="B985" s="248"/>
      <c r="C985" s="94"/>
      <c r="D985" s="94"/>
      <c r="E985" s="94"/>
      <c r="F985" s="249"/>
      <c r="G985" s="248"/>
      <c r="H985" s="94"/>
      <c r="I985" s="249"/>
      <c r="J985" s="94"/>
      <c r="K985" s="250"/>
      <c r="L985" s="250"/>
      <c r="M985" s="250"/>
      <c r="N985" s="250"/>
      <c r="O985" s="250"/>
      <c r="P985" s="250"/>
      <c r="Q985" s="249"/>
      <c r="R985" s="94"/>
      <c r="S985" s="94"/>
      <c r="T985" s="251"/>
      <c r="U985" s="94"/>
      <c r="V985" s="94"/>
      <c r="W985" s="94"/>
      <c r="X985" s="94"/>
      <c r="Y985" s="94"/>
      <c r="Z985" s="94"/>
      <c r="AA985" s="94"/>
    </row>
    <row r="986" spans="1:27" ht="15.75" customHeight="1">
      <c r="A986" s="94"/>
      <c r="B986" s="248"/>
      <c r="C986" s="94"/>
      <c r="D986" s="94"/>
      <c r="E986" s="94"/>
      <c r="F986" s="249"/>
      <c r="G986" s="248"/>
      <c r="H986" s="94"/>
      <c r="I986" s="249"/>
      <c r="J986" s="94"/>
      <c r="K986" s="250"/>
      <c r="L986" s="250"/>
      <c r="M986" s="250"/>
      <c r="N986" s="250"/>
      <c r="O986" s="250"/>
      <c r="P986" s="250"/>
      <c r="Q986" s="249"/>
      <c r="R986" s="94"/>
      <c r="S986" s="94"/>
      <c r="T986" s="251"/>
      <c r="U986" s="94"/>
      <c r="V986" s="94"/>
      <c r="W986" s="94"/>
      <c r="X986" s="94"/>
      <c r="Y986" s="94"/>
      <c r="Z986" s="94"/>
      <c r="AA986" s="94"/>
    </row>
    <row r="987" spans="1:27" ht="15.75" customHeight="1">
      <c r="A987" s="94"/>
      <c r="B987" s="248"/>
      <c r="C987" s="94"/>
      <c r="D987" s="94"/>
      <c r="E987" s="94"/>
      <c r="F987" s="249"/>
      <c r="G987" s="248"/>
      <c r="H987" s="94"/>
      <c r="I987" s="249"/>
      <c r="J987" s="94"/>
      <c r="K987" s="250"/>
      <c r="L987" s="250"/>
      <c r="M987" s="250"/>
      <c r="N987" s="250"/>
      <c r="O987" s="250"/>
      <c r="P987" s="250"/>
      <c r="Q987" s="249"/>
      <c r="R987" s="94"/>
      <c r="S987" s="94"/>
      <c r="T987" s="251"/>
      <c r="U987" s="94"/>
      <c r="V987" s="94"/>
      <c r="W987" s="94"/>
      <c r="X987" s="94"/>
      <c r="Y987" s="94"/>
      <c r="Z987" s="94"/>
      <c r="AA987" s="94"/>
    </row>
    <row r="988" spans="1:27" ht="15.75" customHeight="1">
      <c r="A988" s="94"/>
      <c r="B988" s="248"/>
      <c r="C988" s="94"/>
      <c r="D988" s="94"/>
      <c r="E988" s="94"/>
      <c r="F988" s="249"/>
      <c r="G988" s="248"/>
      <c r="H988" s="94"/>
      <c r="I988" s="249"/>
      <c r="J988" s="94"/>
      <c r="K988" s="250"/>
      <c r="L988" s="250"/>
      <c r="M988" s="250"/>
      <c r="N988" s="250"/>
      <c r="O988" s="250"/>
      <c r="P988" s="250"/>
      <c r="Q988" s="249"/>
      <c r="R988" s="94"/>
      <c r="S988" s="94"/>
      <c r="T988" s="251"/>
      <c r="U988" s="94"/>
      <c r="V988" s="94"/>
      <c r="W988" s="94"/>
      <c r="X988" s="94"/>
      <c r="Y988" s="94"/>
      <c r="Z988" s="94"/>
      <c r="AA988" s="94"/>
    </row>
    <row r="989" spans="1:27" ht="15.75" customHeight="1">
      <c r="A989" s="94"/>
      <c r="B989" s="248"/>
      <c r="C989" s="94"/>
      <c r="D989" s="94"/>
      <c r="E989" s="94"/>
      <c r="F989" s="249"/>
      <c r="G989" s="248"/>
      <c r="H989" s="94"/>
      <c r="I989" s="249"/>
      <c r="J989" s="94"/>
      <c r="K989" s="250"/>
      <c r="L989" s="250"/>
      <c r="M989" s="250"/>
      <c r="N989" s="250"/>
      <c r="O989" s="250"/>
      <c r="P989" s="250"/>
      <c r="Q989" s="249"/>
      <c r="R989" s="94"/>
      <c r="S989" s="94"/>
      <c r="T989" s="251"/>
      <c r="U989" s="94"/>
      <c r="V989" s="94"/>
      <c r="W989" s="94"/>
      <c r="X989" s="94"/>
      <c r="Y989" s="94"/>
      <c r="Z989" s="94"/>
      <c r="AA989" s="94"/>
    </row>
    <row r="990" spans="1:27" ht="15.75" customHeight="1">
      <c r="A990" s="94"/>
      <c r="B990" s="248"/>
      <c r="C990" s="94"/>
      <c r="D990" s="94"/>
      <c r="E990" s="94"/>
      <c r="F990" s="249"/>
      <c r="G990" s="248"/>
      <c r="H990" s="94"/>
      <c r="I990" s="249"/>
      <c r="J990" s="94"/>
      <c r="K990" s="250"/>
      <c r="L990" s="250"/>
      <c r="M990" s="250"/>
      <c r="N990" s="250"/>
      <c r="O990" s="250"/>
      <c r="P990" s="250"/>
      <c r="Q990" s="249"/>
      <c r="R990" s="94"/>
      <c r="S990" s="94"/>
      <c r="T990" s="251"/>
      <c r="U990" s="94"/>
      <c r="V990" s="94"/>
      <c r="W990" s="94"/>
      <c r="X990" s="94"/>
      <c r="Y990" s="94"/>
      <c r="Z990" s="94"/>
      <c r="AA990" s="94"/>
    </row>
    <row r="991" spans="1:27" ht="15.75" customHeight="1">
      <c r="A991" s="94"/>
      <c r="B991" s="248"/>
      <c r="C991" s="94"/>
      <c r="D991" s="94"/>
      <c r="E991" s="94"/>
      <c r="F991" s="249"/>
      <c r="G991" s="248"/>
      <c r="H991" s="94"/>
      <c r="I991" s="249"/>
      <c r="J991" s="94"/>
      <c r="K991" s="250"/>
      <c r="L991" s="250"/>
      <c r="M991" s="250"/>
      <c r="N991" s="250"/>
      <c r="O991" s="250"/>
      <c r="P991" s="250"/>
      <c r="Q991" s="249"/>
      <c r="R991" s="94"/>
      <c r="S991" s="94"/>
      <c r="T991" s="251"/>
      <c r="U991" s="94"/>
      <c r="V991" s="94"/>
      <c r="W991" s="94"/>
      <c r="X991" s="94"/>
      <c r="Y991" s="94"/>
      <c r="Z991" s="94"/>
      <c r="AA991" s="94"/>
    </row>
    <row r="992" spans="1:27" ht="15.75" customHeight="1">
      <c r="A992" s="94"/>
      <c r="B992" s="248"/>
      <c r="C992" s="94"/>
      <c r="D992" s="94"/>
      <c r="E992" s="94"/>
      <c r="F992" s="249"/>
      <c r="G992" s="248"/>
      <c r="H992" s="94"/>
      <c r="I992" s="249"/>
      <c r="J992" s="94"/>
      <c r="K992" s="250"/>
      <c r="L992" s="250"/>
      <c r="M992" s="250"/>
      <c r="N992" s="250"/>
      <c r="O992" s="250"/>
      <c r="P992" s="250"/>
      <c r="Q992" s="249"/>
      <c r="R992" s="94"/>
      <c r="S992" s="94"/>
      <c r="T992" s="251"/>
      <c r="U992" s="94"/>
      <c r="V992" s="94"/>
      <c r="W992" s="94"/>
      <c r="X992" s="94"/>
      <c r="Y992" s="94"/>
      <c r="Z992" s="94"/>
      <c r="AA992" s="94"/>
    </row>
  </sheetData>
  <mergeCells count="5">
    <mergeCell ref="T10:T12"/>
    <mergeCell ref="T13:T14"/>
    <mergeCell ref="T15:T16"/>
    <mergeCell ref="T27:T29"/>
    <mergeCell ref="T40:T4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83"/>
  <sheetViews>
    <sheetView workbookViewId="0">
      <selection activeCell="I47" sqref="I47"/>
    </sheetView>
  </sheetViews>
  <sheetFormatPr defaultColWidth="11.125" defaultRowHeight="15" customHeight="1"/>
  <cols>
    <col min="1" max="5" width="11.125" customWidth="1"/>
    <col min="6" max="6" width="8.875" customWidth="1"/>
    <col min="7" max="8" width="7.125" customWidth="1"/>
    <col min="9" max="9" width="30.5" customWidth="1"/>
    <col min="10" max="20" width="11.125" customWidth="1"/>
  </cols>
  <sheetData>
    <row r="1" spans="1:9" ht="20.25" customHeight="1">
      <c r="A1" s="252" t="s">
        <v>0</v>
      </c>
      <c r="B1" s="252" t="s">
        <v>342</v>
      </c>
      <c r="C1" s="252" t="s">
        <v>343</v>
      </c>
      <c r="D1" s="252" t="s">
        <v>344</v>
      </c>
      <c r="E1" s="252" t="s">
        <v>345</v>
      </c>
      <c r="F1" s="253" t="s">
        <v>346</v>
      </c>
      <c r="G1" s="122" t="s">
        <v>14</v>
      </c>
      <c r="H1" s="254" t="s">
        <v>12</v>
      </c>
      <c r="I1" s="255" t="s">
        <v>140</v>
      </c>
    </row>
    <row r="2" spans="1:9" ht="15.75">
      <c r="A2" s="233" t="s">
        <v>347</v>
      </c>
      <c r="B2" s="12">
        <v>45188</v>
      </c>
      <c r="C2" s="13">
        <v>0.42986111111111114</v>
      </c>
      <c r="D2" s="12">
        <v>45188</v>
      </c>
      <c r="E2" s="256">
        <v>0.55208333333333337</v>
      </c>
      <c r="F2" s="227">
        <v>0.22</v>
      </c>
      <c r="G2" s="257" t="s">
        <v>21</v>
      </c>
      <c r="H2" s="257" t="s">
        <v>25</v>
      </c>
      <c r="I2" s="258"/>
    </row>
    <row r="3" spans="1:9" ht="15.75">
      <c r="A3" s="233" t="s">
        <v>348</v>
      </c>
      <c r="B3" s="12">
        <v>45188</v>
      </c>
      <c r="C3" s="13">
        <v>0.375</v>
      </c>
      <c r="D3" s="12">
        <v>45188</v>
      </c>
      <c r="E3" s="256">
        <v>0.55347222222222225</v>
      </c>
      <c r="F3" s="227">
        <v>7.0000000000000007E-2</v>
      </c>
      <c r="G3" s="257" t="s">
        <v>21</v>
      </c>
      <c r="H3" s="233" t="s">
        <v>25</v>
      </c>
      <c r="I3" s="258"/>
    </row>
    <row r="4" spans="1:9" ht="15.75">
      <c r="A4" s="233" t="s">
        <v>349</v>
      </c>
      <c r="B4" s="12">
        <v>45188</v>
      </c>
      <c r="C4" s="13">
        <v>0.40763888888888888</v>
      </c>
      <c r="D4" s="12">
        <v>45188</v>
      </c>
      <c r="E4" s="256">
        <v>0.55625000000000002</v>
      </c>
      <c r="F4" s="227">
        <v>0.22</v>
      </c>
      <c r="G4" s="257" t="s">
        <v>21</v>
      </c>
      <c r="H4" s="257" t="s">
        <v>350</v>
      </c>
      <c r="I4" s="258"/>
    </row>
    <row r="5" spans="1:9" ht="15.75">
      <c r="A5" s="233" t="s">
        <v>351</v>
      </c>
      <c r="B5" s="12">
        <v>45188</v>
      </c>
      <c r="C5" s="21">
        <v>0.33333333333333331</v>
      </c>
      <c r="D5" s="12">
        <v>45188</v>
      </c>
      <c r="E5" s="256">
        <v>0.55902777777777779</v>
      </c>
      <c r="F5" s="227">
        <v>0.11</v>
      </c>
      <c r="G5" s="257" t="s">
        <v>21</v>
      </c>
      <c r="H5" s="257" t="s">
        <v>350</v>
      </c>
      <c r="I5" s="258"/>
    </row>
    <row r="6" spans="1:9" ht="15.75">
      <c r="A6" s="233" t="s">
        <v>352</v>
      </c>
      <c r="B6" s="232">
        <v>45189</v>
      </c>
      <c r="C6" s="21">
        <v>0.37152777777777779</v>
      </c>
      <c r="D6" s="232">
        <v>45189</v>
      </c>
      <c r="E6" s="256">
        <v>0.59861111111111109</v>
      </c>
      <c r="F6" s="227">
        <v>0.04</v>
      </c>
      <c r="G6" s="257" t="s">
        <v>21</v>
      </c>
      <c r="H6" s="257" t="s">
        <v>25</v>
      </c>
      <c r="I6" s="258" t="s">
        <v>353</v>
      </c>
    </row>
    <row r="7" spans="1:9" ht="15.75">
      <c r="A7" s="233" t="s">
        <v>354</v>
      </c>
      <c r="B7" s="232">
        <v>45189</v>
      </c>
      <c r="C7" s="21">
        <v>0.40972222222222221</v>
      </c>
      <c r="D7" s="232">
        <v>45189</v>
      </c>
      <c r="E7" s="41">
        <v>0.6</v>
      </c>
      <c r="F7" s="227">
        <v>1.27</v>
      </c>
      <c r="G7" s="257" t="s">
        <v>21</v>
      </c>
      <c r="H7" s="257" t="s">
        <v>25</v>
      </c>
      <c r="I7" s="258" t="s">
        <v>353</v>
      </c>
    </row>
    <row r="8" spans="1:9" ht="15.75">
      <c r="A8" s="233" t="s">
        <v>355</v>
      </c>
      <c r="B8" s="232">
        <v>45189</v>
      </c>
      <c r="C8" s="21">
        <v>0.43402777777777779</v>
      </c>
      <c r="D8" s="232">
        <v>45189</v>
      </c>
      <c r="E8" s="256">
        <v>0.60069444444444442</v>
      </c>
      <c r="F8" s="227">
        <v>0.51</v>
      </c>
      <c r="G8" s="257" t="s">
        <v>21</v>
      </c>
      <c r="H8" s="257" t="s">
        <v>25</v>
      </c>
      <c r="I8" s="258" t="s">
        <v>353</v>
      </c>
    </row>
    <row r="9" spans="1:9" ht="15.75">
      <c r="A9" s="233" t="s">
        <v>356</v>
      </c>
      <c r="B9" s="232">
        <v>45189</v>
      </c>
      <c r="C9" s="21">
        <v>0.40972222222222221</v>
      </c>
      <c r="D9" s="232">
        <v>45189</v>
      </c>
      <c r="E9" s="256">
        <v>0.69930555555555551</v>
      </c>
      <c r="F9" s="227">
        <v>0.27</v>
      </c>
      <c r="G9" s="257" t="s">
        <v>259</v>
      </c>
      <c r="H9" s="257" t="s">
        <v>25</v>
      </c>
      <c r="I9" s="258" t="s">
        <v>357</v>
      </c>
    </row>
    <row r="10" spans="1:9" ht="25.5">
      <c r="A10" s="233" t="s">
        <v>358</v>
      </c>
      <c r="B10" s="232">
        <v>45189</v>
      </c>
      <c r="C10" s="21">
        <v>0.37152777777777779</v>
      </c>
      <c r="D10" s="232">
        <v>45189</v>
      </c>
      <c r="E10" s="256">
        <v>0.7006944444444444</v>
      </c>
      <c r="F10" s="424" t="s">
        <v>1179</v>
      </c>
      <c r="G10" s="257" t="s">
        <v>259</v>
      </c>
      <c r="H10" s="257" t="s">
        <v>25</v>
      </c>
      <c r="I10" s="258" t="s">
        <v>1183</v>
      </c>
    </row>
    <row r="11" spans="1:9" ht="15.75">
      <c r="A11" s="233" t="s">
        <v>359</v>
      </c>
      <c r="B11" s="232">
        <v>45189</v>
      </c>
      <c r="C11" s="21">
        <v>0.43402777777777779</v>
      </c>
      <c r="D11" s="232">
        <v>45189</v>
      </c>
      <c r="E11" s="256">
        <v>0.7006944444444444</v>
      </c>
      <c r="F11" s="227">
        <v>0.2</v>
      </c>
      <c r="G11" s="257" t="s">
        <v>259</v>
      </c>
      <c r="H11" s="257" t="s">
        <v>25</v>
      </c>
      <c r="I11" s="258" t="s">
        <v>357</v>
      </c>
    </row>
    <row r="12" spans="1:9" ht="15.75">
      <c r="A12" s="233" t="s">
        <v>360</v>
      </c>
      <c r="B12" s="232">
        <v>45190</v>
      </c>
      <c r="C12" s="21">
        <v>0.40555555555555556</v>
      </c>
      <c r="D12" s="232">
        <v>45190</v>
      </c>
      <c r="E12" s="256">
        <v>0.66111111111111109</v>
      </c>
      <c r="F12" s="227">
        <v>0.43</v>
      </c>
      <c r="G12" s="257" t="s">
        <v>21</v>
      </c>
      <c r="H12" s="257" t="s">
        <v>25</v>
      </c>
      <c r="I12" s="258" t="s">
        <v>361</v>
      </c>
    </row>
    <row r="13" spans="1:9" ht="15.75">
      <c r="A13" s="233" t="s">
        <v>362</v>
      </c>
      <c r="B13" s="232">
        <v>45190</v>
      </c>
      <c r="C13" s="21">
        <v>0.47569444444444442</v>
      </c>
      <c r="D13" s="232">
        <v>45190</v>
      </c>
      <c r="E13" s="256">
        <v>0.66180555555555554</v>
      </c>
      <c r="F13" s="227">
        <v>0.11</v>
      </c>
      <c r="G13" s="257" t="s">
        <v>21</v>
      </c>
      <c r="H13" s="257" t="s">
        <v>25</v>
      </c>
      <c r="I13" s="258" t="s">
        <v>361</v>
      </c>
    </row>
    <row r="14" spans="1:9" ht="15.75">
      <c r="A14" s="233" t="s">
        <v>363</v>
      </c>
      <c r="B14" s="232">
        <v>45190</v>
      </c>
      <c r="C14" s="21">
        <v>0.44722222222222224</v>
      </c>
      <c r="D14" s="232">
        <v>45190</v>
      </c>
      <c r="E14" s="256">
        <v>0.66249999999999998</v>
      </c>
      <c r="F14" s="227">
        <v>7.0000000000000007E-2</v>
      </c>
      <c r="G14" s="257" t="s">
        <v>21</v>
      </c>
      <c r="H14" s="257" t="s">
        <v>25</v>
      </c>
      <c r="I14" s="258" t="s">
        <v>361</v>
      </c>
    </row>
    <row r="15" spans="1:9" ht="15.75">
      <c r="A15" s="233" t="s">
        <v>364</v>
      </c>
      <c r="B15" s="232">
        <v>45190</v>
      </c>
      <c r="C15" s="21">
        <v>0.36805555555555558</v>
      </c>
      <c r="D15" s="232">
        <v>45190</v>
      </c>
      <c r="E15" s="256">
        <v>0.66388888888888886</v>
      </c>
      <c r="F15" s="259">
        <v>0.27</v>
      </c>
      <c r="G15" s="257" t="s">
        <v>21</v>
      </c>
      <c r="H15" s="257" t="s">
        <v>25</v>
      </c>
      <c r="I15" s="258" t="s">
        <v>361</v>
      </c>
    </row>
    <row r="16" spans="1:9" ht="15.75">
      <c r="A16" s="233" t="s">
        <v>365</v>
      </c>
      <c r="B16" s="12">
        <v>45203</v>
      </c>
      <c r="C16" s="13">
        <v>0.43472222222222223</v>
      </c>
      <c r="D16" s="12">
        <v>45203</v>
      </c>
      <c r="E16" s="13">
        <v>0.65694444444444444</v>
      </c>
      <c r="F16" s="259">
        <v>0.08</v>
      </c>
      <c r="G16" s="257" t="s">
        <v>21</v>
      </c>
      <c r="H16" s="257" t="s">
        <v>350</v>
      </c>
      <c r="I16" s="258" t="s">
        <v>366</v>
      </c>
    </row>
    <row r="17" spans="1:9" ht="15.75">
      <c r="A17" s="233" t="s">
        <v>367</v>
      </c>
      <c r="B17" s="12">
        <v>45203</v>
      </c>
      <c r="C17" s="13">
        <v>0.3840277777777778</v>
      </c>
      <c r="D17" s="12">
        <v>45203</v>
      </c>
      <c r="E17" s="13">
        <v>0.65833333333333333</v>
      </c>
      <c r="F17" s="259">
        <v>0.19</v>
      </c>
      <c r="G17" s="257" t="s">
        <v>21</v>
      </c>
      <c r="H17" s="257" t="s">
        <v>350</v>
      </c>
      <c r="I17" s="258" t="s">
        <v>368</v>
      </c>
    </row>
    <row r="18" spans="1:9" ht="15.75">
      <c r="A18" s="233" t="s">
        <v>369</v>
      </c>
      <c r="B18" s="12">
        <v>45203</v>
      </c>
      <c r="C18" s="13">
        <v>0.36736111111111114</v>
      </c>
      <c r="D18" s="12">
        <v>45203</v>
      </c>
      <c r="E18" s="13">
        <v>0.65972222222222221</v>
      </c>
      <c r="F18" s="259">
        <v>0.37</v>
      </c>
      <c r="G18" s="257" t="s">
        <v>21</v>
      </c>
      <c r="H18" s="257" t="s">
        <v>350</v>
      </c>
      <c r="I18" s="258" t="s">
        <v>370</v>
      </c>
    </row>
    <row r="19" spans="1:9" ht="15.75">
      <c r="A19" s="233" t="s">
        <v>371</v>
      </c>
      <c r="B19" s="12">
        <v>45203</v>
      </c>
      <c r="C19" s="13">
        <v>0.30555555555555558</v>
      </c>
      <c r="D19" s="12">
        <v>45203</v>
      </c>
      <c r="E19" s="13">
        <v>0.66111111111111109</v>
      </c>
      <c r="F19" s="259">
        <v>0.18</v>
      </c>
      <c r="G19" s="257" t="s">
        <v>21</v>
      </c>
      <c r="H19" s="257" t="s">
        <v>350</v>
      </c>
      <c r="I19" s="258" t="s">
        <v>372</v>
      </c>
    </row>
    <row r="20" spans="1:9" ht="15.75">
      <c r="A20" s="233" t="s">
        <v>373</v>
      </c>
      <c r="B20" s="12">
        <v>45203</v>
      </c>
      <c r="C20" s="21">
        <v>0.41666666666666669</v>
      </c>
      <c r="D20" s="12">
        <v>45203</v>
      </c>
      <c r="E20" s="13">
        <v>0.66180555555555554</v>
      </c>
      <c r="F20" s="259">
        <v>0.21</v>
      </c>
      <c r="G20" s="257" t="s">
        <v>21</v>
      </c>
      <c r="H20" s="257" t="s">
        <v>350</v>
      </c>
      <c r="I20" s="258" t="s">
        <v>366</v>
      </c>
    </row>
    <row r="21" spans="1:9" ht="15.75">
      <c r="A21" s="233" t="s">
        <v>374</v>
      </c>
      <c r="B21" s="12">
        <v>45203</v>
      </c>
      <c r="C21" s="21">
        <v>0.34236111111111112</v>
      </c>
      <c r="D21" s="12">
        <v>45203</v>
      </c>
      <c r="E21" s="13">
        <v>0.66249999999999998</v>
      </c>
      <c r="F21" s="259">
        <v>0.5</v>
      </c>
      <c r="G21" s="257" t="s">
        <v>21</v>
      </c>
      <c r="H21" s="257" t="s">
        <v>350</v>
      </c>
      <c r="I21" s="258" t="s">
        <v>370</v>
      </c>
    </row>
    <row r="22" spans="1:9" ht="15.75">
      <c r="A22" s="233" t="s">
        <v>375</v>
      </c>
      <c r="B22" s="12">
        <v>45204</v>
      </c>
      <c r="C22" s="21">
        <v>0.42430555555555555</v>
      </c>
      <c r="D22" s="12">
        <v>45204</v>
      </c>
      <c r="E22" s="13">
        <v>0.66527777777777775</v>
      </c>
      <c r="F22" s="259">
        <v>0.06</v>
      </c>
      <c r="G22" s="257" t="s">
        <v>21</v>
      </c>
      <c r="H22" s="257" t="s">
        <v>25</v>
      </c>
      <c r="I22" s="258" t="s">
        <v>376</v>
      </c>
    </row>
    <row r="23" spans="1:9" ht="15.75">
      <c r="A23" s="233" t="s">
        <v>377</v>
      </c>
      <c r="B23" s="12">
        <v>45204</v>
      </c>
      <c r="C23" s="21">
        <v>0.39583333333333331</v>
      </c>
      <c r="D23" s="12">
        <v>45204</v>
      </c>
      <c r="E23" s="13">
        <v>0.66666666666666663</v>
      </c>
      <c r="F23" s="259">
        <v>0.28000000000000003</v>
      </c>
      <c r="G23" s="257" t="s">
        <v>21</v>
      </c>
      <c r="H23" s="257" t="s">
        <v>25</v>
      </c>
      <c r="I23" s="258" t="s">
        <v>378</v>
      </c>
    </row>
    <row r="24" spans="1:9" ht="15.75">
      <c r="A24" s="233" t="s">
        <v>379</v>
      </c>
      <c r="B24" s="12">
        <v>45204</v>
      </c>
      <c r="C24" s="21">
        <v>0.33958333333333335</v>
      </c>
      <c r="D24" s="12">
        <v>45204</v>
      </c>
      <c r="E24" s="13">
        <v>0.66666666666666663</v>
      </c>
      <c r="F24" s="259">
        <v>0.17</v>
      </c>
      <c r="G24" s="257" t="s">
        <v>21</v>
      </c>
      <c r="H24" s="257" t="s">
        <v>25</v>
      </c>
      <c r="I24" s="258" t="s">
        <v>380</v>
      </c>
    </row>
    <row r="25" spans="1:9" ht="15.75">
      <c r="A25" s="233" t="s">
        <v>381</v>
      </c>
      <c r="B25" s="12">
        <v>45205</v>
      </c>
      <c r="C25" s="21">
        <v>0.3972222222222222</v>
      </c>
      <c r="D25" s="12">
        <v>45205</v>
      </c>
      <c r="E25" s="13">
        <v>0.75555555555555554</v>
      </c>
      <c r="F25" s="259">
        <v>0.24</v>
      </c>
      <c r="G25" s="257" t="s">
        <v>21</v>
      </c>
      <c r="H25" s="257" t="s">
        <v>25</v>
      </c>
      <c r="I25" s="258"/>
    </row>
    <row r="26" spans="1:9" ht="15.75">
      <c r="A26" s="233" t="s">
        <v>382</v>
      </c>
      <c r="B26" s="12">
        <v>45205</v>
      </c>
      <c r="C26" s="21">
        <v>0.27847222222222223</v>
      </c>
      <c r="D26" s="12">
        <v>45205</v>
      </c>
      <c r="E26" s="13">
        <v>0.75694444444444442</v>
      </c>
      <c r="F26" s="259">
        <v>0.09</v>
      </c>
      <c r="G26" s="257" t="s">
        <v>21</v>
      </c>
      <c r="H26" s="257" t="s">
        <v>25</v>
      </c>
      <c r="I26" s="258"/>
    </row>
    <row r="27" spans="1:9" ht="15.75">
      <c r="A27" s="242" t="s">
        <v>383</v>
      </c>
      <c r="B27" s="12">
        <v>45205</v>
      </c>
      <c r="C27" s="54">
        <v>0.29722222222222222</v>
      </c>
      <c r="D27" s="12">
        <v>45205</v>
      </c>
      <c r="E27" s="260">
        <v>0.75972222222222219</v>
      </c>
      <c r="F27" s="261">
        <v>0.18</v>
      </c>
      <c r="G27" s="257" t="s">
        <v>21</v>
      </c>
      <c r="H27" s="257" t="s">
        <v>25</v>
      </c>
      <c r="I27" s="258"/>
    </row>
    <row r="28" spans="1:9" ht="15.75">
      <c r="A28" s="242" t="s">
        <v>384</v>
      </c>
      <c r="B28" s="262">
        <v>45212</v>
      </c>
      <c r="C28" s="54">
        <v>0.3</v>
      </c>
      <c r="D28" s="262">
        <v>45212</v>
      </c>
      <c r="E28" s="260">
        <v>0.81666666666666665</v>
      </c>
      <c r="F28" s="261">
        <v>0.05</v>
      </c>
      <c r="G28" s="257" t="s">
        <v>21</v>
      </c>
      <c r="H28" s="92" t="s">
        <v>385</v>
      </c>
      <c r="I28" s="258"/>
    </row>
    <row r="29" spans="1:9" ht="15.75">
      <c r="A29" s="242" t="s">
        <v>386</v>
      </c>
      <c r="B29" s="262">
        <v>45212</v>
      </c>
      <c r="C29" s="54">
        <v>0.3263888888888889</v>
      </c>
      <c r="D29" s="262">
        <v>45212</v>
      </c>
      <c r="E29" s="260">
        <v>0.81805555555555554</v>
      </c>
      <c r="F29" s="261">
        <v>0.05</v>
      </c>
      <c r="G29" s="257" t="s">
        <v>21</v>
      </c>
      <c r="H29" s="92" t="s">
        <v>385</v>
      </c>
      <c r="I29" s="258"/>
    </row>
    <row r="30" spans="1:9" ht="15.75">
      <c r="A30" s="242" t="s">
        <v>387</v>
      </c>
      <c r="B30" s="262">
        <v>45212</v>
      </c>
      <c r="C30" s="54">
        <v>0.35625000000000001</v>
      </c>
      <c r="D30" s="262">
        <v>45212</v>
      </c>
      <c r="E30" s="260">
        <v>0.81944444444444442</v>
      </c>
      <c r="F30" s="261">
        <v>0.05</v>
      </c>
      <c r="G30" s="257" t="s">
        <v>21</v>
      </c>
      <c r="H30" s="92" t="s">
        <v>385</v>
      </c>
      <c r="I30" s="258"/>
    </row>
    <row r="31" spans="1:9" ht="15.75">
      <c r="A31" s="242" t="s">
        <v>388</v>
      </c>
      <c r="B31" s="262">
        <v>45212</v>
      </c>
      <c r="C31" s="54">
        <v>0.39166666666666666</v>
      </c>
      <c r="D31" s="262">
        <v>45212</v>
      </c>
      <c r="E31" s="260">
        <v>0.8208333333333333</v>
      </c>
      <c r="F31" s="261">
        <v>0.06</v>
      </c>
      <c r="G31" s="257" t="s">
        <v>21</v>
      </c>
      <c r="H31" s="92" t="s">
        <v>385</v>
      </c>
      <c r="I31" s="258"/>
    </row>
    <row r="32" spans="1:9" ht="25.5">
      <c r="A32" s="263" t="s">
        <v>389</v>
      </c>
      <c r="B32" s="264">
        <v>45213</v>
      </c>
      <c r="C32" s="265">
        <v>0.31805555555555554</v>
      </c>
      <c r="D32" s="264">
        <v>45215</v>
      </c>
      <c r="E32" s="266">
        <v>0.65138888888888891</v>
      </c>
      <c r="F32" s="424" t="s">
        <v>1179</v>
      </c>
      <c r="G32" s="257" t="s">
        <v>21</v>
      </c>
      <c r="H32" s="92" t="s">
        <v>385</v>
      </c>
      <c r="I32" s="267" t="s">
        <v>1184</v>
      </c>
    </row>
    <row r="33" spans="1:9" ht="25.5">
      <c r="A33" s="263" t="s">
        <v>390</v>
      </c>
      <c r="B33" s="264">
        <v>45213</v>
      </c>
      <c r="C33" s="265">
        <v>0.38541666666666669</v>
      </c>
      <c r="D33" s="264">
        <v>45215</v>
      </c>
      <c r="E33" s="266">
        <v>0.65208333333333335</v>
      </c>
      <c r="F33" s="261">
        <v>0.03</v>
      </c>
      <c r="G33" s="257" t="s">
        <v>21</v>
      </c>
      <c r="H33" s="92" t="s">
        <v>350</v>
      </c>
      <c r="I33" s="267" t="s">
        <v>391</v>
      </c>
    </row>
    <row r="34" spans="1:9" ht="25.5">
      <c r="A34" s="263" t="s">
        <v>392</v>
      </c>
      <c r="B34" s="264">
        <v>45213</v>
      </c>
      <c r="C34" s="265">
        <v>0.42499999999999999</v>
      </c>
      <c r="D34" s="264">
        <v>45215</v>
      </c>
      <c r="E34" s="266">
        <v>0.65277777777777779</v>
      </c>
      <c r="F34" s="261">
        <v>0.02</v>
      </c>
      <c r="G34" s="257" t="s">
        <v>21</v>
      </c>
      <c r="H34" s="92" t="s">
        <v>350</v>
      </c>
      <c r="I34" s="267" t="s">
        <v>393</v>
      </c>
    </row>
    <row r="35" spans="1:9" ht="15.75">
      <c r="A35" s="242" t="s">
        <v>394</v>
      </c>
      <c r="B35" s="262">
        <v>45214</v>
      </c>
      <c r="C35" s="54">
        <v>0.28541666666666665</v>
      </c>
      <c r="D35" s="262">
        <v>45215</v>
      </c>
      <c r="E35" s="260">
        <v>0.65347222222222223</v>
      </c>
      <c r="F35" s="261">
        <v>0.19</v>
      </c>
      <c r="G35" s="257" t="s">
        <v>21</v>
      </c>
      <c r="H35" s="92" t="s">
        <v>350</v>
      </c>
      <c r="I35" s="258"/>
    </row>
    <row r="36" spans="1:9" ht="15.75">
      <c r="A36" s="52" t="s">
        <v>395</v>
      </c>
      <c r="B36" s="262">
        <v>45214</v>
      </c>
      <c r="C36" s="89">
        <v>0.32291666666666669</v>
      </c>
      <c r="D36" s="262">
        <v>45215</v>
      </c>
      <c r="E36" s="260">
        <v>0.65416666666666667</v>
      </c>
      <c r="F36" s="261">
        <v>7.0000000000000007E-2</v>
      </c>
      <c r="G36" s="257" t="s">
        <v>21</v>
      </c>
      <c r="H36" s="92" t="s">
        <v>350</v>
      </c>
      <c r="I36" s="258"/>
    </row>
    <row r="37" spans="1:9" ht="15.75">
      <c r="A37" s="52" t="s">
        <v>396</v>
      </c>
      <c r="B37" s="262">
        <v>45214</v>
      </c>
      <c r="C37" s="89">
        <v>0.3527777777777778</v>
      </c>
      <c r="D37" s="262">
        <v>45215</v>
      </c>
      <c r="E37" s="260">
        <v>0.65486111111111112</v>
      </c>
      <c r="F37" s="261">
        <v>0.04</v>
      </c>
      <c r="G37" s="257" t="s">
        <v>21</v>
      </c>
      <c r="H37" s="92" t="s">
        <v>350</v>
      </c>
      <c r="I37" s="258"/>
    </row>
    <row r="38" spans="1:9" ht="15.75">
      <c r="A38" s="52" t="s">
        <v>397</v>
      </c>
      <c r="B38" s="262">
        <v>45214</v>
      </c>
      <c r="C38" s="89">
        <v>0.39791666666666664</v>
      </c>
      <c r="D38" s="262">
        <v>45215</v>
      </c>
      <c r="E38" s="260">
        <v>0.65555555555555556</v>
      </c>
      <c r="F38" s="261">
        <v>0.14000000000000001</v>
      </c>
      <c r="G38" s="257" t="s">
        <v>21</v>
      </c>
      <c r="H38" s="92" t="s">
        <v>350</v>
      </c>
      <c r="I38" s="258"/>
    </row>
    <row r="39" spans="1:9" ht="16.5">
      <c r="A39" s="52" t="s">
        <v>398</v>
      </c>
      <c r="B39" s="12">
        <v>45222</v>
      </c>
      <c r="C39" s="13">
        <v>0.3972222222222222</v>
      </c>
      <c r="D39" s="12">
        <v>45222</v>
      </c>
      <c r="E39" s="260">
        <v>0.69236111111111109</v>
      </c>
      <c r="F39" s="424" t="s">
        <v>1179</v>
      </c>
      <c r="G39" s="257" t="s">
        <v>21</v>
      </c>
      <c r="H39" s="92" t="s">
        <v>350</v>
      </c>
      <c r="I39" s="425" t="s">
        <v>1185</v>
      </c>
    </row>
    <row r="40" spans="1:9" ht="15.75">
      <c r="A40" s="234" t="s">
        <v>399</v>
      </c>
      <c r="B40" s="12">
        <v>45222</v>
      </c>
      <c r="C40" s="13">
        <v>0.42777777777777776</v>
      </c>
      <c r="D40" s="12">
        <v>45222</v>
      </c>
      <c r="E40" s="260">
        <v>0.69374999999999998</v>
      </c>
      <c r="F40" s="261">
        <v>0.1</v>
      </c>
      <c r="G40" s="257" t="s">
        <v>21</v>
      </c>
      <c r="H40" s="92" t="s">
        <v>350</v>
      </c>
      <c r="I40" s="258"/>
    </row>
    <row r="41" spans="1:9" ht="15.75">
      <c r="A41" s="234" t="s">
        <v>400</v>
      </c>
      <c r="B41" s="12">
        <v>45222</v>
      </c>
      <c r="C41" s="13">
        <v>0.45763888888888887</v>
      </c>
      <c r="D41" s="12">
        <v>45222</v>
      </c>
      <c r="E41" s="260">
        <v>0.69513888888888886</v>
      </c>
      <c r="F41" s="261">
        <v>0.01</v>
      </c>
      <c r="G41" s="257" t="s">
        <v>21</v>
      </c>
      <c r="H41" s="92" t="s">
        <v>350</v>
      </c>
      <c r="I41" s="258"/>
    </row>
    <row r="42" spans="1:9" ht="16.5">
      <c r="A42" s="234" t="s">
        <v>401</v>
      </c>
      <c r="B42" s="12">
        <v>45222</v>
      </c>
      <c r="C42" s="41">
        <v>0.48472222222222222</v>
      </c>
      <c r="D42" s="12">
        <v>45222</v>
      </c>
      <c r="E42" s="260">
        <v>0.69652777777777775</v>
      </c>
      <c r="F42" s="424" t="s">
        <v>1179</v>
      </c>
      <c r="G42" s="257" t="s">
        <v>21</v>
      </c>
      <c r="H42" s="92" t="s">
        <v>350</v>
      </c>
      <c r="I42" s="425" t="s">
        <v>1185</v>
      </c>
    </row>
    <row r="43" spans="1:9" ht="15.75">
      <c r="A43" s="234" t="s">
        <v>402</v>
      </c>
      <c r="B43" s="12">
        <v>45222</v>
      </c>
      <c r="C43" s="41">
        <v>0.57499999999999996</v>
      </c>
      <c r="D43" s="12">
        <v>45222</v>
      </c>
      <c r="E43" s="260">
        <v>0.69791666666666663</v>
      </c>
      <c r="F43" s="261">
        <v>0.16</v>
      </c>
      <c r="G43" s="257" t="s">
        <v>21</v>
      </c>
      <c r="H43" s="92" t="s">
        <v>350</v>
      </c>
      <c r="I43" s="258"/>
    </row>
    <row r="44" spans="1:9" ht="15.75">
      <c r="A44" s="234" t="s">
        <v>403</v>
      </c>
      <c r="B44" s="12">
        <v>45223</v>
      </c>
      <c r="C44" s="41">
        <v>0.38541666666666669</v>
      </c>
      <c r="D44" s="12">
        <v>45223</v>
      </c>
      <c r="E44" s="260">
        <v>0.61805555555555558</v>
      </c>
      <c r="F44" s="261">
        <v>0.13</v>
      </c>
      <c r="G44" s="257" t="s">
        <v>21</v>
      </c>
      <c r="H44" s="92" t="s">
        <v>178</v>
      </c>
      <c r="I44" s="258"/>
    </row>
    <row r="45" spans="1:9" ht="15.75">
      <c r="A45" s="234" t="s">
        <v>404</v>
      </c>
      <c r="B45" s="12">
        <v>45223</v>
      </c>
      <c r="C45" s="21">
        <v>0.40972222222222221</v>
      </c>
      <c r="D45" s="12">
        <v>45223</v>
      </c>
      <c r="E45" s="260">
        <v>0.61875000000000002</v>
      </c>
      <c r="F45" s="261">
        <v>0.09</v>
      </c>
      <c r="G45" s="257" t="s">
        <v>21</v>
      </c>
      <c r="H45" s="92" t="s">
        <v>178</v>
      </c>
      <c r="I45" s="258"/>
    </row>
    <row r="46" spans="1:9" ht="15.75">
      <c r="A46" s="234" t="s">
        <v>405</v>
      </c>
      <c r="B46" s="12">
        <v>45223</v>
      </c>
      <c r="C46" s="13">
        <v>0.43541666666666667</v>
      </c>
      <c r="D46" s="12">
        <v>45223</v>
      </c>
      <c r="E46" s="260">
        <v>0.61944444444444446</v>
      </c>
      <c r="F46" s="261">
        <v>0.09</v>
      </c>
      <c r="G46" s="257" t="s">
        <v>21</v>
      </c>
      <c r="H46" s="92" t="s">
        <v>178</v>
      </c>
      <c r="I46" s="258"/>
    </row>
    <row r="47" spans="1:9" ht="15.75">
      <c r="A47" s="234" t="s">
        <v>406</v>
      </c>
      <c r="B47" s="12">
        <v>45223</v>
      </c>
      <c r="C47" s="21">
        <v>0.48194444444444445</v>
      </c>
      <c r="D47" s="12">
        <v>45223</v>
      </c>
      <c r="E47" s="260">
        <v>0.62013888888888891</v>
      </c>
      <c r="F47" s="261">
        <v>0.2</v>
      </c>
      <c r="G47" s="257" t="s">
        <v>21</v>
      </c>
      <c r="H47" s="92" t="s">
        <v>178</v>
      </c>
      <c r="I47" s="258"/>
    </row>
    <row r="48" spans="1:9" ht="15.75">
      <c r="A48" s="234" t="s">
        <v>407</v>
      </c>
      <c r="B48" s="268">
        <v>45224</v>
      </c>
      <c r="C48" s="54">
        <v>0.32500000000000001</v>
      </c>
      <c r="D48" s="268">
        <v>45224</v>
      </c>
      <c r="E48" s="260">
        <v>0.64166666666666672</v>
      </c>
      <c r="F48" s="261">
        <v>0.11</v>
      </c>
      <c r="G48" s="257" t="s">
        <v>21</v>
      </c>
      <c r="H48" s="92" t="s">
        <v>385</v>
      </c>
      <c r="I48" s="258"/>
    </row>
    <row r="49" spans="1:9" ht="15.75">
      <c r="A49" s="234" t="s">
        <v>408</v>
      </c>
      <c r="B49" s="268">
        <v>45224</v>
      </c>
      <c r="C49" s="58">
        <v>0.34722222222222221</v>
      </c>
      <c r="D49" s="268">
        <v>45224</v>
      </c>
      <c r="E49" s="260">
        <v>0.64236111111111116</v>
      </c>
      <c r="F49" s="261">
        <v>0.24</v>
      </c>
      <c r="G49" s="257" t="s">
        <v>21</v>
      </c>
      <c r="H49" s="92" t="s">
        <v>385</v>
      </c>
      <c r="I49" s="258"/>
    </row>
    <row r="50" spans="1:9" ht="15.75">
      <c r="A50" s="234" t="s">
        <v>409</v>
      </c>
      <c r="B50" s="268">
        <v>45224</v>
      </c>
      <c r="C50" s="58">
        <v>0.37569444444444444</v>
      </c>
      <c r="D50" s="268">
        <v>45224</v>
      </c>
      <c r="E50" s="260">
        <v>0.64375000000000004</v>
      </c>
      <c r="F50" s="261">
        <v>0.04</v>
      </c>
      <c r="G50" s="257" t="s">
        <v>21</v>
      </c>
      <c r="H50" s="92" t="s">
        <v>385</v>
      </c>
      <c r="I50" s="258"/>
    </row>
    <row r="51" spans="1:9" ht="15.75">
      <c r="A51" s="234" t="s">
        <v>410</v>
      </c>
      <c r="B51" s="268">
        <v>45224</v>
      </c>
      <c r="C51" s="58">
        <v>0.41319444444444442</v>
      </c>
      <c r="D51" s="268">
        <v>45224</v>
      </c>
      <c r="E51" s="260">
        <v>0.64513888888888893</v>
      </c>
      <c r="F51" s="261">
        <v>0.27</v>
      </c>
      <c r="G51" s="257" t="s">
        <v>21</v>
      </c>
      <c r="H51" s="92" t="s">
        <v>385</v>
      </c>
      <c r="I51" s="258"/>
    </row>
    <row r="52" spans="1:9" ht="15.75">
      <c r="B52" s="269"/>
      <c r="F52" s="270"/>
      <c r="I52" s="271"/>
    </row>
    <row r="53" spans="1:9" ht="15.75">
      <c r="B53" s="269"/>
      <c r="F53" s="270"/>
      <c r="I53" s="271"/>
    </row>
    <row r="54" spans="1:9" ht="15.75">
      <c r="B54" s="269"/>
      <c r="F54" s="270"/>
      <c r="I54" s="271"/>
    </row>
    <row r="55" spans="1:9" ht="15.75">
      <c r="B55" s="269"/>
      <c r="F55" s="270"/>
      <c r="I55" s="271"/>
    </row>
    <row r="56" spans="1:9" ht="15.75">
      <c r="B56" s="269"/>
      <c r="F56" s="270"/>
      <c r="I56" s="271"/>
    </row>
    <row r="57" spans="1:9" ht="15.75">
      <c r="B57" s="269"/>
      <c r="F57" s="270"/>
      <c r="I57" s="271"/>
    </row>
    <row r="58" spans="1:9" ht="15.75">
      <c r="B58" s="269"/>
      <c r="F58" s="270"/>
      <c r="I58" s="271"/>
    </row>
    <row r="59" spans="1:9" ht="15.75">
      <c r="B59" s="269"/>
      <c r="F59" s="270"/>
      <c r="I59" s="271"/>
    </row>
    <row r="60" spans="1:9" ht="15.75">
      <c r="B60" s="269"/>
      <c r="F60" s="270"/>
      <c r="I60" s="271"/>
    </row>
    <row r="61" spans="1:9" ht="15.75">
      <c r="B61" s="269"/>
      <c r="F61" s="270"/>
      <c r="I61" s="271"/>
    </row>
    <row r="62" spans="1:9" ht="15.75">
      <c r="B62" s="269"/>
      <c r="F62" s="270"/>
      <c r="I62" s="271"/>
    </row>
    <row r="63" spans="1:9" ht="15.75">
      <c r="B63" s="269"/>
      <c r="F63" s="270"/>
      <c r="I63" s="271"/>
    </row>
    <row r="64" spans="1:9" ht="15.75">
      <c r="B64" s="269"/>
      <c r="F64" s="270"/>
      <c r="I64" s="271"/>
    </row>
    <row r="65" spans="2:9" ht="15.75">
      <c r="B65" s="269"/>
      <c r="F65" s="270"/>
      <c r="I65" s="271"/>
    </row>
    <row r="66" spans="2:9" ht="15.75">
      <c r="B66" s="269"/>
      <c r="F66" s="270"/>
      <c r="I66" s="271"/>
    </row>
    <row r="67" spans="2:9" ht="15.75">
      <c r="B67" s="269"/>
      <c r="F67" s="270"/>
      <c r="I67" s="271"/>
    </row>
    <row r="68" spans="2:9" ht="15.75">
      <c r="B68" s="269"/>
      <c r="F68" s="270"/>
      <c r="I68" s="271"/>
    </row>
    <row r="69" spans="2:9" ht="15.75">
      <c r="B69" s="269"/>
      <c r="F69" s="270"/>
      <c r="I69" s="271"/>
    </row>
    <row r="70" spans="2:9" ht="15.75">
      <c r="B70" s="269"/>
      <c r="F70" s="270"/>
      <c r="I70" s="271"/>
    </row>
    <row r="71" spans="2:9" ht="15.75">
      <c r="B71" s="269"/>
      <c r="F71" s="270"/>
      <c r="I71" s="271"/>
    </row>
    <row r="72" spans="2:9" ht="15.75">
      <c r="B72" s="269"/>
      <c r="F72" s="270"/>
      <c r="I72" s="271"/>
    </row>
    <row r="73" spans="2:9" ht="15.75">
      <c r="B73" s="269"/>
      <c r="F73" s="270"/>
      <c r="I73" s="271"/>
    </row>
    <row r="74" spans="2:9" ht="15.75">
      <c r="B74" s="269"/>
      <c r="F74" s="270"/>
      <c r="I74" s="271"/>
    </row>
    <row r="75" spans="2:9" ht="15.75">
      <c r="B75" s="269"/>
      <c r="F75" s="270"/>
      <c r="I75" s="271"/>
    </row>
    <row r="76" spans="2:9" ht="15.75">
      <c r="B76" s="269"/>
      <c r="F76" s="270"/>
      <c r="I76" s="271"/>
    </row>
    <row r="77" spans="2:9" ht="15.75">
      <c r="B77" s="269"/>
      <c r="F77" s="270"/>
      <c r="I77" s="271"/>
    </row>
    <row r="78" spans="2:9" ht="15.75">
      <c r="B78" s="269"/>
      <c r="F78" s="270"/>
      <c r="I78" s="271"/>
    </row>
    <row r="79" spans="2:9" ht="15.75">
      <c r="B79" s="269"/>
      <c r="F79" s="270"/>
      <c r="I79" s="271"/>
    </row>
    <row r="80" spans="2:9" ht="15.75">
      <c r="B80" s="269"/>
      <c r="F80" s="270"/>
      <c r="I80" s="271"/>
    </row>
    <row r="81" spans="2:9" ht="15.75">
      <c r="B81" s="269"/>
      <c r="F81" s="270"/>
      <c r="I81" s="271"/>
    </row>
    <row r="82" spans="2:9" ht="15.75">
      <c r="B82" s="269"/>
      <c r="F82" s="270"/>
      <c r="I82" s="271"/>
    </row>
    <row r="83" spans="2:9" ht="15.75">
      <c r="B83" s="269"/>
      <c r="F83" s="270"/>
      <c r="I83" s="271"/>
    </row>
    <row r="84" spans="2:9" ht="15.75">
      <c r="B84" s="269"/>
      <c r="F84" s="270"/>
      <c r="I84" s="271"/>
    </row>
    <row r="85" spans="2:9" ht="15.75">
      <c r="B85" s="269"/>
      <c r="F85" s="270"/>
      <c r="I85" s="271"/>
    </row>
    <row r="86" spans="2:9" ht="15.75">
      <c r="B86" s="269"/>
      <c r="F86" s="270"/>
      <c r="I86" s="271"/>
    </row>
    <row r="87" spans="2:9" ht="15.75">
      <c r="B87" s="269"/>
      <c r="F87" s="270"/>
      <c r="I87" s="271"/>
    </row>
    <row r="88" spans="2:9" ht="15.75">
      <c r="B88" s="269"/>
      <c r="F88" s="270"/>
      <c r="I88" s="271"/>
    </row>
    <row r="89" spans="2:9" ht="15.75">
      <c r="B89" s="269"/>
      <c r="F89" s="270"/>
      <c r="I89" s="271"/>
    </row>
    <row r="90" spans="2:9" ht="15.75">
      <c r="B90" s="269"/>
      <c r="F90" s="270"/>
      <c r="I90" s="271"/>
    </row>
    <row r="91" spans="2:9" ht="15.75">
      <c r="B91" s="269"/>
      <c r="F91" s="270"/>
      <c r="I91" s="271"/>
    </row>
    <row r="92" spans="2:9" ht="15.75">
      <c r="B92" s="269"/>
      <c r="F92" s="270"/>
      <c r="I92" s="271"/>
    </row>
    <row r="93" spans="2:9" ht="15.75">
      <c r="B93" s="269"/>
      <c r="F93" s="270"/>
      <c r="I93" s="271"/>
    </row>
    <row r="94" spans="2:9" ht="15.75">
      <c r="B94" s="269"/>
      <c r="F94" s="270"/>
      <c r="I94" s="271"/>
    </row>
    <row r="95" spans="2:9" ht="15.75">
      <c r="B95" s="269"/>
      <c r="F95" s="270"/>
      <c r="I95" s="271"/>
    </row>
    <row r="96" spans="2:9" ht="15.75">
      <c r="B96" s="269"/>
      <c r="F96" s="270"/>
      <c r="I96" s="271"/>
    </row>
    <row r="97" spans="2:9" ht="15.75">
      <c r="B97" s="269"/>
      <c r="F97" s="270"/>
      <c r="I97" s="271"/>
    </row>
    <row r="98" spans="2:9" ht="15.75">
      <c r="B98" s="269"/>
      <c r="F98" s="270"/>
      <c r="I98" s="271"/>
    </row>
    <row r="99" spans="2:9" ht="15.75">
      <c r="B99" s="269"/>
      <c r="F99" s="270"/>
      <c r="I99" s="271"/>
    </row>
    <row r="100" spans="2:9" ht="15.75">
      <c r="B100" s="269"/>
      <c r="F100" s="270"/>
      <c r="I100" s="271"/>
    </row>
    <row r="101" spans="2:9" ht="15.75">
      <c r="B101" s="269"/>
      <c r="F101" s="270"/>
      <c r="I101" s="271"/>
    </row>
    <row r="102" spans="2:9" ht="15.75">
      <c r="B102" s="269"/>
      <c r="F102" s="270"/>
      <c r="I102" s="271"/>
    </row>
    <row r="103" spans="2:9" ht="15.75">
      <c r="B103" s="269"/>
      <c r="F103" s="270"/>
      <c r="I103" s="271"/>
    </row>
    <row r="104" spans="2:9" ht="15.75">
      <c r="B104" s="269"/>
      <c r="F104" s="270"/>
      <c r="I104" s="271"/>
    </row>
    <row r="105" spans="2:9" ht="15.75">
      <c r="B105" s="269"/>
      <c r="F105" s="270"/>
      <c r="I105" s="271"/>
    </row>
    <row r="106" spans="2:9" ht="15.75">
      <c r="B106" s="269"/>
      <c r="F106" s="270"/>
      <c r="I106" s="271"/>
    </row>
    <row r="107" spans="2:9" ht="15.75">
      <c r="B107" s="269"/>
      <c r="F107" s="270"/>
      <c r="I107" s="271"/>
    </row>
    <row r="108" spans="2:9" ht="15.75">
      <c r="B108" s="269"/>
      <c r="F108" s="270"/>
      <c r="I108" s="271"/>
    </row>
    <row r="109" spans="2:9" ht="15.75">
      <c r="B109" s="269"/>
      <c r="F109" s="270"/>
      <c r="I109" s="271"/>
    </row>
    <row r="110" spans="2:9" ht="15.75">
      <c r="B110" s="269"/>
      <c r="F110" s="270"/>
      <c r="I110" s="271"/>
    </row>
    <row r="111" spans="2:9" ht="15.75">
      <c r="B111" s="269"/>
      <c r="F111" s="270"/>
      <c r="I111" s="271"/>
    </row>
    <row r="112" spans="2:9" ht="15.75">
      <c r="B112" s="269"/>
      <c r="F112" s="270"/>
      <c r="I112" s="271"/>
    </row>
    <row r="113" spans="2:9" ht="15.75">
      <c r="B113" s="269"/>
      <c r="F113" s="270"/>
      <c r="I113" s="271"/>
    </row>
    <row r="114" spans="2:9" ht="15.75">
      <c r="B114" s="269"/>
      <c r="F114" s="270"/>
      <c r="I114" s="271"/>
    </row>
    <row r="115" spans="2:9" ht="15.75">
      <c r="B115" s="269"/>
      <c r="F115" s="270"/>
      <c r="I115" s="271"/>
    </row>
    <row r="116" spans="2:9" ht="15.75">
      <c r="B116" s="269"/>
      <c r="F116" s="270"/>
      <c r="I116" s="271"/>
    </row>
    <row r="117" spans="2:9" ht="15.75">
      <c r="B117" s="269"/>
      <c r="F117" s="270"/>
      <c r="I117" s="271"/>
    </row>
    <row r="118" spans="2:9" ht="15.75">
      <c r="B118" s="269"/>
      <c r="F118" s="270"/>
      <c r="I118" s="271"/>
    </row>
    <row r="119" spans="2:9" ht="15.75">
      <c r="B119" s="269"/>
      <c r="F119" s="270"/>
      <c r="I119" s="271"/>
    </row>
    <row r="120" spans="2:9" ht="15.75">
      <c r="B120" s="269"/>
      <c r="F120" s="270"/>
      <c r="I120" s="271"/>
    </row>
    <row r="121" spans="2:9" ht="15.75">
      <c r="B121" s="269"/>
      <c r="F121" s="270"/>
      <c r="I121" s="271"/>
    </row>
    <row r="122" spans="2:9" ht="15.75">
      <c r="B122" s="269"/>
      <c r="F122" s="270"/>
      <c r="I122" s="271"/>
    </row>
    <row r="123" spans="2:9" ht="15.75">
      <c r="B123" s="269"/>
      <c r="F123" s="270"/>
      <c r="I123" s="271"/>
    </row>
    <row r="124" spans="2:9" ht="15.75">
      <c r="B124" s="269"/>
      <c r="F124" s="270"/>
      <c r="I124" s="271"/>
    </row>
    <row r="125" spans="2:9" ht="15.75">
      <c r="B125" s="269"/>
      <c r="F125" s="270"/>
      <c r="I125" s="271"/>
    </row>
    <row r="126" spans="2:9" ht="15.75">
      <c r="B126" s="269"/>
      <c r="F126" s="270"/>
      <c r="I126" s="271"/>
    </row>
    <row r="127" spans="2:9" ht="15.75">
      <c r="B127" s="269"/>
      <c r="F127" s="270"/>
      <c r="I127" s="271"/>
    </row>
    <row r="128" spans="2:9" ht="15.75">
      <c r="B128" s="269"/>
      <c r="F128" s="270"/>
      <c r="I128" s="271"/>
    </row>
    <row r="129" spans="2:9" ht="15.75">
      <c r="B129" s="269"/>
      <c r="F129" s="270"/>
      <c r="I129" s="271"/>
    </row>
    <row r="130" spans="2:9" ht="15.75">
      <c r="B130" s="269"/>
      <c r="F130" s="270"/>
      <c r="I130" s="271"/>
    </row>
    <row r="131" spans="2:9" ht="15.75">
      <c r="B131" s="269"/>
      <c r="F131" s="270"/>
      <c r="I131" s="271"/>
    </row>
    <row r="132" spans="2:9" ht="15.75">
      <c r="B132" s="269"/>
      <c r="F132" s="270"/>
      <c r="I132" s="271"/>
    </row>
    <row r="133" spans="2:9" ht="15.75">
      <c r="B133" s="269"/>
      <c r="F133" s="270"/>
      <c r="I133" s="271"/>
    </row>
    <row r="134" spans="2:9" ht="15.75">
      <c r="B134" s="269"/>
      <c r="F134" s="270"/>
      <c r="I134" s="271"/>
    </row>
    <row r="135" spans="2:9" ht="15.75">
      <c r="B135" s="269"/>
      <c r="F135" s="270"/>
      <c r="I135" s="271"/>
    </row>
    <row r="136" spans="2:9" ht="15.75">
      <c r="B136" s="269"/>
      <c r="F136" s="270"/>
      <c r="I136" s="271"/>
    </row>
    <row r="137" spans="2:9" ht="15.75">
      <c r="B137" s="269"/>
      <c r="F137" s="270"/>
      <c r="I137" s="271"/>
    </row>
    <row r="138" spans="2:9" ht="15.75">
      <c r="B138" s="269"/>
      <c r="F138" s="270"/>
      <c r="I138" s="271"/>
    </row>
    <row r="139" spans="2:9" ht="15.75">
      <c r="B139" s="269"/>
      <c r="F139" s="270"/>
      <c r="I139" s="271"/>
    </row>
    <row r="140" spans="2:9" ht="15.75">
      <c r="B140" s="269"/>
      <c r="F140" s="270"/>
      <c r="I140" s="271"/>
    </row>
    <row r="141" spans="2:9" ht="15.75">
      <c r="B141" s="269"/>
      <c r="F141" s="270"/>
      <c r="I141" s="271"/>
    </row>
    <row r="142" spans="2:9" ht="15.75">
      <c r="B142" s="269"/>
      <c r="F142" s="270"/>
      <c r="I142" s="271"/>
    </row>
    <row r="143" spans="2:9" ht="15.75">
      <c r="B143" s="269"/>
      <c r="F143" s="270"/>
      <c r="I143" s="271"/>
    </row>
    <row r="144" spans="2:9" ht="15.75">
      <c r="B144" s="269"/>
      <c r="F144" s="270"/>
      <c r="I144" s="271"/>
    </row>
    <row r="145" spans="2:9" ht="15.75">
      <c r="B145" s="269"/>
      <c r="F145" s="270"/>
      <c r="I145" s="271"/>
    </row>
    <row r="146" spans="2:9" ht="15.75">
      <c r="B146" s="269"/>
      <c r="F146" s="270"/>
      <c r="I146" s="271"/>
    </row>
    <row r="147" spans="2:9" ht="15.75">
      <c r="B147" s="269"/>
      <c r="F147" s="270"/>
      <c r="I147" s="271"/>
    </row>
    <row r="148" spans="2:9" ht="15.75">
      <c r="B148" s="269"/>
      <c r="F148" s="270"/>
      <c r="I148" s="271"/>
    </row>
    <row r="149" spans="2:9" ht="15.75">
      <c r="B149" s="269"/>
      <c r="F149" s="270"/>
      <c r="I149" s="271"/>
    </row>
    <row r="150" spans="2:9" ht="15.75">
      <c r="B150" s="269"/>
      <c r="F150" s="270"/>
      <c r="I150" s="271"/>
    </row>
    <row r="151" spans="2:9" ht="15.75">
      <c r="B151" s="269"/>
      <c r="F151" s="270"/>
      <c r="I151" s="271"/>
    </row>
    <row r="152" spans="2:9" ht="15.75">
      <c r="B152" s="269"/>
      <c r="F152" s="270"/>
      <c r="I152" s="271"/>
    </row>
    <row r="153" spans="2:9" ht="15.75">
      <c r="B153" s="269"/>
      <c r="F153" s="270"/>
      <c r="I153" s="271"/>
    </row>
    <row r="154" spans="2:9" ht="15.75">
      <c r="B154" s="269"/>
      <c r="F154" s="270"/>
      <c r="I154" s="271"/>
    </row>
    <row r="155" spans="2:9" ht="15.75">
      <c r="B155" s="269"/>
      <c r="F155" s="270"/>
      <c r="I155" s="271"/>
    </row>
    <row r="156" spans="2:9" ht="15.75">
      <c r="B156" s="269"/>
      <c r="F156" s="270"/>
      <c r="I156" s="271"/>
    </row>
    <row r="157" spans="2:9" ht="15.75">
      <c r="B157" s="269"/>
      <c r="F157" s="270"/>
      <c r="I157" s="271"/>
    </row>
    <row r="158" spans="2:9" ht="15.75">
      <c r="B158" s="269"/>
      <c r="F158" s="270"/>
      <c r="I158" s="271"/>
    </row>
    <row r="159" spans="2:9" ht="15.75">
      <c r="B159" s="269"/>
      <c r="F159" s="270"/>
      <c r="I159" s="271"/>
    </row>
    <row r="160" spans="2:9" ht="15.75">
      <c r="B160" s="269"/>
      <c r="F160" s="270"/>
      <c r="I160" s="271"/>
    </row>
    <row r="161" spans="2:9" ht="15.75">
      <c r="B161" s="269"/>
      <c r="F161" s="270"/>
      <c r="I161" s="271"/>
    </row>
    <row r="162" spans="2:9" ht="15.75">
      <c r="B162" s="269"/>
      <c r="F162" s="270"/>
      <c r="I162" s="271"/>
    </row>
    <row r="163" spans="2:9" ht="15.75">
      <c r="B163" s="269"/>
      <c r="F163" s="270"/>
      <c r="I163" s="271"/>
    </row>
    <row r="164" spans="2:9" ht="15.75">
      <c r="B164" s="269"/>
      <c r="F164" s="270"/>
      <c r="I164" s="271"/>
    </row>
    <row r="165" spans="2:9" ht="15.75">
      <c r="B165" s="269"/>
      <c r="F165" s="270"/>
      <c r="I165" s="271"/>
    </row>
    <row r="166" spans="2:9" ht="15.75">
      <c r="B166" s="269"/>
      <c r="F166" s="270"/>
      <c r="I166" s="271"/>
    </row>
    <row r="167" spans="2:9" ht="15.75">
      <c r="B167" s="269"/>
      <c r="F167" s="270"/>
      <c r="I167" s="271"/>
    </row>
    <row r="168" spans="2:9" ht="15.75">
      <c r="B168" s="269"/>
      <c r="F168" s="270"/>
      <c r="I168" s="271"/>
    </row>
    <row r="169" spans="2:9" ht="15.75">
      <c r="B169" s="269"/>
      <c r="F169" s="270"/>
      <c r="I169" s="271"/>
    </row>
    <row r="170" spans="2:9" ht="15.75">
      <c r="B170" s="269"/>
      <c r="F170" s="270"/>
      <c r="I170" s="271"/>
    </row>
    <row r="171" spans="2:9" ht="15.75">
      <c r="B171" s="269"/>
      <c r="F171" s="270"/>
      <c r="I171" s="271"/>
    </row>
    <row r="172" spans="2:9" ht="15.75">
      <c r="B172" s="269"/>
      <c r="F172" s="270"/>
      <c r="I172" s="271"/>
    </row>
    <row r="173" spans="2:9" ht="15.75">
      <c r="B173" s="269"/>
      <c r="F173" s="270"/>
      <c r="I173" s="271"/>
    </row>
    <row r="174" spans="2:9" ht="15.75">
      <c r="B174" s="269"/>
      <c r="F174" s="270"/>
      <c r="I174" s="271"/>
    </row>
    <row r="175" spans="2:9" ht="15.75">
      <c r="B175" s="269"/>
      <c r="F175" s="270"/>
      <c r="I175" s="271"/>
    </row>
    <row r="176" spans="2:9" ht="15.75">
      <c r="B176" s="269"/>
      <c r="F176" s="270"/>
      <c r="I176" s="271"/>
    </row>
    <row r="177" spans="2:9" ht="15.75">
      <c r="B177" s="269"/>
      <c r="F177" s="270"/>
      <c r="I177" s="271"/>
    </row>
    <row r="178" spans="2:9" ht="15.75">
      <c r="B178" s="269"/>
      <c r="F178" s="270"/>
      <c r="I178" s="271"/>
    </row>
    <row r="179" spans="2:9" ht="15.75">
      <c r="B179" s="269"/>
      <c r="F179" s="270"/>
      <c r="I179" s="271"/>
    </row>
    <row r="180" spans="2:9" ht="15.75">
      <c r="B180" s="269"/>
      <c r="F180" s="270"/>
      <c r="I180" s="271"/>
    </row>
    <row r="181" spans="2:9" ht="15.75">
      <c r="B181" s="269"/>
      <c r="F181" s="270"/>
      <c r="I181" s="271"/>
    </row>
    <row r="182" spans="2:9" ht="15.75">
      <c r="B182" s="269"/>
      <c r="F182" s="270"/>
      <c r="I182" s="271"/>
    </row>
    <row r="183" spans="2:9" ht="15.75">
      <c r="B183" s="269"/>
      <c r="F183" s="270"/>
      <c r="I183" s="271"/>
    </row>
    <row r="184" spans="2:9" ht="15.75">
      <c r="B184" s="269"/>
      <c r="F184" s="270"/>
      <c r="I184" s="271"/>
    </row>
    <row r="185" spans="2:9" ht="15.75">
      <c r="B185" s="269"/>
      <c r="F185" s="270"/>
      <c r="I185" s="271"/>
    </row>
    <row r="186" spans="2:9" ht="15.75">
      <c r="B186" s="269"/>
      <c r="F186" s="270"/>
      <c r="I186" s="271"/>
    </row>
    <row r="187" spans="2:9" ht="15.75">
      <c r="B187" s="269"/>
      <c r="F187" s="270"/>
      <c r="I187" s="271"/>
    </row>
    <row r="188" spans="2:9" ht="15.75">
      <c r="B188" s="269"/>
      <c r="F188" s="270"/>
      <c r="I188" s="271"/>
    </row>
    <row r="189" spans="2:9" ht="15.75">
      <c r="B189" s="269"/>
      <c r="F189" s="270"/>
      <c r="I189" s="271"/>
    </row>
    <row r="190" spans="2:9" ht="15.75">
      <c r="B190" s="269"/>
      <c r="F190" s="270"/>
      <c r="I190" s="271"/>
    </row>
    <row r="191" spans="2:9" ht="15.75">
      <c r="B191" s="269"/>
      <c r="F191" s="270"/>
      <c r="I191" s="271"/>
    </row>
    <row r="192" spans="2:9" ht="15.75">
      <c r="B192" s="269"/>
      <c r="F192" s="270"/>
      <c r="I192" s="271"/>
    </row>
    <row r="193" spans="2:9" ht="15.75">
      <c r="B193" s="269"/>
      <c r="F193" s="270"/>
      <c r="I193" s="271"/>
    </row>
    <row r="194" spans="2:9" ht="15.75">
      <c r="B194" s="269"/>
      <c r="F194" s="270"/>
      <c r="I194" s="271"/>
    </row>
    <row r="195" spans="2:9" ht="15.75">
      <c r="B195" s="269"/>
      <c r="F195" s="270"/>
      <c r="I195" s="271"/>
    </row>
    <row r="196" spans="2:9" ht="15.75">
      <c r="B196" s="269"/>
      <c r="F196" s="270"/>
      <c r="I196" s="271"/>
    </row>
    <row r="197" spans="2:9" ht="15.75">
      <c r="B197" s="269"/>
      <c r="F197" s="270"/>
      <c r="I197" s="271"/>
    </row>
    <row r="198" spans="2:9" ht="15.75">
      <c r="B198" s="269"/>
      <c r="F198" s="270"/>
      <c r="I198" s="271"/>
    </row>
    <row r="199" spans="2:9" ht="15.75">
      <c r="B199" s="269"/>
      <c r="F199" s="270"/>
      <c r="I199" s="271"/>
    </row>
    <row r="200" spans="2:9" ht="15.75">
      <c r="B200" s="269"/>
      <c r="F200" s="270"/>
      <c r="I200" s="271"/>
    </row>
    <row r="201" spans="2:9" ht="15.75">
      <c r="B201" s="269"/>
      <c r="F201" s="270"/>
      <c r="I201" s="271"/>
    </row>
    <row r="202" spans="2:9" ht="15.75">
      <c r="B202" s="269"/>
      <c r="F202" s="270"/>
      <c r="I202" s="271"/>
    </row>
    <row r="203" spans="2:9" ht="15.75">
      <c r="B203" s="269"/>
      <c r="F203" s="270"/>
      <c r="I203" s="271"/>
    </row>
    <row r="204" spans="2:9" ht="15.75">
      <c r="B204" s="269"/>
      <c r="F204" s="270"/>
      <c r="I204" s="271"/>
    </row>
    <row r="205" spans="2:9" ht="15.75">
      <c r="B205" s="269"/>
      <c r="F205" s="270"/>
      <c r="I205" s="271"/>
    </row>
    <row r="206" spans="2:9" ht="15.75">
      <c r="B206" s="269"/>
      <c r="F206" s="270"/>
      <c r="I206" s="271"/>
    </row>
    <row r="207" spans="2:9" ht="15.75">
      <c r="B207" s="269"/>
      <c r="F207" s="270"/>
      <c r="I207" s="271"/>
    </row>
    <row r="208" spans="2:9" ht="15.75">
      <c r="B208" s="269"/>
      <c r="F208" s="270"/>
      <c r="I208" s="271"/>
    </row>
    <row r="209" spans="2:9" ht="15.75">
      <c r="B209" s="269"/>
      <c r="F209" s="270"/>
      <c r="I209" s="271"/>
    </row>
    <row r="210" spans="2:9" ht="15.75">
      <c r="B210" s="269"/>
      <c r="F210" s="270"/>
      <c r="I210" s="271"/>
    </row>
    <row r="211" spans="2:9" ht="15.75">
      <c r="B211" s="269"/>
      <c r="F211" s="270"/>
      <c r="I211" s="271"/>
    </row>
    <row r="212" spans="2:9" ht="15.75">
      <c r="B212" s="269"/>
      <c r="F212" s="270"/>
      <c r="I212" s="271"/>
    </row>
    <row r="213" spans="2:9" ht="15.75">
      <c r="B213" s="269"/>
      <c r="F213" s="270"/>
      <c r="I213" s="271"/>
    </row>
    <row r="214" spans="2:9" ht="15.75">
      <c r="B214" s="269"/>
      <c r="F214" s="270"/>
      <c r="I214" s="271"/>
    </row>
    <row r="215" spans="2:9" ht="15.75">
      <c r="B215" s="269"/>
      <c r="F215" s="270"/>
      <c r="I215" s="271"/>
    </row>
    <row r="216" spans="2:9" ht="15.75">
      <c r="B216" s="269"/>
      <c r="F216" s="270"/>
      <c r="I216" s="271"/>
    </row>
    <row r="217" spans="2:9" ht="15.75">
      <c r="B217" s="269"/>
      <c r="F217" s="270"/>
      <c r="I217" s="271"/>
    </row>
    <row r="218" spans="2:9" ht="15.75">
      <c r="B218" s="269"/>
      <c r="F218" s="270"/>
      <c r="I218" s="271"/>
    </row>
    <row r="219" spans="2:9" ht="15.75">
      <c r="B219" s="269"/>
      <c r="F219" s="270"/>
      <c r="I219" s="271"/>
    </row>
    <row r="220" spans="2:9" ht="15.75">
      <c r="B220" s="269"/>
      <c r="F220" s="270"/>
      <c r="I220" s="271"/>
    </row>
    <row r="221" spans="2:9" ht="15.75">
      <c r="B221" s="269"/>
      <c r="F221" s="270"/>
      <c r="I221" s="271"/>
    </row>
    <row r="222" spans="2:9" ht="15.75">
      <c r="B222" s="269"/>
      <c r="F222" s="270"/>
      <c r="I222" s="271"/>
    </row>
    <row r="223" spans="2:9" ht="15.75">
      <c r="B223" s="269"/>
      <c r="F223" s="270"/>
      <c r="I223" s="271"/>
    </row>
    <row r="224" spans="2:9" ht="15.75">
      <c r="B224" s="269"/>
      <c r="F224" s="270"/>
      <c r="I224" s="271"/>
    </row>
    <row r="225" spans="2:9" ht="15.75">
      <c r="B225" s="269"/>
      <c r="F225" s="270"/>
      <c r="I225" s="271"/>
    </row>
    <row r="226" spans="2:9" ht="15.75">
      <c r="B226" s="269"/>
      <c r="F226" s="270"/>
      <c r="I226" s="271"/>
    </row>
    <row r="227" spans="2:9" ht="15.75">
      <c r="B227" s="269"/>
      <c r="F227" s="270"/>
      <c r="I227" s="271"/>
    </row>
    <row r="228" spans="2:9" ht="15.75">
      <c r="B228" s="269"/>
      <c r="F228" s="270"/>
      <c r="I228" s="271"/>
    </row>
    <row r="229" spans="2:9" ht="15.75">
      <c r="B229" s="269"/>
      <c r="F229" s="270"/>
      <c r="I229" s="271"/>
    </row>
    <row r="230" spans="2:9" ht="15.75">
      <c r="B230" s="269"/>
      <c r="F230" s="270"/>
      <c r="I230" s="271"/>
    </row>
    <row r="231" spans="2:9" ht="15.75">
      <c r="B231" s="269"/>
      <c r="F231" s="270"/>
      <c r="I231" s="271"/>
    </row>
    <row r="232" spans="2:9" ht="15.75">
      <c r="B232" s="269"/>
      <c r="F232" s="270"/>
      <c r="I232" s="271"/>
    </row>
    <row r="233" spans="2:9" ht="15.75">
      <c r="B233" s="269"/>
      <c r="F233" s="270"/>
      <c r="I233" s="271"/>
    </row>
    <row r="234" spans="2:9" ht="15.75">
      <c r="B234" s="269"/>
      <c r="F234" s="270"/>
      <c r="I234" s="271"/>
    </row>
    <row r="235" spans="2:9" ht="15.75">
      <c r="B235" s="269"/>
      <c r="F235" s="270"/>
      <c r="I235" s="271"/>
    </row>
    <row r="236" spans="2:9" ht="15.75">
      <c r="B236" s="269"/>
      <c r="F236" s="270"/>
      <c r="I236" s="271"/>
    </row>
    <row r="237" spans="2:9" ht="15.75">
      <c r="B237" s="269"/>
      <c r="F237" s="270"/>
      <c r="I237" s="271"/>
    </row>
    <row r="238" spans="2:9" ht="15.75">
      <c r="B238" s="269"/>
      <c r="F238" s="270"/>
      <c r="I238" s="271"/>
    </row>
    <row r="239" spans="2:9" ht="15.75">
      <c r="B239" s="269"/>
      <c r="F239" s="270"/>
      <c r="I239" s="271"/>
    </row>
    <row r="240" spans="2:9" ht="15.75">
      <c r="B240" s="269"/>
      <c r="F240" s="270"/>
      <c r="I240" s="271"/>
    </row>
    <row r="241" spans="2:9" ht="15.75">
      <c r="B241" s="269"/>
      <c r="F241" s="270"/>
      <c r="I241" s="271"/>
    </row>
    <row r="242" spans="2:9" ht="15.75">
      <c r="B242" s="269"/>
      <c r="F242" s="270"/>
      <c r="I242" s="271"/>
    </row>
    <row r="243" spans="2:9" ht="15.75">
      <c r="B243" s="269"/>
      <c r="F243" s="270"/>
      <c r="I243" s="271"/>
    </row>
    <row r="244" spans="2:9" ht="15.75">
      <c r="B244" s="269"/>
      <c r="F244" s="270"/>
      <c r="I244" s="271"/>
    </row>
    <row r="245" spans="2:9" ht="15.75">
      <c r="B245" s="269"/>
      <c r="F245" s="270"/>
      <c r="I245" s="271"/>
    </row>
    <row r="246" spans="2:9" ht="15.75">
      <c r="B246" s="269"/>
      <c r="F246" s="270"/>
      <c r="I246" s="271"/>
    </row>
    <row r="247" spans="2:9" ht="15.75">
      <c r="B247" s="269"/>
      <c r="F247" s="270"/>
      <c r="I247" s="271"/>
    </row>
    <row r="248" spans="2:9" ht="15.75">
      <c r="B248" s="269"/>
      <c r="F248" s="270"/>
      <c r="I248" s="271"/>
    </row>
    <row r="249" spans="2:9" ht="15.75">
      <c r="B249" s="269"/>
      <c r="F249" s="270"/>
      <c r="I249" s="271"/>
    </row>
    <row r="250" spans="2:9" ht="15.75">
      <c r="B250" s="269"/>
      <c r="F250" s="270"/>
      <c r="I250" s="271"/>
    </row>
    <row r="251" spans="2:9" ht="15.75">
      <c r="B251" s="269"/>
      <c r="F251" s="270"/>
      <c r="I251" s="271"/>
    </row>
    <row r="252" spans="2:9" ht="15.75">
      <c r="B252" s="269"/>
      <c r="F252" s="270"/>
      <c r="I252" s="271"/>
    </row>
    <row r="253" spans="2:9" ht="15.75">
      <c r="B253" s="269"/>
      <c r="F253" s="270"/>
      <c r="I253" s="271"/>
    </row>
    <row r="254" spans="2:9" ht="15.75">
      <c r="B254" s="269"/>
      <c r="F254" s="270"/>
      <c r="I254" s="271"/>
    </row>
    <row r="255" spans="2:9" ht="15.75">
      <c r="B255" s="269"/>
      <c r="F255" s="270"/>
      <c r="I255" s="271"/>
    </row>
    <row r="256" spans="2:9" ht="15.75">
      <c r="B256" s="269"/>
      <c r="F256" s="270"/>
      <c r="I256" s="271"/>
    </row>
    <row r="257" spans="2:9" ht="15.75">
      <c r="B257" s="269"/>
      <c r="F257" s="270"/>
      <c r="I257" s="271"/>
    </row>
    <row r="258" spans="2:9" ht="15.75">
      <c r="B258" s="269"/>
      <c r="F258" s="270"/>
      <c r="I258" s="271"/>
    </row>
    <row r="259" spans="2:9" ht="15.75">
      <c r="B259" s="269"/>
      <c r="F259" s="270"/>
      <c r="I259" s="271"/>
    </row>
    <row r="260" spans="2:9" ht="15.75">
      <c r="B260" s="269"/>
      <c r="F260" s="270"/>
      <c r="I260" s="271"/>
    </row>
    <row r="261" spans="2:9" ht="15.75">
      <c r="B261" s="269"/>
      <c r="F261" s="270"/>
      <c r="I261" s="271"/>
    </row>
    <row r="262" spans="2:9" ht="15.75">
      <c r="B262" s="269"/>
      <c r="F262" s="270"/>
      <c r="I262" s="271"/>
    </row>
    <row r="263" spans="2:9" ht="15.75">
      <c r="B263" s="269"/>
      <c r="F263" s="270"/>
      <c r="I263" s="271"/>
    </row>
    <row r="264" spans="2:9" ht="15.75">
      <c r="B264" s="269"/>
      <c r="F264" s="270"/>
      <c r="I264" s="271"/>
    </row>
    <row r="265" spans="2:9" ht="15.75">
      <c r="B265" s="269"/>
      <c r="F265" s="270"/>
      <c r="I265" s="271"/>
    </row>
    <row r="266" spans="2:9" ht="15.75">
      <c r="B266" s="269"/>
      <c r="F266" s="270"/>
      <c r="I266" s="271"/>
    </row>
    <row r="267" spans="2:9" ht="15.75">
      <c r="B267" s="269"/>
      <c r="F267" s="270"/>
      <c r="I267" s="271"/>
    </row>
    <row r="268" spans="2:9" ht="15.75">
      <c r="B268" s="269"/>
      <c r="F268" s="270"/>
      <c r="I268" s="271"/>
    </row>
    <row r="269" spans="2:9" ht="15.75">
      <c r="B269" s="269"/>
      <c r="F269" s="270"/>
      <c r="I269" s="271"/>
    </row>
    <row r="270" spans="2:9" ht="15.75">
      <c r="B270" s="269"/>
      <c r="F270" s="270"/>
      <c r="I270" s="271"/>
    </row>
    <row r="271" spans="2:9" ht="15.75">
      <c r="B271" s="269"/>
      <c r="F271" s="270"/>
      <c r="I271" s="271"/>
    </row>
    <row r="272" spans="2:9" ht="15.75">
      <c r="B272" s="269"/>
      <c r="F272" s="270"/>
      <c r="I272" s="271"/>
    </row>
    <row r="273" spans="2:9" ht="15.75">
      <c r="B273" s="269"/>
      <c r="F273" s="270"/>
      <c r="I273" s="271"/>
    </row>
    <row r="274" spans="2:9" ht="15.75">
      <c r="B274" s="269"/>
      <c r="F274" s="270"/>
      <c r="I274" s="271"/>
    </row>
    <row r="275" spans="2:9" ht="15.75">
      <c r="B275" s="269"/>
      <c r="F275" s="270"/>
      <c r="I275" s="271"/>
    </row>
    <row r="276" spans="2:9" ht="15.75">
      <c r="B276" s="269"/>
      <c r="F276" s="270"/>
      <c r="I276" s="271"/>
    </row>
    <row r="277" spans="2:9" ht="15.75">
      <c r="B277" s="269"/>
      <c r="F277" s="270"/>
      <c r="I277" s="271"/>
    </row>
    <row r="278" spans="2:9" ht="15.75">
      <c r="B278" s="269"/>
      <c r="F278" s="270"/>
      <c r="I278" s="271"/>
    </row>
    <row r="279" spans="2:9" ht="15.75">
      <c r="B279" s="269"/>
      <c r="F279" s="270"/>
      <c r="I279" s="271"/>
    </row>
    <row r="280" spans="2:9" ht="15.75">
      <c r="B280" s="269"/>
      <c r="F280" s="270"/>
      <c r="I280" s="271"/>
    </row>
    <row r="281" spans="2:9" ht="15.75">
      <c r="B281" s="269"/>
      <c r="F281" s="270"/>
      <c r="I281" s="271"/>
    </row>
    <row r="282" spans="2:9" ht="15.75">
      <c r="B282" s="269"/>
      <c r="F282" s="270"/>
      <c r="I282" s="271"/>
    </row>
    <row r="283" spans="2:9" ht="15.75">
      <c r="B283" s="269"/>
      <c r="F283" s="270"/>
      <c r="I283" s="271"/>
    </row>
    <row r="284" spans="2:9" ht="15.75">
      <c r="B284" s="269"/>
      <c r="F284" s="270"/>
      <c r="I284" s="271"/>
    </row>
    <row r="285" spans="2:9" ht="15.75">
      <c r="B285" s="269"/>
      <c r="F285" s="270"/>
      <c r="I285" s="271"/>
    </row>
    <row r="286" spans="2:9" ht="15.75">
      <c r="B286" s="269"/>
      <c r="F286" s="270"/>
      <c r="I286" s="271"/>
    </row>
    <row r="287" spans="2:9" ht="15.75">
      <c r="B287" s="269"/>
      <c r="F287" s="270"/>
      <c r="I287" s="271"/>
    </row>
    <row r="288" spans="2:9" ht="15.75">
      <c r="B288" s="269"/>
      <c r="F288" s="270"/>
      <c r="I288" s="271"/>
    </row>
    <row r="289" spans="2:9" ht="15.75">
      <c r="B289" s="269"/>
      <c r="F289" s="270"/>
      <c r="I289" s="271"/>
    </row>
    <row r="290" spans="2:9" ht="15.75">
      <c r="B290" s="269"/>
      <c r="F290" s="270"/>
      <c r="I290" s="271"/>
    </row>
    <row r="291" spans="2:9" ht="15.75">
      <c r="B291" s="269"/>
      <c r="F291" s="270"/>
      <c r="I291" s="271"/>
    </row>
    <row r="292" spans="2:9" ht="15.75">
      <c r="B292" s="269"/>
      <c r="F292" s="270"/>
      <c r="I292" s="271"/>
    </row>
    <row r="293" spans="2:9" ht="15.75">
      <c r="B293" s="269"/>
      <c r="F293" s="270"/>
      <c r="I293" s="271"/>
    </row>
    <row r="294" spans="2:9" ht="15.75">
      <c r="B294" s="269"/>
      <c r="F294" s="270"/>
      <c r="I294" s="271"/>
    </row>
    <row r="295" spans="2:9" ht="15.75">
      <c r="B295" s="269"/>
      <c r="F295" s="270"/>
      <c r="I295" s="271"/>
    </row>
    <row r="296" spans="2:9" ht="15.75">
      <c r="B296" s="269"/>
      <c r="F296" s="270"/>
      <c r="I296" s="271"/>
    </row>
    <row r="297" spans="2:9" ht="15.75">
      <c r="B297" s="269"/>
      <c r="F297" s="270"/>
      <c r="I297" s="271"/>
    </row>
    <row r="298" spans="2:9" ht="15.75">
      <c r="B298" s="269"/>
      <c r="F298" s="270"/>
      <c r="I298" s="271"/>
    </row>
    <row r="299" spans="2:9" ht="15.75">
      <c r="B299" s="269"/>
      <c r="F299" s="270"/>
      <c r="I299" s="271"/>
    </row>
    <row r="300" spans="2:9" ht="15.75">
      <c r="B300" s="269"/>
      <c r="F300" s="270"/>
      <c r="I300" s="271"/>
    </row>
    <row r="301" spans="2:9" ht="15.75">
      <c r="B301" s="269"/>
      <c r="F301" s="270"/>
      <c r="I301" s="271"/>
    </row>
    <row r="302" spans="2:9" ht="15.75">
      <c r="B302" s="269"/>
      <c r="F302" s="270"/>
      <c r="I302" s="271"/>
    </row>
    <row r="303" spans="2:9" ht="15.75">
      <c r="B303" s="269"/>
      <c r="F303" s="270"/>
      <c r="I303" s="271"/>
    </row>
    <row r="304" spans="2:9" ht="15.75">
      <c r="B304" s="269"/>
      <c r="F304" s="270"/>
      <c r="I304" s="271"/>
    </row>
    <row r="305" spans="2:9" ht="15.75">
      <c r="B305" s="269"/>
      <c r="F305" s="270"/>
      <c r="I305" s="271"/>
    </row>
    <row r="306" spans="2:9" ht="15.75">
      <c r="B306" s="269"/>
      <c r="F306" s="270"/>
      <c r="I306" s="271"/>
    </row>
    <row r="307" spans="2:9" ht="15.75">
      <c r="B307" s="269"/>
      <c r="F307" s="270"/>
      <c r="I307" s="271"/>
    </row>
    <row r="308" spans="2:9" ht="15.75">
      <c r="B308" s="269"/>
      <c r="F308" s="270"/>
      <c r="I308" s="271"/>
    </row>
    <row r="309" spans="2:9" ht="15.75">
      <c r="B309" s="269"/>
      <c r="F309" s="270"/>
      <c r="I309" s="271"/>
    </row>
    <row r="310" spans="2:9" ht="15.75">
      <c r="B310" s="269"/>
      <c r="F310" s="270"/>
      <c r="I310" s="271"/>
    </row>
    <row r="311" spans="2:9" ht="15.75">
      <c r="B311" s="269"/>
      <c r="F311" s="270"/>
      <c r="I311" s="271"/>
    </row>
    <row r="312" spans="2:9" ht="15.75">
      <c r="B312" s="269"/>
      <c r="F312" s="270"/>
      <c r="I312" s="271"/>
    </row>
    <row r="313" spans="2:9" ht="15.75">
      <c r="B313" s="269"/>
      <c r="F313" s="270"/>
      <c r="I313" s="271"/>
    </row>
    <row r="314" spans="2:9" ht="15.75">
      <c r="B314" s="269"/>
      <c r="F314" s="270"/>
      <c r="I314" s="271"/>
    </row>
    <row r="315" spans="2:9" ht="15.75">
      <c r="B315" s="269"/>
      <c r="F315" s="270"/>
      <c r="I315" s="271"/>
    </row>
    <row r="316" spans="2:9" ht="15.75">
      <c r="B316" s="269"/>
      <c r="F316" s="270"/>
      <c r="I316" s="271"/>
    </row>
    <row r="317" spans="2:9" ht="15.75">
      <c r="B317" s="269"/>
      <c r="F317" s="270"/>
      <c r="I317" s="271"/>
    </row>
    <row r="318" spans="2:9" ht="15.75">
      <c r="B318" s="269"/>
      <c r="F318" s="270"/>
      <c r="I318" s="271"/>
    </row>
    <row r="319" spans="2:9" ht="15.75">
      <c r="B319" s="269"/>
      <c r="F319" s="270"/>
      <c r="I319" s="271"/>
    </row>
    <row r="320" spans="2:9" ht="15.75">
      <c r="B320" s="269"/>
      <c r="F320" s="270"/>
      <c r="I320" s="271"/>
    </row>
    <row r="321" spans="2:9" ht="15.75">
      <c r="B321" s="269"/>
      <c r="F321" s="270"/>
      <c r="I321" s="271"/>
    </row>
    <row r="322" spans="2:9" ht="15.75">
      <c r="B322" s="269"/>
      <c r="F322" s="270"/>
      <c r="I322" s="271"/>
    </row>
    <row r="323" spans="2:9" ht="15.75">
      <c r="B323" s="269"/>
      <c r="F323" s="270"/>
      <c r="I323" s="271"/>
    </row>
    <row r="324" spans="2:9" ht="15.75">
      <c r="B324" s="269"/>
      <c r="F324" s="270"/>
      <c r="I324" s="271"/>
    </row>
    <row r="325" spans="2:9" ht="15.75">
      <c r="B325" s="269"/>
      <c r="F325" s="270"/>
      <c r="I325" s="271"/>
    </row>
    <row r="326" spans="2:9" ht="15.75">
      <c r="B326" s="269"/>
      <c r="F326" s="270"/>
      <c r="I326" s="271"/>
    </row>
    <row r="327" spans="2:9" ht="15.75">
      <c r="B327" s="269"/>
      <c r="F327" s="270"/>
      <c r="I327" s="271"/>
    </row>
    <row r="328" spans="2:9" ht="15.75">
      <c r="B328" s="269"/>
      <c r="F328" s="270"/>
      <c r="I328" s="271"/>
    </row>
    <row r="329" spans="2:9" ht="15.75">
      <c r="B329" s="269"/>
      <c r="F329" s="270"/>
      <c r="I329" s="271"/>
    </row>
    <row r="330" spans="2:9" ht="15.75">
      <c r="B330" s="269"/>
      <c r="F330" s="270"/>
      <c r="I330" s="271"/>
    </row>
    <row r="331" spans="2:9" ht="15.75">
      <c r="B331" s="269"/>
      <c r="F331" s="270"/>
      <c r="I331" s="271"/>
    </row>
    <row r="332" spans="2:9" ht="15.75">
      <c r="B332" s="269"/>
      <c r="F332" s="270"/>
      <c r="I332" s="271"/>
    </row>
    <row r="333" spans="2:9" ht="15.75">
      <c r="B333" s="269"/>
      <c r="F333" s="270"/>
      <c r="I333" s="271"/>
    </row>
    <row r="334" spans="2:9" ht="15.75">
      <c r="B334" s="269"/>
      <c r="F334" s="270"/>
      <c r="I334" s="271"/>
    </row>
    <row r="335" spans="2:9" ht="15.75">
      <c r="B335" s="269"/>
      <c r="F335" s="270"/>
      <c r="I335" s="271"/>
    </row>
    <row r="336" spans="2:9" ht="15.75">
      <c r="B336" s="269"/>
      <c r="F336" s="270"/>
      <c r="I336" s="271"/>
    </row>
    <row r="337" spans="2:9" ht="15.75">
      <c r="B337" s="269"/>
      <c r="F337" s="270"/>
      <c r="I337" s="271"/>
    </row>
    <row r="338" spans="2:9" ht="15.75">
      <c r="B338" s="269"/>
      <c r="F338" s="270"/>
      <c r="I338" s="271"/>
    </row>
    <row r="339" spans="2:9" ht="15.75">
      <c r="B339" s="269"/>
      <c r="F339" s="270"/>
      <c r="I339" s="271"/>
    </row>
    <row r="340" spans="2:9" ht="15.75">
      <c r="B340" s="269"/>
      <c r="F340" s="270"/>
      <c r="I340" s="271"/>
    </row>
    <row r="341" spans="2:9" ht="15.75">
      <c r="B341" s="269"/>
      <c r="F341" s="270"/>
      <c r="I341" s="271"/>
    </row>
    <row r="342" spans="2:9" ht="15.75">
      <c r="B342" s="269"/>
      <c r="F342" s="270"/>
      <c r="I342" s="271"/>
    </row>
    <row r="343" spans="2:9" ht="15.75">
      <c r="B343" s="269"/>
      <c r="F343" s="270"/>
      <c r="I343" s="271"/>
    </row>
    <row r="344" spans="2:9" ht="15.75">
      <c r="B344" s="269"/>
      <c r="F344" s="270"/>
      <c r="I344" s="271"/>
    </row>
    <row r="345" spans="2:9" ht="15.75">
      <c r="B345" s="269"/>
      <c r="F345" s="270"/>
      <c r="I345" s="271"/>
    </row>
    <row r="346" spans="2:9" ht="15.75">
      <c r="B346" s="269"/>
      <c r="F346" s="270"/>
      <c r="I346" s="271"/>
    </row>
    <row r="347" spans="2:9" ht="15.75">
      <c r="B347" s="269"/>
      <c r="F347" s="270"/>
      <c r="I347" s="271"/>
    </row>
    <row r="348" spans="2:9" ht="15.75">
      <c r="B348" s="269"/>
      <c r="F348" s="270"/>
      <c r="I348" s="271"/>
    </row>
    <row r="349" spans="2:9" ht="15.75">
      <c r="B349" s="269"/>
      <c r="F349" s="270"/>
      <c r="I349" s="271"/>
    </row>
    <row r="350" spans="2:9" ht="15.75">
      <c r="B350" s="269"/>
      <c r="F350" s="270"/>
      <c r="I350" s="271"/>
    </row>
    <row r="351" spans="2:9" ht="15.75">
      <c r="B351" s="269"/>
      <c r="F351" s="270"/>
      <c r="I351" s="271"/>
    </row>
    <row r="352" spans="2:9" ht="15.75">
      <c r="B352" s="269"/>
      <c r="F352" s="270"/>
      <c r="I352" s="271"/>
    </row>
    <row r="353" spans="2:9" ht="15.75">
      <c r="B353" s="269"/>
      <c r="F353" s="270"/>
      <c r="I353" s="271"/>
    </row>
    <row r="354" spans="2:9" ht="15.75">
      <c r="B354" s="269"/>
      <c r="F354" s="270"/>
      <c r="I354" s="271"/>
    </row>
    <row r="355" spans="2:9" ht="15.75">
      <c r="B355" s="269"/>
      <c r="F355" s="270"/>
      <c r="I355" s="271"/>
    </row>
    <row r="356" spans="2:9" ht="15.75">
      <c r="B356" s="269"/>
      <c r="F356" s="270"/>
      <c r="I356" s="271"/>
    </row>
    <row r="357" spans="2:9" ht="15.75">
      <c r="B357" s="269"/>
      <c r="F357" s="270"/>
      <c r="I357" s="271"/>
    </row>
    <row r="358" spans="2:9" ht="15.75">
      <c r="B358" s="269"/>
      <c r="F358" s="270"/>
      <c r="I358" s="271"/>
    </row>
    <row r="359" spans="2:9" ht="15.75">
      <c r="B359" s="269"/>
      <c r="F359" s="270"/>
      <c r="I359" s="271"/>
    </row>
    <row r="360" spans="2:9" ht="15.75">
      <c r="B360" s="269"/>
      <c r="F360" s="270"/>
      <c r="I360" s="271"/>
    </row>
    <row r="361" spans="2:9" ht="15.75">
      <c r="B361" s="269"/>
      <c r="F361" s="270"/>
      <c r="I361" s="271"/>
    </row>
    <row r="362" spans="2:9" ht="15.75">
      <c r="B362" s="269"/>
      <c r="F362" s="270"/>
      <c r="I362" s="271"/>
    </row>
    <row r="363" spans="2:9" ht="15.75">
      <c r="B363" s="269"/>
      <c r="F363" s="270"/>
      <c r="I363" s="271"/>
    </row>
    <row r="364" spans="2:9" ht="15.75">
      <c r="B364" s="269"/>
      <c r="F364" s="270"/>
      <c r="I364" s="271"/>
    </row>
    <row r="365" spans="2:9" ht="15.75">
      <c r="B365" s="269"/>
      <c r="F365" s="270"/>
      <c r="I365" s="271"/>
    </row>
    <row r="366" spans="2:9" ht="15.75">
      <c r="B366" s="269"/>
      <c r="F366" s="270"/>
      <c r="I366" s="271"/>
    </row>
    <row r="367" spans="2:9" ht="15.75">
      <c r="B367" s="269"/>
      <c r="F367" s="270"/>
      <c r="I367" s="271"/>
    </row>
    <row r="368" spans="2:9" ht="15.75">
      <c r="B368" s="269"/>
      <c r="F368" s="270"/>
      <c r="I368" s="271"/>
    </row>
    <row r="369" spans="2:9" ht="15.75">
      <c r="B369" s="269"/>
      <c r="F369" s="270"/>
      <c r="I369" s="271"/>
    </row>
    <row r="370" spans="2:9" ht="15.75">
      <c r="B370" s="269"/>
      <c r="F370" s="270"/>
      <c r="I370" s="271"/>
    </row>
    <row r="371" spans="2:9" ht="15.75">
      <c r="B371" s="269"/>
      <c r="F371" s="270"/>
      <c r="I371" s="271"/>
    </row>
    <row r="372" spans="2:9" ht="15.75">
      <c r="B372" s="269"/>
      <c r="F372" s="270"/>
      <c r="I372" s="271"/>
    </row>
    <row r="373" spans="2:9" ht="15.75">
      <c r="B373" s="269"/>
      <c r="F373" s="270"/>
      <c r="I373" s="271"/>
    </row>
    <row r="374" spans="2:9" ht="15.75">
      <c r="B374" s="269"/>
      <c r="F374" s="270"/>
      <c r="I374" s="271"/>
    </row>
    <row r="375" spans="2:9" ht="15.75">
      <c r="B375" s="269"/>
      <c r="F375" s="270"/>
      <c r="I375" s="271"/>
    </row>
    <row r="376" spans="2:9" ht="15.75">
      <c r="B376" s="269"/>
      <c r="F376" s="270"/>
      <c r="I376" s="271"/>
    </row>
    <row r="377" spans="2:9" ht="15.75">
      <c r="B377" s="269"/>
      <c r="F377" s="270"/>
      <c r="I377" s="271"/>
    </row>
    <row r="378" spans="2:9" ht="15.75">
      <c r="B378" s="269"/>
      <c r="F378" s="270"/>
      <c r="I378" s="271"/>
    </row>
    <row r="379" spans="2:9" ht="15.75">
      <c r="B379" s="269"/>
      <c r="F379" s="270"/>
      <c r="I379" s="271"/>
    </row>
    <row r="380" spans="2:9" ht="15.75">
      <c r="B380" s="269"/>
      <c r="F380" s="270"/>
      <c r="I380" s="271"/>
    </row>
    <row r="381" spans="2:9" ht="15.75">
      <c r="B381" s="269"/>
      <c r="F381" s="270"/>
      <c r="I381" s="271"/>
    </row>
    <row r="382" spans="2:9" ht="15.75">
      <c r="B382" s="269"/>
      <c r="F382" s="270"/>
      <c r="I382" s="271"/>
    </row>
    <row r="383" spans="2:9" ht="15.75">
      <c r="B383" s="269"/>
      <c r="F383" s="270"/>
      <c r="I383" s="271"/>
    </row>
    <row r="384" spans="2:9" ht="15.75">
      <c r="B384" s="269"/>
      <c r="F384" s="270"/>
      <c r="I384" s="271"/>
    </row>
    <row r="385" spans="2:9" ht="15.75">
      <c r="B385" s="269"/>
      <c r="F385" s="270"/>
      <c r="I385" s="271"/>
    </row>
    <row r="386" spans="2:9" ht="15.75">
      <c r="B386" s="269"/>
      <c r="F386" s="270"/>
      <c r="I386" s="271"/>
    </row>
    <row r="387" spans="2:9" ht="15.75">
      <c r="B387" s="269"/>
      <c r="F387" s="270"/>
      <c r="I387" s="271"/>
    </row>
    <row r="388" spans="2:9" ht="15.75">
      <c r="B388" s="269"/>
      <c r="F388" s="270"/>
      <c r="I388" s="271"/>
    </row>
    <row r="389" spans="2:9" ht="15.75">
      <c r="B389" s="269"/>
      <c r="F389" s="270"/>
      <c r="I389" s="271"/>
    </row>
    <row r="390" spans="2:9" ht="15.75">
      <c r="B390" s="269"/>
      <c r="F390" s="270"/>
      <c r="I390" s="271"/>
    </row>
    <row r="391" spans="2:9" ht="15.75">
      <c r="B391" s="269"/>
      <c r="F391" s="270"/>
      <c r="I391" s="271"/>
    </row>
    <row r="392" spans="2:9" ht="15.75">
      <c r="B392" s="269"/>
      <c r="F392" s="270"/>
      <c r="I392" s="271"/>
    </row>
    <row r="393" spans="2:9" ht="15.75">
      <c r="B393" s="269"/>
      <c r="F393" s="270"/>
      <c r="I393" s="271"/>
    </row>
    <row r="394" spans="2:9" ht="15.75">
      <c r="B394" s="269"/>
      <c r="F394" s="270"/>
      <c r="I394" s="271"/>
    </row>
    <row r="395" spans="2:9" ht="15.75">
      <c r="B395" s="269"/>
      <c r="F395" s="270"/>
      <c r="I395" s="271"/>
    </row>
    <row r="396" spans="2:9" ht="15.75">
      <c r="B396" s="269"/>
      <c r="F396" s="270"/>
      <c r="I396" s="271"/>
    </row>
    <row r="397" spans="2:9" ht="15.75">
      <c r="B397" s="269"/>
      <c r="F397" s="270"/>
      <c r="I397" s="271"/>
    </row>
    <row r="398" spans="2:9" ht="15.75">
      <c r="B398" s="269"/>
      <c r="F398" s="270"/>
      <c r="I398" s="271"/>
    </row>
    <row r="399" spans="2:9" ht="15.75">
      <c r="B399" s="269"/>
      <c r="F399" s="270"/>
      <c r="I399" s="271"/>
    </row>
    <row r="400" spans="2:9" ht="15.75">
      <c r="B400" s="269"/>
      <c r="F400" s="270"/>
      <c r="I400" s="271"/>
    </row>
    <row r="401" spans="2:9" ht="15.75">
      <c r="B401" s="269"/>
      <c r="F401" s="270"/>
      <c r="I401" s="271"/>
    </row>
    <row r="402" spans="2:9" ht="15.75">
      <c r="B402" s="269"/>
      <c r="F402" s="270"/>
      <c r="I402" s="271"/>
    </row>
    <row r="403" spans="2:9" ht="15.75">
      <c r="B403" s="269"/>
      <c r="F403" s="270"/>
      <c r="I403" s="271"/>
    </row>
    <row r="404" spans="2:9" ht="15.75">
      <c r="B404" s="269"/>
      <c r="F404" s="270"/>
      <c r="I404" s="271"/>
    </row>
    <row r="405" spans="2:9" ht="15.75">
      <c r="B405" s="269"/>
      <c r="F405" s="270"/>
      <c r="I405" s="271"/>
    </row>
    <row r="406" spans="2:9" ht="15.75">
      <c r="B406" s="269"/>
      <c r="F406" s="270"/>
      <c r="I406" s="271"/>
    </row>
    <row r="407" spans="2:9" ht="15.75">
      <c r="B407" s="269"/>
      <c r="F407" s="270"/>
      <c r="I407" s="271"/>
    </row>
    <row r="408" spans="2:9" ht="15.75">
      <c r="B408" s="269"/>
      <c r="F408" s="270"/>
      <c r="I408" s="271"/>
    </row>
    <row r="409" spans="2:9" ht="15.75">
      <c r="B409" s="269"/>
      <c r="F409" s="270"/>
      <c r="I409" s="271"/>
    </row>
    <row r="410" spans="2:9" ht="15.75">
      <c r="B410" s="269"/>
      <c r="F410" s="270"/>
      <c r="I410" s="271"/>
    </row>
    <row r="411" spans="2:9" ht="15.75">
      <c r="B411" s="269"/>
      <c r="F411" s="270"/>
      <c r="I411" s="271"/>
    </row>
    <row r="412" spans="2:9" ht="15.75">
      <c r="B412" s="269"/>
      <c r="F412" s="270"/>
      <c r="I412" s="271"/>
    </row>
    <row r="413" spans="2:9" ht="15.75">
      <c r="B413" s="269"/>
      <c r="F413" s="270"/>
      <c r="I413" s="271"/>
    </row>
    <row r="414" spans="2:9" ht="15.75">
      <c r="B414" s="269"/>
      <c r="F414" s="270"/>
      <c r="I414" s="271"/>
    </row>
    <row r="415" spans="2:9" ht="15.75">
      <c r="B415" s="269"/>
      <c r="F415" s="270"/>
      <c r="I415" s="271"/>
    </row>
    <row r="416" spans="2:9" ht="15.75">
      <c r="B416" s="269"/>
      <c r="F416" s="270"/>
      <c r="I416" s="271"/>
    </row>
    <row r="417" spans="2:9" ht="15.75">
      <c r="B417" s="269"/>
      <c r="F417" s="270"/>
      <c r="I417" s="271"/>
    </row>
    <row r="418" spans="2:9" ht="15.75">
      <c r="B418" s="269"/>
      <c r="F418" s="270"/>
      <c r="I418" s="271"/>
    </row>
    <row r="419" spans="2:9" ht="15.75">
      <c r="B419" s="269"/>
      <c r="F419" s="270"/>
      <c r="I419" s="271"/>
    </row>
    <row r="420" spans="2:9" ht="15.75">
      <c r="B420" s="269"/>
      <c r="F420" s="270"/>
      <c r="I420" s="271"/>
    </row>
    <row r="421" spans="2:9" ht="15.75">
      <c r="B421" s="269"/>
      <c r="F421" s="270"/>
      <c r="I421" s="271"/>
    </row>
    <row r="422" spans="2:9" ht="15.75">
      <c r="B422" s="269"/>
      <c r="F422" s="270"/>
      <c r="I422" s="271"/>
    </row>
    <row r="423" spans="2:9" ht="15.75">
      <c r="B423" s="269"/>
      <c r="F423" s="270"/>
      <c r="I423" s="271"/>
    </row>
    <row r="424" spans="2:9" ht="15.75">
      <c r="B424" s="269"/>
      <c r="F424" s="270"/>
      <c r="I424" s="271"/>
    </row>
    <row r="425" spans="2:9" ht="15.75">
      <c r="B425" s="269"/>
      <c r="F425" s="270"/>
      <c r="I425" s="271"/>
    </row>
    <row r="426" spans="2:9" ht="15.75">
      <c r="B426" s="269"/>
      <c r="F426" s="270"/>
      <c r="I426" s="271"/>
    </row>
    <row r="427" spans="2:9" ht="15.75">
      <c r="B427" s="269"/>
      <c r="F427" s="270"/>
      <c r="I427" s="271"/>
    </row>
    <row r="428" spans="2:9" ht="15.75">
      <c r="B428" s="269"/>
      <c r="F428" s="270"/>
      <c r="I428" s="271"/>
    </row>
    <row r="429" spans="2:9" ht="15.75">
      <c r="B429" s="269"/>
      <c r="F429" s="270"/>
      <c r="I429" s="271"/>
    </row>
    <row r="430" spans="2:9" ht="15.75">
      <c r="B430" s="269"/>
      <c r="F430" s="270"/>
      <c r="I430" s="271"/>
    </row>
    <row r="431" spans="2:9" ht="15.75">
      <c r="B431" s="269"/>
      <c r="F431" s="270"/>
      <c r="I431" s="271"/>
    </row>
    <row r="432" spans="2:9" ht="15.75">
      <c r="B432" s="269"/>
      <c r="F432" s="270"/>
      <c r="I432" s="271"/>
    </row>
    <row r="433" spans="2:9" ht="15.75">
      <c r="B433" s="269"/>
      <c r="F433" s="270"/>
      <c r="I433" s="271"/>
    </row>
    <row r="434" spans="2:9" ht="15.75">
      <c r="B434" s="269"/>
      <c r="F434" s="270"/>
      <c r="I434" s="271"/>
    </row>
    <row r="435" spans="2:9" ht="15.75">
      <c r="B435" s="269"/>
      <c r="F435" s="270"/>
      <c r="I435" s="271"/>
    </row>
    <row r="436" spans="2:9" ht="15.75">
      <c r="B436" s="269"/>
      <c r="F436" s="270"/>
      <c r="I436" s="271"/>
    </row>
    <row r="437" spans="2:9" ht="15.75">
      <c r="B437" s="269"/>
      <c r="F437" s="270"/>
      <c r="I437" s="271"/>
    </row>
    <row r="438" spans="2:9" ht="15.75">
      <c r="B438" s="269"/>
      <c r="F438" s="270"/>
      <c r="I438" s="271"/>
    </row>
    <row r="439" spans="2:9" ht="15.75">
      <c r="B439" s="269"/>
      <c r="F439" s="270"/>
      <c r="I439" s="271"/>
    </row>
    <row r="440" spans="2:9" ht="15.75">
      <c r="B440" s="269"/>
      <c r="F440" s="270"/>
      <c r="I440" s="271"/>
    </row>
    <row r="441" spans="2:9" ht="15.75">
      <c r="B441" s="269"/>
      <c r="F441" s="270"/>
      <c r="I441" s="271"/>
    </row>
    <row r="442" spans="2:9" ht="15.75">
      <c r="B442" s="269"/>
      <c r="F442" s="270"/>
      <c r="I442" s="271"/>
    </row>
    <row r="443" spans="2:9" ht="15.75">
      <c r="B443" s="269"/>
      <c r="F443" s="270"/>
      <c r="I443" s="271"/>
    </row>
    <row r="444" spans="2:9" ht="15.75">
      <c r="B444" s="269"/>
      <c r="F444" s="270"/>
      <c r="I444" s="271"/>
    </row>
    <row r="445" spans="2:9" ht="15.75">
      <c r="B445" s="269"/>
      <c r="F445" s="270"/>
      <c r="I445" s="271"/>
    </row>
    <row r="446" spans="2:9" ht="15.75">
      <c r="B446" s="269"/>
      <c r="F446" s="270"/>
      <c r="I446" s="271"/>
    </row>
    <row r="447" spans="2:9" ht="15.75">
      <c r="B447" s="269"/>
      <c r="F447" s="270"/>
      <c r="I447" s="271"/>
    </row>
    <row r="448" spans="2:9" ht="15.75">
      <c r="B448" s="269"/>
      <c r="F448" s="270"/>
      <c r="I448" s="271"/>
    </row>
    <row r="449" spans="2:9" ht="15.75">
      <c r="B449" s="269"/>
      <c r="F449" s="270"/>
      <c r="I449" s="271"/>
    </row>
    <row r="450" spans="2:9" ht="15.75">
      <c r="B450" s="269"/>
      <c r="F450" s="270"/>
      <c r="I450" s="271"/>
    </row>
    <row r="451" spans="2:9" ht="15.75">
      <c r="B451" s="269"/>
      <c r="F451" s="270"/>
      <c r="I451" s="271"/>
    </row>
    <row r="452" spans="2:9" ht="15.75">
      <c r="B452" s="269"/>
      <c r="F452" s="270"/>
      <c r="I452" s="271"/>
    </row>
    <row r="453" spans="2:9" ht="15.75">
      <c r="B453" s="269"/>
      <c r="F453" s="270"/>
      <c r="I453" s="271"/>
    </row>
    <row r="454" spans="2:9" ht="15.75">
      <c r="B454" s="269"/>
      <c r="F454" s="270"/>
      <c r="I454" s="271"/>
    </row>
    <row r="455" spans="2:9" ht="15.75">
      <c r="B455" s="269"/>
      <c r="F455" s="270"/>
      <c r="I455" s="271"/>
    </row>
    <row r="456" spans="2:9" ht="15.75">
      <c r="B456" s="269"/>
      <c r="F456" s="270"/>
      <c r="I456" s="271"/>
    </row>
    <row r="457" spans="2:9" ht="15.75">
      <c r="B457" s="269"/>
      <c r="F457" s="270"/>
      <c r="I457" s="271"/>
    </row>
    <row r="458" spans="2:9" ht="15.75">
      <c r="B458" s="269"/>
      <c r="F458" s="270"/>
      <c r="I458" s="271"/>
    </row>
    <row r="459" spans="2:9" ht="15.75">
      <c r="B459" s="269"/>
      <c r="F459" s="270"/>
      <c r="I459" s="271"/>
    </row>
    <row r="460" spans="2:9" ht="15.75">
      <c r="B460" s="269"/>
      <c r="F460" s="270"/>
      <c r="I460" s="271"/>
    </row>
    <row r="461" spans="2:9" ht="15.75">
      <c r="B461" s="269"/>
      <c r="F461" s="270"/>
      <c r="I461" s="271"/>
    </row>
    <row r="462" spans="2:9" ht="15.75">
      <c r="B462" s="269"/>
      <c r="F462" s="270"/>
      <c r="I462" s="271"/>
    </row>
    <row r="463" spans="2:9" ht="15.75">
      <c r="B463" s="269"/>
      <c r="F463" s="270"/>
      <c r="I463" s="271"/>
    </row>
    <row r="464" spans="2:9" ht="15.75">
      <c r="B464" s="269"/>
      <c r="F464" s="270"/>
      <c r="I464" s="271"/>
    </row>
    <row r="465" spans="2:9" ht="15.75">
      <c r="B465" s="269"/>
      <c r="F465" s="270"/>
      <c r="I465" s="271"/>
    </row>
    <row r="466" spans="2:9" ht="15.75">
      <c r="B466" s="269"/>
      <c r="F466" s="270"/>
      <c r="I466" s="271"/>
    </row>
    <row r="467" spans="2:9" ht="15.75">
      <c r="B467" s="269"/>
      <c r="F467" s="270"/>
      <c r="I467" s="271"/>
    </row>
    <row r="468" spans="2:9" ht="15.75">
      <c r="B468" s="269"/>
      <c r="F468" s="270"/>
      <c r="I468" s="271"/>
    </row>
    <row r="469" spans="2:9" ht="15.75">
      <c r="B469" s="269"/>
      <c r="F469" s="270"/>
      <c r="I469" s="271"/>
    </row>
    <row r="470" spans="2:9" ht="15.75">
      <c r="B470" s="269"/>
      <c r="F470" s="270"/>
      <c r="I470" s="271"/>
    </row>
    <row r="471" spans="2:9" ht="15.75">
      <c r="B471" s="269"/>
      <c r="F471" s="270"/>
      <c r="I471" s="271"/>
    </row>
    <row r="472" spans="2:9" ht="15.75">
      <c r="B472" s="269"/>
      <c r="F472" s="270"/>
      <c r="I472" s="271"/>
    </row>
    <row r="473" spans="2:9" ht="15.75">
      <c r="B473" s="269"/>
      <c r="F473" s="270"/>
      <c r="I473" s="271"/>
    </row>
    <row r="474" spans="2:9" ht="15.75">
      <c r="B474" s="269"/>
      <c r="F474" s="270"/>
      <c r="I474" s="271"/>
    </row>
    <row r="475" spans="2:9" ht="15.75">
      <c r="B475" s="269"/>
      <c r="F475" s="270"/>
      <c r="I475" s="271"/>
    </row>
    <row r="476" spans="2:9" ht="15.75">
      <c r="B476" s="269"/>
      <c r="F476" s="270"/>
      <c r="I476" s="271"/>
    </row>
    <row r="477" spans="2:9" ht="15.75">
      <c r="B477" s="269"/>
      <c r="F477" s="270"/>
      <c r="I477" s="271"/>
    </row>
    <row r="478" spans="2:9" ht="15.75">
      <c r="B478" s="269"/>
      <c r="F478" s="270"/>
      <c r="I478" s="271"/>
    </row>
    <row r="479" spans="2:9" ht="15.75">
      <c r="B479" s="269"/>
      <c r="F479" s="270"/>
      <c r="I479" s="271"/>
    </row>
    <row r="480" spans="2:9" ht="15.75">
      <c r="B480" s="269"/>
      <c r="F480" s="270"/>
      <c r="I480" s="271"/>
    </row>
    <row r="481" spans="2:9" ht="15.75">
      <c r="B481" s="269"/>
      <c r="F481" s="270"/>
      <c r="I481" s="271"/>
    </row>
    <row r="482" spans="2:9" ht="15.75">
      <c r="B482" s="269"/>
      <c r="F482" s="270"/>
      <c r="I482" s="271"/>
    </row>
    <row r="483" spans="2:9" ht="15.75">
      <c r="B483" s="269"/>
      <c r="F483" s="270"/>
      <c r="I483" s="271"/>
    </row>
    <row r="484" spans="2:9" ht="15.75">
      <c r="B484" s="269"/>
      <c r="F484" s="270"/>
      <c r="I484" s="271"/>
    </row>
    <row r="485" spans="2:9" ht="15.75">
      <c r="B485" s="269"/>
      <c r="F485" s="270"/>
      <c r="I485" s="271"/>
    </row>
    <row r="486" spans="2:9" ht="15.75">
      <c r="B486" s="269"/>
      <c r="F486" s="270"/>
      <c r="I486" s="271"/>
    </row>
    <row r="487" spans="2:9" ht="15.75">
      <c r="B487" s="269"/>
      <c r="F487" s="270"/>
      <c r="I487" s="271"/>
    </row>
    <row r="488" spans="2:9" ht="15.75">
      <c r="B488" s="269"/>
      <c r="F488" s="270"/>
      <c r="I488" s="271"/>
    </row>
    <row r="489" spans="2:9" ht="15.75">
      <c r="B489" s="269"/>
      <c r="F489" s="270"/>
      <c r="I489" s="271"/>
    </row>
    <row r="490" spans="2:9" ht="15.75">
      <c r="B490" s="269"/>
      <c r="F490" s="270"/>
      <c r="I490" s="271"/>
    </row>
    <row r="491" spans="2:9" ht="15.75">
      <c r="B491" s="269"/>
      <c r="F491" s="270"/>
      <c r="I491" s="271"/>
    </row>
    <row r="492" spans="2:9" ht="15.75">
      <c r="B492" s="269"/>
      <c r="F492" s="270"/>
      <c r="I492" s="271"/>
    </row>
    <row r="493" spans="2:9" ht="15.75">
      <c r="B493" s="269"/>
      <c r="F493" s="270"/>
      <c r="I493" s="271"/>
    </row>
    <row r="494" spans="2:9" ht="15.75">
      <c r="B494" s="269"/>
      <c r="F494" s="270"/>
      <c r="I494" s="271"/>
    </row>
    <row r="495" spans="2:9" ht="15.75">
      <c r="B495" s="269"/>
      <c r="F495" s="270"/>
      <c r="I495" s="271"/>
    </row>
    <row r="496" spans="2:9" ht="15.75">
      <c r="B496" s="269"/>
      <c r="F496" s="270"/>
      <c r="I496" s="271"/>
    </row>
    <row r="497" spans="2:9" ht="15.75">
      <c r="B497" s="269"/>
      <c r="F497" s="270"/>
      <c r="I497" s="271"/>
    </row>
    <row r="498" spans="2:9" ht="15.75">
      <c r="B498" s="269"/>
      <c r="F498" s="270"/>
      <c r="I498" s="271"/>
    </row>
    <row r="499" spans="2:9" ht="15.75">
      <c r="B499" s="269"/>
      <c r="F499" s="270"/>
      <c r="I499" s="271"/>
    </row>
    <row r="500" spans="2:9" ht="15.75">
      <c r="B500" s="269"/>
      <c r="F500" s="270"/>
      <c r="I500" s="271"/>
    </row>
    <row r="501" spans="2:9" ht="15.75">
      <c r="B501" s="269"/>
      <c r="F501" s="270"/>
      <c r="I501" s="271"/>
    </row>
    <row r="502" spans="2:9" ht="15.75">
      <c r="B502" s="269"/>
      <c r="F502" s="270"/>
      <c r="I502" s="271"/>
    </row>
    <row r="503" spans="2:9" ht="15.75">
      <c r="B503" s="269"/>
      <c r="F503" s="270"/>
      <c r="I503" s="271"/>
    </row>
    <row r="504" spans="2:9" ht="15.75">
      <c r="B504" s="269"/>
      <c r="F504" s="270"/>
      <c r="I504" s="271"/>
    </row>
    <row r="505" spans="2:9" ht="15.75">
      <c r="B505" s="269"/>
      <c r="F505" s="270"/>
      <c r="I505" s="271"/>
    </row>
    <row r="506" spans="2:9" ht="15.75">
      <c r="B506" s="269"/>
      <c r="F506" s="270"/>
      <c r="I506" s="271"/>
    </row>
    <row r="507" spans="2:9" ht="15.75">
      <c r="B507" s="269"/>
      <c r="F507" s="270"/>
      <c r="I507" s="271"/>
    </row>
    <row r="508" spans="2:9" ht="15.75">
      <c r="B508" s="269"/>
      <c r="F508" s="270"/>
      <c r="I508" s="271"/>
    </row>
    <row r="509" spans="2:9" ht="15.75">
      <c r="B509" s="269"/>
      <c r="F509" s="270"/>
      <c r="I509" s="271"/>
    </row>
    <row r="510" spans="2:9" ht="15.75">
      <c r="B510" s="269"/>
      <c r="F510" s="270"/>
      <c r="I510" s="271"/>
    </row>
    <row r="511" spans="2:9" ht="15.75">
      <c r="B511" s="269"/>
      <c r="F511" s="270"/>
      <c r="I511" s="271"/>
    </row>
    <row r="512" spans="2:9" ht="15.75">
      <c r="B512" s="269"/>
      <c r="F512" s="270"/>
      <c r="I512" s="271"/>
    </row>
    <row r="513" spans="2:9" ht="15.75">
      <c r="B513" s="269"/>
      <c r="F513" s="270"/>
      <c r="I513" s="271"/>
    </row>
    <row r="514" spans="2:9" ht="15.75">
      <c r="B514" s="269"/>
      <c r="F514" s="270"/>
      <c r="I514" s="271"/>
    </row>
    <row r="515" spans="2:9" ht="15.75">
      <c r="B515" s="269"/>
      <c r="F515" s="270"/>
      <c r="I515" s="271"/>
    </row>
    <row r="516" spans="2:9" ht="15.75">
      <c r="B516" s="269"/>
      <c r="F516" s="270"/>
      <c r="I516" s="271"/>
    </row>
    <row r="517" spans="2:9" ht="15.75">
      <c r="B517" s="269"/>
      <c r="F517" s="270"/>
      <c r="I517" s="271"/>
    </row>
    <row r="518" spans="2:9" ht="15.75">
      <c r="B518" s="269"/>
      <c r="F518" s="270"/>
      <c r="I518" s="271"/>
    </row>
    <row r="519" spans="2:9" ht="15.75">
      <c r="B519" s="269"/>
      <c r="F519" s="270"/>
      <c r="I519" s="271"/>
    </row>
    <row r="520" spans="2:9" ht="15.75">
      <c r="B520" s="269"/>
      <c r="F520" s="270"/>
      <c r="I520" s="271"/>
    </row>
    <row r="521" spans="2:9" ht="15.75">
      <c r="B521" s="269"/>
      <c r="F521" s="270"/>
      <c r="I521" s="271"/>
    </row>
    <row r="522" spans="2:9" ht="15.75">
      <c r="B522" s="269"/>
      <c r="F522" s="270"/>
      <c r="I522" s="271"/>
    </row>
    <row r="523" spans="2:9" ht="15.75">
      <c r="B523" s="269"/>
      <c r="F523" s="270"/>
      <c r="I523" s="271"/>
    </row>
    <row r="524" spans="2:9" ht="15.75">
      <c r="B524" s="269"/>
      <c r="F524" s="270"/>
      <c r="I524" s="271"/>
    </row>
    <row r="525" spans="2:9" ht="15.75">
      <c r="B525" s="269"/>
      <c r="F525" s="270"/>
      <c r="I525" s="271"/>
    </row>
    <row r="526" spans="2:9" ht="15.75">
      <c r="B526" s="269"/>
      <c r="F526" s="270"/>
      <c r="I526" s="271"/>
    </row>
    <row r="527" spans="2:9" ht="15.75">
      <c r="B527" s="269"/>
      <c r="F527" s="270"/>
      <c r="I527" s="271"/>
    </row>
    <row r="528" spans="2:9" ht="15.75">
      <c r="B528" s="269"/>
      <c r="F528" s="270"/>
      <c r="I528" s="271"/>
    </row>
    <row r="529" spans="2:9" ht="15.75">
      <c r="B529" s="269"/>
      <c r="F529" s="270"/>
      <c r="I529" s="271"/>
    </row>
    <row r="530" spans="2:9" ht="15.75">
      <c r="B530" s="269"/>
      <c r="F530" s="270"/>
      <c r="I530" s="271"/>
    </row>
    <row r="531" spans="2:9" ht="15.75">
      <c r="B531" s="269"/>
      <c r="F531" s="270"/>
      <c r="I531" s="271"/>
    </row>
    <row r="532" spans="2:9" ht="15.75">
      <c r="B532" s="269"/>
      <c r="F532" s="270"/>
      <c r="I532" s="271"/>
    </row>
    <row r="533" spans="2:9" ht="15.75">
      <c r="B533" s="269"/>
      <c r="F533" s="270"/>
      <c r="I533" s="271"/>
    </row>
    <row r="534" spans="2:9" ht="15.75">
      <c r="B534" s="269"/>
      <c r="F534" s="270"/>
      <c r="I534" s="271"/>
    </row>
    <row r="535" spans="2:9" ht="15.75">
      <c r="B535" s="269"/>
      <c r="F535" s="270"/>
      <c r="I535" s="271"/>
    </row>
    <row r="536" spans="2:9" ht="15.75">
      <c r="B536" s="269"/>
      <c r="F536" s="270"/>
      <c r="I536" s="271"/>
    </row>
    <row r="537" spans="2:9" ht="15.75">
      <c r="B537" s="269"/>
      <c r="F537" s="270"/>
      <c r="I537" s="271"/>
    </row>
    <row r="538" spans="2:9" ht="15.75">
      <c r="B538" s="269"/>
      <c r="F538" s="270"/>
      <c r="I538" s="271"/>
    </row>
    <row r="539" spans="2:9" ht="15.75">
      <c r="B539" s="269"/>
      <c r="F539" s="270"/>
      <c r="I539" s="271"/>
    </row>
    <row r="540" spans="2:9" ht="15.75">
      <c r="B540" s="269"/>
      <c r="F540" s="270"/>
      <c r="I540" s="271"/>
    </row>
    <row r="541" spans="2:9" ht="15.75">
      <c r="B541" s="269"/>
      <c r="F541" s="270"/>
      <c r="I541" s="271"/>
    </row>
    <row r="542" spans="2:9" ht="15.75">
      <c r="B542" s="269"/>
      <c r="F542" s="270"/>
      <c r="I542" s="271"/>
    </row>
    <row r="543" spans="2:9" ht="15.75">
      <c r="B543" s="269"/>
      <c r="F543" s="270"/>
      <c r="I543" s="271"/>
    </row>
    <row r="544" spans="2:9" ht="15.75">
      <c r="B544" s="269"/>
      <c r="F544" s="270"/>
      <c r="I544" s="271"/>
    </row>
    <row r="545" spans="2:9" ht="15.75">
      <c r="B545" s="269"/>
      <c r="F545" s="270"/>
      <c r="I545" s="271"/>
    </row>
    <row r="546" spans="2:9" ht="15.75">
      <c r="B546" s="269"/>
      <c r="F546" s="270"/>
      <c r="I546" s="271"/>
    </row>
    <row r="547" spans="2:9" ht="15.75">
      <c r="B547" s="269"/>
      <c r="F547" s="270"/>
      <c r="I547" s="271"/>
    </row>
    <row r="548" spans="2:9" ht="15.75">
      <c r="B548" s="269"/>
      <c r="F548" s="270"/>
      <c r="I548" s="271"/>
    </row>
    <row r="549" spans="2:9" ht="15.75">
      <c r="B549" s="269"/>
      <c r="F549" s="270"/>
      <c r="I549" s="271"/>
    </row>
    <row r="550" spans="2:9" ht="15.75">
      <c r="B550" s="269"/>
      <c r="F550" s="270"/>
      <c r="I550" s="271"/>
    </row>
    <row r="551" spans="2:9" ht="15.75">
      <c r="B551" s="269"/>
      <c r="F551" s="270"/>
      <c r="I551" s="271"/>
    </row>
    <row r="552" spans="2:9" ht="15.75">
      <c r="B552" s="269"/>
      <c r="F552" s="270"/>
      <c r="I552" s="271"/>
    </row>
    <row r="553" spans="2:9" ht="15.75">
      <c r="B553" s="269"/>
      <c r="F553" s="270"/>
      <c r="I553" s="271"/>
    </row>
    <row r="554" spans="2:9" ht="15.75">
      <c r="B554" s="269"/>
      <c r="F554" s="270"/>
      <c r="I554" s="271"/>
    </row>
    <row r="555" spans="2:9" ht="15.75">
      <c r="B555" s="269"/>
      <c r="F555" s="270"/>
      <c r="I555" s="271"/>
    </row>
    <row r="556" spans="2:9" ht="15.75">
      <c r="B556" s="269"/>
      <c r="F556" s="270"/>
      <c r="I556" s="271"/>
    </row>
    <row r="557" spans="2:9" ht="15.75">
      <c r="B557" s="269"/>
      <c r="F557" s="270"/>
      <c r="I557" s="271"/>
    </row>
    <row r="558" spans="2:9" ht="15.75">
      <c r="B558" s="269"/>
      <c r="F558" s="270"/>
      <c r="I558" s="271"/>
    </row>
    <row r="559" spans="2:9" ht="15.75">
      <c r="B559" s="269"/>
      <c r="F559" s="270"/>
      <c r="I559" s="271"/>
    </row>
    <row r="560" spans="2:9" ht="15.75">
      <c r="B560" s="269"/>
      <c r="F560" s="270"/>
      <c r="I560" s="271"/>
    </row>
    <row r="561" spans="2:9" ht="15.75">
      <c r="B561" s="269"/>
      <c r="F561" s="270"/>
      <c r="I561" s="271"/>
    </row>
    <row r="562" spans="2:9" ht="15.75">
      <c r="B562" s="269"/>
      <c r="F562" s="270"/>
      <c r="I562" s="271"/>
    </row>
    <row r="563" spans="2:9" ht="15.75">
      <c r="B563" s="269"/>
      <c r="F563" s="270"/>
      <c r="I563" s="271"/>
    </row>
    <row r="564" spans="2:9" ht="15.75">
      <c r="B564" s="269"/>
      <c r="F564" s="270"/>
      <c r="I564" s="271"/>
    </row>
    <row r="565" spans="2:9" ht="15.75">
      <c r="B565" s="269"/>
      <c r="F565" s="270"/>
      <c r="I565" s="271"/>
    </row>
    <row r="566" spans="2:9" ht="15.75">
      <c r="B566" s="269"/>
      <c r="F566" s="270"/>
      <c r="I566" s="271"/>
    </row>
    <row r="567" spans="2:9" ht="15.75">
      <c r="B567" s="269"/>
      <c r="F567" s="270"/>
      <c r="I567" s="271"/>
    </row>
    <row r="568" spans="2:9" ht="15.75">
      <c r="B568" s="269"/>
      <c r="F568" s="270"/>
      <c r="I568" s="271"/>
    </row>
    <row r="569" spans="2:9" ht="15.75">
      <c r="B569" s="269"/>
      <c r="F569" s="270"/>
      <c r="I569" s="271"/>
    </row>
    <row r="570" spans="2:9" ht="15.75">
      <c r="B570" s="269"/>
      <c r="F570" s="270"/>
      <c r="I570" s="271"/>
    </row>
    <row r="571" spans="2:9" ht="15.75">
      <c r="B571" s="269"/>
      <c r="F571" s="270"/>
      <c r="I571" s="271"/>
    </row>
    <row r="572" spans="2:9" ht="15.75">
      <c r="B572" s="269"/>
      <c r="F572" s="270"/>
      <c r="I572" s="271"/>
    </row>
    <row r="573" spans="2:9" ht="15.75">
      <c r="B573" s="269"/>
      <c r="F573" s="270"/>
      <c r="I573" s="271"/>
    </row>
    <row r="574" spans="2:9" ht="15.75">
      <c r="B574" s="269"/>
      <c r="F574" s="270"/>
      <c r="I574" s="271"/>
    </row>
    <row r="575" spans="2:9" ht="15.75">
      <c r="B575" s="269"/>
      <c r="F575" s="270"/>
      <c r="I575" s="271"/>
    </row>
    <row r="576" spans="2:9" ht="15.75">
      <c r="B576" s="269"/>
      <c r="F576" s="270"/>
      <c r="I576" s="271"/>
    </row>
    <row r="577" spans="2:9" ht="15.75">
      <c r="B577" s="269"/>
      <c r="F577" s="270"/>
      <c r="I577" s="271"/>
    </row>
    <row r="578" spans="2:9" ht="15.75">
      <c r="B578" s="269"/>
      <c r="F578" s="270"/>
      <c r="I578" s="271"/>
    </row>
    <row r="579" spans="2:9" ht="15.75">
      <c r="B579" s="269"/>
      <c r="F579" s="270"/>
      <c r="I579" s="271"/>
    </row>
    <row r="580" spans="2:9" ht="15.75">
      <c r="B580" s="269"/>
      <c r="F580" s="270"/>
      <c r="I580" s="271"/>
    </row>
    <row r="581" spans="2:9" ht="15.75">
      <c r="B581" s="269"/>
      <c r="F581" s="270"/>
      <c r="I581" s="271"/>
    </row>
    <row r="582" spans="2:9" ht="15.75">
      <c r="B582" s="269"/>
      <c r="F582" s="270"/>
      <c r="I582" s="271"/>
    </row>
    <row r="583" spans="2:9" ht="15.75">
      <c r="B583" s="269"/>
      <c r="F583" s="270"/>
      <c r="I583" s="271"/>
    </row>
    <row r="584" spans="2:9" ht="15.75">
      <c r="B584" s="269"/>
      <c r="F584" s="270"/>
      <c r="I584" s="271"/>
    </row>
    <row r="585" spans="2:9" ht="15.75">
      <c r="B585" s="269"/>
      <c r="F585" s="270"/>
      <c r="I585" s="271"/>
    </row>
    <row r="586" spans="2:9" ht="15.75">
      <c r="B586" s="269"/>
      <c r="F586" s="270"/>
      <c r="I586" s="271"/>
    </row>
    <row r="587" spans="2:9" ht="15.75">
      <c r="B587" s="269"/>
      <c r="F587" s="270"/>
      <c r="I587" s="271"/>
    </row>
    <row r="588" spans="2:9" ht="15.75">
      <c r="B588" s="269"/>
      <c r="F588" s="270"/>
      <c r="I588" s="271"/>
    </row>
    <row r="589" spans="2:9" ht="15.75">
      <c r="B589" s="269"/>
      <c r="F589" s="270"/>
      <c r="I589" s="271"/>
    </row>
    <row r="590" spans="2:9" ht="15.75">
      <c r="B590" s="269"/>
      <c r="F590" s="270"/>
      <c r="I590" s="271"/>
    </row>
    <row r="591" spans="2:9" ht="15.75">
      <c r="B591" s="269"/>
      <c r="F591" s="270"/>
      <c r="I591" s="271"/>
    </row>
    <row r="592" spans="2:9" ht="15.75">
      <c r="B592" s="269"/>
      <c r="F592" s="270"/>
      <c r="I592" s="271"/>
    </row>
    <row r="593" spans="2:9" ht="15.75">
      <c r="B593" s="269"/>
      <c r="F593" s="270"/>
      <c r="I593" s="271"/>
    </row>
    <row r="594" spans="2:9" ht="15.75">
      <c r="B594" s="269"/>
      <c r="F594" s="270"/>
      <c r="I594" s="271"/>
    </row>
    <row r="595" spans="2:9" ht="15.75">
      <c r="B595" s="269"/>
      <c r="F595" s="270"/>
      <c r="I595" s="271"/>
    </row>
    <row r="596" spans="2:9" ht="15.75">
      <c r="B596" s="269"/>
      <c r="F596" s="270"/>
      <c r="I596" s="271"/>
    </row>
    <row r="597" spans="2:9" ht="15.75">
      <c r="B597" s="269"/>
      <c r="F597" s="270"/>
      <c r="I597" s="271"/>
    </row>
    <row r="598" spans="2:9" ht="15.75">
      <c r="B598" s="269"/>
      <c r="F598" s="270"/>
      <c r="I598" s="271"/>
    </row>
    <row r="599" spans="2:9" ht="15.75">
      <c r="B599" s="269"/>
      <c r="F599" s="270"/>
      <c r="I599" s="271"/>
    </row>
    <row r="600" spans="2:9" ht="15.75">
      <c r="B600" s="269"/>
      <c r="F600" s="270"/>
      <c r="I600" s="271"/>
    </row>
    <row r="601" spans="2:9" ht="15.75">
      <c r="B601" s="269"/>
      <c r="F601" s="270"/>
      <c r="I601" s="271"/>
    </row>
    <row r="602" spans="2:9" ht="15.75">
      <c r="B602" s="269"/>
      <c r="F602" s="270"/>
      <c r="I602" s="271"/>
    </row>
    <row r="603" spans="2:9" ht="15.75">
      <c r="B603" s="269"/>
      <c r="F603" s="270"/>
      <c r="I603" s="271"/>
    </row>
    <row r="604" spans="2:9" ht="15.75">
      <c r="B604" s="269"/>
      <c r="F604" s="270"/>
      <c r="I604" s="271"/>
    </row>
    <row r="605" spans="2:9" ht="15.75">
      <c r="B605" s="269"/>
      <c r="F605" s="270"/>
      <c r="I605" s="271"/>
    </row>
    <row r="606" spans="2:9" ht="15.75">
      <c r="B606" s="269"/>
      <c r="F606" s="270"/>
      <c r="I606" s="271"/>
    </row>
    <row r="607" spans="2:9" ht="15.75">
      <c r="B607" s="269"/>
      <c r="F607" s="270"/>
      <c r="I607" s="271"/>
    </row>
    <row r="608" spans="2:9" ht="15.75">
      <c r="B608" s="269"/>
      <c r="F608" s="270"/>
      <c r="I608" s="271"/>
    </row>
    <row r="609" spans="2:9" ht="15.75">
      <c r="B609" s="269"/>
      <c r="F609" s="270"/>
      <c r="I609" s="271"/>
    </row>
    <row r="610" spans="2:9" ht="15.75">
      <c r="B610" s="269"/>
      <c r="F610" s="270"/>
      <c r="I610" s="271"/>
    </row>
    <row r="611" spans="2:9" ht="15.75">
      <c r="B611" s="269"/>
      <c r="F611" s="270"/>
      <c r="I611" s="271"/>
    </row>
    <row r="612" spans="2:9" ht="15.75">
      <c r="B612" s="269"/>
      <c r="F612" s="270"/>
      <c r="I612" s="271"/>
    </row>
    <row r="613" spans="2:9" ht="15.75">
      <c r="B613" s="269"/>
      <c r="F613" s="270"/>
      <c r="I613" s="271"/>
    </row>
    <row r="614" spans="2:9" ht="15.75">
      <c r="B614" s="269"/>
      <c r="F614" s="270"/>
      <c r="I614" s="271"/>
    </row>
    <row r="615" spans="2:9" ht="15.75">
      <c r="B615" s="269"/>
      <c r="F615" s="270"/>
      <c r="I615" s="271"/>
    </row>
    <row r="616" spans="2:9" ht="15.75">
      <c r="B616" s="269"/>
      <c r="F616" s="270"/>
      <c r="I616" s="271"/>
    </row>
    <row r="617" spans="2:9" ht="15.75">
      <c r="B617" s="269"/>
      <c r="F617" s="270"/>
      <c r="I617" s="271"/>
    </row>
    <row r="618" spans="2:9" ht="15.75">
      <c r="B618" s="269"/>
      <c r="F618" s="270"/>
      <c r="I618" s="271"/>
    </row>
    <row r="619" spans="2:9" ht="15.75">
      <c r="B619" s="269"/>
      <c r="F619" s="270"/>
      <c r="I619" s="271"/>
    </row>
    <row r="620" spans="2:9" ht="15.75">
      <c r="B620" s="269"/>
      <c r="F620" s="270"/>
      <c r="I620" s="271"/>
    </row>
    <row r="621" spans="2:9" ht="15.75">
      <c r="B621" s="269"/>
      <c r="F621" s="270"/>
      <c r="I621" s="271"/>
    </row>
    <row r="622" spans="2:9" ht="15.75">
      <c r="B622" s="269"/>
      <c r="F622" s="270"/>
      <c r="I622" s="271"/>
    </row>
    <row r="623" spans="2:9" ht="15.75">
      <c r="B623" s="269"/>
      <c r="F623" s="270"/>
      <c r="I623" s="271"/>
    </row>
    <row r="624" spans="2:9" ht="15.75">
      <c r="B624" s="269"/>
      <c r="F624" s="270"/>
      <c r="I624" s="271"/>
    </row>
    <row r="625" spans="2:9" ht="15.75">
      <c r="B625" s="269"/>
      <c r="F625" s="270"/>
      <c r="I625" s="271"/>
    </row>
    <row r="626" spans="2:9" ht="15.75">
      <c r="B626" s="269"/>
      <c r="F626" s="270"/>
      <c r="I626" s="271"/>
    </row>
    <row r="627" spans="2:9" ht="15.75">
      <c r="B627" s="269"/>
      <c r="F627" s="270"/>
      <c r="I627" s="271"/>
    </row>
    <row r="628" spans="2:9" ht="15.75">
      <c r="B628" s="269"/>
      <c r="F628" s="270"/>
      <c r="I628" s="271"/>
    </row>
    <row r="629" spans="2:9" ht="15.75">
      <c r="B629" s="269"/>
      <c r="F629" s="270"/>
      <c r="I629" s="271"/>
    </row>
    <row r="630" spans="2:9" ht="15.75">
      <c r="B630" s="269"/>
      <c r="F630" s="270"/>
      <c r="I630" s="271"/>
    </row>
    <row r="631" spans="2:9" ht="15.75">
      <c r="B631" s="269"/>
      <c r="F631" s="270"/>
      <c r="I631" s="271"/>
    </row>
    <row r="632" spans="2:9" ht="15.75">
      <c r="B632" s="269"/>
      <c r="F632" s="270"/>
      <c r="I632" s="271"/>
    </row>
    <row r="633" spans="2:9" ht="15.75">
      <c r="B633" s="269"/>
      <c r="F633" s="270"/>
      <c r="I633" s="271"/>
    </row>
    <row r="634" spans="2:9" ht="15.75">
      <c r="B634" s="269"/>
      <c r="F634" s="270"/>
      <c r="I634" s="271"/>
    </row>
    <row r="635" spans="2:9" ht="15.75">
      <c r="B635" s="269"/>
      <c r="F635" s="270"/>
      <c r="I635" s="271"/>
    </row>
    <row r="636" spans="2:9" ht="15.75">
      <c r="B636" s="269"/>
      <c r="F636" s="270"/>
      <c r="I636" s="271"/>
    </row>
    <row r="637" spans="2:9" ht="15.75">
      <c r="B637" s="269"/>
      <c r="F637" s="270"/>
      <c r="I637" s="271"/>
    </row>
    <row r="638" spans="2:9" ht="15.75">
      <c r="B638" s="269"/>
      <c r="F638" s="270"/>
      <c r="I638" s="271"/>
    </row>
    <row r="639" spans="2:9" ht="15.75">
      <c r="B639" s="269"/>
      <c r="F639" s="270"/>
      <c r="I639" s="271"/>
    </row>
    <row r="640" spans="2:9" ht="15.75">
      <c r="B640" s="269"/>
      <c r="F640" s="270"/>
      <c r="I640" s="271"/>
    </row>
    <row r="641" spans="2:9" ht="15.75">
      <c r="B641" s="269"/>
      <c r="F641" s="270"/>
      <c r="I641" s="271"/>
    </row>
    <row r="642" spans="2:9" ht="15.75">
      <c r="B642" s="269"/>
      <c r="F642" s="270"/>
      <c r="I642" s="271"/>
    </row>
    <row r="643" spans="2:9" ht="15.75">
      <c r="B643" s="269"/>
      <c r="F643" s="270"/>
      <c r="I643" s="271"/>
    </row>
    <row r="644" spans="2:9" ht="15.75">
      <c r="B644" s="269"/>
      <c r="F644" s="270"/>
      <c r="I644" s="271"/>
    </row>
    <row r="645" spans="2:9" ht="15.75">
      <c r="B645" s="269"/>
      <c r="F645" s="270"/>
      <c r="I645" s="271"/>
    </row>
    <row r="646" spans="2:9" ht="15.75">
      <c r="B646" s="269"/>
      <c r="F646" s="270"/>
      <c r="I646" s="271"/>
    </row>
    <row r="647" spans="2:9" ht="15.75">
      <c r="B647" s="269"/>
      <c r="F647" s="270"/>
      <c r="I647" s="271"/>
    </row>
    <row r="648" spans="2:9" ht="15.75">
      <c r="B648" s="269"/>
      <c r="F648" s="270"/>
      <c r="I648" s="271"/>
    </row>
    <row r="649" spans="2:9" ht="15.75">
      <c r="B649" s="269"/>
      <c r="F649" s="270"/>
      <c r="I649" s="271"/>
    </row>
    <row r="650" spans="2:9" ht="15.75">
      <c r="B650" s="269"/>
      <c r="F650" s="270"/>
      <c r="I650" s="271"/>
    </row>
    <row r="651" spans="2:9" ht="15.75">
      <c r="B651" s="269"/>
      <c r="F651" s="270"/>
      <c r="I651" s="271"/>
    </row>
    <row r="652" spans="2:9" ht="15.75">
      <c r="B652" s="269"/>
      <c r="F652" s="270"/>
      <c r="I652" s="271"/>
    </row>
    <row r="653" spans="2:9" ht="15.75">
      <c r="B653" s="269"/>
      <c r="F653" s="270"/>
      <c r="I653" s="271"/>
    </row>
    <row r="654" spans="2:9" ht="15.75">
      <c r="B654" s="269"/>
      <c r="F654" s="270"/>
      <c r="I654" s="271"/>
    </row>
    <row r="655" spans="2:9" ht="15.75">
      <c r="B655" s="269"/>
      <c r="F655" s="270"/>
      <c r="I655" s="271"/>
    </row>
    <row r="656" spans="2:9" ht="15.75">
      <c r="B656" s="269"/>
      <c r="F656" s="270"/>
      <c r="I656" s="271"/>
    </row>
    <row r="657" spans="2:9" ht="15.75">
      <c r="B657" s="269"/>
      <c r="F657" s="270"/>
      <c r="I657" s="271"/>
    </row>
    <row r="658" spans="2:9" ht="15.75">
      <c r="B658" s="269"/>
      <c r="F658" s="270"/>
      <c r="I658" s="271"/>
    </row>
    <row r="659" spans="2:9" ht="15.75">
      <c r="B659" s="269"/>
      <c r="F659" s="270"/>
      <c r="I659" s="271"/>
    </row>
    <row r="660" spans="2:9" ht="15.75">
      <c r="B660" s="269"/>
      <c r="F660" s="270"/>
      <c r="I660" s="271"/>
    </row>
    <row r="661" spans="2:9" ht="15.75">
      <c r="B661" s="269"/>
      <c r="F661" s="270"/>
      <c r="I661" s="271"/>
    </row>
    <row r="662" spans="2:9" ht="15.75">
      <c r="B662" s="269"/>
      <c r="F662" s="270"/>
      <c r="I662" s="271"/>
    </row>
    <row r="663" spans="2:9" ht="15.75">
      <c r="B663" s="269"/>
      <c r="F663" s="270"/>
      <c r="I663" s="271"/>
    </row>
    <row r="664" spans="2:9" ht="15.75">
      <c r="B664" s="269"/>
      <c r="F664" s="270"/>
      <c r="I664" s="271"/>
    </row>
    <row r="665" spans="2:9" ht="15.75">
      <c r="B665" s="269"/>
      <c r="F665" s="270"/>
      <c r="I665" s="271"/>
    </row>
    <row r="666" spans="2:9" ht="15.75">
      <c r="B666" s="269"/>
      <c r="F666" s="270"/>
      <c r="I666" s="271"/>
    </row>
    <row r="667" spans="2:9" ht="15.75">
      <c r="B667" s="269"/>
      <c r="F667" s="270"/>
      <c r="I667" s="271"/>
    </row>
    <row r="668" spans="2:9" ht="15.75">
      <c r="B668" s="269"/>
      <c r="F668" s="270"/>
      <c r="I668" s="271"/>
    </row>
    <row r="669" spans="2:9" ht="15.75">
      <c r="B669" s="269"/>
      <c r="F669" s="270"/>
      <c r="I669" s="271"/>
    </row>
    <row r="670" spans="2:9" ht="15.75">
      <c r="B670" s="269"/>
      <c r="F670" s="270"/>
      <c r="I670" s="271"/>
    </row>
    <row r="671" spans="2:9" ht="15.75">
      <c r="B671" s="269"/>
      <c r="F671" s="270"/>
      <c r="I671" s="271"/>
    </row>
    <row r="672" spans="2:9" ht="15.75">
      <c r="B672" s="269"/>
      <c r="F672" s="270"/>
      <c r="I672" s="271"/>
    </row>
    <row r="673" spans="2:9" ht="15.75">
      <c r="B673" s="269"/>
      <c r="F673" s="270"/>
      <c r="I673" s="271"/>
    </row>
    <row r="674" spans="2:9" ht="15.75">
      <c r="B674" s="269"/>
      <c r="F674" s="270"/>
      <c r="I674" s="271"/>
    </row>
    <row r="675" spans="2:9" ht="15.75">
      <c r="B675" s="269"/>
      <c r="F675" s="270"/>
      <c r="I675" s="271"/>
    </row>
    <row r="676" spans="2:9" ht="15.75">
      <c r="B676" s="269"/>
      <c r="F676" s="270"/>
      <c r="I676" s="271"/>
    </row>
    <row r="677" spans="2:9" ht="15.75">
      <c r="B677" s="269"/>
      <c r="F677" s="270"/>
      <c r="I677" s="271"/>
    </row>
    <row r="678" spans="2:9" ht="15.75">
      <c r="B678" s="269"/>
      <c r="F678" s="270"/>
      <c r="I678" s="271"/>
    </row>
    <row r="679" spans="2:9" ht="15.75">
      <c r="B679" s="269"/>
      <c r="F679" s="270"/>
      <c r="I679" s="271"/>
    </row>
    <row r="680" spans="2:9" ht="15.75">
      <c r="B680" s="269"/>
      <c r="F680" s="270"/>
      <c r="I680" s="271"/>
    </row>
    <row r="681" spans="2:9" ht="15.75">
      <c r="B681" s="269"/>
      <c r="F681" s="270"/>
      <c r="I681" s="271"/>
    </row>
    <row r="682" spans="2:9" ht="15.75">
      <c r="B682" s="269"/>
      <c r="F682" s="270"/>
      <c r="I682" s="271"/>
    </row>
    <row r="683" spans="2:9" ht="15.75">
      <c r="B683" s="269"/>
      <c r="F683" s="270"/>
      <c r="I683" s="271"/>
    </row>
    <row r="684" spans="2:9" ht="15.75">
      <c r="B684" s="269"/>
      <c r="F684" s="270"/>
      <c r="I684" s="271"/>
    </row>
    <row r="685" spans="2:9" ht="15.75">
      <c r="B685" s="269"/>
      <c r="F685" s="270"/>
      <c r="I685" s="271"/>
    </row>
    <row r="686" spans="2:9" ht="15.75">
      <c r="B686" s="269"/>
      <c r="F686" s="270"/>
      <c r="I686" s="271"/>
    </row>
    <row r="687" spans="2:9" ht="15.75">
      <c r="B687" s="269"/>
      <c r="F687" s="270"/>
      <c r="I687" s="271"/>
    </row>
    <row r="688" spans="2:9" ht="15.75">
      <c r="B688" s="269"/>
      <c r="F688" s="270"/>
      <c r="I688" s="271"/>
    </row>
    <row r="689" spans="2:9" ht="15.75">
      <c r="B689" s="269"/>
      <c r="F689" s="270"/>
      <c r="I689" s="271"/>
    </row>
    <row r="690" spans="2:9" ht="15.75">
      <c r="B690" s="269"/>
      <c r="F690" s="270"/>
      <c r="I690" s="271"/>
    </row>
    <row r="691" spans="2:9" ht="15.75">
      <c r="B691" s="269"/>
      <c r="F691" s="270"/>
      <c r="I691" s="271"/>
    </row>
    <row r="692" spans="2:9" ht="15.75">
      <c r="B692" s="269"/>
      <c r="F692" s="270"/>
      <c r="I692" s="271"/>
    </row>
    <row r="693" spans="2:9" ht="15.75">
      <c r="B693" s="269"/>
      <c r="F693" s="270"/>
      <c r="I693" s="271"/>
    </row>
    <row r="694" spans="2:9" ht="15.75">
      <c r="B694" s="269"/>
      <c r="F694" s="270"/>
      <c r="I694" s="271"/>
    </row>
    <row r="695" spans="2:9" ht="15.75">
      <c r="B695" s="269"/>
      <c r="F695" s="270"/>
      <c r="I695" s="271"/>
    </row>
    <row r="696" spans="2:9" ht="15.75">
      <c r="B696" s="269"/>
      <c r="F696" s="270"/>
      <c r="I696" s="271"/>
    </row>
    <row r="697" spans="2:9" ht="15.75">
      <c r="B697" s="269"/>
      <c r="F697" s="270"/>
      <c r="I697" s="271"/>
    </row>
    <row r="698" spans="2:9" ht="15.75">
      <c r="B698" s="269"/>
      <c r="F698" s="270"/>
      <c r="I698" s="271"/>
    </row>
    <row r="699" spans="2:9" ht="15.75">
      <c r="B699" s="269"/>
      <c r="F699" s="270"/>
      <c r="I699" s="271"/>
    </row>
    <row r="700" spans="2:9" ht="15.75">
      <c r="B700" s="269"/>
      <c r="F700" s="270"/>
      <c r="I700" s="271"/>
    </row>
    <row r="701" spans="2:9" ht="15.75">
      <c r="B701" s="269"/>
      <c r="F701" s="270"/>
      <c r="I701" s="271"/>
    </row>
    <row r="702" spans="2:9" ht="15.75">
      <c r="B702" s="269"/>
      <c r="F702" s="270"/>
      <c r="I702" s="271"/>
    </row>
    <row r="703" spans="2:9" ht="15.75">
      <c r="B703" s="269"/>
      <c r="F703" s="270"/>
      <c r="I703" s="271"/>
    </row>
    <row r="704" spans="2:9" ht="15.75">
      <c r="B704" s="269"/>
      <c r="F704" s="270"/>
      <c r="I704" s="271"/>
    </row>
    <row r="705" spans="2:9" ht="15.75">
      <c r="B705" s="269"/>
      <c r="F705" s="270"/>
      <c r="I705" s="271"/>
    </row>
    <row r="706" spans="2:9" ht="15.75">
      <c r="B706" s="269"/>
      <c r="F706" s="270"/>
      <c r="I706" s="271"/>
    </row>
    <row r="707" spans="2:9" ht="15.75">
      <c r="B707" s="269"/>
      <c r="F707" s="270"/>
      <c r="I707" s="271"/>
    </row>
    <row r="708" spans="2:9" ht="15.75">
      <c r="B708" s="269"/>
      <c r="F708" s="270"/>
      <c r="I708" s="271"/>
    </row>
    <row r="709" spans="2:9" ht="15.75">
      <c r="B709" s="269"/>
      <c r="F709" s="270"/>
      <c r="I709" s="271"/>
    </row>
    <row r="710" spans="2:9" ht="15.75">
      <c r="B710" s="269"/>
      <c r="F710" s="270"/>
      <c r="I710" s="271"/>
    </row>
    <row r="711" spans="2:9" ht="15.75">
      <c r="B711" s="269"/>
      <c r="F711" s="270"/>
      <c r="I711" s="271"/>
    </row>
    <row r="712" spans="2:9" ht="15.75">
      <c r="B712" s="269"/>
      <c r="F712" s="270"/>
      <c r="I712" s="271"/>
    </row>
    <row r="713" spans="2:9" ht="15.75">
      <c r="B713" s="269"/>
      <c r="F713" s="270"/>
      <c r="I713" s="271"/>
    </row>
    <row r="714" spans="2:9" ht="15.75">
      <c r="B714" s="269"/>
      <c r="F714" s="270"/>
      <c r="I714" s="271"/>
    </row>
    <row r="715" spans="2:9" ht="15.75">
      <c r="B715" s="269"/>
      <c r="F715" s="270"/>
      <c r="I715" s="271"/>
    </row>
    <row r="716" spans="2:9" ht="15.75">
      <c r="B716" s="269"/>
      <c r="F716" s="270"/>
      <c r="I716" s="271"/>
    </row>
    <row r="717" spans="2:9" ht="15.75">
      <c r="B717" s="269"/>
      <c r="F717" s="270"/>
      <c r="I717" s="271"/>
    </row>
    <row r="718" spans="2:9" ht="15.75">
      <c r="B718" s="269"/>
      <c r="F718" s="270"/>
      <c r="I718" s="271"/>
    </row>
    <row r="719" spans="2:9" ht="15.75">
      <c r="B719" s="269"/>
      <c r="F719" s="270"/>
      <c r="I719" s="271"/>
    </row>
    <row r="720" spans="2:9" ht="15.75">
      <c r="B720" s="269"/>
      <c r="F720" s="270"/>
      <c r="I720" s="271"/>
    </row>
    <row r="721" spans="2:9" ht="15.75">
      <c r="B721" s="269"/>
      <c r="F721" s="270"/>
      <c r="I721" s="271"/>
    </row>
    <row r="722" spans="2:9" ht="15.75">
      <c r="B722" s="269"/>
      <c r="F722" s="270"/>
      <c r="I722" s="271"/>
    </row>
    <row r="723" spans="2:9" ht="15.75">
      <c r="B723" s="269"/>
      <c r="F723" s="270"/>
      <c r="I723" s="271"/>
    </row>
    <row r="724" spans="2:9" ht="15.75">
      <c r="B724" s="269"/>
      <c r="F724" s="270"/>
      <c r="I724" s="271"/>
    </row>
    <row r="725" spans="2:9" ht="15.75">
      <c r="B725" s="269"/>
      <c r="F725" s="270"/>
      <c r="I725" s="271"/>
    </row>
    <row r="726" spans="2:9" ht="15.75">
      <c r="B726" s="269"/>
      <c r="F726" s="270"/>
      <c r="I726" s="271"/>
    </row>
    <row r="727" spans="2:9" ht="15.75">
      <c r="B727" s="269"/>
      <c r="F727" s="270"/>
      <c r="I727" s="271"/>
    </row>
    <row r="728" spans="2:9" ht="15.75">
      <c r="B728" s="269"/>
      <c r="F728" s="270"/>
      <c r="I728" s="271"/>
    </row>
    <row r="729" spans="2:9" ht="15.75">
      <c r="B729" s="269"/>
      <c r="F729" s="270"/>
      <c r="I729" s="271"/>
    </row>
    <row r="730" spans="2:9" ht="15.75">
      <c r="B730" s="269"/>
      <c r="F730" s="270"/>
      <c r="I730" s="271"/>
    </row>
    <row r="731" spans="2:9" ht="15.75">
      <c r="B731" s="269"/>
      <c r="F731" s="270"/>
      <c r="I731" s="271"/>
    </row>
    <row r="732" spans="2:9" ht="15.75">
      <c r="B732" s="269"/>
      <c r="F732" s="270"/>
      <c r="I732" s="271"/>
    </row>
    <row r="733" spans="2:9" ht="15.75">
      <c r="B733" s="269"/>
      <c r="F733" s="270"/>
      <c r="I733" s="271"/>
    </row>
    <row r="734" spans="2:9" ht="15.75">
      <c r="B734" s="269"/>
      <c r="F734" s="270"/>
      <c r="I734" s="271"/>
    </row>
    <row r="735" spans="2:9" ht="15.75">
      <c r="B735" s="269"/>
      <c r="F735" s="270"/>
      <c r="I735" s="271"/>
    </row>
    <row r="736" spans="2:9" ht="15.75">
      <c r="B736" s="269"/>
      <c r="F736" s="270"/>
      <c r="I736" s="271"/>
    </row>
    <row r="737" spans="2:9" ht="15.75">
      <c r="B737" s="269"/>
      <c r="F737" s="270"/>
      <c r="I737" s="271"/>
    </row>
    <row r="738" spans="2:9" ht="15.75">
      <c r="B738" s="269"/>
      <c r="F738" s="270"/>
      <c r="I738" s="271"/>
    </row>
    <row r="739" spans="2:9" ht="15.75">
      <c r="B739" s="269"/>
      <c r="F739" s="270"/>
      <c r="I739" s="271"/>
    </row>
    <row r="740" spans="2:9" ht="15.75">
      <c r="B740" s="269"/>
      <c r="F740" s="270"/>
      <c r="I740" s="271"/>
    </row>
    <row r="741" spans="2:9" ht="15.75">
      <c r="B741" s="269"/>
      <c r="F741" s="270"/>
      <c r="I741" s="271"/>
    </row>
    <row r="742" spans="2:9" ht="15.75">
      <c r="B742" s="269"/>
      <c r="F742" s="270"/>
      <c r="I742" s="271"/>
    </row>
    <row r="743" spans="2:9" ht="15.75">
      <c r="B743" s="269"/>
      <c r="F743" s="270"/>
      <c r="I743" s="271"/>
    </row>
    <row r="744" spans="2:9" ht="15.75">
      <c r="B744" s="269"/>
      <c r="F744" s="270"/>
      <c r="I744" s="271"/>
    </row>
    <row r="745" spans="2:9" ht="15.75">
      <c r="B745" s="269"/>
      <c r="F745" s="270"/>
      <c r="I745" s="271"/>
    </row>
    <row r="746" spans="2:9" ht="15.75">
      <c r="B746" s="269"/>
      <c r="F746" s="270"/>
      <c r="I746" s="271"/>
    </row>
    <row r="747" spans="2:9" ht="15.75">
      <c r="B747" s="269"/>
      <c r="F747" s="270"/>
      <c r="I747" s="271"/>
    </row>
    <row r="748" spans="2:9" ht="15.75">
      <c r="B748" s="269"/>
      <c r="F748" s="270"/>
      <c r="I748" s="271"/>
    </row>
    <row r="749" spans="2:9" ht="15.75">
      <c r="B749" s="269"/>
      <c r="F749" s="270"/>
      <c r="I749" s="271"/>
    </row>
    <row r="750" spans="2:9" ht="15.75">
      <c r="B750" s="269"/>
      <c r="F750" s="270"/>
      <c r="I750" s="271"/>
    </row>
    <row r="751" spans="2:9" ht="15.75">
      <c r="B751" s="269"/>
      <c r="F751" s="270"/>
      <c r="I751" s="271"/>
    </row>
    <row r="752" spans="2:9" ht="15.75">
      <c r="B752" s="269"/>
      <c r="F752" s="270"/>
      <c r="I752" s="271"/>
    </row>
    <row r="753" spans="2:9" ht="15.75">
      <c r="B753" s="269"/>
      <c r="F753" s="270"/>
      <c r="I753" s="271"/>
    </row>
    <row r="754" spans="2:9" ht="15.75">
      <c r="B754" s="269"/>
      <c r="F754" s="270"/>
      <c r="I754" s="271"/>
    </row>
    <row r="755" spans="2:9" ht="15.75">
      <c r="B755" s="269"/>
      <c r="F755" s="270"/>
      <c r="I755" s="271"/>
    </row>
    <row r="756" spans="2:9" ht="15.75">
      <c r="B756" s="269"/>
      <c r="F756" s="270"/>
      <c r="I756" s="271"/>
    </row>
    <row r="757" spans="2:9" ht="15.75">
      <c r="B757" s="269"/>
      <c r="F757" s="270"/>
      <c r="I757" s="271"/>
    </row>
    <row r="758" spans="2:9" ht="15.75">
      <c r="B758" s="269"/>
      <c r="F758" s="270"/>
      <c r="I758" s="271"/>
    </row>
    <row r="759" spans="2:9" ht="15.75">
      <c r="B759" s="269"/>
      <c r="F759" s="270"/>
      <c r="I759" s="271"/>
    </row>
    <row r="760" spans="2:9" ht="15.75">
      <c r="B760" s="269"/>
      <c r="F760" s="270"/>
      <c r="I760" s="271"/>
    </row>
    <row r="761" spans="2:9" ht="15.75">
      <c r="B761" s="269"/>
      <c r="F761" s="270"/>
      <c r="I761" s="271"/>
    </row>
    <row r="762" spans="2:9" ht="15.75">
      <c r="B762" s="269"/>
      <c r="F762" s="270"/>
      <c r="I762" s="271"/>
    </row>
    <row r="763" spans="2:9" ht="15.75">
      <c r="B763" s="269"/>
      <c r="F763" s="270"/>
      <c r="I763" s="271"/>
    </row>
    <row r="764" spans="2:9" ht="15.75">
      <c r="B764" s="269"/>
      <c r="F764" s="270"/>
      <c r="I764" s="271"/>
    </row>
    <row r="765" spans="2:9" ht="15.75">
      <c r="B765" s="269"/>
      <c r="F765" s="270"/>
      <c r="I765" s="271"/>
    </row>
    <row r="766" spans="2:9" ht="15.75">
      <c r="B766" s="269"/>
      <c r="F766" s="270"/>
      <c r="I766" s="271"/>
    </row>
    <row r="767" spans="2:9" ht="15.75">
      <c r="B767" s="269"/>
      <c r="F767" s="270"/>
      <c r="I767" s="271"/>
    </row>
    <row r="768" spans="2:9" ht="15.75">
      <c r="B768" s="269"/>
      <c r="F768" s="270"/>
      <c r="I768" s="271"/>
    </row>
    <row r="769" spans="2:9" ht="15.75">
      <c r="B769" s="269"/>
      <c r="F769" s="270"/>
      <c r="I769" s="271"/>
    </row>
    <row r="770" spans="2:9" ht="15.75">
      <c r="B770" s="269"/>
      <c r="F770" s="270"/>
      <c r="I770" s="271"/>
    </row>
    <row r="771" spans="2:9" ht="15.75">
      <c r="B771" s="269"/>
      <c r="F771" s="270"/>
      <c r="I771" s="271"/>
    </row>
    <row r="772" spans="2:9" ht="15.75">
      <c r="B772" s="269"/>
      <c r="F772" s="270"/>
      <c r="I772" s="271"/>
    </row>
    <row r="773" spans="2:9" ht="15.75">
      <c r="B773" s="269"/>
      <c r="F773" s="270"/>
      <c r="I773" s="271"/>
    </row>
    <row r="774" spans="2:9" ht="15.75">
      <c r="B774" s="269"/>
      <c r="F774" s="270"/>
      <c r="I774" s="271"/>
    </row>
    <row r="775" spans="2:9" ht="15.75">
      <c r="B775" s="269"/>
      <c r="F775" s="270"/>
      <c r="I775" s="271"/>
    </row>
    <row r="776" spans="2:9" ht="15.75">
      <c r="B776" s="269"/>
      <c r="F776" s="270"/>
      <c r="I776" s="271"/>
    </row>
    <row r="777" spans="2:9" ht="15.75">
      <c r="B777" s="269"/>
      <c r="F777" s="270"/>
      <c r="I777" s="271"/>
    </row>
    <row r="778" spans="2:9" ht="15.75">
      <c r="B778" s="269"/>
      <c r="F778" s="270"/>
      <c r="I778" s="271"/>
    </row>
    <row r="779" spans="2:9" ht="15.75">
      <c r="B779" s="269"/>
      <c r="F779" s="270"/>
      <c r="I779" s="271"/>
    </row>
    <row r="780" spans="2:9" ht="15.75">
      <c r="B780" s="269"/>
      <c r="F780" s="270"/>
      <c r="I780" s="271"/>
    </row>
    <row r="781" spans="2:9" ht="15.75">
      <c r="B781" s="269"/>
      <c r="F781" s="270"/>
      <c r="I781" s="271"/>
    </row>
    <row r="782" spans="2:9" ht="15.75">
      <c r="B782" s="269"/>
      <c r="F782" s="270"/>
      <c r="I782" s="271"/>
    </row>
    <row r="783" spans="2:9" ht="15.75">
      <c r="B783" s="269"/>
      <c r="F783" s="270"/>
      <c r="I783" s="271"/>
    </row>
    <row r="784" spans="2:9" ht="15.75">
      <c r="B784" s="269"/>
      <c r="F784" s="270"/>
      <c r="I784" s="271"/>
    </row>
    <row r="785" spans="2:9" ht="15.75">
      <c r="B785" s="269"/>
      <c r="F785" s="270"/>
      <c r="I785" s="271"/>
    </row>
    <row r="786" spans="2:9" ht="15.75">
      <c r="B786" s="269"/>
      <c r="F786" s="270"/>
      <c r="I786" s="271"/>
    </row>
    <row r="787" spans="2:9" ht="15.75">
      <c r="B787" s="269"/>
      <c r="F787" s="270"/>
      <c r="I787" s="271"/>
    </row>
    <row r="788" spans="2:9" ht="15.75">
      <c r="B788" s="269"/>
      <c r="F788" s="270"/>
      <c r="I788" s="271"/>
    </row>
    <row r="789" spans="2:9" ht="15.75">
      <c r="B789" s="269"/>
      <c r="F789" s="270"/>
      <c r="I789" s="271"/>
    </row>
    <row r="790" spans="2:9" ht="15.75">
      <c r="B790" s="269"/>
      <c r="F790" s="270"/>
      <c r="I790" s="271"/>
    </row>
    <row r="791" spans="2:9" ht="15.75">
      <c r="B791" s="269"/>
      <c r="F791" s="270"/>
      <c r="I791" s="271"/>
    </row>
    <row r="792" spans="2:9" ht="15.75">
      <c r="B792" s="269"/>
      <c r="F792" s="270"/>
      <c r="I792" s="271"/>
    </row>
    <row r="793" spans="2:9" ht="15.75">
      <c r="B793" s="269"/>
      <c r="F793" s="270"/>
      <c r="I793" s="271"/>
    </row>
    <row r="794" spans="2:9" ht="15.75">
      <c r="B794" s="269"/>
      <c r="F794" s="270"/>
      <c r="I794" s="271"/>
    </row>
    <row r="795" spans="2:9" ht="15.75">
      <c r="B795" s="269"/>
      <c r="F795" s="270"/>
      <c r="I795" s="271"/>
    </row>
    <row r="796" spans="2:9" ht="15.75">
      <c r="B796" s="269"/>
      <c r="F796" s="270"/>
      <c r="I796" s="271"/>
    </row>
    <row r="797" spans="2:9" ht="15.75">
      <c r="B797" s="269"/>
      <c r="F797" s="270"/>
      <c r="I797" s="271"/>
    </row>
    <row r="798" spans="2:9" ht="15.75">
      <c r="B798" s="269"/>
      <c r="F798" s="270"/>
      <c r="I798" s="271"/>
    </row>
    <row r="799" spans="2:9" ht="15.75">
      <c r="B799" s="269"/>
      <c r="F799" s="270"/>
      <c r="I799" s="271"/>
    </row>
    <row r="800" spans="2:9" ht="15.75">
      <c r="B800" s="269"/>
      <c r="F800" s="270"/>
      <c r="I800" s="271"/>
    </row>
    <row r="801" spans="2:9" ht="15.75">
      <c r="B801" s="269"/>
      <c r="F801" s="270"/>
      <c r="I801" s="271"/>
    </row>
    <row r="802" spans="2:9" ht="15.75">
      <c r="B802" s="269"/>
      <c r="F802" s="270"/>
      <c r="I802" s="271"/>
    </row>
    <row r="803" spans="2:9" ht="15.75">
      <c r="B803" s="269"/>
      <c r="F803" s="270"/>
      <c r="I803" s="271"/>
    </row>
    <row r="804" spans="2:9" ht="15.75">
      <c r="B804" s="269"/>
      <c r="F804" s="270"/>
      <c r="I804" s="271"/>
    </row>
    <row r="805" spans="2:9" ht="15.75">
      <c r="B805" s="269"/>
      <c r="F805" s="270"/>
      <c r="I805" s="271"/>
    </row>
    <row r="806" spans="2:9" ht="15.75">
      <c r="B806" s="269"/>
      <c r="F806" s="270"/>
      <c r="I806" s="271"/>
    </row>
    <row r="807" spans="2:9" ht="15.75">
      <c r="B807" s="269"/>
      <c r="F807" s="270"/>
      <c r="I807" s="271"/>
    </row>
    <row r="808" spans="2:9" ht="15.75">
      <c r="B808" s="269"/>
      <c r="F808" s="270"/>
      <c r="I808" s="271"/>
    </row>
    <row r="809" spans="2:9" ht="15.75">
      <c r="B809" s="269"/>
      <c r="F809" s="270"/>
      <c r="I809" s="271"/>
    </row>
    <row r="810" spans="2:9" ht="15.75">
      <c r="B810" s="269"/>
      <c r="F810" s="270"/>
      <c r="I810" s="271"/>
    </row>
    <row r="811" spans="2:9" ht="15.75">
      <c r="B811" s="269"/>
      <c r="F811" s="270"/>
      <c r="I811" s="271"/>
    </row>
    <row r="812" spans="2:9" ht="15.75">
      <c r="B812" s="269"/>
      <c r="F812" s="270"/>
      <c r="I812" s="271"/>
    </row>
    <row r="813" spans="2:9" ht="15.75">
      <c r="B813" s="269"/>
      <c r="F813" s="270"/>
      <c r="I813" s="271"/>
    </row>
    <row r="814" spans="2:9" ht="15.75">
      <c r="B814" s="269"/>
      <c r="F814" s="270"/>
      <c r="I814" s="271"/>
    </row>
    <row r="815" spans="2:9" ht="15.75">
      <c r="B815" s="269"/>
      <c r="F815" s="270"/>
      <c r="I815" s="271"/>
    </row>
    <row r="816" spans="2:9" ht="15.75">
      <c r="B816" s="269"/>
      <c r="F816" s="270"/>
      <c r="I816" s="271"/>
    </row>
    <row r="817" spans="2:9" ht="15.75">
      <c r="B817" s="269"/>
      <c r="F817" s="270"/>
      <c r="I817" s="271"/>
    </row>
    <row r="818" spans="2:9" ht="15.75">
      <c r="B818" s="269"/>
      <c r="F818" s="270"/>
      <c r="I818" s="271"/>
    </row>
    <row r="819" spans="2:9" ht="15.75">
      <c r="B819" s="269"/>
      <c r="F819" s="270"/>
      <c r="I819" s="271"/>
    </row>
    <row r="820" spans="2:9" ht="15.75">
      <c r="B820" s="269"/>
      <c r="F820" s="270"/>
      <c r="I820" s="271"/>
    </row>
    <row r="821" spans="2:9" ht="15.75">
      <c r="B821" s="269"/>
      <c r="F821" s="270"/>
      <c r="I821" s="271"/>
    </row>
    <row r="822" spans="2:9" ht="15.75">
      <c r="B822" s="269"/>
      <c r="F822" s="270"/>
      <c r="I822" s="271"/>
    </row>
    <row r="823" spans="2:9" ht="15.75">
      <c r="B823" s="269"/>
      <c r="F823" s="270"/>
      <c r="I823" s="271"/>
    </row>
    <row r="824" spans="2:9" ht="15.75">
      <c r="B824" s="269"/>
      <c r="F824" s="270"/>
      <c r="I824" s="271"/>
    </row>
    <row r="825" spans="2:9" ht="15.75">
      <c r="B825" s="269"/>
      <c r="F825" s="270"/>
      <c r="I825" s="271"/>
    </row>
    <row r="826" spans="2:9" ht="15.75">
      <c r="B826" s="269"/>
      <c r="F826" s="270"/>
      <c r="I826" s="271"/>
    </row>
    <row r="827" spans="2:9" ht="15.75">
      <c r="B827" s="269"/>
      <c r="F827" s="270"/>
      <c r="I827" s="271"/>
    </row>
    <row r="828" spans="2:9" ht="15.75">
      <c r="B828" s="269"/>
      <c r="F828" s="270"/>
      <c r="I828" s="271"/>
    </row>
    <row r="829" spans="2:9" ht="15.75">
      <c r="B829" s="269"/>
      <c r="F829" s="270"/>
      <c r="I829" s="271"/>
    </row>
    <row r="830" spans="2:9" ht="15.75">
      <c r="B830" s="269"/>
      <c r="F830" s="270"/>
      <c r="I830" s="271"/>
    </row>
    <row r="831" spans="2:9" ht="15.75">
      <c r="B831" s="269"/>
      <c r="F831" s="270"/>
      <c r="I831" s="271"/>
    </row>
    <row r="832" spans="2:9" ht="15.75">
      <c r="B832" s="269"/>
      <c r="F832" s="270"/>
      <c r="I832" s="271"/>
    </row>
    <row r="833" spans="2:9" ht="15.75">
      <c r="B833" s="269"/>
      <c r="F833" s="270"/>
      <c r="I833" s="271"/>
    </row>
    <row r="834" spans="2:9" ht="15.75">
      <c r="B834" s="269"/>
      <c r="F834" s="270"/>
      <c r="I834" s="271"/>
    </row>
    <row r="835" spans="2:9" ht="15.75">
      <c r="B835" s="269"/>
      <c r="F835" s="270"/>
      <c r="I835" s="271"/>
    </row>
    <row r="836" spans="2:9" ht="15.75">
      <c r="B836" s="269"/>
      <c r="F836" s="270"/>
      <c r="I836" s="271"/>
    </row>
    <row r="837" spans="2:9" ht="15.75">
      <c r="B837" s="269"/>
      <c r="F837" s="270"/>
      <c r="I837" s="271"/>
    </row>
    <row r="838" spans="2:9" ht="15.75">
      <c r="B838" s="269"/>
      <c r="F838" s="270"/>
      <c r="I838" s="271"/>
    </row>
    <row r="839" spans="2:9" ht="15.75">
      <c r="B839" s="269"/>
      <c r="F839" s="270"/>
      <c r="I839" s="271"/>
    </row>
    <row r="840" spans="2:9" ht="15.75">
      <c r="B840" s="269"/>
      <c r="F840" s="270"/>
      <c r="I840" s="271"/>
    </row>
    <row r="841" spans="2:9" ht="15.75">
      <c r="B841" s="269"/>
      <c r="F841" s="270"/>
      <c r="I841" s="271"/>
    </row>
    <row r="842" spans="2:9" ht="15.75">
      <c r="B842" s="269"/>
      <c r="F842" s="270"/>
      <c r="I842" s="271"/>
    </row>
    <row r="843" spans="2:9" ht="15.75">
      <c r="B843" s="269"/>
      <c r="F843" s="270"/>
      <c r="I843" s="271"/>
    </row>
    <row r="844" spans="2:9" ht="15.75">
      <c r="B844" s="269"/>
      <c r="F844" s="270"/>
      <c r="I844" s="271"/>
    </row>
    <row r="845" spans="2:9" ht="15.75">
      <c r="B845" s="269"/>
      <c r="F845" s="270"/>
      <c r="I845" s="271"/>
    </row>
    <row r="846" spans="2:9" ht="15.75">
      <c r="B846" s="269"/>
      <c r="F846" s="270"/>
      <c r="I846" s="271"/>
    </row>
    <row r="847" spans="2:9" ht="15.75">
      <c r="B847" s="269"/>
      <c r="F847" s="270"/>
      <c r="I847" s="271"/>
    </row>
    <row r="848" spans="2:9" ht="15.75">
      <c r="B848" s="269"/>
      <c r="F848" s="270"/>
      <c r="I848" s="271"/>
    </row>
    <row r="849" spans="2:9" ht="15.75">
      <c r="B849" s="269"/>
      <c r="F849" s="270"/>
      <c r="I849" s="271"/>
    </row>
    <row r="850" spans="2:9" ht="15.75">
      <c r="B850" s="269"/>
      <c r="F850" s="270"/>
      <c r="I850" s="271"/>
    </row>
    <row r="851" spans="2:9" ht="15.75">
      <c r="B851" s="269"/>
      <c r="F851" s="270"/>
      <c r="I851" s="271"/>
    </row>
    <row r="852" spans="2:9" ht="15.75">
      <c r="B852" s="269"/>
      <c r="F852" s="270"/>
      <c r="I852" s="271"/>
    </row>
    <row r="853" spans="2:9" ht="15.75">
      <c r="B853" s="269"/>
      <c r="F853" s="270"/>
      <c r="I853" s="271"/>
    </row>
    <row r="854" spans="2:9" ht="15.75">
      <c r="B854" s="269"/>
      <c r="F854" s="270"/>
      <c r="I854" s="271"/>
    </row>
    <row r="855" spans="2:9" ht="15.75">
      <c r="B855" s="269"/>
      <c r="F855" s="270"/>
      <c r="I855" s="271"/>
    </row>
    <row r="856" spans="2:9" ht="15.75">
      <c r="B856" s="269"/>
      <c r="F856" s="270"/>
      <c r="I856" s="271"/>
    </row>
    <row r="857" spans="2:9" ht="15.75">
      <c r="B857" s="269"/>
      <c r="F857" s="270"/>
      <c r="I857" s="271"/>
    </row>
    <row r="858" spans="2:9" ht="15.75">
      <c r="B858" s="269"/>
      <c r="F858" s="270"/>
      <c r="I858" s="271"/>
    </row>
    <row r="859" spans="2:9" ht="15.75">
      <c r="B859" s="269"/>
      <c r="F859" s="270"/>
      <c r="I859" s="271"/>
    </row>
    <row r="860" spans="2:9" ht="15.75">
      <c r="B860" s="269"/>
      <c r="F860" s="270"/>
      <c r="I860" s="271"/>
    </row>
    <row r="861" spans="2:9" ht="15.75">
      <c r="B861" s="269"/>
      <c r="F861" s="270"/>
      <c r="I861" s="271"/>
    </row>
    <row r="862" spans="2:9" ht="15.75">
      <c r="B862" s="269"/>
      <c r="F862" s="270"/>
      <c r="I862" s="271"/>
    </row>
    <row r="863" spans="2:9" ht="15.75">
      <c r="B863" s="269"/>
      <c r="F863" s="270"/>
      <c r="I863" s="271"/>
    </row>
    <row r="864" spans="2:9" ht="15.75">
      <c r="B864" s="269"/>
      <c r="F864" s="270"/>
      <c r="I864" s="271"/>
    </row>
    <row r="865" spans="2:9" ht="15.75">
      <c r="B865" s="269"/>
      <c r="F865" s="270"/>
      <c r="I865" s="271"/>
    </row>
    <row r="866" spans="2:9" ht="15.75">
      <c r="B866" s="269"/>
      <c r="F866" s="270"/>
      <c r="I866" s="271"/>
    </row>
    <row r="867" spans="2:9" ht="15.75">
      <c r="B867" s="269"/>
      <c r="F867" s="270"/>
      <c r="I867" s="271"/>
    </row>
    <row r="868" spans="2:9" ht="15.75">
      <c r="B868" s="269"/>
      <c r="F868" s="270"/>
      <c r="I868" s="271"/>
    </row>
    <row r="869" spans="2:9" ht="15.75">
      <c r="B869" s="269"/>
      <c r="F869" s="270"/>
      <c r="I869" s="271"/>
    </row>
    <row r="870" spans="2:9" ht="15.75">
      <c r="B870" s="269"/>
      <c r="F870" s="270"/>
      <c r="I870" s="271"/>
    </row>
    <row r="871" spans="2:9" ht="15.75">
      <c r="B871" s="269"/>
      <c r="F871" s="270"/>
      <c r="I871" s="271"/>
    </row>
    <row r="872" spans="2:9" ht="15.75">
      <c r="B872" s="269"/>
      <c r="F872" s="270"/>
      <c r="I872" s="271"/>
    </row>
    <row r="873" spans="2:9" ht="15.75">
      <c r="B873" s="269"/>
      <c r="F873" s="270"/>
      <c r="I873" s="271"/>
    </row>
    <row r="874" spans="2:9" ht="15.75">
      <c r="B874" s="269"/>
      <c r="F874" s="270"/>
      <c r="I874" s="271"/>
    </row>
    <row r="875" spans="2:9" ht="15.75">
      <c r="B875" s="269"/>
      <c r="F875" s="270"/>
      <c r="I875" s="271"/>
    </row>
    <row r="876" spans="2:9" ht="15.75">
      <c r="B876" s="269"/>
      <c r="F876" s="270"/>
      <c r="I876" s="271"/>
    </row>
    <row r="877" spans="2:9" ht="15.75">
      <c r="B877" s="269"/>
      <c r="F877" s="270"/>
      <c r="I877" s="271"/>
    </row>
    <row r="878" spans="2:9" ht="15.75">
      <c r="B878" s="269"/>
      <c r="F878" s="270"/>
      <c r="I878" s="271"/>
    </row>
    <row r="879" spans="2:9" ht="15.75">
      <c r="B879" s="269"/>
      <c r="F879" s="270"/>
      <c r="I879" s="271"/>
    </row>
    <row r="880" spans="2:9" ht="15.75">
      <c r="B880" s="269"/>
      <c r="F880" s="270"/>
      <c r="I880" s="271"/>
    </row>
    <row r="881" spans="2:9" ht="15.75">
      <c r="B881" s="269"/>
      <c r="F881" s="270"/>
      <c r="I881" s="271"/>
    </row>
    <row r="882" spans="2:9" ht="15.75">
      <c r="B882" s="269"/>
      <c r="F882" s="270"/>
      <c r="I882" s="271"/>
    </row>
    <row r="883" spans="2:9" ht="15.75">
      <c r="B883" s="269"/>
      <c r="F883" s="270"/>
      <c r="I883" s="271"/>
    </row>
    <row r="884" spans="2:9" ht="15.75">
      <c r="B884" s="269"/>
      <c r="F884" s="270"/>
      <c r="I884" s="271"/>
    </row>
    <row r="885" spans="2:9" ht="15.75">
      <c r="B885" s="269"/>
      <c r="F885" s="270"/>
      <c r="I885" s="271"/>
    </row>
    <row r="886" spans="2:9" ht="15.75">
      <c r="B886" s="269"/>
      <c r="F886" s="270"/>
      <c r="I886" s="271"/>
    </row>
    <row r="887" spans="2:9" ht="15.75">
      <c r="B887" s="269"/>
      <c r="F887" s="270"/>
      <c r="I887" s="271"/>
    </row>
    <row r="888" spans="2:9" ht="15.75">
      <c r="B888" s="269"/>
      <c r="F888" s="270"/>
      <c r="I888" s="271"/>
    </row>
    <row r="889" spans="2:9" ht="15.75">
      <c r="B889" s="269"/>
      <c r="F889" s="270"/>
      <c r="I889" s="271"/>
    </row>
    <row r="890" spans="2:9" ht="15.75">
      <c r="B890" s="269"/>
      <c r="F890" s="270"/>
      <c r="I890" s="271"/>
    </row>
    <row r="891" spans="2:9" ht="15.75">
      <c r="B891" s="269"/>
      <c r="F891" s="270"/>
      <c r="I891" s="271"/>
    </row>
    <row r="892" spans="2:9" ht="15.75">
      <c r="B892" s="269"/>
      <c r="F892" s="270"/>
      <c r="I892" s="271"/>
    </row>
    <row r="893" spans="2:9" ht="15.75">
      <c r="B893" s="269"/>
      <c r="F893" s="270"/>
      <c r="I893" s="271"/>
    </row>
    <row r="894" spans="2:9" ht="15.75">
      <c r="B894" s="269"/>
      <c r="F894" s="270"/>
      <c r="I894" s="271"/>
    </row>
    <row r="895" spans="2:9" ht="15.75">
      <c r="B895" s="269"/>
      <c r="F895" s="270"/>
      <c r="I895" s="271"/>
    </row>
    <row r="896" spans="2:9" ht="15.75">
      <c r="B896" s="269"/>
      <c r="F896" s="270"/>
      <c r="I896" s="271"/>
    </row>
    <row r="897" spans="2:9" ht="15.75">
      <c r="B897" s="269"/>
      <c r="F897" s="270"/>
      <c r="I897" s="271"/>
    </row>
    <row r="898" spans="2:9" ht="15.75">
      <c r="B898" s="269"/>
      <c r="F898" s="270"/>
      <c r="I898" s="271"/>
    </row>
    <row r="899" spans="2:9" ht="15.75">
      <c r="B899" s="269"/>
      <c r="F899" s="270"/>
      <c r="I899" s="271"/>
    </row>
    <row r="900" spans="2:9" ht="15.75">
      <c r="B900" s="269"/>
      <c r="F900" s="270"/>
      <c r="I900" s="271"/>
    </row>
    <row r="901" spans="2:9" ht="15.75">
      <c r="B901" s="269"/>
      <c r="F901" s="270"/>
      <c r="I901" s="271"/>
    </row>
    <row r="902" spans="2:9" ht="15.75">
      <c r="B902" s="269"/>
      <c r="F902" s="270"/>
      <c r="I902" s="271"/>
    </row>
    <row r="903" spans="2:9" ht="15.75">
      <c r="B903" s="269"/>
      <c r="F903" s="270"/>
      <c r="I903" s="271"/>
    </row>
    <row r="904" spans="2:9" ht="15.75">
      <c r="B904" s="269"/>
      <c r="F904" s="270"/>
      <c r="I904" s="271"/>
    </row>
    <row r="905" spans="2:9" ht="15.75">
      <c r="B905" s="269"/>
      <c r="F905" s="270"/>
      <c r="I905" s="271"/>
    </row>
    <row r="906" spans="2:9" ht="15.75">
      <c r="B906" s="269"/>
      <c r="F906" s="270"/>
      <c r="I906" s="271"/>
    </row>
    <row r="907" spans="2:9" ht="15.75">
      <c r="B907" s="269"/>
      <c r="F907" s="270"/>
      <c r="I907" s="271"/>
    </row>
    <row r="908" spans="2:9" ht="15.75">
      <c r="B908" s="269"/>
      <c r="F908" s="270"/>
      <c r="I908" s="271"/>
    </row>
    <row r="909" spans="2:9" ht="15.75">
      <c r="B909" s="269"/>
      <c r="F909" s="270"/>
      <c r="I909" s="271"/>
    </row>
    <row r="910" spans="2:9" ht="15.75">
      <c r="B910" s="269"/>
      <c r="F910" s="270"/>
      <c r="I910" s="271"/>
    </row>
    <row r="911" spans="2:9" ht="15.75">
      <c r="B911" s="269"/>
      <c r="F911" s="270"/>
      <c r="I911" s="271"/>
    </row>
    <row r="912" spans="2:9" ht="15.75">
      <c r="B912" s="269"/>
      <c r="F912" s="270"/>
      <c r="I912" s="271"/>
    </row>
    <row r="913" spans="2:9" ht="15.75">
      <c r="B913" s="269"/>
      <c r="F913" s="270"/>
      <c r="I913" s="271"/>
    </row>
    <row r="914" spans="2:9" ht="15.75">
      <c r="B914" s="269"/>
      <c r="F914" s="270"/>
      <c r="I914" s="271"/>
    </row>
    <row r="915" spans="2:9" ht="15.75">
      <c r="B915" s="269"/>
      <c r="F915" s="270"/>
      <c r="I915" s="271"/>
    </row>
    <row r="916" spans="2:9" ht="15.75">
      <c r="B916" s="269"/>
      <c r="F916" s="270"/>
      <c r="I916" s="271"/>
    </row>
    <row r="917" spans="2:9" ht="15.75">
      <c r="B917" s="269"/>
      <c r="F917" s="270"/>
      <c r="I917" s="271"/>
    </row>
    <row r="918" spans="2:9" ht="15.75">
      <c r="B918" s="269"/>
      <c r="F918" s="270"/>
      <c r="I918" s="271"/>
    </row>
    <row r="919" spans="2:9" ht="15.75">
      <c r="B919" s="269"/>
      <c r="F919" s="270"/>
      <c r="I919" s="271"/>
    </row>
    <row r="920" spans="2:9" ht="15.75">
      <c r="B920" s="269"/>
      <c r="F920" s="270"/>
      <c r="I920" s="271"/>
    </row>
    <row r="921" spans="2:9" ht="15.75">
      <c r="B921" s="269"/>
      <c r="F921" s="270"/>
      <c r="I921" s="271"/>
    </row>
    <row r="922" spans="2:9" ht="15.75">
      <c r="B922" s="269"/>
      <c r="F922" s="270"/>
      <c r="I922" s="271"/>
    </row>
    <row r="923" spans="2:9" ht="15.75">
      <c r="B923" s="269"/>
      <c r="F923" s="270"/>
      <c r="I923" s="271"/>
    </row>
    <row r="924" spans="2:9" ht="15.75">
      <c r="B924" s="269"/>
      <c r="F924" s="270"/>
      <c r="I924" s="271"/>
    </row>
    <row r="925" spans="2:9" ht="15.75">
      <c r="B925" s="269"/>
      <c r="F925" s="270"/>
      <c r="I925" s="271"/>
    </row>
    <row r="926" spans="2:9" ht="15.75">
      <c r="B926" s="269"/>
      <c r="F926" s="270"/>
      <c r="I926" s="271"/>
    </row>
    <row r="927" spans="2:9" ht="15.75">
      <c r="B927" s="269"/>
      <c r="F927" s="270"/>
      <c r="I927" s="271"/>
    </row>
    <row r="928" spans="2:9" ht="15.75">
      <c r="B928" s="269"/>
      <c r="F928" s="270"/>
      <c r="I928" s="271"/>
    </row>
    <row r="929" spans="2:9" ht="15.75">
      <c r="B929" s="269"/>
      <c r="F929" s="270"/>
      <c r="I929" s="271"/>
    </row>
    <row r="930" spans="2:9" ht="15.75">
      <c r="B930" s="269"/>
      <c r="F930" s="270"/>
      <c r="I930" s="271"/>
    </row>
    <row r="931" spans="2:9" ht="15.75">
      <c r="B931" s="269"/>
      <c r="F931" s="270"/>
      <c r="I931" s="271"/>
    </row>
    <row r="932" spans="2:9" ht="15.75">
      <c r="B932" s="269"/>
      <c r="F932" s="270"/>
      <c r="I932" s="271"/>
    </row>
    <row r="933" spans="2:9" ht="15.75">
      <c r="B933" s="269"/>
      <c r="F933" s="270"/>
      <c r="I933" s="271"/>
    </row>
    <row r="934" spans="2:9" ht="15.75">
      <c r="B934" s="269"/>
      <c r="F934" s="270"/>
      <c r="I934" s="271"/>
    </row>
    <row r="935" spans="2:9" ht="15.75">
      <c r="B935" s="269"/>
      <c r="F935" s="270"/>
      <c r="I935" s="271"/>
    </row>
    <row r="936" spans="2:9" ht="15.75">
      <c r="B936" s="269"/>
      <c r="F936" s="270"/>
      <c r="I936" s="271"/>
    </row>
    <row r="937" spans="2:9" ht="15.75">
      <c r="B937" s="269"/>
      <c r="F937" s="270"/>
      <c r="I937" s="271"/>
    </row>
    <row r="938" spans="2:9" ht="15.75">
      <c r="B938" s="269"/>
      <c r="F938" s="270"/>
      <c r="I938" s="271"/>
    </row>
    <row r="939" spans="2:9" ht="15.75">
      <c r="B939" s="269"/>
      <c r="F939" s="270"/>
      <c r="I939" s="271"/>
    </row>
    <row r="940" spans="2:9" ht="15.75">
      <c r="B940" s="269"/>
      <c r="F940" s="270"/>
      <c r="I940" s="271"/>
    </row>
    <row r="941" spans="2:9" ht="15.75">
      <c r="B941" s="269"/>
      <c r="F941" s="270"/>
      <c r="I941" s="271"/>
    </row>
    <row r="942" spans="2:9" ht="15.75">
      <c r="B942" s="269"/>
      <c r="F942" s="270"/>
      <c r="I942" s="271"/>
    </row>
    <row r="943" spans="2:9" ht="15.75">
      <c r="B943" s="269"/>
      <c r="F943" s="270"/>
      <c r="I943" s="271"/>
    </row>
    <row r="944" spans="2:9" ht="15.75">
      <c r="B944" s="269"/>
      <c r="F944" s="270"/>
      <c r="I944" s="271"/>
    </row>
    <row r="945" spans="2:9" ht="15.75">
      <c r="B945" s="269"/>
      <c r="F945" s="270"/>
      <c r="I945" s="271"/>
    </row>
    <row r="946" spans="2:9" ht="15.75">
      <c r="B946" s="269"/>
      <c r="F946" s="270"/>
      <c r="I946" s="271"/>
    </row>
    <row r="947" spans="2:9" ht="15.75">
      <c r="B947" s="269"/>
      <c r="F947" s="270"/>
      <c r="I947" s="271"/>
    </row>
    <row r="948" spans="2:9" ht="15.75">
      <c r="B948" s="269"/>
      <c r="F948" s="270"/>
      <c r="I948" s="271"/>
    </row>
    <row r="949" spans="2:9" ht="15.75">
      <c r="B949" s="269"/>
      <c r="F949" s="270"/>
      <c r="I949" s="271"/>
    </row>
    <row r="950" spans="2:9" ht="15.75">
      <c r="B950" s="269"/>
      <c r="F950" s="270"/>
      <c r="I950" s="271"/>
    </row>
    <row r="951" spans="2:9" ht="15.75">
      <c r="B951" s="269"/>
      <c r="F951" s="270"/>
      <c r="I951" s="271"/>
    </row>
    <row r="952" spans="2:9" ht="15.75">
      <c r="B952" s="269"/>
      <c r="F952" s="270"/>
      <c r="I952" s="271"/>
    </row>
    <row r="953" spans="2:9" ht="15.75">
      <c r="B953" s="269"/>
      <c r="F953" s="270"/>
      <c r="I953" s="271"/>
    </row>
    <row r="954" spans="2:9" ht="15.75">
      <c r="B954" s="269"/>
      <c r="F954" s="270"/>
      <c r="I954" s="271"/>
    </row>
    <row r="955" spans="2:9" ht="15.75">
      <c r="B955" s="269"/>
      <c r="F955" s="270"/>
      <c r="I955" s="271"/>
    </row>
    <row r="956" spans="2:9" ht="15.75">
      <c r="B956" s="269"/>
      <c r="F956" s="270"/>
      <c r="I956" s="271"/>
    </row>
    <row r="957" spans="2:9" ht="15.75">
      <c r="B957" s="269"/>
      <c r="F957" s="270"/>
      <c r="I957" s="271"/>
    </row>
    <row r="958" spans="2:9" ht="15.75">
      <c r="B958" s="269"/>
      <c r="F958" s="270"/>
      <c r="I958" s="271"/>
    </row>
    <row r="959" spans="2:9" ht="15.75">
      <c r="B959" s="269"/>
      <c r="F959" s="270"/>
      <c r="I959" s="271"/>
    </row>
    <row r="960" spans="2:9" ht="15.75">
      <c r="B960" s="269"/>
      <c r="F960" s="270"/>
      <c r="I960" s="271"/>
    </row>
    <row r="961" spans="2:9" ht="15.75">
      <c r="B961" s="269"/>
      <c r="F961" s="270"/>
      <c r="I961" s="271"/>
    </row>
    <row r="962" spans="2:9" ht="15.75">
      <c r="B962" s="269"/>
      <c r="F962" s="270"/>
      <c r="I962" s="271"/>
    </row>
    <row r="963" spans="2:9" ht="15.75">
      <c r="B963" s="269"/>
      <c r="F963" s="270"/>
      <c r="I963" s="271"/>
    </row>
    <row r="964" spans="2:9" ht="15.75">
      <c r="B964" s="269"/>
      <c r="F964" s="270"/>
      <c r="I964" s="271"/>
    </row>
    <row r="965" spans="2:9" ht="15.75">
      <c r="B965" s="269"/>
      <c r="F965" s="270"/>
      <c r="I965" s="271"/>
    </row>
    <row r="966" spans="2:9" ht="15.75">
      <c r="B966" s="269"/>
      <c r="F966" s="270"/>
      <c r="I966" s="271"/>
    </row>
    <row r="967" spans="2:9" ht="15.75">
      <c r="B967" s="269"/>
      <c r="F967" s="270"/>
      <c r="I967" s="271"/>
    </row>
    <row r="968" spans="2:9" ht="15.75">
      <c r="B968" s="269"/>
      <c r="F968" s="270"/>
      <c r="I968" s="271"/>
    </row>
    <row r="969" spans="2:9" ht="15.75">
      <c r="B969" s="269"/>
      <c r="F969" s="270"/>
      <c r="I969" s="271"/>
    </row>
    <row r="970" spans="2:9" ht="15.75">
      <c r="B970" s="269"/>
      <c r="F970" s="270"/>
      <c r="I970" s="271"/>
    </row>
    <row r="971" spans="2:9" ht="15.75">
      <c r="B971" s="269"/>
      <c r="F971" s="270"/>
      <c r="I971" s="271"/>
    </row>
    <row r="972" spans="2:9" ht="15.75">
      <c r="B972" s="269"/>
      <c r="F972" s="270"/>
      <c r="I972" s="271"/>
    </row>
    <row r="973" spans="2:9" ht="15.75">
      <c r="B973" s="269"/>
      <c r="F973" s="270"/>
      <c r="I973" s="271"/>
    </row>
    <row r="974" spans="2:9" ht="15.75">
      <c r="B974" s="269"/>
      <c r="F974" s="270"/>
      <c r="I974" s="271"/>
    </row>
    <row r="975" spans="2:9" ht="15.75">
      <c r="B975" s="269"/>
      <c r="F975" s="270"/>
      <c r="I975" s="271"/>
    </row>
    <row r="976" spans="2:9" ht="15.75">
      <c r="B976" s="269"/>
      <c r="F976" s="270"/>
      <c r="I976" s="271"/>
    </row>
    <row r="977" spans="2:9" ht="15.75">
      <c r="B977" s="269"/>
      <c r="F977" s="270"/>
      <c r="I977" s="271"/>
    </row>
    <row r="978" spans="2:9" ht="15.75">
      <c r="B978" s="269"/>
      <c r="F978" s="270"/>
      <c r="I978" s="271"/>
    </row>
    <row r="979" spans="2:9" ht="15.75">
      <c r="B979" s="269"/>
      <c r="F979" s="270"/>
      <c r="I979" s="271"/>
    </row>
    <row r="980" spans="2:9" ht="15.75">
      <c r="B980" s="269"/>
      <c r="F980" s="270"/>
      <c r="I980" s="271"/>
    </row>
    <row r="981" spans="2:9" ht="15.75">
      <c r="B981" s="269"/>
      <c r="F981" s="270"/>
      <c r="I981" s="271"/>
    </row>
    <row r="982" spans="2:9" ht="15.75">
      <c r="B982" s="269"/>
      <c r="F982" s="270"/>
      <c r="I982" s="271"/>
    </row>
    <row r="983" spans="2:9" ht="15.75">
      <c r="B983" s="269"/>
      <c r="F983" s="270"/>
      <c r="I983" s="27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1"/>
  <sheetViews>
    <sheetView workbookViewId="0"/>
  </sheetViews>
  <sheetFormatPr defaultColWidth="11.125" defaultRowHeight="15" customHeight="1"/>
  <cols>
    <col min="1" max="2" width="8" customWidth="1"/>
    <col min="3" max="3" width="11.125" customWidth="1"/>
    <col min="4" max="4" width="12.875" customWidth="1"/>
    <col min="5" max="5" width="6.375" customWidth="1"/>
    <col min="6" max="6" width="8.125" customWidth="1"/>
    <col min="7" max="7" width="13.5" customWidth="1"/>
    <col min="8" max="8" width="8.5" customWidth="1"/>
    <col min="9" max="9" width="11.125" customWidth="1"/>
    <col min="10" max="10" width="7.125" customWidth="1"/>
    <col min="11" max="11" width="44.5" customWidth="1"/>
  </cols>
  <sheetData>
    <row r="1" spans="1:11" ht="15.75">
      <c r="A1" s="272"/>
      <c r="B1" s="272" t="s">
        <v>411</v>
      </c>
      <c r="C1" s="273" t="s">
        <v>412</v>
      </c>
      <c r="D1" s="272" t="s">
        <v>0</v>
      </c>
      <c r="E1" s="272" t="s">
        <v>413</v>
      </c>
      <c r="F1" s="274" t="s">
        <v>414</v>
      </c>
      <c r="G1" s="274" t="s">
        <v>415</v>
      </c>
      <c r="H1" s="275" t="s">
        <v>416</v>
      </c>
      <c r="I1" s="272" t="s">
        <v>14</v>
      </c>
      <c r="J1" s="254" t="s">
        <v>12</v>
      </c>
      <c r="K1" s="276"/>
    </row>
    <row r="2" spans="1:11" ht="15.75">
      <c r="A2" s="277"/>
      <c r="B2" s="278">
        <v>45202</v>
      </c>
      <c r="C2" s="279">
        <v>0.63680555555555551</v>
      </c>
      <c r="D2" s="280" t="s">
        <v>417</v>
      </c>
      <c r="E2" s="277" t="s">
        <v>418</v>
      </c>
      <c r="F2" s="281">
        <v>33.494</v>
      </c>
      <c r="G2" s="281">
        <v>23.9</v>
      </c>
      <c r="H2" s="282">
        <v>2073.89</v>
      </c>
      <c r="I2" s="277" t="s">
        <v>21</v>
      </c>
      <c r="J2" s="257" t="s">
        <v>25</v>
      </c>
      <c r="K2" s="269"/>
    </row>
    <row r="3" spans="1:11" ht="15.75">
      <c r="A3" s="92">
        <v>1</v>
      </c>
      <c r="B3" s="283">
        <v>45202</v>
      </c>
      <c r="C3" s="284">
        <v>0.65972222222222221</v>
      </c>
      <c r="D3" s="92">
        <v>182</v>
      </c>
      <c r="E3" s="92" t="s">
        <v>419</v>
      </c>
      <c r="F3" s="261">
        <v>34.869999999999997</v>
      </c>
      <c r="G3" s="261">
        <v>23.96</v>
      </c>
      <c r="H3" s="285">
        <v>2008.4860000000001</v>
      </c>
      <c r="I3" s="92" t="s">
        <v>21</v>
      </c>
      <c r="J3" s="257" t="s">
        <v>25</v>
      </c>
      <c r="K3" s="269"/>
    </row>
    <row r="4" spans="1:11" ht="15.75">
      <c r="A4" s="92">
        <v>2</v>
      </c>
      <c r="B4" s="283">
        <v>45202</v>
      </c>
      <c r="C4" s="284">
        <v>0.67083333333333328</v>
      </c>
      <c r="D4" s="92">
        <v>183</v>
      </c>
      <c r="E4" s="92" t="s">
        <v>420</v>
      </c>
      <c r="F4" s="261">
        <v>34.76</v>
      </c>
      <c r="G4" s="261">
        <v>24.03</v>
      </c>
      <c r="H4" s="285">
        <v>2041.8879999999999</v>
      </c>
      <c r="I4" s="92" t="s">
        <v>21</v>
      </c>
      <c r="J4" s="257" t="s">
        <v>25</v>
      </c>
      <c r="K4" s="269"/>
    </row>
    <row r="5" spans="1:11" ht="15.75">
      <c r="A5" s="92">
        <v>3</v>
      </c>
      <c r="B5" s="283">
        <v>45202</v>
      </c>
      <c r="C5" s="284">
        <v>0.68194444444444446</v>
      </c>
      <c r="D5" s="92">
        <v>179</v>
      </c>
      <c r="E5" s="92" t="s">
        <v>421</v>
      </c>
      <c r="F5" s="261">
        <v>34.49</v>
      </c>
      <c r="G5" s="261">
        <v>23.95</v>
      </c>
      <c r="H5" s="285">
        <v>2004.011</v>
      </c>
      <c r="I5" s="92" t="s">
        <v>21</v>
      </c>
      <c r="J5" s="257" t="s">
        <v>25</v>
      </c>
      <c r="K5" s="269"/>
    </row>
    <row r="6" spans="1:11" ht="15.75">
      <c r="A6" s="92">
        <v>4</v>
      </c>
      <c r="B6" s="283">
        <v>45202</v>
      </c>
      <c r="C6" s="284">
        <v>0.69722222222222219</v>
      </c>
      <c r="D6" s="92">
        <v>178</v>
      </c>
      <c r="E6" s="92" t="s">
        <v>422</v>
      </c>
      <c r="F6" s="261">
        <v>34.9</v>
      </c>
      <c r="G6" s="261">
        <v>23.89</v>
      </c>
      <c r="H6" s="285">
        <v>2037.962</v>
      </c>
      <c r="I6" s="92" t="s">
        <v>21</v>
      </c>
      <c r="J6" s="257" t="s">
        <v>25</v>
      </c>
      <c r="K6" s="269"/>
    </row>
    <row r="7" spans="1:11" ht="15.75">
      <c r="A7" s="92">
        <v>5</v>
      </c>
      <c r="B7" s="283">
        <v>45202</v>
      </c>
      <c r="C7" s="284">
        <v>0.70833333333333337</v>
      </c>
      <c r="D7" s="92">
        <v>181</v>
      </c>
      <c r="E7" s="92" t="s">
        <v>423</v>
      </c>
      <c r="F7" s="261">
        <v>34.159999999999997</v>
      </c>
      <c r="G7" s="259">
        <v>23.8</v>
      </c>
      <c r="H7" s="285">
        <v>2008.8409999999999</v>
      </c>
      <c r="I7" s="92" t="s">
        <v>21</v>
      </c>
      <c r="J7" s="257" t="s">
        <v>25</v>
      </c>
      <c r="K7" s="269"/>
    </row>
    <row r="8" spans="1:11" ht="15.75">
      <c r="A8" s="92">
        <v>6</v>
      </c>
      <c r="B8" s="283">
        <v>45202</v>
      </c>
      <c r="C8" s="284">
        <v>0.71944444444444444</v>
      </c>
      <c r="D8" s="92">
        <v>180</v>
      </c>
      <c r="E8" s="92" t="s">
        <v>424</v>
      </c>
      <c r="F8" s="261">
        <v>34.200000000000003</v>
      </c>
      <c r="G8" s="259">
        <v>23.84</v>
      </c>
      <c r="H8" s="285">
        <v>2006.181</v>
      </c>
      <c r="I8" s="92" t="s">
        <v>21</v>
      </c>
      <c r="J8" s="257" t="s">
        <v>25</v>
      </c>
      <c r="K8" s="269"/>
    </row>
    <row r="9" spans="1:11" ht="15.75">
      <c r="A9" s="92">
        <v>7</v>
      </c>
      <c r="B9" s="283">
        <v>45202</v>
      </c>
      <c r="C9" s="286">
        <v>0.73750000000000004</v>
      </c>
      <c r="D9" s="92">
        <v>176</v>
      </c>
      <c r="E9" s="92" t="s">
        <v>425</v>
      </c>
      <c r="F9" s="261">
        <v>34</v>
      </c>
      <c r="G9" s="259">
        <v>24.02</v>
      </c>
      <c r="H9" s="285">
        <v>2016.0920000000001</v>
      </c>
      <c r="I9" s="92" t="s">
        <v>21</v>
      </c>
      <c r="J9" s="257" t="s">
        <v>25</v>
      </c>
      <c r="K9" s="269"/>
    </row>
    <row r="10" spans="1:11" ht="15.75">
      <c r="A10" s="92">
        <v>8</v>
      </c>
      <c r="B10" s="283">
        <v>45202</v>
      </c>
      <c r="C10" s="284">
        <v>0.75208333333333333</v>
      </c>
      <c r="D10" s="92">
        <v>177</v>
      </c>
      <c r="E10" s="92" t="s">
        <v>426</v>
      </c>
      <c r="F10" s="261">
        <v>34.26</v>
      </c>
      <c r="G10" s="259">
        <v>24.1</v>
      </c>
      <c r="H10" s="285">
        <v>2016.8040000000001</v>
      </c>
      <c r="I10" s="92" t="s">
        <v>21</v>
      </c>
      <c r="J10" s="257" t="s">
        <v>25</v>
      </c>
      <c r="K10" s="269"/>
    </row>
    <row r="11" spans="1:11" ht="15.75">
      <c r="A11" s="277"/>
      <c r="B11" s="278">
        <v>45202</v>
      </c>
      <c r="C11" s="279">
        <v>0.77013888888888893</v>
      </c>
      <c r="D11" s="280" t="s">
        <v>417</v>
      </c>
      <c r="E11" s="277" t="s">
        <v>418</v>
      </c>
      <c r="F11" s="281">
        <v>33.494</v>
      </c>
      <c r="G11" s="281">
        <v>23.9</v>
      </c>
      <c r="H11" s="282">
        <v>2072.8319999999999</v>
      </c>
      <c r="I11" s="277" t="s">
        <v>21</v>
      </c>
      <c r="J11" s="257" t="s">
        <v>25</v>
      </c>
      <c r="K11" s="269"/>
    </row>
    <row r="12" spans="1:11" ht="15.75">
      <c r="A12" s="277"/>
      <c r="B12" s="278">
        <v>45203</v>
      </c>
      <c r="C12" s="279">
        <v>0.47986111111111113</v>
      </c>
      <c r="D12" s="280" t="s">
        <v>427</v>
      </c>
      <c r="E12" s="277" t="s">
        <v>418</v>
      </c>
      <c r="F12" s="281">
        <v>33.494</v>
      </c>
      <c r="G12" s="281">
        <v>24.2</v>
      </c>
      <c r="H12" s="282">
        <v>2072.5549999999998</v>
      </c>
      <c r="I12" s="277" t="s">
        <v>21</v>
      </c>
      <c r="J12" s="257" t="s">
        <v>25</v>
      </c>
      <c r="K12" s="269"/>
    </row>
    <row r="13" spans="1:11" ht="15.75">
      <c r="A13" s="92">
        <v>9</v>
      </c>
      <c r="B13" s="283">
        <v>45203</v>
      </c>
      <c r="C13" s="284">
        <v>0.47986111111111113</v>
      </c>
      <c r="D13" s="92">
        <v>187</v>
      </c>
      <c r="E13" s="92" t="s">
        <v>419</v>
      </c>
      <c r="F13" s="261">
        <v>33.89</v>
      </c>
      <c r="G13" s="259">
        <v>24.23</v>
      </c>
      <c r="H13" s="285">
        <v>1999.521</v>
      </c>
      <c r="I13" s="92" t="s">
        <v>21</v>
      </c>
      <c r="J13" s="257" t="s">
        <v>25</v>
      </c>
      <c r="K13" s="269"/>
    </row>
    <row r="14" spans="1:11" ht="15.75">
      <c r="A14" s="92">
        <v>10</v>
      </c>
      <c r="B14" s="283">
        <v>45203</v>
      </c>
      <c r="C14" s="284">
        <v>0.49791666666666667</v>
      </c>
      <c r="D14" s="92">
        <v>186</v>
      </c>
      <c r="E14" s="92" t="s">
        <v>420</v>
      </c>
      <c r="F14" s="261">
        <v>33.94</v>
      </c>
      <c r="G14" s="259">
        <v>24.44</v>
      </c>
      <c r="H14" s="285">
        <v>1994.8340000000001</v>
      </c>
      <c r="I14" s="92" t="s">
        <v>21</v>
      </c>
      <c r="J14" s="257" t="s">
        <v>25</v>
      </c>
      <c r="K14" s="269"/>
    </row>
    <row r="15" spans="1:11" ht="15.75">
      <c r="A15" s="92">
        <v>11</v>
      </c>
      <c r="B15" s="283">
        <v>45203</v>
      </c>
      <c r="C15" s="284">
        <v>0.50902777777777775</v>
      </c>
      <c r="D15" s="92">
        <v>192</v>
      </c>
      <c r="E15" s="92" t="s">
        <v>421</v>
      </c>
      <c r="F15" s="261">
        <v>34.15</v>
      </c>
      <c r="G15" s="259">
        <v>24.17</v>
      </c>
      <c r="H15" s="285">
        <v>1981.509</v>
      </c>
      <c r="I15" s="92" t="s">
        <v>21</v>
      </c>
      <c r="J15" s="257" t="s">
        <v>25</v>
      </c>
      <c r="K15" s="269"/>
    </row>
    <row r="16" spans="1:11" ht="15.75">
      <c r="A16" s="92">
        <v>12</v>
      </c>
      <c r="B16" s="283">
        <v>45203</v>
      </c>
      <c r="C16" s="284">
        <v>0.53819444444444442</v>
      </c>
      <c r="D16" s="92">
        <v>193</v>
      </c>
      <c r="E16" s="92" t="s">
        <v>422</v>
      </c>
      <c r="F16" s="261">
        <v>34.17</v>
      </c>
      <c r="G16" s="259">
        <v>24.11</v>
      </c>
      <c r="H16" s="285">
        <v>1978.2260000000001</v>
      </c>
      <c r="I16" s="92" t="s">
        <v>21</v>
      </c>
      <c r="J16" s="257" t="s">
        <v>25</v>
      </c>
      <c r="K16" s="269"/>
    </row>
    <row r="17" spans="1:11" ht="15.75">
      <c r="A17" s="92">
        <v>13</v>
      </c>
      <c r="B17" s="283">
        <v>45203</v>
      </c>
      <c r="C17" s="284">
        <v>0.55277777777777781</v>
      </c>
      <c r="D17" s="92">
        <v>194</v>
      </c>
      <c r="E17" s="92" t="s">
        <v>423</v>
      </c>
      <c r="F17" s="261">
        <v>34.119999999999997</v>
      </c>
      <c r="G17" s="259">
        <v>24.05</v>
      </c>
      <c r="H17" s="285">
        <v>1975.6969999999999</v>
      </c>
      <c r="I17" s="92" t="s">
        <v>21</v>
      </c>
      <c r="J17" s="257" t="s">
        <v>25</v>
      </c>
      <c r="K17" s="269"/>
    </row>
    <row r="18" spans="1:11" ht="15.75">
      <c r="A18" s="92">
        <v>14</v>
      </c>
      <c r="B18" s="283">
        <v>45203</v>
      </c>
      <c r="C18" s="284">
        <v>0.6</v>
      </c>
      <c r="D18" s="92">
        <v>184</v>
      </c>
      <c r="E18" s="92" t="s">
        <v>425</v>
      </c>
      <c r="F18" s="261">
        <v>35.85</v>
      </c>
      <c r="G18" s="259">
        <v>24.13</v>
      </c>
      <c r="H18" s="285">
        <v>2063.4189999999999</v>
      </c>
      <c r="I18" s="92" t="s">
        <v>21</v>
      </c>
      <c r="J18" s="257" t="s">
        <v>25</v>
      </c>
      <c r="K18" s="269"/>
    </row>
    <row r="19" spans="1:11" ht="15.75">
      <c r="A19" s="92">
        <v>15</v>
      </c>
      <c r="B19" s="283">
        <v>45203</v>
      </c>
      <c r="C19" s="284">
        <v>0.61111111111111116</v>
      </c>
      <c r="D19" s="92">
        <v>185</v>
      </c>
      <c r="E19" s="92" t="s">
        <v>426</v>
      </c>
      <c r="F19" s="261">
        <v>35.549999999999997</v>
      </c>
      <c r="G19" s="259">
        <v>24.24</v>
      </c>
      <c r="H19" s="285">
        <v>2062.2049999999999</v>
      </c>
      <c r="I19" s="92" t="s">
        <v>21</v>
      </c>
      <c r="J19" s="257" t="s">
        <v>25</v>
      </c>
      <c r="K19" s="269"/>
    </row>
    <row r="20" spans="1:11" ht="15.75">
      <c r="A20" s="277"/>
      <c r="B20" s="278">
        <v>45203</v>
      </c>
      <c r="C20" s="277" t="s">
        <v>428</v>
      </c>
      <c r="D20" s="280" t="s">
        <v>427</v>
      </c>
      <c r="E20" s="277" t="s">
        <v>418</v>
      </c>
      <c r="F20" s="281">
        <v>33.494</v>
      </c>
      <c r="G20" s="281">
        <v>24.2</v>
      </c>
      <c r="H20" s="282">
        <v>2067.4059999999999</v>
      </c>
      <c r="I20" s="277" t="s">
        <v>21</v>
      </c>
      <c r="J20" s="257" t="s">
        <v>25</v>
      </c>
      <c r="K20" s="269"/>
    </row>
    <row r="21" spans="1:11" ht="15.75">
      <c r="A21" s="92">
        <v>16</v>
      </c>
      <c r="B21" s="283">
        <v>45203</v>
      </c>
      <c r="C21" s="284">
        <v>0.63680555555555551</v>
      </c>
      <c r="D21" s="92">
        <v>188</v>
      </c>
      <c r="E21" s="92" t="s">
        <v>419</v>
      </c>
      <c r="F21" s="261">
        <v>35.32</v>
      </c>
      <c r="G21" s="259">
        <v>23.91</v>
      </c>
      <c r="H21" s="285">
        <v>2087.4540000000002</v>
      </c>
      <c r="I21" s="92" t="s">
        <v>21</v>
      </c>
      <c r="J21" s="257" t="s">
        <v>25</v>
      </c>
      <c r="K21" s="269"/>
    </row>
    <row r="22" spans="1:11" ht="15.75">
      <c r="A22" s="92">
        <v>17</v>
      </c>
      <c r="B22" s="283">
        <v>45203</v>
      </c>
      <c r="C22" s="284">
        <v>0.6479166666666667</v>
      </c>
      <c r="D22" s="92">
        <v>189</v>
      </c>
      <c r="E22" s="92" t="s">
        <v>420</v>
      </c>
      <c r="F22" s="261">
        <v>35.380000000000003</v>
      </c>
      <c r="G22" s="259">
        <v>24.2</v>
      </c>
      <c r="H22" s="285">
        <v>2101.3629999999998</v>
      </c>
      <c r="I22" s="92" t="s">
        <v>21</v>
      </c>
      <c r="J22" s="257" t="s">
        <v>25</v>
      </c>
      <c r="K22" s="269"/>
    </row>
    <row r="23" spans="1:11" ht="15.75">
      <c r="A23" s="92">
        <v>18</v>
      </c>
      <c r="B23" s="283">
        <v>45203</v>
      </c>
      <c r="C23" s="284">
        <v>0.66666666666666663</v>
      </c>
      <c r="D23" s="92">
        <v>200</v>
      </c>
      <c r="E23" s="92" t="s">
        <v>421</v>
      </c>
      <c r="F23" s="261">
        <v>34.729999999999997</v>
      </c>
      <c r="G23" s="259">
        <v>24.21</v>
      </c>
      <c r="H23" s="285">
        <v>2018.605</v>
      </c>
      <c r="I23" s="92" t="s">
        <v>21</v>
      </c>
      <c r="J23" s="257" t="s">
        <v>25</v>
      </c>
      <c r="K23" s="269"/>
    </row>
    <row r="24" spans="1:11" ht="15.75">
      <c r="A24" s="92">
        <v>19</v>
      </c>
      <c r="B24" s="283">
        <v>45203</v>
      </c>
      <c r="C24" s="284">
        <v>0.68125000000000002</v>
      </c>
      <c r="D24" s="92">
        <v>195</v>
      </c>
      <c r="E24" s="92" t="s">
        <v>424</v>
      </c>
      <c r="F24" s="261">
        <v>34.15</v>
      </c>
      <c r="G24" s="257">
        <v>24.07</v>
      </c>
      <c r="H24" s="285">
        <v>1977.0160000000001</v>
      </c>
      <c r="I24" s="92" t="s">
        <v>21</v>
      </c>
      <c r="J24" s="257" t="s">
        <v>25</v>
      </c>
      <c r="K24" s="269"/>
    </row>
    <row r="25" spans="1:11" ht="15.75">
      <c r="A25" s="92">
        <v>20</v>
      </c>
      <c r="B25" s="283">
        <v>45203</v>
      </c>
      <c r="C25" s="287">
        <v>0.69930555555555551</v>
      </c>
      <c r="D25" s="257">
        <v>201</v>
      </c>
      <c r="E25" s="257" t="s">
        <v>422</v>
      </c>
      <c r="F25" s="259">
        <v>34.72</v>
      </c>
      <c r="G25" s="259">
        <v>23.88</v>
      </c>
      <c r="H25" s="285">
        <v>2019.0070000000001</v>
      </c>
      <c r="I25" s="92" t="s">
        <v>21</v>
      </c>
      <c r="J25" s="257" t="s">
        <v>25</v>
      </c>
      <c r="K25" s="269"/>
    </row>
    <row r="26" spans="1:11" ht="15.75">
      <c r="A26" s="92">
        <v>21</v>
      </c>
      <c r="B26" s="283">
        <v>45203</v>
      </c>
      <c r="C26" s="287">
        <v>0.7104166666666667</v>
      </c>
      <c r="D26" s="257">
        <v>190</v>
      </c>
      <c r="E26" s="257" t="s">
        <v>423</v>
      </c>
      <c r="F26" s="259">
        <v>34.36</v>
      </c>
      <c r="G26" s="259">
        <v>23.89</v>
      </c>
      <c r="H26" s="285">
        <v>2019.0360000000001</v>
      </c>
      <c r="I26" s="92" t="s">
        <v>21</v>
      </c>
      <c r="J26" s="257" t="s">
        <v>25</v>
      </c>
      <c r="K26" s="269"/>
    </row>
    <row r="27" spans="1:11" ht="15.75">
      <c r="A27" s="92">
        <v>22</v>
      </c>
      <c r="B27" s="283">
        <v>45203</v>
      </c>
      <c r="C27" s="287">
        <v>0.72152777777777777</v>
      </c>
      <c r="D27" s="92">
        <v>191</v>
      </c>
      <c r="E27" s="92" t="s">
        <v>425</v>
      </c>
      <c r="F27" s="261">
        <v>35</v>
      </c>
      <c r="G27" s="259">
        <v>24.02</v>
      </c>
      <c r="H27" s="285">
        <v>2042.6969999999999</v>
      </c>
      <c r="I27" s="92" t="s">
        <v>21</v>
      </c>
      <c r="J27" s="257" t="s">
        <v>25</v>
      </c>
      <c r="K27" s="269"/>
    </row>
    <row r="28" spans="1:11" ht="15.75">
      <c r="A28" s="277"/>
      <c r="B28" s="278">
        <v>45203</v>
      </c>
      <c r="C28" s="277" t="s">
        <v>429</v>
      </c>
      <c r="D28" s="280" t="s">
        <v>427</v>
      </c>
      <c r="E28" s="277" t="s">
        <v>418</v>
      </c>
      <c r="F28" s="281">
        <v>33.494</v>
      </c>
      <c r="G28" s="281">
        <v>24.2</v>
      </c>
      <c r="H28" s="282">
        <v>2065.8969999999999</v>
      </c>
      <c r="I28" s="277" t="s">
        <v>21</v>
      </c>
      <c r="J28" s="257" t="s">
        <v>25</v>
      </c>
      <c r="K28" s="269"/>
    </row>
    <row r="29" spans="1:11" ht="15.75">
      <c r="A29" s="277"/>
      <c r="B29" s="278">
        <v>45218</v>
      </c>
      <c r="C29" s="279">
        <v>0.48819444444444443</v>
      </c>
      <c r="D29" s="280" t="s">
        <v>430</v>
      </c>
      <c r="E29" s="277" t="s">
        <v>418</v>
      </c>
      <c r="F29" s="281">
        <v>33.494</v>
      </c>
      <c r="G29" s="281">
        <v>24.1</v>
      </c>
      <c r="H29" s="282">
        <v>2070.2089999999998</v>
      </c>
      <c r="I29" s="277" t="s">
        <v>21</v>
      </c>
      <c r="J29" s="257" t="s">
        <v>25</v>
      </c>
      <c r="K29" s="269"/>
    </row>
    <row r="30" spans="1:11" ht="15.75">
      <c r="A30" s="92">
        <v>23</v>
      </c>
      <c r="B30" s="283">
        <v>45218</v>
      </c>
      <c r="C30" s="284">
        <v>0.50277777777777777</v>
      </c>
      <c r="D30" s="92">
        <v>235</v>
      </c>
      <c r="E30" s="92" t="s">
        <v>419</v>
      </c>
      <c r="F30" s="261">
        <v>36.36</v>
      </c>
      <c r="G30" s="259">
        <v>24.15</v>
      </c>
      <c r="H30" s="285">
        <v>2075.3690000000001</v>
      </c>
      <c r="I30" s="92" t="s">
        <v>21</v>
      </c>
      <c r="J30" s="257" t="s">
        <v>25</v>
      </c>
      <c r="K30" s="269"/>
    </row>
    <row r="31" spans="1:11" ht="15.75">
      <c r="A31" s="92">
        <v>24</v>
      </c>
      <c r="B31" s="283">
        <v>45218</v>
      </c>
      <c r="C31" s="286">
        <v>0.51458333333333328</v>
      </c>
      <c r="D31" s="92">
        <v>236</v>
      </c>
      <c r="E31" s="92" t="s">
        <v>420</v>
      </c>
      <c r="F31" s="261">
        <v>36.950000000000003</v>
      </c>
      <c r="G31" s="259">
        <v>24.1</v>
      </c>
      <c r="H31" s="285">
        <v>2051.0810000000001</v>
      </c>
      <c r="I31" s="92" t="s">
        <v>21</v>
      </c>
      <c r="J31" s="257" t="s">
        <v>25</v>
      </c>
      <c r="K31" s="269"/>
    </row>
    <row r="32" spans="1:11" ht="15.75">
      <c r="A32" s="92">
        <v>25</v>
      </c>
      <c r="B32" s="283">
        <v>45218</v>
      </c>
      <c r="C32" s="284">
        <v>0.52569444444444446</v>
      </c>
      <c r="D32" s="92">
        <v>246</v>
      </c>
      <c r="E32" s="92" t="s">
        <v>421</v>
      </c>
      <c r="F32" s="261">
        <v>36.49</v>
      </c>
      <c r="G32" s="261">
        <v>24.15</v>
      </c>
      <c r="H32" s="285">
        <v>2048.4560000000001</v>
      </c>
      <c r="I32" s="92" t="s">
        <v>21</v>
      </c>
      <c r="J32" s="257" t="s">
        <v>25</v>
      </c>
      <c r="K32" s="269"/>
    </row>
    <row r="33" spans="1:11" ht="15.75">
      <c r="A33" s="92">
        <v>26</v>
      </c>
      <c r="B33" s="283">
        <v>45218</v>
      </c>
      <c r="C33" s="284">
        <v>0.53680555555555554</v>
      </c>
      <c r="D33" s="92">
        <v>247</v>
      </c>
      <c r="E33" s="92" t="s">
        <v>422</v>
      </c>
      <c r="F33" s="261">
        <v>36.5</v>
      </c>
      <c r="G33" s="261">
        <v>24.02</v>
      </c>
      <c r="H33" s="285">
        <v>2070.692</v>
      </c>
      <c r="I33" s="92" t="s">
        <v>21</v>
      </c>
      <c r="J33" s="257" t="s">
        <v>25</v>
      </c>
      <c r="K33" s="269"/>
    </row>
    <row r="34" spans="1:11" ht="15.75">
      <c r="A34" s="92">
        <v>27</v>
      </c>
      <c r="B34" s="283">
        <v>45218</v>
      </c>
      <c r="C34" s="286">
        <v>0.55486111111111114</v>
      </c>
      <c r="D34" s="92">
        <v>257</v>
      </c>
      <c r="E34" s="92" t="s">
        <v>423</v>
      </c>
      <c r="F34" s="261">
        <v>36.24</v>
      </c>
      <c r="G34" s="261">
        <v>24</v>
      </c>
      <c r="H34" s="285">
        <v>2067.5210000000002</v>
      </c>
      <c r="I34" s="92" t="s">
        <v>21</v>
      </c>
      <c r="J34" s="257" t="s">
        <v>25</v>
      </c>
      <c r="K34" s="269"/>
    </row>
    <row r="35" spans="1:11" ht="15.75">
      <c r="A35" s="92">
        <v>28</v>
      </c>
      <c r="B35" s="283">
        <v>45218</v>
      </c>
      <c r="C35" s="284">
        <v>0.56597222222222221</v>
      </c>
      <c r="D35" s="92">
        <v>258</v>
      </c>
      <c r="E35" s="92" t="s">
        <v>424</v>
      </c>
      <c r="F35" s="261">
        <v>36.479999999999997</v>
      </c>
      <c r="G35" s="261">
        <v>24.02</v>
      </c>
      <c r="H35" s="285">
        <v>2072.56</v>
      </c>
      <c r="I35" s="92" t="s">
        <v>21</v>
      </c>
      <c r="J35" s="257" t="s">
        <v>25</v>
      </c>
      <c r="K35" s="269"/>
    </row>
    <row r="36" spans="1:11" ht="15.75">
      <c r="A36" s="92">
        <v>29</v>
      </c>
      <c r="B36" s="283">
        <v>45218</v>
      </c>
      <c r="C36" s="284">
        <v>0.57777777777777772</v>
      </c>
      <c r="D36" s="92">
        <v>268</v>
      </c>
      <c r="E36" s="92" t="s">
        <v>425</v>
      </c>
      <c r="F36" s="261">
        <v>36.36</v>
      </c>
      <c r="G36" s="261">
        <v>24.17</v>
      </c>
      <c r="H36" s="285">
        <v>2099.9270000000001</v>
      </c>
      <c r="I36" s="92" t="s">
        <v>21</v>
      </c>
      <c r="J36" s="257" t="s">
        <v>25</v>
      </c>
      <c r="K36" s="269"/>
    </row>
    <row r="37" spans="1:11" ht="15.75">
      <c r="A37" s="92">
        <v>30</v>
      </c>
      <c r="B37" s="283">
        <v>45218</v>
      </c>
      <c r="C37" s="284">
        <v>0.58819444444444446</v>
      </c>
      <c r="D37" s="92">
        <v>269</v>
      </c>
      <c r="E37" s="92" t="s">
        <v>426</v>
      </c>
      <c r="F37" s="261">
        <v>36.25</v>
      </c>
      <c r="G37" s="261">
        <v>24.59</v>
      </c>
      <c r="H37" s="285">
        <v>2078.7649999999999</v>
      </c>
      <c r="I37" s="92" t="s">
        <v>21</v>
      </c>
      <c r="J37" s="257" t="s">
        <v>25</v>
      </c>
      <c r="K37" s="269"/>
    </row>
    <row r="38" spans="1:11" ht="15.75">
      <c r="A38" s="277"/>
      <c r="B38" s="278">
        <v>45218</v>
      </c>
      <c r="C38" s="279">
        <v>0.60277777777777775</v>
      </c>
      <c r="D38" s="280" t="s">
        <v>430</v>
      </c>
      <c r="E38" s="277" t="s">
        <v>418</v>
      </c>
      <c r="F38" s="281">
        <v>32.494</v>
      </c>
      <c r="G38" s="281">
        <v>24.1</v>
      </c>
      <c r="H38" s="288" t="s">
        <v>18</v>
      </c>
      <c r="I38" s="277" t="s">
        <v>431</v>
      </c>
      <c r="J38" s="257" t="s">
        <v>25</v>
      </c>
      <c r="K38" s="269"/>
    </row>
    <row r="39" spans="1:11" ht="15.75">
      <c r="A39" s="92">
        <v>31</v>
      </c>
      <c r="B39" s="283">
        <v>45218</v>
      </c>
      <c r="C39" s="284">
        <v>0.63958333333333328</v>
      </c>
      <c r="D39" s="92">
        <v>290</v>
      </c>
      <c r="E39" s="92" t="s">
        <v>419</v>
      </c>
      <c r="F39" s="261">
        <v>36.659999999999997</v>
      </c>
      <c r="G39" s="261">
        <v>25.13</v>
      </c>
      <c r="H39" s="285">
        <v>2081.8960000000002</v>
      </c>
      <c r="I39" s="92" t="s">
        <v>21</v>
      </c>
      <c r="J39" s="257" t="s">
        <v>25</v>
      </c>
      <c r="K39" s="269"/>
    </row>
    <row r="40" spans="1:11" ht="15.75">
      <c r="A40" s="92">
        <v>32</v>
      </c>
      <c r="B40" s="283">
        <v>45218</v>
      </c>
      <c r="C40" s="284">
        <v>0.65486111111111112</v>
      </c>
      <c r="D40" s="92">
        <v>291</v>
      </c>
      <c r="E40" s="92" t="s">
        <v>420</v>
      </c>
      <c r="F40" s="261">
        <v>36.49</v>
      </c>
      <c r="G40" s="261">
        <v>24.13</v>
      </c>
      <c r="H40" s="285">
        <v>2080.2420000000002</v>
      </c>
      <c r="I40" s="92" t="s">
        <v>21</v>
      </c>
      <c r="J40" s="257" t="s">
        <v>25</v>
      </c>
      <c r="K40" s="269"/>
    </row>
    <row r="41" spans="1:11" ht="15.75">
      <c r="A41" s="92">
        <v>33</v>
      </c>
      <c r="B41" s="283">
        <v>45218</v>
      </c>
      <c r="C41" s="284">
        <v>0.6694444444444444</v>
      </c>
      <c r="D41" s="92">
        <v>279</v>
      </c>
      <c r="E41" s="92" t="s">
        <v>421</v>
      </c>
      <c r="F41" s="259">
        <v>36.03</v>
      </c>
      <c r="G41" s="261">
        <v>24.14</v>
      </c>
      <c r="H41" s="285">
        <v>2051.6709999999998</v>
      </c>
      <c r="I41" s="92" t="s">
        <v>21</v>
      </c>
      <c r="J41" s="257" t="s">
        <v>25</v>
      </c>
      <c r="K41" s="269"/>
    </row>
    <row r="42" spans="1:11" ht="15.75">
      <c r="A42" s="92">
        <v>34</v>
      </c>
      <c r="B42" s="283">
        <v>45218</v>
      </c>
      <c r="C42" s="284">
        <v>0.68055555555555558</v>
      </c>
      <c r="D42" s="92">
        <v>280</v>
      </c>
      <c r="E42" s="257" t="s">
        <v>422</v>
      </c>
      <c r="F42" s="259">
        <v>36.450000000000003</v>
      </c>
      <c r="G42" s="261">
        <v>24.02</v>
      </c>
      <c r="H42" s="285">
        <v>2053.4699999999998</v>
      </c>
      <c r="I42" s="92" t="s">
        <v>21</v>
      </c>
      <c r="J42" s="257" t="s">
        <v>25</v>
      </c>
      <c r="K42" s="269"/>
    </row>
    <row r="43" spans="1:11" ht="15.75">
      <c r="A43" s="92">
        <v>35</v>
      </c>
      <c r="B43" s="283">
        <v>45218</v>
      </c>
      <c r="C43" s="284">
        <v>0.69166666666666665</v>
      </c>
      <c r="D43" s="92">
        <v>202</v>
      </c>
      <c r="E43" s="92" t="s">
        <v>423</v>
      </c>
      <c r="F43" s="261" t="s">
        <v>432</v>
      </c>
      <c r="G43" s="261">
        <v>23.99</v>
      </c>
      <c r="H43" s="285">
        <v>2023.643</v>
      </c>
      <c r="I43" s="92" t="s">
        <v>21</v>
      </c>
      <c r="J43" s="257" t="s">
        <v>25</v>
      </c>
      <c r="K43" s="269"/>
    </row>
    <row r="44" spans="1:11" ht="15.75">
      <c r="A44" s="92">
        <v>36</v>
      </c>
      <c r="B44" s="283">
        <v>45218</v>
      </c>
      <c r="C44" s="284">
        <v>0.70277777777777772</v>
      </c>
      <c r="D44" s="92">
        <v>203</v>
      </c>
      <c r="E44" s="92" t="s">
        <v>424</v>
      </c>
      <c r="F44" s="261" t="s">
        <v>432</v>
      </c>
      <c r="G44" s="261">
        <v>24.01</v>
      </c>
      <c r="H44" s="285">
        <v>2041.9369999999999</v>
      </c>
      <c r="I44" s="92" t="s">
        <v>21</v>
      </c>
      <c r="J44" s="257" t="s">
        <v>25</v>
      </c>
      <c r="K44" s="269"/>
    </row>
    <row r="45" spans="1:11" ht="15.75">
      <c r="A45" s="92">
        <v>37</v>
      </c>
      <c r="B45" s="283">
        <v>45218</v>
      </c>
      <c r="C45" s="284">
        <v>0.71388888888888891</v>
      </c>
      <c r="D45" s="92">
        <v>213</v>
      </c>
      <c r="E45" s="92" t="s">
        <v>425</v>
      </c>
      <c r="F45" s="261" t="s">
        <v>432</v>
      </c>
      <c r="G45" s="261">
        <v>23.63</v>
      </c>
      <c r="H45" s="285">
        <v>2022.5909999999999</v>
      </c>
      <c r="I45" s="92" t="s">
        <v>21</v>
      </c>
      <c r="J45" s="257" t="s">
        <v>25</v>
      </c>
      <c r="K45" s="269"/>
    </row>
    <row r="46" spans="1:11" ht="15.75">
      <c r="A46" s="92">
        <v>38</v>
      </c>
      <c r="B46" s="283">
        <v>45218</v>
      </c>
      <c r="C46" s="284">
        <v>0.72569444444444442</v>
      </c>
      <c r="D46" s="92">
        <v>214</v>
      </c>
      <c r="E46" s="92" t="s">
        <v>426</v>
      </c>
      <c r="F46" s="261" t="s">
        <v>432</v>
      </c>
      <c r="G46" s="261">
        <v>24.02</v>
      </c>
      <c r="H46" s="285">
        <v>2023.9829999999999</v>
      </c>
      <c r="I46" s="92" t="s">
        <v>21</v>
      </c>
      <c r="J46" s="257" t="s">
        <v>25</v>
      </c>
      <c r="K46" s="269"/>
    </row>
    <row r="47" spans="1:11" ht="15.75">
      <c r="A47" s="277"/>
      <c r="B47" s="278">
        <v>45218</v>
      </c>
      <c r="C47" s="279">
        <v>0.76458333333333328</v>
      </c>
      <c r="D47" s="280" t="s">
        <v>430</v>
      </c>
      <c r="E47" s="277" t="s">
        <v>418</v>
      </c>
      <c r="F47" s="281">
        <v>32.494</v>
      </c>
      <c r="G47" s="281">
        <v>24.1</v>
      </c>
      <c r="H47" s="282">
        <v>2067.2179999999998</v>
      </c>
      <c r="I47" s="277" t="s">
        <v>21</v>
      </c>
      <c r="J47" s="257" t="s">
        <v>25</v>
      </c>
      <c r="K47" s="269"/>
    </row>
    <row r="48" spans="1:11" ht="15.75">
      <c r="A48" s="277"/>
      <c r="B48" s="278">
        <v>45219</v>
      </c>
      <c r="C48" s="279">
        <v>0.47430555555555554</v>
      </c>
      <c r="D48" s="280" t="s">
        <v>433</v>
      </c>
      <c r="E48" s="277" t="s">
        <v>418</v>
      </c>
      <c r="F48" s="281">
        <v>32.494</v>
      </c>
      <c r="G48" s="281">
        <v>24.2</v>
      </c>
      <c r="H48" s="282">
        <v>2071.174</v>
      </c>
      <c r="I48" s="277" t="s">
        <v>21</v>
      </c>
      <c r="J48" s="257" t="s">
        <v>25</v>
      </c>
      <c r="K48" s="269"/>
    </row>
    <row r="49" spans="1:11" ht="15.75">
      <c r="A49" s="92">
        <v>39</v>
      </c>
      <c r="B49" s="283">
        <v>45219</v>
      </c>
      <c r="C49" s="287">
        <v>0.48541666666666666</v>
      </c>
      <c r="D49" s="257">
        <v>225</v>
      </c>
      <c r="E49" s="92" t="s">
        <v>419</v>
      </c>
      <c r="F49" s="261" t="s">
        <v>432</v>
      </c>
      <c r="G49" s="261">
        <v>24.2</v>
      </c>
      <c r="H49" s="285">
        <v>2067.4290000000001</v>
      </c>
      <c r="I49" s="92" t="s">
        <v>21</v>
      </c>
      <c r="J49" s="257" t="s">
        <v>25</v>
      </c>
      <c r="K49" s="269"/>
    </row>
    <row r="50" spans="1:11" ht="15.75">
      <c r="A50" s="277"/>
      <c r="B50" s="278">
        <v>45219</v>
      </c>
      <c r="C50" s="279">
        <v>0.49722222222222223</v>
      </c>
      <c r="D50" s="280" t="s">
        <v>433</v>
      </c>
      <c r="E50" s="277" t="s">
        <v>418</v>
      </c>
      <c r="F50" s="281">
        <v>32.494</v>
      </c>
      <c r="G50" s="281">
        <v>24.2</v>
      </c>
      <c r="H50" s="282">
        <v>2071.069</v>
      </c>
      <c r="I50" s="277" t="s">
        <v>21</v>
      </c>
      <c r="J50" s="257" t="s">
        <v>25</v>
      </c>
      <c r="K50" s="269"/>
    </row>
    <row r="51" spans="1:11" ht="15.75">
      <c r="A51" s="92">
        <v>40</v>
      </c>
      <c r="B51" s="283">
        <v>45219</v>
      </c>
      <c r="C51" s="287">
        <v>0.5083333333333333</v>
      </c>
      <c r="D51" s="257">
        <v>224</v>
      </c>
      <c r="E51" s="92" t="s">
        <v>420</v>
      </c>
      <c r="F51" s="261" t="s">
        <v>432</v>
      </c>
      <c r="G51" s="261">
        <v>24.22</v>
      </c>
      <c r="H51" s="285">
        <v>2012.009</v>
      </c>
      <c r="I51" s="92" t="s">
        <v>21</v>
      </c>
      <c r="J51" s="257" t="s">
        <v>25</v>
      </c>
      <c r="K51" s="269"/>
    </row>
    <row r="52" spans="1:11" ht="15.75">
      <c r="A52" s="92">
        <v>41</v>
      </c>
      <c r="B52" s="283">
        <v>45219</v>
      </c>
      <c r="C52" s="287">
        <v>0.52013888888888893</v>
      </c>
      <c r="D52" s="257">
        <v>301</v>
      </c>
      <c r="E52" s="92" t="s">
        <v>421</v>
      </c>
      <c r="F52" s="261" t="s">
        <v>432</v>
      </c>
      <c r="G52" s="261">
        <v>24.21</v>
      </c>
      <c r="H52" s="285">
        <v>2084.2930000000001</v>
      </c>
      <c r="I52" s="92" t="s">
        <v>21</v>
      </c>
      <c r="J52" s="257" t="s">
        <v>25</v>
      </c>
      <c r="K52" s="269"/>
    </row>
    <row r="53" spans="1:11" ht="15.75">
      <c r="A53" s="92">
        <v>42</v>
      </c>
      <c r="B53" s="283">
        <v>45219</v>
      </c>
      <c r="C53" s="284">
        <v>0.53125</v>
      </c>
      <c r="D53" s="92">
        <v>302</v>
      </c>
      <c r="E53" s="92" t="s">
        <v>422</v>
      </c>
      <c r="F53" s="261" t="s">
        <v>432</v>
      </c>
      <c r="G53" s="261">
        <v>24.07</v>
      </c>
      <c r="H53" s="285">
        <v>2083.7269999999999</v>
      </c>
      <c r="I53" s="92" t="s">
        <v>21</v>
      </c>
      <c r="J53" s="257" t="s">
        <v>25</v>
      </c>
      <c r="K53" s="269"/>
    </row>
    <row r="54" spans="1:11" ht="15.75">
      <c r="A54" s="92">
        <v>43</v>
      </c>
      <c r="B54" s="283">
        <v>45219</v>
      </c>
      <c r="C54" s="284">
        <v>0.54583333333333328</v>
      </c>
      <c r="D54" s="92">
        <v>323</v>
      </c>
      <c r="E54" s="92" t="s">
        <v>423</v>
      </c>
      <c r="F54" s="261">
        <v>34.71</v>
      </c>
      <c r="G54" s="261">
        <v>23.96</v>
      </c>
      <c r="H54" s="285">
        <v>2078.018</v>
      </c>
      <c r="I54" s="92" t="s">
        <v>21</v>
      </c>
      <c r="J54" s="257" t="s">
        <v>25</v>
      </c>
      <c r="K54" s="269"/>
    </row>
    <row r="55" spans="1:11" ht="15.75">
      <c r="A55" s="92">
        <v>44</v>
      </c>
      <c r="B55" s="283">
        <v>45219</v>
      </c>
      <c r="C55" s="284">
        <v>0.55763888888888891</v>
      </c>
      <c r="D55" s="92">
        <v>324</v>
      </c>
      <c r="E55" s="92" t="s">
        <v>424</v>
      </c>
      <c r="F55" s="261" t="s">
        <v>432</v>
      </c>
      <c r="G55" s="261">
        <v>24</v>
      </c>
      <c r="H55" s="285">
        <v>2079.7069999999999</v>
      </c>
      <c r="I55" s="92" t="s">
        <v>21</v>
      </c>
      <c r="J55" s="257" t="s">
        <v>25</v>
      </c>
      <c r="K55" s="269"/>
    </row>
    <row r="56" spans="1:11" ht="15.75">
      <c r="A56" s="92">
        <v>45</v>
      </c>
      <c r="B56" s="283">
        <v>45219</v>
      </c>
      <c r="C56" s="284">
        <v>0.56874999999999998</v>
      </c>
      <c r="D56" s="92">
        <v>334</v>
      </c>
      <c r="E56" s="92" t="s">
        <v>425</v>
      </c>
      <c r="F56" s="261">
        <v>31.76</v>
      </c>
      <c r="G56" s="261">
        <v>24.03</v>
      </c>
      <c r="H56" s="285">
        <v>2081.1799999999998</v>
      </c>
      <c r="I56" s="92" t="s">
        <v>21</v>
      </c>
      <c r="J56" s="257" t="s">
        <v>25</v>
      </c>
      <c r="K56" s="269"/>
    </row>
    <row r="57" spans="1:11" ht="15.75">
      <c r="A57" s="92">
        <v>46</v>
      </c>
      <c r="B57" s="283">
        <v>45219</v>
      </c>
      <c r="C57" s="284">
        <v>0.57986111111111116</v>
      </c>
      <c r="D57" s="92">
        <v>335</v>
      </c>
      <c r="E57" s="92" t="s">
        <v>426</v>
      </c>
      <c r="F57" s="261" t="s">
        <v>432</v>
      </c>
      <c r="G57" s="261">
        <v>24.1</v>
      </c>
      <c r="H57" s="285">
        <v>2080.7689999999998</v>
      </c>
      <c r="I57" s="92" t="s">
        <v>21</v>
      </c>
      <c r="J57" s="257" t="s">
        <v>25</v>
      </c>
      <c r="K57" s="269"/>
    </row>
    <row r="58" spans="1:11" ht="15.75">
      <c r="A58" s="277"/>
      <c r="B58" s="278">
        <v>45219</v>
      </c>
      <c r="C58" s="279">
        <v>0.59166666666666667</v>
      </c>
      <c r="D58" s="280" t="s">
        <v>433</v>
      </c>
      <c r="E58" s="277" t="s">
        <v>418</v>
      </c>
      <c r="F58" s="281">
        <v>32.494</v>
      </c>
      <c r="G58" s="281">
        <v>24.2</v>
      </c>
      <c r="H58" s="282">
        <v>2063.7159999999999</v>
      </c>
      <c r="I58" s="277" t="s">
        <v>21</v>
      </c>
      <c r="J58" s="257" t="s">
        <v>25</v>
      </c>
      <c r="K58" s="269"/>
    </row>
    <row r="59" spans="1:11" ht="15.75">
      <c r="A59" s="92">
        <v>47</v>
      </c>
      <c r="B59" s="283">
        <v>45219</v>
      </c>
      <c r="C59" s="284">
        <v>0.60277777777777775</v>
      </c>
      <c r="D59" s="92">
        <v>389</v>
      </c>
      <c r="E59" s="92" t="s">
        <v>419</v>
      </c>
      <c r="F59" s="261">
        <v>36.04</v>
      </c>
      <c r="G59" s="261">
        <v>24.07</v>
      </c>
      <c r="H59" s="285">
        <v>2004.0319999999999</v>
      </c>
      <c r="I59" s="92" t="s">
        <v>21</v>
      </c>
      <c r="J59" s="257" t="s">
        <v>25</v>
      </c>
      <c r="K59" s="269"/>
    </row>
    <row r="60" spans="1:11" ht="15.75">
      <c r="A60" s="92">
        <v>48</v>
      </c>
      <c r="B60" s="283">
        <v>45219</v>
      </c>
      <c r="C60" s="284">
        <v>0.62083333333333335</v>
      </c>
      <c r="D60" s="92">
        <v>390</v>
      </c>
      <c r="E60" s="92" t="s">
        <v>420</v>
      </c>
      <c r="F60" s="261">
        <v>36.229999999999997</v>
      </c>
      <c r="G60" s="261">
        <v>23.83</v>
      </c>
      <c r="H60" s="285">
        <v>2017.442</v>
      </c>
      <c r="I60" s="92" t="s">
        <v>21</v>
      </c>
      <c r="J60" s="257" t="s">
        <v>25</v>
      </c>
      <c r="K60" s="269"/>
    </row>
    <row r="61" spans="1:11" ht="15.75">
      <c r="A61" s="92">
        <v>49</v>
      </c>
      <c r="B61" s="283">
        <v>45219</v>
      </c>
      <c r="C61" s="284">
        <v>0.63194444444444442</v>
      </c>
      <c r="D61" s="92">
        <v>312</v>
      </c>
      <c r="E61" s="92" t="s">
        <v>421</v>
      </c>
      <c r="F61" s="261">
        <v>35.99</v>
      </c>
      <c r="G61" s="261">
        <v>24</v>
      </c>
      <c r="H61" s="285">
        <v>2012.5820000000001</v>
      </c>
      <c r="I61" s="92" t="s">
        <v>21</v>
      </c>
      <c r="J61" s="257" t="s">
        <v>25</v>
      </c>
      <c r="K61" s="269"/>
    </row>
    <row r="62" spans="1:11" ht="15.75">
      <c r="A62" s="92">
        <v>50</v>
      </c>
      <c r="B62" s="283">
        <v>45219</v>
      </c>
      <c r="C62" s="284">
        <v>0.64375000000000004</v>
      </c>
      <c r="D62" s="92">
        <v>313</v>
      </c>
      <c r="E62" s="257" t="s">
        <v>422</v>
      </c>
      <c r="F62" s="261">
        <v>36.200000000000003</v>
      </c>
      <c r="G62" s="261">
        <v>23.97</v>
      </c>
      <c r="H62" s="285">
        <v>2028.7070000000001</v>
      </c>
      <c r="I62" s="92" t="s">
        <v>21</v>
      </c>
      <c r="J62" s="257" t="s">
        <v>25</v>
      </c>
      <c r="K62" s="269"/>
    </row>
    <row r="63" spans="1:11" ht="15.75">
      <c r="A63" s="92">
        <v>51</v>
      </c>
      <c r="B63" s="283">
        <v>45219</v>
      </c>
      <c r="C63" s="284">
        <v>0.65486111111111112</v>
      </c>
      <c r="D63" s="92">
        <v>356</v>
      </c>
      <c r="E63" s="92" t="s">
        <v>423</v>
      </c>
      <c r="F63" s="261">
        <v>36.07</v>
      </c>
      <c r="G63" s="261">
        <v>23.89</v>
      </c>
      <c r="H63" s="285">
        <v>2017.873</v>
      </c>
      <c r="I63" s="92" t="s">
        <v>21</v>
      </c>
      <c r="J63" s="257" t="s">
        <v>25</v>
      </c>
      <c r="K63" s="269"/>
    </row>
    <row r="64" spans="1:11" ht="15.75">
      <c r="A64" s="92">
        <v>52</v>
      </c>
      <c r="B64" s="283">
        <v>45219</v>
      </c>
      <c r="C64" s="284">
        <v>0.66597222222222219</v>
      </c>
      <c r="D64" s="92">
        <v>357</v>
      </c>
      <c r="E64" s="92" t="s">
        <v>424</v>
      </c>
      <c r="F64" s="261">
        <v>35.89</v>
      </c>
      <c r="G64" s="261">
        <v>23.9</v>
      </c>
      <c r="H64" s="285">
        <v>2019.0709999999999</v>
      </c>
      <c r="I64" s="92" t="s">
        <v>21</v>
      </c>
      <c r="J64" s="257" t="s">
        <v>25</v>
      </c>
      <c r="K64" s="269"/>
    </row>
    <row r="65" spans="1:11" ht="15.75">
      <c r="A65" s="92">
        <v>53</v>
      </c>
      <c r="B65" s="283">
        <v>45219</v>
      </c>
      <c r="C65" s="284">
        <v>0.68055555555555558</v>
      </c>
      <c r="D65" s="92">
        <v>455</v>
      </c>
      <c r="E65" s="92" t="s">
        <v>425</v>
      </c>
      <c r="F65" s="261" t="s">
        <v>432</v>
      </c>
      <c r="G65" s="261">
        <v>23.63</v>
      </c>
      <c r="H65" s="285">
        <v>2006.4870000000001</v>
      </c>
      <c r="I65" s="92" t="s">
        <v>21</v>
      </c>
      <c r="J65" s="257" t="s">
        <v>25</v>
      </c>
      <c r="K65" s="269"/>
    </row>
    <row r="66" spans="1:11" ht="15.75">
      <c r="A66" s="92">
        <v>54</v>
      </c>
      <c r="B66" s="283">
        <v>45219</v>
      </c>
      <c r="C66" s="284">
        <v>0.69861111111111107</v>
      </c>
      <c r="D66" s="92">
        <v>456</v>
      </c>
      <c r="E66" s="92" t="s">
        <v>426</v>
      </c>
      <c r="F66" s="261" t="s">
        <v>432</v>
      </c>
      <c r="G66" s="261">
        <v>23.85</v>
      </c>
      <c r="H66" s="285">
        <v>2085.0230000000001</v>
      </c>
      <c r="I66" s="92" t="s">
        <v>21</v>
      </c>
      <c r="J66" s="257" t="s">
        <v>25</v>
      </c>
      <c r="K66" s="269"/>
    </row>
    <row r="67" spans="1:11" ht="15.75">
      <c r="A67" s="277"/>
      <c r="B67" s="278">
        <v>45219</v>
      </c>
      <c r="C67" s="279">
        <v>0.7104166666666667</v>
      </c>
      <c r="D67" s="280" t="s">
        <v>433</v>
      </c>
      <c r="E67" s="277" t="s">
        <v>418</v>
      </c>
      <c r="F67" s="281">
        <v>33.494</v>
      </c>
      <c r="G67" s="281">
        <v>24.2</v>
      </c>
      <c r="H67" s="282">
        <v>2064.2040000000002</v>
      </c>
      <c r="I67" s="277" t="s">
        <v>21</v>
      </c>
      <c r="J67" s="257" t="s">
        <v>25</v>
      </c>
      <c r="K67" s="269"/>
    </row>
    <row r="68" spans="1:11" ht="15.75">
      <c r="A68" s="92">
        <v>55</v>
      </c>
      <c r="B68" s="283">
        <v>45219</v>
      </c>
      <c r="C68" s="284">
        <v>0.72152777777777777</v>
      </c>
      <c r="D68" s="92">
        <v>345</v>
      </c>
      <c r="E68" s="92" t="s">
        <v>419</v>
      </c>
      <c r="F68" s="261">
        <v>35.32</v>
      </c>
      <c r="G68" s="261">
        <v>23.91</v>
      </c>
      <c r="H68" s="285">
        <v>1995.837</v>
      </c>
      <c r="I68" s="92" t="s">
        <v>21</v>
      </c>
      <c r="J68" s="257" t="s">
        <v>25</v>
      </c>
      <c r="K68" s="269"/>
    </row>
    <row r="69" spans="1:11" ht="15.75">
      <c r="A69" s="92">
        <v>56</v>
      </c>
      <c r="B69" s="283">
        <v>45219</v>
      </c>
      <c r="C69" s="284">
        <v>0.73263888888888884</v>
      </c>
      <c r="D69" s="92">
        <v>346</v>
      </c>
      <c r="E69" s="92" t="s">
        <v>420</v>
      </c>
      <c r="F69" s="261">
        <v>35.49</v>
      </c>
      <c r="G69" s="261">
        <v>23.98</v>
      </c>
      <c r="H69" s="285">
        <v>2000.1669999999999</v>
      </c>
      <c r="I69" s="92" t="s">
        <v>21</v>
      </c>
      <c r="J69" s="257" t="s">
        <v>25</v>
      </c>
      <c r="K69" s="269"/>
    </row>
    <row r="70" spans="1:11" ht="15.75">
      <c r="A70" s="92">
        <v>57</v>
      </c>
      <c r="B70" s="283">
        <v>45219</v>
      </c>
      <c r="C70" s="284">
        <v>0.74375000000000002</v>
      </c>
      <c r="D70" s="92">
        <v>445</v>
      </c>
      <c r="E70" s="92" t="s">
        <v>421</v>
      </c>
      <c r="F70" s="261">
        <v>35.61</v>
      </c>
      <c r="G70" s="261">
        <v>23.98</v>
      </c>
      <c r="H70" s="285">
        <v>2008.87</v>
      </c>
      <c r="I70" s="92" t="s">
        <v>21</v>
      </c>
      <c r="J70" s="257" t="s">
        <v>25</v>
      </c>
      <c r="K70" s="269"/>
    </row>
    <row r="71" spans="1:11" ht="15.75">
      <c r="A71" s="92">
        <v>58</v>
      </c>
      <c r="B71" s="283">
        <v>45219</v>
      </c>
      <c r="C71" s="284">
        <v>0.7583333333333333</v>
      </c>
      <c r="D71" s="92">
        <v>444</v>
      </c>
      <c r="E71" s="257" t="s">
        <v>422</v>
      </c>
      <c r="F71" s="261">
        <v>34.83</v>
      </c>
      <c r="G71" s="261">
        <v>23.96</v>
      </c>
      <c r="H71" s="285">
        <v>1997.3879999999999</v>
      </c>
      <c r="I71" s="92" t="s">
        <v>21</v>
      </c>
      <c r="J71" s="257" t="s">
        <v>25</v>
      </c>
      <c r="K71" s="269"/>
    </row>
    <row r="72" spans="1:11" ht="15.75">
      <c r="A72" s="92">
        <v>59</v>
      </c>
      <c r="B72" s="283">
        <v>45219</v>
      </c>
      <c r="C72" s="284">
        <v>0.76944444444444449</v>
      </c>
      <c r="D72" s="92">
        <v>378</v>
      </c>
      <c r="E72" s="92" t="s">
        <v>423</v>
      </c>
      <c r="F72" s="261">
        <v>35.880000000000003</v>
      </c>
      <c r="G72" s="261">
        <v>23.85</v>
      </c>
      <c r="H72" s="285">
        <v>2023.0809999999999</v>
      </c>
      <c r="I72" s="92" t="s">
        <v>21</v>
      </c>
      <c r="J72" s="257" t="s">
        <v>25</v>
      </c>
      <c r="K72" s="269"/>
    </row>
    <row r="73" spans="1:11" ht="15.75">
      <c r="A73" s="92">
        <v>60</v>
      </c>
      <c r="B73" s="283">
        <v>45219</v>
      </c>
      <c r="C73" s="284">
        <v>0.78472222222222221</v>
      </c>
      <c r="D73" s="92">
        <v>379</v>
      </c>
      <c r="E73" s="92" t="s">
        <v>424</v>
      </c>
      <c r="F73" s="261">
        <v>35.82</v>
      </c>
      <c r="G73" s="261">
        <v>23.75</v>
      </c>
      <c r="H73" s="285">
        <v>2022.07</v>
      </c>
      <c r="I73" s="92" t="s">
        <v>21</v>
      </c>
      <c r="J73" s="257" t="s">
        <v>25</v>
      </c>
      <c r="K73" s="269"/>
    </row>
    <row r="74" spans="1:11" ht="15.75">
      <c r="A74" s="92">
        <v>61</v>
      </c>
      <c r="B74" s="283">
        <v>45219</v>
      </c>
      <c r="C74" s="284">
        <v>0.7993055555555556</v>
      </c>
      <c r="D74" s="92">
        <v>400</v>
      </c>
      <c r="E74" s="92" t="s">
        <v>425</v>
      </c>
      <c r="F74" s="261">
        <v>36.32</v>
      </c>
      <c r="G74" s="261">
        <v>23.69</v>
      </c>
      <c r="H74" s="285">
        <v>2075.788</v>
      </c>
      <c r="I74" s="92" t="s">
        <v>21</v>
      </c>
      <c r="J74" s="257" t="s">
        <v>25</v>
      </c>
      <c r="K74" s="269"/>
    </row>
    <row r="75" spans="1:11" ht="15.75">
      <c r="A75" s="92">
        <v>62</v>
      </c>
      <c r="B75" s="283">
        <v>45219</v>
      </c>
      <c r="C75" s="284">
        <v>0.81041666666666667</v>
      </c>
      <c r="D75" s="92">
        <v>401</v>
      </c>
      <c r="E75" s="92" t="s">
        <v>426</v>
      </c>
      <c r="F75" s="261">
        <v>35.96</v>
      </c>
      <c r="G75" s="261">
        <v>23.71</v>
      </c>
      <c r="H75" s="285">
        <v>2075.7800000000002</v>
      </c>
      <c r="I75" s="92" t="s">
        <v>21</v>
      </c>
      <c r="J75" s="257" t="s">
        <v>25</v>
      </c>
      <c r="K75" s="269"/>
    </row>
    <row r="76" spans="1:11" ht="15.75">
      <c r="A76" s="277"/>
      <c r="B76" s="278">
        <v>45219</v>
      </c>
      <c r="C76" s="279">
        <v>0.82222222222222219</v>
      </c>
      <c r="D76" s="280" t="s">
        <v>433</v>
      </c>
      <c r="E76" s="277" t="s">
        <v>418</v>
      </c>
      <c r="F76" s="281">
        <v>33.494</v>
      </c>
      <c r="G76" s="281">
        <v>24.2</v>
      </c>
      <c r="H76" s="282">
        <v>2066.527</v>
      </c>
      <c r="I76" s="277" t="s">
        <v>21</v>
      </c>
      <c r="J76" s="257" t="s">
        <v>25</v>
      </c>
      <c r="K76" s="269"/>
    </row>
    <row r="77" spans="1:11" ht="15.75">
      <c r="A77" s="92"/>
      <c r="B77" s="283">
        <v>45219</v>
      </c>
      <c r="C77" s="284">
        <v>0.83333333333333337</v>
      </c>
      <c r="D77" s="52">
        <v>345</v>
      </c>
      <c r="E77" s="92" t="s">
        <v>419</v>
      </c>
      <c r="F77" s="261">
        <v>35.32</v>
      </c>
      <c r="G77" s="261">
        <v>23.91</v>
      </c>
      <c r="H77" s="285">
        <v>1999.7360000000001</v>
      </c>
      <c r="I77" s="92" t="s">
        <v>259</v>
      </c>
      <c r="J77" s="257" t="s">
        <v>25</v>
      </c>
      <c r="K77" s="269"/>
    </row>
    <row r="78" spans="1:11" ht="15.75">
      <c r="A78" s="277"/>
      <c r="B78" s="278">
        <v>45226</v>
      </c>
      <c r="C78" s="279">
        <v>0.63541666666666663</v>
      </c>
      <c r="D78" s="280" t="s">
        <v>434</v>
      </c>
      <c r="E78" s="277" t="s">
        <v>418</v>
      </c>
      <c r="F78" s="281">
        <v>33.494</v>
      </c>
      <c r="G78" s="281">
        <v>24.2</v>
      </c>
      <c r="H78" s="282">
        <v>2074.777</v>
      </c>
      <c r="I78" s="277" t="s">
        <v>21</v>
      </c>
      <c r="J78" s="257" t="s">
        <v>25</v>
      </c>
      <c r="K78" s="269"/>
    </row>
    <row r="79" spans="1:11" ht="15.75">
      <c r="A79" s="92">
        <v>63</v>
      </c>
      <c r="B79" s="283">
        <v>45226</v>
      </c>
      <c r="C79" s="287">
        <v>0.64652777777777781</v>
      </c>
      <c r="D79" s="257">
        <v>433</v>
      </c>
      <c r="E79" s="92" t="s">
        <v>419</v>
      </c>
      <c r="F79" s="261" t="s">
        <v>432</v>
      </c>
      <c r="G79" s="261">
        <v>23.44</v>
      </c>
      <c r="H79" s="285">
        <v>2053.4430000000002</v>
      </c>
      <c r="I79" s="92" t="s">
        <v>21</v>
      </c>
      <c r="J79" s="257" t="s">
        <v>25</v>
      </c>
      <c r="K79" s="269"/>
    </row>
    <row r="80" spans="1:11" ht="15.75">
      <c r="A80" s="92">
        <v>64</v>
      </c>
      <c r="B80" s="283">
        <v>45226</v>
      </c>
      <c r="C80" s="287">
        <v>0.65763888888888888</v>
      </c>
      <c r="D80" s="257">
        <v>412</v>
      </c>
      <c r="E80" s="92" t="s">
        <v>420</v>
      </c>
      <c r="F80" s="261">
        <v>35.86</v>
      </c>
      <c r="G80" s="261">
        <v>23.18</v>
      </c>
      <c r="H80" s="285">
        <v>2069.8960000000002</v>
      </c>
      <c r="I80" s="92" t="s">
        <v>21</v>
      </c>
      <c r="J80" s="257" t="s">
        <v>25</v>
      </c>
      <c r="K80" s="269"/>
    </row>
    <row r="81" spans="1:11" ht="15.75">
      <c r="A81" s="92">
        <v>65</v>
      </c>
      <c r="B81" s="283">
        <v>45226</v>
      </c>
      <c r="C81" s="287">
        <v>0.66874999999999996</v>
      </c>
      <c r="D81" s="257">
        <v>466</v>
      </c>
      <c r="E81" s="92" t="s">
        <v>421</v>
      </c>
      <c r="F81" s="261">
        <v>35.82</v>
      </c>
      <c r="G81" s="261">
        <v>23.42</v>
      </c>
      <c r="H81" s="289">
        <v>2053.6999999999998</v>
      </c>
      <c r="I81" s="92" t="s">
        <v>21</v>
      </c>
      <c r="J81" s="257" t="s">
        <v>25</v>
      </c>
      <c r="K81" s="269"/>
    </row>
    <row r="82" spans="1:11" ht="15.75">
      <c r="A82" s="92">
        <v>66</v>
      </c>
      <c r="B82" s="283">
        <v>45226</v>
      </c>
      <c r="C82" s="284">
        <v>0.6791666666666667</v>
      </c>
      <c r="D82" s="92">
        <v>467</v>
      </c>
      <c r="E82" s="257" t="s">
        <v>422</v>
      </c>
      <c r="F82" s="261">
        <v>36.14</v>
      </c>
      <c r="G82" s="261">
        <v>23.29</v>
      </c>
      <c r="H82" s="285">
        <v>2058.8029999999999</v>
      </c>
      <c r="I82" s="92" t="s">
        <v>21</v>
      </c>
      <c r="J82" s="257" t="s">
        <v>25</v>
      </c>
      <c r="K82" s="269"/>
    </row>
    <row r="83" spans="1:11" ht="15.75">
      <c r="A83" s="92">
        <v>67</v>
      </c>
      <c r="B83" s="283">
        <v>45226</v>
      </c>
      <c r="C83" s="284">
        <v>0.69027777777777777</v>
      </c>
      <c r="D83" s="92">
        <v>510</v>
      </c>
      <c r="E83" s="92" t="s">
        <v>423</v>
      </c>
      <c r="F83" s="261">
        <v>35.94</v>
      </c>
      <c r="G83" s="261">
        <v>23.33</v>
      </c>
      <c r="H83" s="285">
        <v>2045.739</v>
      </c>
      <c r="I83" s="92" t="s">
        <v>21</v>
      </c>
      <c r="J83" s="257" t="s">
        <v>25</v>
      </c>
      <c r="K83" s="269"/>
    </row>
    <row r="84" spans="1:11" ht="15.75">
      <c r="A84" s="92">
        <v>68</v>
      </c>
      <c r="B84" s="283">
        <v>45226</v>
      </c>
      <c r="C84" s="284">
        <v>0.70138888888888884</v>
      </c>
      <c r="D84" s="92">
        <v>511</v>
      </c>
      <c r="E84" s="92" t="s">
        <v>424</v>
      </c>
      <c r="F84" s="261">
        <v>36.06</v>
      </c>
      <c r="G84" s="261">
        <v>23.32</v>
      </c>
      <c r="H84" s="285">
        <v>2052.1959999999999</v>
      </c>
      <c r="I84" s="92" t="s">
        <v>21</v>
      </c>
      <c r="J84" s="257" t="s">
        <v>25</v>
      </c>
      <c r="K84" s="269"/>
    </row>
    <row r="85" spans="1:11" ht="15.75">
      <c r="A85" s="92">
        <v>69</v>
      </c>
      <c r="B85" s="283">
        <v>45226</v>
      </c>
      <c r="C85" s="284">
        <v>0.71250000000000002</v>
      </c>
      <c r="D85" s="92">
        <v>522</v>
      </c>
      <c r="E85" s="92" t="s">
        <v>425</v>
      </c>
      <c r="F85" s="261">
        <v>36.049999999999997</v>
      </c>
      <c r="G85" s="261">
        <v>22.94</v>
      </c>
      <c r="H85" s="285">
        <v>2052.3069999999998</v>
      </c>
      <c r="I85" s="92" t="s">
        <v>21</v>
      </c>
      <c r="J85" s="257" t="s">
        <v>25</v>
      </c>
      <c r="K85" s="269"/>
    </row>
    <row r="86" spans="1:11" ht="15.75">
      <c r="A86" s="92">
        <v>70</v>
      </c>
      <c r="B86" s="283">
        <v>45226</v>
      </c>
      <c r="C86" s="284">
        <v>0.72777777777777775</v>
      </c>
      <c r="D86" s="92">
        <v>532</v>
      </c>
      <c r="E86" s="92" t="s">
        <v>426</v>
      </c>
      <c r="F86" s="261">
        <v>35.21</v>
      </c>
      <c r="G86" s="261">
        <v>23.14</v>
      </c>
      <c r="H86" s="285">
        <v>2047.396</v>
      </c>
      <c r="I86" s="92" t="s">
        <v>21</v>
      </c>
      <c r="J86" s="257" t="s">
        <v>25</v>
      </c>
      <c r="K86" s="269"/>
    </row>
    <row r="87" spans="1:11" ht="15.75">
      <c r="A87" s="277"/>
      <c r="B87" s="278">
        <v>45226</v>
      </c>
      <c r="C87" s="279">
        <v>0.74583333333333335</v>
      </c>
      <c r="D87" s="280" t="s">
        <v>434</v>
      </c>
      <c r="E87" s="277" t="s">
        <v>418</v>
      </c>
      <c r="F87" s="281">
        <v>33.494</v>
      </c>
      <c r="G87" s="281">
        <v>24.2</v>
      </c>
      <c r="H87" s="282">
        <v>2062.7689999999998</v>
      </c>
      <c r="I87" s="277" t="s">
        <v>21</v>
      </c>
      <c r="J87" s="257" t="s">
        <v>25</v>
      </c>
      <c r="K87" s="269"/>
    </row>
    <row r="88" spans="1:11" ht="15.75">
      <c r="A88" s="92">
        <v>71</v>
      </c>
      <c r="B88" s="283">
        <v>45226</v>
      </c>
      <c r="C88" s="284">
        <v>0.76041666666666663</v>
      </c>
      <c r="D88" s="92">
        <v>423</v>
      </c>
      <c r="E88" s="92" t="s">
        <v>419</v>
      </c>
      <c r="F88" s="261">
        <v>34.229999999999997</v>
      </c>
      <c r="G88" s="261">
        <v>23.12</v>
      </c>
      <c r="H88" s="285">
        <v>2042.279</v>
      </c>
      <c r="I88" s="92" t="s">
        <v>21</v>
      </c>
      <c r="J88" s="257" t="s">
        <v>25</v>
      </c>
      <c r="K88" s="269"/>
    </row>
    <row r="89" spans="1:11" ht="15.75">
      <c r="A89" s="92">
        <v>72</v>
      </c>
      <c r="B89" s="283">
        <v>45226</v>
      </c>
      <c r="C89" s="284">
        <v>0.77916666666666667</v>
      </c>
      <c r="D89" s="92">
        <v>434</v>
      </c>
      <c r="E89" s="92" t="s">
        <v>420</v>
      </c>
      <c r="F89" s="261" t="s">
        <v>432</v>
      </c>
      <c r="G89" s="261">
        <v>23.15</v>
      </c>
      <c r="H89" s="285">
        <v>2050.7159999999999</v>
      </c>
      <c r="I89" s="92" t="s">
        <v>21</v>
      </c>
      <c r="J89" s="257" t="s">
        <v>25</v>
      </c>
      <c r="K89" s="269"/>
    </row>
    <row r="90" spans="1:11" ht="15.75">
      <c r="A90" s="277"/>
      <c r="B90" s="278">
        <v>45229</v>
      </c>
      <c r="C90" s="279">
        <v>0.45208333333333334</v>
      </c>
      <c r="D90" s="280" t="s">
        <v>435</v>
      </c>
      <c r="E90" s="277" t="s">
        <v>418</v>
      </c>
      <c r="F90" s="281">
        <v>33.494</v>
      </c>
      <c r="G90" s="281">
        <v>24.2</v>
      </c>
      <c r="H90" s="282">
        <v>2068.145</v>
      </c>
      <c r="I90" s="277" t="s">
        <v>21</v>
      </c>
      <c r="J90" s="257" t="s">
        <v>25</v>
      </c>
      <c r="K90" s="269"/>
    </row>
    <row r="91" spans="1:11" ht="15.75">
      <c r="A91" s="92">
        <v>73</v>
      </c>
      <c r="B91" s="283">
        <v>45229</v>
      </c>
      <c r="C91" s="284">
        <v>0.73263888888888884</v>
      </c>
      <c r="D91" s="92">
        <v>544</v>
      </c>
      <c r="E91" s="92" t="s">
        <v>419</v>
      </c>
      <c r="F91" s="261">
        <v>35.31</v>
      </c>
      <c r="G91" s="261">
        <v>23.25</v>
      </c>
      <c r="H91" s="289" t="s">
        <v>18</v>
      </c>
      <c r="I91" s="92" t="s">
        <v>259</v>
      </c>
      <c r="J91" s="257" t="s">
        <v>25</v>
      </c>
      <c r="K91" s="269"/>
    </row>
    <row r="92" spans="1:11" ht="15.75">
      <c r="A92" s="92">
        <v>74</v>
      </c>
      <c r="B92" s="283">
        <v>45229</v>
      </c>
      <c r="C92" s="284">
        <v>0.73819444444444449</v>
      </c>
      <c r="D92" s="92">
        <v>411</v>
      </c>
      <c r="E92" s="92" t="s">
        <v>420</v>
      </c>
      <c r="F92" s="261">
        <v>35.880000000000003</v>
      </c>
      <c r="G92" s="261">
        <v>23.61</v>
      </c>
      <c r="H92" s="289" t="s">
        <v>18</v>
      </c>
      <c r="I92" s="92" t="s">
        <v>259</v>
      </c>
      <c r="J92" s="257" t="s">
        <v>25</v>
      </c>
      <c r="K92" s="269"/>
    </row>
    <row r="93" spans="1:11" ht="15.75">
      <c r="A93" s="92">
        <v>75</v>
      </c>
      <c r="B93" s="283">
        <v>45229</v>
      </c>
      <c r="C93" s="284">
        <v>0.74513888888888891</v>
      </c>
      <c r="D93" s="92">
        <v>422</v>
      </c>
      <c r="E93" s="92" t="s">
        <v>421</v>
      </c>
      <c r="F93" s="261">
        <v>35.61</v>
      </c>
      <c r="G93" s="261">
        <v>23.27</v>
      </c>
      <c r="H93" s="289" t="s">
        <v>18</v>
      </c>
      <c r="I93" s="92" t="s">
        <v>259</v>
      </c>
      <c r="J93" s="257" t="s">
        <v>25</v>
      </c>
      <c r="K93" s="269"/>
    </row>
    <row r="94" spans="1:11" ht="15.75">
      <c r="A94" s="92">
        <v>76</v>
      </c>
      <c r="B94" s="283">
        <v>45229</v>
      </c>
      <c r="C94" s="284">
        <v>0.75</v>
      </c>
      <c r="D94" s="92">
        <v>499</v>
      </c>
      <c r="E94" s="257" t="s">
        <v>422</v>
      </c>
      <c r="F94" s="261">
        <v>35.32</v>
      </c>
      <c r="G94" s="261">
        <v>23.29</v>
      </c>
      <c r="H94" s="289" t="s">
        <v>18</v>
      </c>
      <c r="I94" s="92" t="s">
        <v>259</v>
      </c>
      <c r="J94" s="257" t="s">
        <v>25</v>
      </c>
      <c r="K94" s="269"/>
    </row>
    <row r="95" spans="1:11" ht="15.75">
      <c r="A95" s="92">
        <v>77</v>
      </c>
      <c r="B95" s="283">
        <v>45229</v>
      </c>
      <c r="C95" s="284">
        <v>0.75416666666666665</v>
      </c>
      <c r="D95" s="92">
        <v>500</v>
      </c>
      <c r="E95" s="92" t="s">
        <v>423</v>
      </c>
      <c r="F95" s="261">
        <v>35.46</v>
      </c>
      <c r="G95" s="261">
        <v>23.41</v>
      </c>
      <c r="H95" s="289" t="s">
        <v>18</v>
      </c>
      <c r="I95" s="92" t="s">
        <v>259</v>
      </c>
      <c r="J95" s="257" t="s">
        <v>25</v>
      </c>
      <c r="K95" s="269"/>
    </row>
    <row r="96" spans="1:11" ht="15.75">
      <c r="A96" s="92">
        <v>78</v>
      </c>
      <c r="B96" s="283">
        <v>45229</v>
      </c>
      <c r="C96" s="284">
        <v>0.75763888888888886</v>
      </c>
      <c r="D96" s="92">
        <v>521</v>
      </c>
      <c r="E96" s="92" t="s">
        <v>424</v>
      </c>
      <c r="F96" s="261">
        <v>36.049999999999997</v>
      </c>
      <c r="G96" s="261">
        <v>23.88</v>
      </c>
      <c r="H96" s="289" t="s">
        <v>18</v>
      </c>
      <c r="I96" s="92" t="s">
        <v>259</v>
      </c>
      <c r="J96" s="257" t="s">
        <v>25</v>
      </c>
      <c r="K96" s="269"/>
    </row>
    <row r="97" spans="1:11" ht="15.75">
      <c r="A97" s="92">
        <v>79</v>
      </c>
      <c r="B97" s="283">
        <v>45229</v>
      </c>
      <c r="C97" s="284">
        <v>0.76180555555555551</v>
      </c>
      <c r="D97" s="92">
        <v>533</v>
      </c>
      <c r="E97" s="92" t="s">
        <v>425</v>
      </c>
      <c r="F97" s="261">
        <v>36.03</v>
      </c>
      <c r="G97" s="261">
        <v>22.97</v>
      </c>
      <c r="H97" s="289" t="s">
        <v>18</v>
      </c>
      <c r="I97" s="92" t="s">
        <v>259</v>
      </c>
      <c r="J97" s="257" t="s">
        <v>25</v>
      </c>
      <c r="K97" s="269"/>
    </row>
    <row r="98" spans="1:11" ht="15.75">
      <c r="A98" s="92">
        <v>80</v>
      </c>
      <c r="B98" s="283">
        <v>45229</v>
      </c>
      <c r="C98" s="284">
        <v>0.76597222222222228</v>
      </c>
      <c r="D98" s="92">
        <v>543</v>
      </c>
      <c r="E98" s="92" t="s">
        <v>426</v>
      </c>
      <c r="F98" s="261">
        <v>35.24</v>
      </c>
      <c r="G98" s="261">
        <v>23.46</v>
      </c>
      <c r="H98" s="289" t="s">
        <v>18</v>
      </c>
      <c r="I98" s="92" t="s">
        <v>259</v>
      </c>
      <c r="J98" s="257" t="s">
        <v>25</v>
      </c>
      <c r="K98" s="269"/>
    </row>
    <row r="99" spans="1:11" ht="15.75">
      <c r="A99" s="277"/>
      <c r="B99" s="278">
        <v>45230</v>
      </c>
      <c r="C99" s="279">
        <v>0.48333333333333334</v>
      </c>
      <c r="D99" s="290" t="s">
        <v>436</v>
      </c>
      <c r="E99" s="277" t="s">
        <v>418</v>
      </c>
      <c r="F99" s="281">
        <v>33.494</v>
      </c>
      <c r="G99" s="281">
        <v>24.2</v>
      </c>
      <c r="H99" s="282">
        <v>2067.2289999999998</v>
      </c>
      <c r="I99" s="277" t="s">
        <v>21</v>
      </c>
      <c r="J99" s="257" t="s">
        <v>25</v>
      </c>
      <c r="K99" s="269"/>
    </row>
    <row r="100" spans="1:11" ht="15.75">
      <c r="A100" s="92"/>
      <c r="B100" s="283">
        <v>45230</v>
      </c>
      <c r="C100" s="284">
        <v>0.49444444444444446</v>
      </c>
      <c r="D100" s="92">
        <v>554</v>
      </c>
      <c r="E100" s="92" t="s">
        <v>419</v>
      </c>
      <c r="F100" s="261">
        <v>35.22</v>
      </c>
      <c r="G100" s="261">
        <v>21.5</v>
      </c>
      <c r="H100" s="289" t="s">
        <v>18</v>
      </c>
      <c r="I100" s="92" t="s">
        <v>259</v>
      </c>
      <c r="J100" s="257" t="s">
        <v>25</v>
      </c>
      <c r="K100" s="269"/>
    </row>
    <row r="101" spans="1:11" ht="15.75">
      <c r="A101" s="92"/>
      <c r="B101" s="283">
        <v>45230</v>
      </c>
      <c r="C101" s="284">
        <v>0.7</v>
      </c>
      <c r="D101" s="92">
        <v>565</v>
      </c>
      <c r="E101" s="92" t="s">
        <v>418</v>
      </c>
      <c r="F101" s="261">
        <v>35.380000000000003</v>
      </c>
      <c r="G101" s="261">
        <v>23.2</v>
      </c>
      <c r="H101" s="289" t="s">
        <v>18</v>
      </c>
      <c r="I101" s="92" t="s">
        <v>259</v>
      </c>
      <c r="J101" s="257" t="s">
        <v>25</v>
      </c>
      <c r="K101" s="269"/>
    </row>
    <row r="102" spans="1:11" ht="15.75">
      <c r="A102" s="92"/>
      <c r="B102" s="283">
        <v>45230</v>
      </c>
      <c r="C102" s="284">
        <v>0.70277777777777772</v>
      </c>
      <c r="D102" s="92">
        <v>565</v>
      </c>
      <c r="E102" s="92" t="s">
        <v>418</v>
      </c>
      <c r="F102" s="261">
        <v>35.380000000000003</v>
      </c>
      <c r="G102" s="261">
        <v>23.2</v>
      </c>
      <c r="H102" s="289" t="s">
        <v>18</v>
      </c>
      <c r="I102" s="92" t="s">
        <v>259</v>
      </c>
      <c r="J102" s="257" t="s">
        <v>25</v>
      </c>
      <c r="K102" s="269"/>
    </row>
    <row r="103" spans="1:11" ht="15.75">
      <c r="A103" s="92"/>
      <c r="B103" s="283">
        <v>45230</v>
      </c>
      <c r="C103" s="284">
        <v>0.70625000000000004</v>
      </c>
      <c r="D103" s="92">
        <v>565</v>
      </c>
      <c r="E103" s="92" t="s">
        <v>418</v>
      </c>
      <c r="F103" s="261">
        <v>35.380000000000003</v>
      </c>
      <c r="G103" s="261">
        <v>23.2</v>
      </c>
      <c r="H103" s="289" t="s">
        <v>18</v>
      </c>
      <c r="I103" s="92" t="s">
        <v>259</v>
      </c>
      <c r="J103" s="257" t="s">
        <v>25</v>
      </c>
      <c r="K103" s="269"/>
    </row>
    <row r="104" spans="1:11" ht="15.75">
      <c r="A104" s="92"/>
      <c r="B104" s="283">
        <v>45230</v>
      </c>
      <c r="C104" s="284">
        <v>0.7104166666666667</v>
      </c>
      <c r="D104" s="92">
        <v>565</v>
      </c>
      <c r="E104" s="92" t="s">
        <v>418</v>
      </c>
      <c r="F104" s="261">
        <v>35.380000000000003</v>
      </c>
      <c r="G104" s="261">
        <v>23.2</v>
      </c>
      <c r="H104" s="289" t="s">
        <v>18</v>
      </c>
      <c r="I104" s="92" t="s">
        <v>259</v>
      </c>
      <c r="J104" s="257" t="s">
        <v>25</v>
      </c>
      <c r="K104" s="269"/>
    </row>
    <row r="105" spans="1:11" ht="15.75">
      <c r="A105" s="92"/>
      <c r="B105" s="283">
        <v>45230</v>
      </c>
      <c r="C105" s="284">
        <v>0.71319444444444446</v>
      </c>
      <c r="D105" s="92">
        <v>565</v>
      </c>
      <c r="E105" s="92" t="s">
        <v>418</v>
      </c>
      <c r="F105" s="261">
        <v>35.380000000000003</v>
      </c>
      <c r="G105" s="261">
        <v>23.2</v>
      </c>
      <c r="H105" s="289" t="s">
        <v>18</v>
      </c>
      <c r="I105" s="92" t="s">
        <v>259</v>
      </c>
      <c r="J105" s="257" t="s">
        <v>25</v>
      </c>
      <c r="K105" s="269"/>
    </row>
    <row r="106" spans="1:11" ht="15.75">
      <c r="A106" s="92"/>
      <c r="B106" s="283">
        <v>45230</v>
      </c>
      <c r="C106" s="284">
        <v>0.71944444444444444</v>
      </c>
      <c r="D106" s="92">
        <v>566</v>
      </c>
      <c r="E106" s="92" t="s">
        <v>418</v>
      </c>
      <c r="F106" s="261">
        <v>35.619999999999997</v>
      </c>
      <c r="G106" s="261">
        <v>22.9</v>
      </c>
      <c r="H106" s="289" t="s">
        <v>18</v>
      </c>
      <c r="I106" s="92" t="s">
        <v>259</v>
      </c>
      <c r="J106" s="257" t="s">
        <v>25</v>
      </c>
      <c r="K106" s="269"/>
    </row>
    <row r="107" spans="1:11" ht="15.75">
      <c r="A107" s="92"/>
      <c r="B107" s="283">
        <v>45230</v>
      </c>
      <c r="C107" s="284">
        <v>0.72291666666666665</v>
      </c>
      <c r="D107" s="92">
        <v>566</v>
      </c>
      <c r="E107" s="92" t="s">
        <v>418</v>
      </c>
      <c r="F107" s="261">
        <v>35.619999999999997</v>
      </c>
      <c r="G107" s="261">
        <v>22.9</v>
      </c>
      <c r="H107" s="289" t="s">
        <v>18</v>
      </c>
      <c r="I107" s="92" t="s">
        <v>259</v>
      </c>
      <c r="J107" s="257" t="s">
        <v>25</v>
      </c>
      <c r="K107" s="269"/>
    </row>
    <row r="108" spans="1:11" ht="15.75">
      <c r="A108" s="92"/>
      <c r="B108" s="283">
        <v>45230</v>
      </c>
      <c r="C108" s="284">
        <v>0.72638888888888886</v>
      </c>
      <c r="D108" s="92">
        <v>566</v>
      </c>
      <c r="E108" s="92" t="s">
        <v>418</v>
      </c>
      <c r="F108" s="261">
        <v>35.619999999999997</v>
      </c>
      <c r="G108" s="261">
        <v>22.9</v>
      </c>
      <c r="H108" s="289" t="s">
        <v>18</v>
      </c>
      <c r="I108" s="92" t="s">
        <v>259</v>
      </c>
      <c r="J108" s="257" t="s">
        <v>25</v>
      </c>
      <c r="K108" s="269"/>
    </row>
    <row r="109" spans="1:11" ht="15.75">
      <c r="A109" s="92"/>
      <c r="B109" s="283">
        <v>45230</v>
      </c>
      <c r="C109" s="284">
        <v>0.72986111111111107</v>
      </c>
      <c r="D109" s="92">
        <v>566</v>
      </c>
      <c r="E109" s="92" t="s">
        <v>418</v>
      </c>
      <c r="F109" s="261">
        <v>35.619999999999997</v>
      </c>
      <c r="G109" s="261">
        <v>22.9</v>
      </c>
      <c r="H109" s="289" t="s">
        <v>18</v>
      </c>
      <c r="I109" s="92" t="s">
        <v>259</v>
      </c>
      <c r="J109" s="257" t="s">
        <v>25</v>
      </c>
      <c r="K109" s="269"/>
    </row>
    <row r="110" spans="1:11" ht="15.75">
      <c r="A110" s="92"/>
      <c r="B110" s="283">
        <v>45230</v>
      </c>
      <c r="C110" s="284">
        <v>0.73333333333333328</v>
      </c>
      <c r="D110" s="92">
        <v>566</v>
      </c>
      <c r="E110" s="92" t="s">
        <v>418</v>
      </c>
      <c r="F110" s="261">
        <v>35.619999999999997</v>
      </c>
      <c r="G110" s="261">
        <v>22.9</v>
      </c>
      <c r="H110" s="289" t="s">
        <v>18</v>
      </c>
      <c r="I110" s="92" t="s">
        <v>259</v>
      </c>
      <c r="J110" s="257" t="s">
        <v>25</v>
      </c>
      <c r="K110" s="269"/>
    </row>
    <row r="111" spans="1:11" ht="17.25" customHeight="1">
      <c r="A111" s="92">
        <v>81</v>
      </c>
      <c r="B111" s="283">
        <v>45230</v>
      </c>
      <c r="C111" s="284">
        <v>0.73750000000000004</v>
      </c>
      <c r="D111" s="92">
        <v>555</v>
      </c>
      <c r="E111" s="92" t="s">
        <v>418</v>
      </c>
      <c r="F111" s="261">
        <v>35.35</v>
      </c>
      <c r="G111" s="261">
        <v>22.9</v>
      </c>
      <c r="H111" s="291">
        <v>2244.0500000000002</v>
      </c>
      <c r="I111" s="92" t="s">
        <v>21</v>
      </c>
      <c r="J111" s="92" t="s">
        <v>25</v>
      </c>
      <c r="K111" s="292"/>
    </row>
    <row r="112" spans="1:11" ht="17.25" customHeight="1">
      <c r="A112" s="277"/>
      <c r="B112" s="278">
        <v>45236</v>
      </c>
      <c r="C112" s="279">
        <v>0.4513888888888889</v>
      </c>
      <c r="D112" s="290" t="s">
        <v>437</v>
      </c>
      <c r="E112" s="277" t="s">
        <v>418</v>
      </c>
      <c r="F112" s="281">
        <v>33.423000000000002</v>
      </c>
      <c r="G112" s="281">
        <v>22.3</v>
      </c>
      <c r="H112" s="282">
        <v>2067.1170000000002</v>
      </c>
      <c r="I112" s="277" t="s">
        <v>21</v>
      </c>
      <c r="J112" s="257" t="s">
        <v>25</v>
      </c>
      <c r="K112" s="269"/>
    </row>
    <row r="113" spans="1:11" ht="17.25" customHeight="1">
      <c r="A113" s="92">
        <v>82</v>
      </c>
      <c r="B113" s="283">
        <v>45236</v>
      </c>
      <c r="C113" s="284">
        <v>0.46250000000000002</v>
      </c>
      <c r="D113" s="92">
        <v>554</v>
      </c>
      <c r="E113" s="92" t="s">
        <v>419</v>
      </c>
      <c r="F113" s="261">
        <v>35.22</v>
      </c>
      <c r="G113" s="261">
        <v>20.149999999999999</v>
      </c>
      <c r="H113" s="285">
        <v>2039.741</v>
      </c>
      <c r="I113" s="92" t="s">
        <v>259</v>
      </c>
      <c r="J113" s="257" t="s">
        <v>25</v>
      </c>
      <c r="K113" s="269"/>
    </row>
    <row r="114" spans="1:11" ht="15.75">
      <c r="A114" s="92">
        <v>83</v>
      </c>
      <c r="B114" s="283">
        <v>45236</v>
      </c>
      <c r="C114" s="284">
        <v>0.48055555555555557</v>
      </c>
      <c r="D114" s="92">
        <v>565</v>
      </c>
      <c r="E114" s="92" t="s">
        <v>420</v>
      </c>
      <c r="F114" s="261">
        <v>35.380000000000003</v>
      </c>
      <c r="G114" s="261">
        <v>20.05</v>
      </c>
      <c r="H114" s="285">
        <v>2039.0060000000001</v>
      </c>
      <c r="I114" s="92" t="s">
        <v>259</v>
      </c>
      <c r="J114" s="257" t="s">
        <v>25</v>
      </c>
      <c r="K114" s="269"/>
    </row>
    <row r="115" spans="1:11" ht="15.75">
      <c r="A115" s="92">
        <v>84</v>
      </c>
      <c r="B115" s="283">
        <v>45236</v>
      </c>
      <c r="C115" s="284">
        <v>0.49166666666666664</v>
      </c>
      <c r="D115" s="92">
        <v>566</v>
      </c>
      <c r="E115" s="92" t="s">
        <v>421</v>
      </c>
      <c r="F115" s="261">
        <v>35.619999999999997</v>
      </c>
      <c r="G115" s="261">
        <v>20.100000000000001</v>
      </c>
      <c r="H115" s="285">
        <v>2040.7449999999999</v>
      </c>
      <c r="I115" s="92" t="s">
        <v>259</v>
      </c>
      <c r="J115" s="257" t="s">
        <v>25</v>
      </c>
      <c r="K115" s="269"/>
    </row>
    <row r="116" spans="1:11" ht="15.75">
      <c r="A116" s="92">
        <v>85</v>
      </c>
      <c r="B116" s="283">
        <v>45236</v>
      </c>
      <c r="C116" s="284">
        <v>0.50277777777777777</v>
      </c>
      <c r="D116" s="92">
        <v>576</v>
      </c>
      <c r="E116" s="257" t="s">
        <v>422</v>
      </c>
      <c r="F116" s="261">
        <v>35.270000000000003</v>
      </c>
      <c r="G116" s="261">
        <v>20.86</v>
      </c>
      <c r="H116" s="285">
        <v>2034.575</v>
      </c>
      <c r="I116" s="92" t="s">
        <v>259</v>
      </c>
      <c r="J116" s="257" t="s">
        <v>25</v>
      </c>
      <c r="K116" s="269"/>
    </row>
    <row r="117" spans="1:11" ht="15.75">
      <c r="A117" s="92">
        <v>86</v>
      </c>
      <c r="B117" s="283">
        <v>45236</v>
      </c>
      <c r="C117" s="284">
        <v>0.5131944444444444</v>
      </c>
      <c r="D117" s="92">
        <v>577</v>
      </c>
      <c r="E117" s="92" t="s">
        <v>423</v>
      </c>
      <c r="F117" s="261">
        <v>35.75</v>
      </c>
      <c r="G117" s="261">
        <v>21.17</v>
      </c>
      <c r="H117" s="285">
        <v>2050.0340000000001</v>
      </c>
      <c r="I117" s="92" t="s">
        <v>259</v>
      </c>
      <c r="J117" s="257" t="s">
        <v>25</v>
      </c>
      <c r="K117" s="269"/>
    </row>
    <row r="118" spans="1:11" ht="15.75">
      <c r="A118" s="92">
        <v>87</v>
      </c>
      <c r="B118" s="283">
        <v>45236</v>
      </c>
      <c r="C118" s="284">
        <v>0.57847222222222228</v>
      </c>
      <c r="D118" s="92">
        <v>367</v>
      </c>
      <c r="E118" s="92" t="s">
        <v>425</v>
      </c>
      <c r="F118" s="261">
        <v>35.17</v>
      </c>
      <c r="G118" s="261">
        <v>23.07</v>
      </c>
      <c r="H118" s="285">
        <v>2101.7820000000002</v>
      </c>
      <c r="I118" s="92" t="s">
        <v>259</v>
      </c>
      <c r="J118" s="257" t="s">
        <v>25</v>
      </c>
      <c r="K118" s="269"/>
    </row>
    <row r="119" spans="1:11" ht="15.75">
      <c r="A119" s="293"/>
      <c r="B119" s="294">
        <v>45236</v>
      </c>
      <c r="C119" s="295">
        <v>0.63124999999999998</v>
      </c>
      <c r="D119" s="296" t="s">
        <v>437</v>
      </c>
      <c r="E119" s="293" t="s">
        <v>418</v>
      </c>
      <c r="F119" s="297">
        <v>33.42</v>
      </c>
      <c r="G119" s="297">
        <v>22.3</v>
      </c>
      <c r="H119" s="298">
        <v>2519.4630000000002</v>
      </c>
      <c r="I119" s="293" t="s">
        <v>259</v>
      </c>
      <c r="J119" s="257" t="s">
        <v>25</v>
      </c>
      <c r="K119" s="269" t="s">
        <v>438</v>
      </c>
    </row>
    <row r="120" spans="1:11" ht="15.75">
      <c r="A120" s="277"/>
      <c r="B120" s="278">
        <v>45236</v>
      </c>
      <c r="C120" s="279">
        <v>0.87777777777777777</v>
      </c>
      <c r="D120" s="290" t="s">
        <v>437</v>
      </c>
      <c r="E120" s="277" t="s">
        <v>418</v>
      </c>
      <c r="F120" s="281">
        <v>33.423000000000002</v>
      </c>
      <c r="G120" s="281">
        <v>22.3</v>
      </c>
      <c r="H120" s="282">
        <v>2067.7570000000001</v>
      </c>
      <c r="I120" s="277" t="s">
        <v>21</v>
      </c>
      <c r="J120" s="257" t="s">
        <v>25</v>
      </c>
      <c r="K120" s="269"/>
    </row>
    <row r="121" spans="1:11" ht="15.75">
      <c r="A121" s="92">
        <v>88</v>
      </c>
      <c r="B121" s="283">
        <v>45236</v>
      </c>
      <c r="C121" s="284">
        <v>0.89375000000000004</v>
      </c>
      <c r="D121" s="92">
        <v>587</v>
      </c>
      <c r="E121" s="92" t="s">
        <v>420</v>
      </c>
      <c r="F121" s="261">
        <v>35.35</v>
      </c>
      <c r="G121" s="261">
        <v>22.91</v>
      </c>
      <c r="H121" s="285">
        <v>2052.674</v>
      </c>
      <c r="I121" s="92" t="s">
        <v>21</v>
      </c>
      <c r="J121" s="257" t="s">
        <v>25</v>
      </c>
      <c r="K121" s="269"/>
    </row>
    <row r="122" spans="1:11" ht="15.75">
      <c r="A122" s="92">
        <v>89</v>
      </c>
      <c r="B122" s="283">
        <v>45236</v>
      </c>
      <c r="C122" s="284">
        <v>0.90902777777777777</v>
      </c>
      <c r="D122" s="92">
        <v>588</v>
      </c>
      <c r="E122" s="92" t="s">
        <v>421</v>
      </c>
      <c r="F122" s="261">
        <v>35.78</v>
      </c>
      <c r="G122" s="261">
        <v>22.91</v>
      </c>
      <c r="H122" s="285">
        <v>2062.625</v>
      </c>
      <c r="I122" s="92" t="s">
        <v>21</v>
      </c>
      <c r="J122" s="257" t="s">
        <v>25</v>
      </c>
      <c r="K122" s="269"/>
    </row>
    <row r="123" spans="1:11" ht="15.75">
      <c r="A123" s="92">
        <v>90</v>
      </c>
      <c r="B123" s="283">
        <v>45236</v>
      </c>
      <c r="C123" s="284">
        <v>0.92847222222222225</v>
      </c>
      <c r="D123" s="92">
        <v>609</v>
      </c>
      <c r="E123" s="92" t="s">
        <v>422</v>
      </c>
      <c r="F123" s="261">
        <v>35.42</v>
      </c>
      <c r="G123" s="261">
        <v>22.91</v>
      </c>
      <c r="H123" s="285">
        <v>2054.8510000000001</v>
      </c>
      <c r="I123" s="92" t="s">
        <v>21</v>
      </c>
      <c r="J123" s="257" t="s">
        <v>25</v>
      </c>
      <c r="K123" s="269"/>
    </row>
    <row r="124" spans="1:11" ht="15.75">
      <c r="A124" s="92">
        <v>91</v>
      </c>
      <c r="B124" s="283">
        <v>45236</v>
      </c>
      <c r="C124" s="284">
        <v>0.94374999999999998</v>
      </c>
      <c r="D124" s="92">
        <v>477</v>
      </c>
      <c r="E124" s="92" t="s">
        <v>423</v>
      </c>
      <c r="F124" s="261">
        <v>35.409999999999997</v>
      </c>
      <c r="G124" s="261">
        <v>22.39</v>
      </c>
      <c r="H124" s="285">
        <v>2054.8389999999999</v>
      </c>
      <c r="I124" s="92" t="s">
        <v>21</v>
      </c>
      <c r="J124" s="257" t="s">
        <v>25</v>
      </c>
      <c r="K124" s="269"/>
    </row>
    <row r="125" spans="1:11" ht="15.75">
      <c r="A125" s="92">
        <v>92</v>
      </c>
      <c r="B125" s="283">
        <v>45236</v>
      </c>
      <c r="C125" s="284">
        <v>0.95486111111111116</v>
      </c>
      <c r="D125" s="92">
        <v>368</v>
      </c>
      <c r="E125" s="92" t="s">
        <v>424</v>
      </c>
      <c r="F125" s="261">
        <v>35.4</v>
      </c>
      <c r="G125" s="261">
        <v>22.91</v>
      </c>
      <c r="H125" s="285">
        <v>2055.645</v>
      </c>
      <c r="I125" s="92" t="s">
        <v>21</v>
      </c>
      <c r="J125" s="257" t="s">
        <v>25</v>
      </c>
      <c r="K125" s="269"/>
    </row>
    <row r="126" spans="1:11" ht="15.75">
      <c r="A126" s="92">
        <v>93</v>
      </c>
      <c r="B126" s="283">
        <v>45236</v>
      </c>
      <c r="C126" s="284">
        <v>0.96736111111111112</v>
      </c>
      <c r="D126" s="92">
        <v>610</v>
      </c>
      <c r="E126" s="92" t="s">
        <v>425</v>
      </c>
      <c r="F126" s="261">
        <v>35.24</v>
      </c>
      <c r="G126" s="261">
        <v>22.91</v>
      </c>
      <c r="H126" s="285">
        <v>2062.797</v>
      </c>
      <c r="I126" s="92" t="s">
        <v>21</v>
      </c>
      <c r="J126" s="257" t="s">
        <v>25</v>
      </c>
      <c r="K126" s="269"/>
    </row>
    <row r="127" spans="1:11" ht="15.75">
      <c r="A127" s="92"/>
      <c r="B127" s="283">
        <v>45236</v>
      </c>
      <c r="C127" s="284">
        <v>0.97847222222222219</v>
      </c>
      <c r="D127" s="92">
        <v>477</v>
      </c>
      <c r="E127" s="92" t="s">
        <v>426</v>
      </c>
      <c r="F127" s="261">
        <v>35.4</v>
      </c>
      <c r="G127" s="261">
        <v>22.91</v>
      </c>
      <c r="H127" s="285">
        <v>2055.569</v>
      </c>
      <c r="I127" s="92" t="s">
        <v>259</v>
      </c>
      <c r="J127" s="257" t="s">
        <v>25</v>
      </c>
      <c r="K127" s="269"/>
    </row>
    <row r="128" spans="1:11" ht="15.75">
      <c r="A128" s="92">
        <v>94</v>
      </c>
      <c r="B128" s="283">
        <v>45237</v>
      </c>
      <c r="C128" s="284">
        <v>0.99444444444444446</v>
      </c>
      <c r="D128" s="92">
        <v>478</v>
      </c>
      <c r="E128" s="92" t="s">
        <v>419</v>
      </c>
      <c r="F128" s="261">
        <v>35.619999999999997</v>
      </c>
      <c r="G128" s="261">
        <v>22.91</v>
      </c>
      <c r="H128" s="285">
        <v>2062.2330000000002</v>
      </c>
      <c r="I128" s="92" t="s">
        <v>21</v>
      </c>
      <c r="J128" s="257" t="s">
        <v>25</v>
      </c>
      <c r="K128" s="269"/>
    </row>
    <row r="129" spans="1:11" ht="15.75">
      <c r="A129" s="277"/>
      <c r="B129" s="278">
        <v>45237</v>
      </c>
      <c r="C129" s="277" t="s">
        <v>439</v>
      </c>
      <c r="D129" s="290" t="s">
        <v>437</v>
      </c>
      <c r="E129" s="277" t="s">
        <v>418</v>
      </c>
      <c r="F129" s="281">
        <v>33.423000000000002</v>
      </c>
      <c r="G129" s="281">
        <v>22.3</v>
      </c>
      <c r="H129" s="282">
        <v>2064.2930000000001</v>
      </c>
      <c r="I129" s="277" t="s">
        <v>21</v>
      </c>
      <c r="J129" s="257" t="s">
        <v>25</v>
      </c>
      <c r="K129" s="269"/>
    </row>
    <row r="130" spans="1:11" ht="15.75">
      <c r="A130" s="292"/>
      <c r="B130" s="292"/>
      <c r="C130" s="299"/>
      <c r="D130" s="292"/>
      <c r="E130" s="292"/>
      <c r="F130" s="300"/>
      <c r="G130" s="300"/>
      <c r="H130" s="301"/>
      <c r="I130" s="292"/>
    </row>
    <row r="131" spans="1:11" ht="15.75">
      <c r="A131" s="292"/>
      <c r="B131" s="292"/>
      <c r="C131" s="299"/>
      <c r="D131" s="292"/>
      <c r="E131" s="292"/>
      <c r="F131" s="300"/>
      <c r="G131" s="300"/>
      <c r="H131" s="301"/>
      <c r="I131" s="292"/>
    </row>
    <row r="132" spans="1:11" ht="15.75">
      <c r="A132" s="292"/>
      <c r="B132" s="292"/>
      <c r="C132" s="299"/>
      <c r="D132" s="292"/>
      <c r="E132" s="292"/>
      <c r="F132" s="300"/>
      <c r="G132" s="300"/>
      <c r="H132" s="301"/>
      <c r="I132" s="292"/>
    </row>
    <row r="133" spans="1:11" ht="15.75">
      <c r="A133" s="292"/>
      <c r="B133" s="292"/>
      <c r="C133" s="299"/>
      <c r="D133" s="292"/>
      <c r="E133" s="292"/>
      <c r="F133" s="300"/>
      <c r="G133" s="300"/>
      <c r="H133" s="301"/>
      <c r="I133" s="292"/>
    </row>
    <row r="134" spans="1:11" ht="15.75">
      <c r="A134" s="292"/>
      <c r="B134" s="292"/>
      <c r="C134" s="299"/>
      <c r="D134" s="292"/>
      <c r="E134" s="292"/>
      <c r="F134" s="300"/>
      <c r="G134" s="300"/>
      <c r="H134" s="301"/>
      <c r="I134" s="292"/>
    </row>
    <row r="135" spans="1:11" ht="15.75">
      <c r="A135" s="292"/>
      <c r="B135" s="292"/>
      <c r="C135" s="299"/>
      <c r="D135" s="292"/>
      <c r="E135" s="292"/>
      <c r="F135" s="300"/>
      <c r="G135" s="300"/>
      <c r="H135" s="301"/>
      <c r="I135" s="292"/>
    </row>
    <row r="136" spans="1:11" ht="15.75">
      <c r="A136" s="292"/>
      <c r="B136" s="292"/>
      <c r="C136" s="299"/>
      <c r="D136" s="292"/>
      <c r="E136" s="292"/>
      <c r="F136" s="300"/>
      <c r="G136" s="300"/>
      <c r="H136" s="301"/>
      <c r="I136" s="292"/>
    </row>
    <row r="137" spans="1:11" ht="15.75">
      <c r="A137" s="292"/>
      <c r="B137" s="292"/>
      <c r="C137" s="299"/>
      <c r="D137" s="292"/>
      <c r="E137" s="292"/>
      <c r="F137" s="300"/>
      <c r="G137" s="300"/>
      <c r="H137" s="301"/>
      <c r="I137" s="292"/>
    </row>
    <row r="138" spans="1:11" ht="15.75">
      <c r="A138" s="292"/>
      <c r="B138" s="292"/>
      <c r="C138" s="299"/>
      <c r="D138" s="292"/>
      <c r="E138" s="292"/>
      <c r="F138" s="300"/>
      <c r="G138" s="300"/>
      <c r="H138" s="301"/>
      <c r="I138" s="292"/>
    </row>
    <row r="139" spans="1:11" ht="15.75">
      <c r="A139" s="292"/>
      <c r="B139" s="292"/>
      <c r="C139" s="299"/>
      <c r="D139" s="292"/>
      <c r="E139" s="292"/>
      <c r="F139" s="300"/>
      <c r="G139" s="300"/>
      <c r="H139" s="301"/>
      <c r="I139" s="292"/>
    </row>
    <row r="140" spans="1:11" ht="15.75">
      <c r="A140" s="292"/>
      <c r="B140" s="292"/>
      <c r="C140" s="299"/>
      <c r="D140" s="292"/>
      <c r="E140" s="292"/>
      <c r="F140" s="300"/>
      <c r="G140" s="300"/>
      <c r="H140" s="301"/>
      <c r="I140" s="292"/>
    </row>
    <row r="141" spans="1:11" ht="15.75">
      <c r="A141" s="292"/>
      <c r="B141" s="292"/>
      <c r="C141" s="299"/>
      <c r="D141" s="292"/>
      <c r="E141" s="292"/>
      <c r="F141" s="300"/>
      <c r="G141" s="300"/>
      <c r="H141" s="301"/>
      <c r="I141" s="292"/>
    </row>
    <row r="142" spans="1:11" ht="15.75">
      <c r="A142" s="292"/>
      <c r="B142" s="292"/>
      <c r="C142" s="299"/>
      <c r="D142" s="292"/>
      <c r="E142" s="292"/>
      <c r="F142" s="300"/>
      <c r="G142" s="300"/>
      <c r="H142" s="301"/>
      <c r="I142" s="292"/>
    </row>
    <row r="143" spans="1:11" ht="15.75">
      <c r="A143" s="292"/>
      <c r="B143" s="292"/>
      <c r="C143" s="299"/>
      <c r="D143" s="292"/>
      <c r="E143" s="292"/>
      <c r="F143" s="300"/>
      <c r="G143" s="300"/>
      <c r="H143" s="301"/>
      <c r="I143" s="292"/>
    </row>
    <row r="144" spans="1:11" ht="15.75">
      <c r="A144" s="292"/>
      <c r="B144" s="292"/>
      <c r="C144" s="299"/>
      <c r="D144" s="292"/>
      <c r="E144" s="292"/>
      <c r="F144" s="300"/>
      <c r="G144" s="300"/>
      <c r="H144" s="301"/>
      <c r="I144" s="292"/>
    </row>
    <row r="145" spans="1:9" ht="15.75">
      <c r="A145" s="292"/>
      <c r="B145" s="292"/>
      <c r="C145" s="299"/>
      <c r="D145" s="292"/>
      <c r="E145" s="292"/>
      <c r="F145" s="300"/>
      <c r="G145" s="300"/>
      <c r="H145" s="301"/>
      <c r="I145" s="292"/>
    </row>
    <row r="146" spans="1:9" ht="15.75">
      <c r="A146" s="292"/>
      <c r="B146" s="292"/>
      <c r="C146" s="299"/>
      <c r="D146" s="292"/>
      <c r="E146" s="292"/>
      <c r="F146" s="300"/>
      <c r="G146" s="300"/>
      <c r="H146" s="301"/>
      <c r="I146" s="292"/>
    </row>
    <row r="147" spans="1:9" ht="15.75">
      <c r="A147" s="292"/>
      <c r="B147" s="292"/>
      <c r="C147" s="299"/>
      <c r="D147" s="292"/>
      <c r="E147" s="292"/>
      <c r="F147" s="300"/>
      <c r="G147" s="300"/>
      <c r="H147" s="301"/>
      <c r="I147" s="292"/>
    </row>
    <row r="148" spans="1:9" ht="15.75">
      <c r="A148" s="292"/>
      <c r="B148" s="292"/>
      <c r="C148" s="299"/>
      <c r="D148" s="292"/>
      <c r="E148" s="292"/>
      <c r="F148" s="300"/>
      <c r="G148" s="300"/>
      <c r="H148" s="301"/>
      <c r="I148" s="292"/>
    </row>
    <row r="149" spans="1:9" ht="15.75">
      <c r="A149" s="292"/>
      <c r="B149" s="292"/>
      <c r="C149" s="299"/>
      <c r="D149" s="292"/>
      <c r="E149" s="292"/>
      <c r="F149" s="300"/>
      <c r="G149" s="300"/>
      <c r="H149" s="301"/>
      <c r="I149" s="292"/>
    </row>
    <row r="150" spans="1:9" ht="15.75">
      <c r="A150" s="292"/>
      <c r="B150" s="292"/>
      <c r="C150" s="299"/>
      <c r="D150" s="292"/>
      <c r="E150" s="292"/>
      <c r="F150" s="300"/>
      <c r="G150" s="300"/>
      <c r="H150" s="301"/>
      <c r="I150" s="292"/>
    </row>
    <row r="151" spans="1:9" ht="15.75">
      <c r="A151" s="292"/>
      <c r="B151" s="292"/>
      <c r="C151" s="299"/>
      <c r="D151" s="292"/>
      <c r="E151" s="292"/>
      <c r="F151" s="300"/>
      <c r="G151" s="300"/>
      <c r="H151" s="301"/>
      <c r="I151" s="292"/>
    </row>
    <row r="152" spans="1:9" ht="15.75">
      <c r="A152" s="292"/>
      <c r="B152" s="292"/>
      <c r="C152" s="299"/>
      <c r="D152" s="292"/>
      <c r="E152" s="292"/>
      <c r="F152" s="300"/>
      <c r="G152" s="300"/>
      <c r="H152" s="301"/>
      <c r="I152" s="292"/>
    </row>
    <row r="153" spans="1:9" ht="15.75">
      <c r="A153" s="292"/>
      <c r="B153" s="292"/>
      <c r="C153" s="299"/>
      <c r="D153" s="292"/>
      <c r="E153" s="292"/>
      <c r="F153" s="300"/>
      <c r="G153" s="300"/>
      <c r="H153" s="301"/>
      <c r="I153" s="292"/>
    </row>
    <row r="154" spans="1:9" ht="15.75">
      <c r="A154" s="292"/>
      <c r="B154" s="292"/>
      <c r="C154" s="299"/>
      <c r="D154" s="292"/>
      <c r="E154" s="292"/>
      <c r="F154" s="300"/>
      <c r="G154" s="300"/>
      <c r="H154" s="301"/>
      <c r="I154" s="292"/>
    </row>
    <row r="155" spans="1:9" ht="15.75">
      <c r="A155" s="292"/>
      <c r="B155" s="292"/>
      <c r="C155" s="299"/>
      <c r="D155" s="292"/>
      <c r="E155" s="292"/>
      <c r="F155" s="300"/>
      <c r="G155" s="300"/>
      <c r="H155" s="301"/>
      <c r="I155" s="292"/>
    </row>
    <row r="156" spans="1:9" ht="15.75">
      <c r="A156" s="292"/>
      <c r="B156" s="292"/>
      <c r="C156" s="299"/>
      <c r="D156" s="292"/>
      <c r="E156" s="292"/>
      <c r="F156" s="300"/>
      <c r="G156" s="300"/>
      <c r="H156" s="301"/>
      <c r="I156" s="292"/>
    </row>
    <row r="157" spans="1:9" ht="15.75">
      <c r="A157" s="292"/>
      <c r="B157" s="292"/>
      <c r="C157" s="299"/>
      <c r="D157" s="292"/>
      <c r="E157" s="292"/>
      <c r="F157" s="300"/>
      <c r="G157" s="300"/>
      <c r="H157" s="301"/>
      <c r="I157" s="292"/>
    </row>
    <row r="158" spans="1:9" ht="15.75">
      <c r="A158" s="292"/>
      <c r="B158" s="292"/>
      <c r="C158" s="299"/>
      <c r="D158" s="292"/>
      <c r="E158" s="292"/>
      <c r="F158" s="300"/>
      <c r="G158" s="300"/>
      <c r="H158" s="301"/>
      <c r="I158" s="292"/>
    </row>
    <row r="159" spans="1:9" ht="15.75">
      <c r="A159" s="292"/>
      <c r="B159" s="292"/>
      <c r="C159" s="299"/>
      <c r="D159" s="292"/>
      <c r="E159" s="292"/>
      <c r="F159" s="300"/>
      <c r="G159" s="300"/>
      <c r="H159" s="301"/>
      <c r="I159" s="292"/>
    </row>
    <row r="160" spans="1:9" ht="15.75">
      <c r="A160" s="292"/>
      <c r="B160" s="292"/>
      <c r="C160" s="299"/>
      <c r="D160" s="292"/>
      <c r="E160" s="292"/>
      <c r="F160" s="300"/>
      <c r="G160" s="300"/>
      <c r="H160" s="301"/>
      <c r="I160" s="292"/>
    </row>
    <row r="161" spans="1:9" ht="15.75">
      <c r="A161" s="292"/>
      <c r="B161" s="292"/>
      <c r="C161" s="299"/>
      <c r="D161" s="292"/>
      <c r="E161" s="292"/>
      <c r="F161" s="300"/>
      <c r="G161" s="300"/>
      <c r="H161" s="301"/>
      <c r="I161" s="292"/>
    </row>
    <row r="162" spans="1:9" ht="15.75">
      <c r="A162" s="292"/>
      <c r="B162" s="292"/>
      <c r="C162" s="299"/>
      <c r="D162" s="292"/>
      <c r="E162" s="292"/>
      <c r="F162" s="300"/>
      <c r="G162" s="300"/>
      <c r="H162" s="301"/>
      <c r="I162" s="292"/>
    </row>
    <row r="163" spans="1:9" ht="15.75">
      <c r="A163" s="292"/>
      <c r="B163" s="292"/>
      <c r="C163" s="299"/>
      <c r="D163" s="292"/>
      <c r="E163" s="292"/>
      <c r="F163" s="300"/>
      <c r="G163" s="300"/>
      <c r="H163" s="301"/>
      <c r="I163" s="292"/>
    </row>
    <row r="164" spans="1:9" ht="15.75">
      <c r="A164" s="292"/>
      <c r="B164" s="292"/>
      <c r="C164" s="299"/>
      <c r="D164" s="292"/>
      <c r="E164" s="292"/>
      <c r="F164" s="300"/>
      <c r="G164" s="300"/>
      <c r="H164" s="301"/>
      <c r="I164" s="292"/>
    </row>
    <row r="165" spans="1:9" ht="15.75">
      <c r="A165" s="292"/>
      <c r="B165" s="292"/>
      <c r="C165" s="299"/>
      <c r="D165" s="292"/>
      <c r="E165" s="292"/>
      <c r="F165" s="300"/>
      <c r="G165" s="300"/>
      <c r="H165" s="301"/>
      <c r="I165" s="292"/>
    </row>
    <row r="166" spans="1:9" ht="15.75">
      <c r="A166" s="292"/>
      <c r="B166" s="292"/>
      <c r="C166" s="299"/>
      <c r="D166" s="292"/>
      <c r="E166" s="292"/>
      <c r="F166" s="300"/>
      <c r="G166" s="300"/>
      <c r="H166" s="301"/>
      <c r="I166" s="292"/>
    </row>
    <row r="167" spans="1:9" ht="15.75">
      <c r="A167" s="292"/>
      <c r="B167" s="292"/>
      <c r="C167" s="299"/>
      <c r="D167" s="292"/>
      <c r="E167" s="292"/>
      <c r="F167" s="300"/>
      <c r="G167" s="300"/>
      <c r="H167" s="301"/>
      <c r="I167" s="292"/>
    </row>
    <row r="168" spans="1:9" ht="15.75">
      <c r="A168" s="292"/>
      <c r="B168" s="292"/>
      <c r="C168" s="299"/>
      <c r="D168" s="292"/>
      <c r="E168" s="292"/>
      <c r="F168" s="300"/>
      <c r="G168" s="300"/>
      <c r="H168" s="301"/>
      <c r="I168" s="292"/>
    </row>
    <row r="169" spans="1:9" ht="15.75">
      <c r="A169" s="292"/>
      <c r="B169" s="292"/>
      <c r="C169" s="299"/>
      <c r="D169" s="292"/>
      <c r="E169" s="292"/>
      <c r="F169" s="300"/>
      <c r="G169" s="300"/>
      <c r="H169" s="301"/>
      <c r="I169" s="292"/>
    </row>
    <row r="170" spans="1:9" ht="15.75">
      <c r="A170" s="292"/>
      <c r="B170" s="292"/>
      <c r="C170" s="299"/>
      <c r="D170" s="292"/>
      <c r="E170" s="292"/>
      <c r="F170" s="300"/>
      <c r="G170" s="300"/>
      <c r="H170" s="301"/>
      <c r="I170" s="292"/>
    </row>
    <row r="171" spans="1:9" ht="15.75">
      <c r="A171" s="292"/>
      <c r="B171" s="292"/>
      <c r="C171" s="299"/>
      <c r="D171" s="292"/>
      <c r="E171" s="292"/>
      <c r="F171" s="300"/>
      <c r="G171" s="300"/>
      <c r="H171" s="301"/>
      <c r="I171" s="292"/>
    </row>
    <row r="172" spans="1:9" ht="15.75">
      <c r="A172" s="292"/>
      <c r="B172" s="292"/>
      <c r="C172" s="299"/>
      <c r="D172" s="292"/>
      <c r="E172" s="292"/>
      <c r="F172" s="300"/>
      <c r="G172" s="300"/>
      <c r="H172" s="301"/>
      <c r="I172" s="292"/>
    </row>
    <row r="173" spans="1:9" ht="15.75">
      <c r="A173" s="292"/>
      <c r="B173" s="292"/>
      <c r="C173" s="299"/>
      <c r="D173" s="292"/>
      <c r="E173" s="292"/>
      <c r="F173" s="300"/>
      <c r="G173" s="300"/>
      <c r="H173" s="301"/>
      <c r="I173" s="292"/>
    </row>
    <row r="174" spans="1:9" ht="15.75">
      <c r="A174" s="292"/>
      <c r="B174" s="292"/>
      <c r="C174" s="299"/>
      <c r="D174" s="292"/>
      <c r="E174" s="292"/>
      <c r="F174" s="300"/>
      <c r="G174" s="300"/>
      <c r="H174" s="301"/>
      <c r="I174" s="292"/>
    </row>
    <row r="175" spans="1:9" ht="15.75">
      <c r="A175" s="292"/>
      <c r="B175" s="292"/>
      <c r="C175" s="299"/>
      <c r="D175" s="292"/>
      <c r="E175" s="292"/>
      <c r="F175" s="300"/>
      <c r="G175" s="300"/>
      <c r="H175" s="301"/>
      <c r="I175" s="292"/>
    </row>
    <row r="176" spans="1:9" ht="15.75">
      <c r="A176" s="292"/>
      <c r="B176" s="292"/>
      <c r="C176" s="299"/>
      <c r="D176" s="292"/>
      <c r="E176" s="292"/>
      <c r="F176" s="300"/>
      <c r="G176" s="300"/>
      <c r="H176" s="301"/>
      <c r="I176" s="292"/>
    </row>
    <row r="177" spans="1:9" ht="15.75">
      <c r="A177" s="292"/>
      <c r="B177" s="292"/>
      <c r="C177" s="299"/>
      <c r="D177" s="292"/>
      <c r="E177" s="292"/>
      <c r="F177" s="300"/>
      <c r="G177" s="300"/>
      <c r="H177" s="301"/>
      <c r="I177" s="292"/>
    </row>
    <row r="178" spans="1:9" ht="15.75">
      <c r="A178" s="292"/>
      <c r="B178" s="292"/>
      <c r="C178" s="299"/>
      <c r="D178" s="292"/>
      <c r="E178" s="292"/>
      <c r="F178" s="300"/>
      <c r="G178" s="300"/>
      <c r="H178" s="301"/>
      <c r="I178" s="292"/>
    </row>
    <row r="179" spans="1:9" ht="15.75">
      <c r="A179" s="292"/>
      <c r="B179" s="292"/>
      <c r="C179" s="299"/>
      <c r="D179" s="292"/>
      <c r="E179" s="292"/>
      <c r="F179" s="300"/>
      <c r="G179" s="300"/>
      <c r="H179" s="301"/>
      <c r="I179" s="292"/>
    </row>
    <row r="180" spans="1:9" ht="15.75">
      <c r="A180" s="292"/>
      <c r="B180" s="292"/>
      <c r="C180" s="299"/>
      <c r="D180" s="292"/>
      <c r="E180" s="292"/>
      <c r="F180" s="300"/>
      <c r="G180" s="300"/>
      <c r="H180" s="301"/>
      <c r="I180" s="292"/>
    </row>
    <row r="181" spans="1:9" ht="15.75">
      <c r="A181" s="292"/>
      <c r="B181" s="292"/>
      <c r="C181" s="299"/>
      <c r="D181" s="292"/>
      <c r="E181" s="292"/>
      <c r="F181" s="300"/>
      <c r="G181" s="300"/>
      <c r="H181" s="301"/>
      <c r="I181" s="292"/>
    </row>
    <row r="182" spans="1:9" ht="15.75">
      <c r="A182" s="292"/>
      <c r="B182" s="292"/>
      <c r="C182" s="299"/>
      <c r="D182" s="292"/>
      <c r="E182" s="292"/>
      <c r="F182" s="300"/>
      <c r="G182" s="300"/>
      <c r="H182" s="301"/>
      <c r="I182" s="292"/>
    </row>
    <row r="183" spans="1:9" ht="15.75">
      <c r="A183" s="292"/>
      <c r="B183" s="292"/>
      <c r="C183" s="299"/>
      <c r="D183" s="292"/>
      <c r="E183" s="292"/>
      <c r="F183" s="300"/>
      <c r="G183" s="300"/>
      <c r="H183" s="301"/>
      <c r="I183" s="292"/>
    </row>
    <row r="184" spans="1:9" ht="15.75">
      <c r="A184" s="292"/>
      <c r="B184" s="292"/>
      <c r="C184" s="299"/>
      <c r="D184" s="292"/>
      <c r="E184" s="292"/>
      <c r="F184" s="300"/>
      <c r="G184" s="300"/>
      <c r="H184" s="301"/>
      <c r="I184" s="292"/>
    </row>
    <row r="185" spans="1:9" ht="15.75">
      <c r="A185" s="292"/>
      <c r="B185" s="292"/>
      <c r="C185" s="299"/>
      <c r="D185" s="292"/>
      <c r="E185" s="292"/>
      <c r="F185" s="300"/>
      <c r="G185" s="300"/>
      <c r="H185" s="301"/>
      <c r="I185" s="292"/>
    </row>
    <row r="186" spans="1:9" ht="15.75">
      <c r="A186" s="292"/>
      <c r="B186" s="292"/>
      <c r="C186" s="299"/>
      <c r="D186" s="292"/>
      <c r="E186" s="292"/>
      <c r="F186" s="300"/>
      <c r="G186" s="300"/>
      <c r="H186" s="301"/>
      <c r="I186" s="292"/>
    </row>
    <row r="187" spans="1:9" ht="15.75">
      <c r="A187" s="292"/>
      <c r="B187" s="292"/>
      <c r="C187" s="299"/>
      <c r="D187" s="292"/>
      <c r="E187" s="292"/>
      <c r="F187" s="300"/>
      <c r="G187" s="300"/>
      <c r="H187" s="301"/>
      <c r="I187" s="292"/>
    </row>
    <row r="188" spans="1:9" ht="15.75">
      <c r="A188" s="292"/>
      <c r="B188" s="292"/>
      <c r="C188" s="299"/>
      <c r="D188" s="292"/>
      <c r="E188" s="292"/>
      <c r="F188" s="300"/>
      <c r="G188" s="300"/>
      <c r="H188" s="301"/>
      <c r="I188" s="292"/>
    </row>
    <row r="189" spans="1:9" ht="15.75">
      <c r="A189" s="292"/>
      <c r="B189" s="292"/>
      <c r="C189" s="299"/>
      <c r="D189" s="292"/>
      <c r="E189" s="292"/>
      <c r="F189" s="300"/>
      <c r="G189" s="300"/>
      <c r="H189" s="301"/>
      <c r="I189" s="292"/>
    </row>
    <row r="190" spans="1:9" ht="15.75">
      <c r="A190" s="292"/>
      <c r="B190" s="292"/>
      <c r="C190" s="299"/>
      <c r="D190" s="292"/>
      <c r="E190" s="292"/>
      <c r="F190" s="300"/>
      <c r="G190" s="300"/>
      <c r="H190" s="301"/>
      <c r="I190" s="292"/>
    </row>
    <row r="191" spans="1:9" ht="15.75">
      <c r="A191" s="292"/>
      <c r="B191" s="292"/>
      <c r="C191" s="299"/>
      <c r="D191" s="292"/>
      <c r="E191" s="292"/>
      <c r="F191" s="300"/>
      <c r="G191" s="300"/>
      <c r="H191" s="301"/>
      <c r="I191" s="292"/>
    </row>
    <row r="192" spans="1:9" ht="15.75">
      <c r="A192" s="292"/>
      <c r="B192" s="292"/>
      <c r="C192" s="299"/>
      <c r="D192" s="292"/>
      <c r="E192" s="292"/>
      <c r="F192" s="300"/>
      <c r="G192" s="300"/>
      <c r="H192" s="301"/>
      <c r="I192" s="292"/>
    </row>
    <row r="193" spans="1:9" ht="15.75">
      <c r="A193" s="292"/>
      <c r="B193" s="292"/>
      <c r="C193" s="299"/>
      <c r="D193" s="292"/>
      <c r="E193" s="292"/>
      <c r="F193" s="300"/>
      <c r="G193" s="300"/>
      <c r="H193" s="301"/>
      <c r="I193" s="292"/>
    </row>
    <row r="194" spans="1:9" ht="15.75">
      <c r="A194" s="292"/>
      <c r="B194" s="292"/>
      <c r="C194" s="299"/>
      <c r="D194" s="292"/>
      <c r="E194" s="292"/>
      <c r="F194" s="300"/>
      <c r="G194" s="300"/>
      <c r="H194" s="301"/>
      <c r="I194" s="292"/>
    </row>
    <row r="195" spans="1:9" ht="15.75">
      <c r="A195" s="292"/>
      <c r="B195" s="292"/>
      <c r="C195" s="299"/>
      <c r="D195" s="292"/>
      <c r="E195" s="292"/>
      <c r="F195" s="300"/>
      <c r="G195" s="300"/>
      <c r="H195" s="301"/>
      <c r="I195" s="292"/>
    </row>
    <row r="196" spans="1:9" ht="15.75">
      <c r="A196" s="292"/>
      <c r="B196" s="292"/>
      <c r="C196" s="299"/>
      <c r="D196" s="292"/>
      <c r="E196" s="292"/>
      <c r="F196" s="300"/>
      <c r="G196" s="300"/>
      <c r="H196" s="301"/>
      <c r="I196" s="292"/>
    </row>
    <row r="197" spans="1:9" ht="15.75">
      <c r="A197" s="292"/>
      <c r="B197" s="292"/>
      <c r="C197" s="299"/>
      <c r="D197" s="292"/>
      <c r="E197" s="292"/>
      <c r="F197" s="300"/>
      <c r="G197" s="300"/>
      <c r="H197" s="301"/>
      <c r="I197" s="292"/>
    </row>
    <row r="198" spans="1:9" ht="15.75">
      <c r="A198" s="292"/>
      <c r="B198" s="292"/>
      <c r="C198" s="299"/>
      <c r="D198" s="292"/>
      <c r="E198" s="292"/>
      <c r="F198" s="300"/>
      <c r="G198" s="300"/>
      <c r="H198" s="301"/>
      <c r="I198" s="292"/>
    </row>
    <row r="199" spans="1:9" ht="15.75">
      <c r="A199" s="292"/>
      <c r="B199" s="292"/>
      <c r="C199" s="299"/>
      <c r="D199" s="292"/>
      <c r="E199" s="292"/>
      <c r="F199" s="300"/>
      <c r="G199" s="300"/>
      <c r="H199" s="301"/>
      <c r="I199" s="292"/>
    </row>
    <row r="200" spans="1:9" ht="15.75">
      <c r="A200" s="292"/>
      <c r="B200" s="292"/>
      <c r="C200" s="299"/>
      <c r="D200" s="292"/>
      <c r="E200" s="292"/>
      <c r="F200" s="300"/>
      <c r="G200" s="300"/>
      <c r="H200" s="301"/>
      <c r="I200" s="292"/>
    </row>
    <row r="201" spans="1:9" ht="15.75">
      <c r="A201" s="292"/>
      <c r="B201" s="292"/>
      <c r="C201" s="299"/>
      <c r="D201" s="292"/>
      <c r="E201" s="292"/>
      <c r="F201" s="300"/>
      <c r="G201" s="300"/>
      <c r="H201" s="301"/>
      <c r="I201" s="292"/>
    </row>
    <row r="202" spans="1:9" ht="15.75">
      <c r="A202" s="292"/>
      <c r="B202" s="292"/>
      <c r="C202" s="299"/>
      <c r="D202" s="292"/>
      <c r="E202" s="292"/>
      <c r="F202" s="300"/>
      <c r="G202" s="300"/>
      <c r="H202" s="301"/>
      <c r="I202" s="292"/>
    </row>
    <row r="203" spans="1:9" ht="15.75">
      <c r="A203" s="292"/>
      <c r="B203" s="292"/>
      <c r="C203" s="299"/>
      <c r="D203" s="292"/>
      <c r="E203" s="292"/>
      <c r="F203" s="300"/>
      <c r="G203" s="300"/>
      <c r="H203" s="301"/>
      <c r="I203" s="292"/>
    </row>
    <row r="204" spans="1:9" ht="15.75">
      <c r="A204" s="292"/>
      <c r="B204" s="292"/>
      <c r="C204" s="299"/>
      <c r="D204" s="292"/>
      <c r="E204" s="292"/>
      <c r="F204" s="300"/>
      <c r="G204" s="300"/>
      <c r="H204" s="301"/>
      <c r="I204" s="292"/>
    </row>
    <row r="205" spans="1:9" ht="15.75">
      <c r="A205" s="292"/>
      <c r="B205" s="292"/>
      <c r="C205" s="299"/>
      <c r="D205" s="292"/>
      <c r="E205" s="292"/>
      <c r="F205" s="300"/>
      <c r="G205" s="300"/>
      <c r="H205" s="301"/>
      <c r="I205" s="292"/>
    </row>
    <row r="206" spans="1:9" ht="15.75">
      <c r="A206" s="292"/>
      <c r="B206" s="292"/>
      <c r="C206" s="299"/>
      <c r="D206" s="292"/>
      <c r="E206" s="292"/>
      <c r="F206" s="300"/>
      <c r="G206" s="300"/>
      <c r="H206" s="301"/>
      <c r="I206" s="292"/>
    </row>
    <row r="207" spans="1:9" ht="15.75">
      <c r="A207" s="292"/>
      <c r="B207" s="292"/>
      <c r="C207" s="299"/>
      <c r="D207" s="292"/>
      <c r="E207" s="292"/>
      <c r="F207" s="300"/>
      <c r="G207" s="300"/>
      <c r="H207" s="301"/>
      <c r="I207" s="292"/>
    </row>
    <row r="208" spans="1:9" ht="15.75">
      <c r="A208" s="292"/>
      <c r="B208" s="292"/>
      <c r="C208" s="299"/>
      <c r="D208" s="292"/>
      <c r="E208" s="292"/>
      <c r="F208" s="300"/>
      <c r="G208" s="300"/>
      <c r="H208" s="301"/>
      <c r="I208" s="292"/>
    </row>
    <row r="209" spans="1:9" ht="15.75">
      <c r="A209" s="292"/>
      <c r="B209" s="292"/>
      <c r="C209" s="299"/>
      <c r="D209" s="292"/>
      <c r="E209" s="292"/>
      <c r="F209" s="300"/>
      <c r="G209" s="300"/>
      <c r="H209" s="301"/>
      <c r="I209" s="292"/>
    </row>
    <row r="210" spans="1:9" ht="15.75">
      <c r="A210" s="292"/>
      <c r="B210" s="292"/>
      <c r="C210" s="299"/>
      <c r="D210" s="292"/>
      <c r="E210" s="292"/>
      <c r="F210" s="300"/>
      <c r="G210" s="300"/>
      <c r="H210" s="301"/>
      <c r="I210" s="292"/>
    </row>
    <row r="211" spans="1:9" ht="15.75">
      <c r="A211" s="292"/>
      <c r="B211" s="292"/>
      <c r="C211" s="299"/>
      <c r="D211" s="292"/>
      <c r="E211" s="292"/>
      <c r="F211" s="300"/>
      <c r="G211" s="300"/>
      <c r="H211" s="301"/>
      <c r="I211" s="292"/>
    </row>
    <row r="212" spans="1:9" ht="15.75">
      <c r="A212" s="292"/>
      <c r="B212" s="292"/>
      <c r="C212" s="299"/>
      <c r="D212" s="292"/>
      <c r="E212" s="292"/>
      <c r="F212" s="300"/>
      <c r="G212" s="300"/>
      <c r="H212" s="301"/>
      <c r="I212" s="292"/>
    </row>
    <row r="213" spans="1:9" ht="15.75">
      <c r="A213" s="292"/>
      <c r="B213" s="292"/>
      <c r="C213" s="299"/>
      <c r="D213" s="292"/>
      <c r="E213" s="292"/>
      <c r="F213" s="300"/>
      <c r="G213" s="300"/>
      <c r="H213" s="301"/>
      <c r="I213" s="292"/>
    </row>
    <row r="214" spans="1:9" ht="15.75">
      <c r="A214" s="292"/>
      <c r="B214" s="292"/>
      <c r="C214" s="299"/>
      <c r="D214" s="292"/>
      <c r="E214" s="292"/>
      <c r="F214" s="300"/>
      <c r="G214" s="300"/>
      <c r="H214" s="301"/>
      <c r="I214" s="292"/>
    </row>
    <row r="215" spans="1:9" ht="15.75">
      <c r="A215" s="292"/>
      <c r="B215" s="292"/>
      <c r="C215" s="299"/>
      <c r="D215" s="292"/>
      <c r="E215" s="292"/>
      <c r="F215" s="300"/>
      <c r="G215" s="300"/>
      <c r="H215" s="301"/>
      <c r="I215" s="292"/>
    </row>
    <row r="216" spans="1:9" ht="15.75">
      <c r="A216" s="292"/>
      <c r="B216" s="292"/>
      <c r="C216" s="299"/>
      <c r="D216" s="292"/>
      <c r="E216" s="292"/>
      <c r="F216" s="300"/>
      <c r="G216" s="300"/>
      <c r="H216" s="301"/>
      <c r="I216" s="292"/>
    </row>
    <row r="217" spans="1:9" ht="15.75">
      <c r="A217" s="292"/>
      <c r="B217" s="292"/>
      <c r="C217" s="299"/>
      <c r="D217" s="292"/>
      <c r="E217" s="292"/>
      <c r="F217" s="300"/>
      <c r="G217" s="300"/>
      <c r="H217" s="301"/>
      <c r="I217" s="292"/>
    </row>
    <row r="218" spans="1:9" ht="15.75">
      <c r="A218" s="292"/>
      <c r="B218" s="292"/>
      <c r="C218" s="299"/>
      <c r="D218" s="292"/>
      <c r="E218" s="292"/>
      <c r="F218" s="300"/>
      <c r="G218" s="300"/>
      <c r="H218" s="301"/>
      <c r="I218" s="292"/>
    </row>
    <row r="219" spans="1:9" ht="15.75">
      <c r="A219" s="292"/>
      <c r="B219" s="292"/>
      <c r="C219" s="299"/>
      <c r="D219" s="292"/>
      <c r="E219" s="292"/>
      <c r="F219" s="300"/>
      <c r="G219" s="300"/>
      <c r="H219" s="301"/>
      <c r="I219" s="292"/>
    </row>
    <row r="220" spans="1:9" ht="15.75">
      <c r="A220" s="292"/>
      <c r="B220" s="292"/>
      <c r="C220" s="299"/>
      <c r="D220" s="292"/>
      <c r="E220" s="292"/>
      <c r="F220" s="300"/>
      <c r="G220" s="300"/>
      <c r="H220" s="301"/>
      <c r="I220" s="292"/>
    </row>
    <row r="221" spans="1:9" ht="15.75">
      <c r="A221" s="292"/>
      <c r="B221" s="292"/>
      <c r="C221" s="299"/>
      <c r="D221" s="292"/>
      <c r="E221" s="292"/>
      <c r="F221" s="300"/>
      <c r="G221" s="300"/>
      <c r="H221" s="301"/>
      <c r="I221" s="292"/>
    </row>
    <row r="222" spans="1:9" ht="15.75">
      <c r="A222" s="292"/>
      <c r="B222" s="292"/>
      <c r="C222" s="299"/>
      <c r="D222" s="292"/>
      <c r="E222" s="292"/>
      <c r="F222" s="300"/>
      <c r="G222" s="300"/>
      <c r="H222" s="301"/>
      <c r="I222" s="292"/>
    </row>
    <row r="223" spans="1:9" ht="15.75">
      <c r="A223" s="292"/>
      <c r="B223" s="292"/>
      <c r="C223" s="299"/>
      <c r="D223" s="292"/>
      <c r="E223" s="292"/>
      <c r="F223" s="300"/>
      <c r="G223" s="300"/>
      <c r="H223" s="301"/>
      <c r="I223" s="292"/>
    </row>
    <row r="224" spans="1:9" ht="15.75">
      <c r="A224" s="292"/>
      <c r="B224" s="292"/>
      <c r="C224" s="299"/>
      <c r="D224" s="292"/>
      <c r="E224" s="292"/>
      <c r="F224" s="300"/>
      <c r="G224" s="300"/>
      <c r="H224" s="301"/>
      <c r="I224" s="292"/>
    </row>
    <row r="225" spans="1:9" ht="15.75">
      <c r="A225" s="292"/>
      <c r="B225" s="292"/>
      <c r="C225" s="299"/>
      <c r="D225" s="292"/>
      <c r="E225" s="292"/>
      <c r="F225" s="300"/>
      <c r="G225" s="300"/>
      <c r="H225" s="301"/>
      <c r="I225" s="292"/>
    </row>
    <row r="226" spans="1:9" ht="15.75">
      <c r="A226" s="292"/>
      <c r="B226" s="292"/>
      <c r="C226" s="299"/>
      <c r="D226" s="292"/>
      <c r="E226" s="292"/>
      <c r="F226" s="300"/>
      <c r="G226" s="300"/>
      <c r="H226" s="301"/>
      <c r="I226" s="292"/>
    </row>
    <row r="227" spans="1:9" ht="15.75">
      <c r="A227" s="292"/>
      <c r="B227" s="292"/>
      <c r="C227" s="299"/>
      <c r="D227" s="292"/>
      <c r="E227" s="292"/>
      <c r="F227" s="300"/>
      <c r="G227" s="300"/>
      <c r="H227" s="301"/>
      <c r="I227" s="292"/>
    </row>
    <row r="228" spans="1:9" ht="15.75">
      <c r="A228" s="292"/>
      <c r="B228" s="292"/>
      <c r="C228" s="299"/>
      <c r="D228" s="292"/>
      <c r="E228" s="292"/>
      <c r="F228" s="300"/>
      <c r="G228" s="300"/>
      <c r="H228" s="301"/>
      <c r="I228" s="292"/>
    </row>
    <row r="229" spans="1:9" ht="15.75">
      <c r="A229" s="292"/>
      <c r="B229" s="292"/>
      <c r="C229" s="299"/>
      <c r="D229" s="292"/>
      <c r="E229" s="292"/>
      <c r="F229" s="300"/>
      <c r="G229" s="300"/>
      <c r="H229" s="301"/>
      <c r="I229" s="292"/>
    </row>
    <row r="230" spans="1:9" ht="15.75">
      <c r="A230" s="292"/>
      <c r="B230" s="292"/>
      <c r="C230" s="299"/>
      <c r="D230" s="292"/>
      <c r="E230" s="292"/>
      <c r="F230" s="300"/>
      <c r="G230" s="300"/>
      <c r="H230" s="301"/>
      <c r="I230" s="292"/>
    </row>
    <row r="231" spans="1:9" ht="15.75">
      <c r="A231" s="292"/>
      <c r="B231" s="292"/>
      <c r="C231" s="299"/>
      <c r="D231" s="292"/>
      <c r="E231" s="292"/>
      <c r="F231" s="300"/>
      <c r="G231" s="300"/>
      <c r="H231" s="301"/>
      <c r="I231" s="292"/>
    </row>
    <row r="232" spans="1:9" ht="15.75">
      <c r="A232" s="292"/>
      <c r="B232" s="292"/>
      <c r="C232" s="299"/>
      <c r="D232" s="292"/>
      <c r="E232" s="292"/>
      <c r="F232" s="300"/>
      <c r="G232" s="300"/>
      <c r="H232" s="301"/>
      <c r="I232" s="292"/>
    </row>
    <row r="233" spans="1:9" ht="15.75">
      <c r="A233" s="292"/>
      <c r="B233" s="292"/>
      <c r="C233" s="299"/>
      <c r="D233" s="292"/>
      <c r="E233" s="292"/>
      <c r="F233" s="300"/>
      <c r="G233" s="300"/>
      <c r="H233" s="301"/>
      <c r="I233" s="292"/>
    </row>
    <row r="234" spans="1:9" ht="15.75">
      <c r="A234" s="292"/>
      <c r="B234" s="292"/>
      <c r="C234" s="299"/>
      <c r="D234" s="292"/>
      <c r="E234" s="292"/>
      <c r="F234" s="300"/>
      <c r="G234" s="300"/>
      <c r="H234" s="301"/>
      <c r="I234" s="292"/>
    </row>
    <row r="235" spans="1:9" ht="15.75">
      <c r="A235" s="292"/>
      <c r="B235" s="292"/>
      <c r="C235" s="299"/>
      <c r="D235" s="292"/>
      <c r="E235" s="292"/>
      <c r="F235" s="300"/>
      <c r="G235" s="300"/>
      <c r="H235" s="301"/>
      <c r="I235" s="292"/>
    </row>
    <row r="236" spans="1:9" ht="15.75">
      <c r="A236" s="292"/>
      <c r="B236" s="292"/>
      <c r="C236" s="299"/>
      <c r="D236" s="292"/>
      <c r="E236" s="292"/>
      <c r="F236" s="300"/>
      <c r="G236" s="300"/>
      <c r="H236" s="301"/>
      <c r="I236" s="292"/>
    </row>
    <row r="237" spans="1:9" ht="15.75">
      <c r="A237" s="292"/>
      <c r="B237" s="292"/>
      <c r="C237" s="299"/>
      <c r="D237" s="292"/>
      <c r="E237" s="292"/>
      <c r="F237" s="300"/>
      <c r="G237" s="300"/>
      <c r="H237" s="301"/>
      <c r="I237" s="292"/>
    </row>
    <row r="238" spans="1:9" ht="15.75">
      <c r="A238" s="292"/>
      <c r="B238" s="292"/>
      <c r="C238" s="299"/>
      <c r="D238" s="292"/>
      <c r="E238" s="292"/>
      <c r="F238" s="300"/>
      <c r="G238" s="300"/>
      <c r="H238" s="301"/>
      <c r="I238" s="292"/>
    </row>
    <row r="239" spans="1:9" ht="15.75">
      <c r="A239" s="292"/>
      <c r="B239" s="292"/>
      <c r="C239" s="299"/>
      <c r="D239" s="292"/>
      <c r="E239" s="292"/>
      <c r="F239" s="300"/>
      <c r="G239" s="300"/>
      <c r="H239" s="301"/>
      <c r="I239" s="292"/>
    </row>
    <row r="240" spans="1:9" ht="15.75">
      <c r="A240" s="292"/>
      <c r="B240" s="292"/>
      <c r="C240" s="299"/>
      <c r="D240" s="292"/>
      <c r="E240" s="292"/>
      <c r="F240" s="300"/>
      <c r="G240" s="300"/>
      <c r="H240" s="301"/>
      <c r="I240" s="292"/>
    </row>
    <row r="241" spans="1:9" ht="15.75">
      <c r="A241" s="292"/>
      <c r="B241" s="292"/>
      <c r="C241" s="299"/>
      <c r="D241" s="292"/>
      <c r="E241" s="292"/>
      <c r="F241" s="300"/>
      <c r="G241" s="300"/>
      <c r="H241" s="301"/>
      <c r="I241" s="292"/>
    </row>
    <row r="242" spans="1:9" ht="15.75">
      <c r="A242" s="292"/>
      <c r="B242" s="292"/>
      <c r="C242" s="299"/>
      <c r="D242" s="292"/>
      <c r="E242" s="292"/>
      <c r="F242" s="300"/>
      <c r="G242" s="300"/>
      <c r="H242" s="301"/>
      <c r="I242" s="292"/>
    </row>
    <row r="243" spans="1:9" ht="15.75">
      <c r="A243" s="292"/>
      <c r="B243" s="292"/>
      <c r="C243" s="299"/>
      <c r="D243" s="292"/>
      <c r="E243" s="292"/>
      <c r="F243" s="300"/>
      <c r="G243" s="300"/>
      <c r="H243" s="301"/>
      <c r="I243" s="292"/>
    </row>
    <row r="244" spans="1:9" ht="15.75">
      <c r="A244" s="292"/>
      <c r="B244" s="292"/>
      <c r="C244" s="299"/>
      <c r="D244" s="292"/>
      <c r="E244" s="292"/>
      <c r="F244" s="300"/>
      <c r="G244" s="300"/>
      <c r="H244" s="301"/>
      <c r="I244" s="292"/>
    </row>
    <row r="245" spans="1:9" ht="15.75">
      <c r="A245" s="292"/>
      <c r="B245" s="292"/>
      <c r="C245" s="299"/>
      <c r="D245" s="292"/>
      <c r="E245" s="292"/>
      <c r="F245" s="300"/>
      <c r="G245" s="300"/>
      <c r="H245" s="301"/>
      <c r="I245" s="292"/>
    </row>
    <row r="246" spans="1:9" ht="15.75">
      <c r="A246" s="292"/>
      <c r="B246" s="292"/>
      <c r="C246" s="299"/>
      <c r="D246" s="292"/>
      <c r="E246" s="292"/>
      <c r="F246" s="300"/>
      <c r="G246" s="300"/>
      <c r="H246" s="301"/>
      <c r="I246" s="292"/>
    </row>
    <row r="247" spans="1:9" ht="15.75">
      <c r="A247" s="292"/>
      <c r="B247" s="292"/>
      <c r="C247" s="299"/>
      <c r="D247" s="292"/>
      <c r="E247" s="292"/>
      <c r="F247" s="300"/>
      <c r="G247" s="300"/>
      <c r="H247" s="301"/>
      <c r="I247" s="292"/>
    </row>
    <row r="248" spans="1:9" ht="15.75">
      <c r="A248" s="292"/>
      <c r="B248" s="292"/>
      <c r="C248" s="299"/>
      <c r="D248" s="292"/>
      <c r="E248" s="292"/>
      <c r="F248" s="300"/>
      <c r="G248" s="300"/>
      <c r="H248" s="301"/>
      <c r="I248" s="292"/>
    </row>
    <row r="249" spans="1:9" ht="15.75">
      <c r="A249" s="292"/>
      <c r="B249" s="292"/>
      <c r="C249" s="299"/>
      <c r="D249" s="292"/>
      <c r="E249" s="292"/>
      <c r="F249" s="300"/>
      <c r="G249" s="300"/>
      <c r="H249" s="301"/>
      <c r="I249" s="292"/>
    </row>
    <row r="250" spans="1:9" ht="15.75">
      <c r="A250" s="292"/>
      <c r="B250" s="292"/>
      <c r="C250" s="299"/>
      <c r="D250" s="292"/>
      <c r="E250" s="292"/>
      <c r="F250" s="300"/>
      <c r="G250" s="300"/>
      <c r="H250" s="301"/>
      <c r="I250" s="292"/>
    </row>
    <row r="251" spans="1:9" ht="15.75">
      <c r="A251" s="292"/>
      <c r="B251" s="292"/>
      <c r="C251" s="299"/>
      <c r="D251" s="292"/>
      <c r="E251" s="292"/>
      <c r="F251" s="300"/>
      <c r="G251" s="300"/>
      <c r="H251" s="301"/>
      <c r="I251" s="292"/>
    </row>
    <row r="252" spans="1:9" ht="15.75">
      <c r="A252" s="292"/>
      <c r="B252" s="292"/>
      <c r="C252" s="299"/>
      <c r="D252" s="292"/>
      <c r="E252" s="292"/>
      <c r="F252" s="300"/>
      <c r="G252" s="300"/>
      <c r="H252" s="301"/>
      <c r="I252" s="292"/>
    </row>
    <row r="253" spans="1:9" ht="15.75">
      <c r="A253" s="292"/>
      <c r="B253" s="292"/>
      <c r="C253" s="299"/>
      <c r="D253" s="292"/>
      <c r="E253" s="292"/>
      <c r="F253" s="300"/>
      <c r="G253" s="300"/>
      <c r="H253" s="301"/>
      <c r="I253" s="292"/>
    </row>
    <row r="254" spans="1:9" ht="15.75">
      <c r="A254" s="292"/>
      <c r="B254" s="292"/>
      <c r="C254" s="299"/>
      <c r="D254" s="292"/>
      <c r="E254" s="292"/>
      <c r="F254" s="300"/>
      <c r="G254" s="300"/>
      <c r="H254" s="301"/>
      <c r="I254" s="292"/>
    </row>
    <row r="255" spans="1:9" ht="15.75">
      <c r="A255" s="292"/>
      <c r="B255" s="292"/>
      <c r="C255" s="299"/>
      <c r="D255" s="292"/>
      <c r="E255" s="292"/>
      <c r="F255" s="300"/>
      <c r="G255" s="300"/>
      <c r="H255" s="301"/>
      <c r="I255" s="292"/>
    </row>
    <row r="256" spans="1:9" ht="15.75">
      <c r="A256" s="292"/>
      <c r="B256" s="292"/>
      <c r="C256" s="299"/>
      <c r="D256" s="292"/>
      <c r="E256" s="292"/>
      <c r="F256" s="300"/>
      <c r="G256" s="300"/>
      <c r="H256" s="301"/>
      <c r="I256" s="292"/>
    </row>
    <row r="257" spans="1:9" ht="15.75">
      <c r="A257" s="292"/>
      <c r="B257" s="292"/>
      <c r="C257" s="299"/>
      <c r="D257" s="292"/>
      <c r="E257" s="292"/>
      <c r="F257" s="300"/>
      <c r="G257" s="300"/>
      <c r="H257" s="301"/>
      <c r="I257" s="292"/>
    </row>
    <row r="258" spans="1:9" ht="15.75">
      <c r="A258" s="292"/>
      <c r="B258" s="292"/>
      <c r="C258" s="299"/>
      <c r="D258" s="292"/>
      <c r="E258" s="292"/>
      <c r="F258" s="300"/>
      <c r="G258" s="300"/>
      <c r="H258" s="301"/>
      <c r="I258" s="292"/>
    </row>
    <row r="259" spans="1:9" ht="15.75">
      <c r="A259" s="292"/>
      <c r="B259" s="292"/>
      <c r="C259" s="299"/>
      <c r="D259" s="292"/>
      <c r="E259" s="292"/>
      <c r="F259" s="300"/>
      <c r="G259" s="300"/>
      <c r="H259" s="301"/>
      <c r="I259" s="292"/>
    </row>
    <row r="260" spans="1:9" ht="15.75">
      <c r="A260" s="292"/>
      <c r="B260" s="292"/>
      <c r="C260" s="299"/>
      <c r="D260" s="292"/>
      <c r="E260" s="292"/>
      <c r="F260" s="300"/>
      <c r="G260" s="300"/>
      <c r="H260" s="301"/>
      <c r="I260" s="292"/>
    </row>
    <row r="261" spans="1:9" ht="15.75">
      <c r="A261" s="292"/>
      <c r="B261" s="292"/>
      <c r="C261" s="299"/>
      <c r="D261" s="292"/>
      <c r="E261" s="292"/>
      <c r="F261" s="300"/>
      <c r="G261" s="300"/>
      <c r="H261" s="301"/>
      <c r="I261" s="292"/>
    </row>
    <row r="262" spans="1:9" ht="15.75">
      <c r="A262" s="292"/>
      <c r="B262" s="292"/>
      <c r="C262" s="299"/>
      <c r="D262" s="292"/>
      <c r="E262" s="292"/>
      <c r="F262" s="300"/>
      <c r="G262" s="300"/>
      <c r="H262" s="301"/>
      <c r="I262" s="292"/>
    </row>
    <row r="263" spans="1:9" ht="15.75">
      <c r="A263" s="292"/>
      <c r="B263" s="292"/>
      <c r="C263" s="299"/>
      <c r="D263" s="292"/>
      <c r="E263" s="292"/>
      <c r="F263" s="300"/>
      <c r="G263" s="300"/>
      <c r="H263" s="301"/>
      <c r="I263" s="292"/>
    </row>
    <row r="264" spans="1:9" ht="15.75">
      <c r="A264" s="292"/>
      <c r="B264" s="292"/>
      <c r="C264" s="299"/>
      <c r="D264" s="292"/>
      <c r="E264" s="292"/>
      <c r="F264" s="300"/>
      <c r="G264" s="300"/>
      <c r="H264" s="301"/>
      <c r="I264" s="292"/>
    </row>
    <row r="265" spans="1:9" ht="15.75">
      <c r="A265" s="292"/>
      <c r="B265" s="292"/>
      <c r="C265" s="299"/>
      <c r="D265" s="292"/>
      <c r="E265" s="292"/>
      <c r="F265" s="300"/>
      <c r="G265" s="300"/>
      <c r="H265" s="301"/>
      <c r="I265" s="292"/>
    </row>
    <row r="266" spans="1:9" ht="15.75">
      <c r="A266" s="292"/>
      <c r="B266" s="292"/>
      <c r="C266" s="299"/>
      <c r="D266" s="292"/>
      <c r="E266" s="292"/>
      <c r="F266" s="300"/>
      <c r="G266" s="300"/>
      <c r="H266" s="301"/>
      <c r="I266" s="292"/>
    </row>
    <row r="267" spans="1:9" ht="15.75">
      <c r="A267" s="292"/>
      <c r="B267" s="292"/>
      <c r="C267" s="299"/>
      <c r="D267" s="292"/>
      <c r="E267" s="292"/>
      <c r="F267" s="300"/>
      <c r="G267" s="300"/>
      <c r="H267" s="301"/>
      <c r="I267" s="292"/>
    </row>
    <row r="268" spans="1:9" ht="15.75">
      <c r="A268" s="292"/>
      <c r="B268" s="292"/>
      <c r="C268" s="299"/>
      <c r="D268" s="292"/>
      <c r="E268" s="292"/>
      <c r="F268" s="300"/>
      <c r="G268" s="300"/>
      <c r="H268" s="301"/>
      <c r="I268" s="292"/>
    </row>
    <row r="269" spans="1:9" ht="15.75">
      <c r="A269" s="292"/>
      <c r="B269" s="292"/>
      <c r="C269" s="299"/>
      <c r="D269" s="292"/>
      <c r="E269" s="292"/>
      <c r="F269" s="300"/>
      <c r="G269" s="300"/>
      <c r="H269" s="301"/>
      <c r="I269" s="292"/>
    </row>
    <row r="270" spans="1:9" ht="15.75">
      <c r="A270" s="292"/>
      <c r="B270" s="292"/>
      <c r="C270" s="299"/>
      <c r="D270" s="292"/>
      <c r="E270" s="292"/>
      <c r="F270" s="300"/>
      <c r="G270" s="300"/>
      <c r="H270" s="301"/>
      <c r="I270" s="292"/>
    </row>
    <row r="271" spans="1:9" ht="15.75">
      <c r="A271" s="292"/>
      <c r="B271" s="292"/>
      <c r="C271" s="299"/>
      <c r="D271" s="292"/>
      <c r="E271" s="292"/>
      <c r="F271" s="300"/>
      <c r="G271" s="300"/>
      <c r="H271" s="301"/>
      <c r="I271" s="292"/>
    </row>
    <row r="272" spans="1:9" ht="15.75">
      <c r="A272" s="292"/>
      <c r="B272" s="292"/>
      <c r="C272" s="299"/>
      <c r="D272" s="292"/>
      <c r="E272" s="292"/>
      <c r="F272" s="300"/>
      <c r="G272" s="300"/>
      <c r="H272" s="301"/>
      <c r="I272" s="292"/>
    </row>
    <row r="273" spans="1:9" ht="15.75">
      <c r="A273" s="292"/>
      <c r="B273" s="292"/>
      <c r="C273" s="299"/>
      <c r="D273" s="292"/>
      <c r="E273" s="292"/>
      <c r="F273" s="300"/>
      <c r="G273" s="300"/>
      <c r="H273" s="301"/>
      <c r="I273" s="292"/>
    </row>
    <row r="274" spans="1:9" ht="15.75">
      <c r="A274" s="292"/>
      <c r="B274" s="292"/>
      <c r="C274" s="299"/>
      <c r="D274" s="292"/>
      <c r="E274" s="292"/>
      <c r="F274" s="300"/>
      <c r="G274" s="300"/>
      <c r="H274" s="301"/>
      <c r="I274" s="292"/>
    </row>
    <row r="275" spans="1:9" ht="15.75">
      <c r="A275" s="292"/>
      <c r="B275" s="292"/>
      <c r="C275" s="299"/>
      <c r="D275" s="292"/>
      <c r="E275" s="292"/>
      <c r="F275" s="300"/>
      <c r="G275" s="300"/>
      <c r="H275" s="301"/>
      <c r="I275" s="292"/>
    </row>
    <row r="276" spans="1:9" ht="15.75">
      <c r="A276" s="292"/>
      <c r="B276" s="292"/>
      <c r="C276" s="299"/>
      <c r="D276" s="292"/>
      <c r="E276" s="292"/>
      <c r="F276" s="300"/>
      <c r="G276" s="300"/>
      <c r="H276" s="301"/>
      <c r="I276" s="292"/>
    </row>
    <row r="277" spans="1:9" ht="15.75">
      <c r="A277" s="292"/>
      <c r="B277" s="292"/>
      <c r="C277" s="299"/>
      <c r="D277" s="292"/>
      <c r="E277" s="292"/>
      <c r="F277" s="300"/>
      <c r="G277" s="300"/>
      <c r="H277" s="301"/>
      <c r="I277" s="292"/>
    </row>
    <row r="278" spans="1:9" ht="15.75">
      <c r="A278" s="292"/>
      <c r="B278" s="292"/>
      <c r="C278" s="299"/>
      <c r="D278" s="292"/>
      <c r="E278" s="292"/>
      <c r="F278" s="300"/>
      <c r="G278" s="300"/>
      <c r="H278" s="301"/>
      <c r="I278" s="292"/>
    </row>
    <row r="279" spans="1:9" ht="15.75">
      <c r="A279" s="292"/>
      <c r="B279" s="292"/>
      <c r="C279" s="299"/>
      <c r="D279" s="292"/>
      <c r="E279" s="292"/>
      <c r="F279" s="300"/>
      <c r="G279" s="300"/>
      <c r="H279" s="301"/>
      <c r="I279" s="292"/>
    </row>
    <row r="280" spans="1:9" ht="15.75">
      <c r="A280" s="292"/>
      <c r="B280" s="292"/>
      <c r="C280" s="299"/>
      <c r="D280" s="292"/>
      <c r="E280" s="292"/>
      <c r="F280" s="300"/>
      <c r="G280" s="300"/>
      <c r="H280" s="301"/>
      <c r="I280" s="292"/>
    </row>
    <row r="281" spans="1:9" ht="15.75">
      <c r="A281" s="292"/>
      <c r="B281" s="292"/>
      <c r="C281" s="299"/>
      <c r="D281" s="292"/>
      <c r="E281" s="292"/>
      <c r="F281" s="300"/>
      <c r="G281" s="300"/>
      <c r="H281" s="301"/>
      <c r="I281" s="292"/>
    </row>
    <row r="282" spans="1:9" ht="15.75">
      <c r="A282" s="292"/>
      <c r="B282" s="292"/>
      <c r="C282" s="299"/>
      <c r="D282" s="292"/>
      <c r="E282" s="292"/>
      <c r="F282" s="300"/>
      <c r="G282" s="300"/>
      <c r="H282" s="301"/>
      <c r="I282" s="292"/>
    </row>
    <row r="283" spans="1:9" ht="15.75">
      <c r="A283" s="292"/>
      <c r="B283" s="292"/>
      <c r="C283" s="299"/>
      <c r="D283" s="292"/>
      <c r="E283" s="292"/>
      <c r="F283" s="300"/>
      <c r="G283" s="300"/>
      <c r="H283" s="301"/>
      <c r="I283" s="292"/>
    </row>
    <row r="284" spans="1:9" ht="15.75">
      <c r="A284" s="292"/>
      <c r="B284" s="292"/>
      <c r="C284" s="299"/>
      <c r="D284" s="292"/>
      <c r="E284" s="292"/>
      <c r="F284" s="300"/>
      <c r="G284" s="300"/>
      <c r="H284" s="301"/>
      <c r="I284" s="292"/>
    </row>
    <row r="285" spans="1:9" ht="15.75">
      <c r="A285" s="292"/>
      <c r="B285" s="292"/>
      <c r="C285" s="299"/>
      <c r="D285" s="292"/>
      <c r="E285" s="292"/>
      <c r="F285" s="300"/>
      <c r="G285" s="300"/>
      <c r="H285" s="301"/>
      <c r="I285" s="292"/>
    </row>
    <row r="286" spans="1:9" ht="15.75">
      <c r="A286" s="292"/>
      <c r="B286" s="292"/>
      <c r="C286" s="299"/>
      <c r="D286" s="292"/>
      <c r="E286" s="292"/>
      <c r="F286" s="300"/>
      <c r="G286" s="300"/>
      <c r="H286" s="301"/>
      <c r="I286" s="292"/>
    </row>
    <row r="287" spans="1:9" ht="15.75">
      <c r="A287" s="292"/>
      <c r="B287" s="292"/>
      <c r="C287" s="299"/>
      <c r="D287" s="292"/>
      <c r="E287" s="292"/>
      <c r="F287" s="300"/>
      <c r="G287" s="300"/>
      <c r="H287" s="301"/>
      <c r="I287" s="292"/>
    </row>
    <row r="288" spans="1:9" ht="15.75">
      <c r="A288" s="292"/>
      <c r="B288" s="292"/>
      <c r="C288" s="299"/>
      <c r="D288" s="292"/>
      <c r="E288" s="292"/>
      <c r="F288" s="300"/>
      <c r="G288" s="300"/>
      <c r="H288" s="301"/>
      <c r="I288" s="292"/>
    </row>
    <row r="289" spans="1:9" ht="15.75">
      <c r="A289" s="292"/>
      <c r="B289" s="292"/>
      <c r="C289" s="299"/>
      <c r="D289" s="292"/>
      <c r="E289" s="292"/>
      <c r="F289" s="300"/>
      <c r="G289" s="300"/>
      <c r="H289" s="301"/>
      <c r="I289" s="292"/>
    </row>
    <row r="290" spans="1:9" ht="15.75">
      <c r="A290" s="292"/>
      <c r="B290" s="292"/>
      <c r="C290" s="299"/>
      <c r="D290" s="292"/>
      <c r="E290" s="292"/>
      <c r="F290" s="300"/>
      <c r="G290" s="300"/>
      <c r="H290" s="301"/>
      <c r="I290" s="292"/>
    </row>
    <row r="291" spans="1:9" ht="15.75">
      <c r="A291" s="292"/>
      <c r="B291" s="292"/>
      <c r="C291" s="299"/>
      <c r="D291" s="292"/>
      <c r="E291" s="292"/>
      <c r="F291" s="300"/>
      <c r="G291" s="300"/>
      <c r="H291" s="301"/>
      <c r="I291" s="292"/>
    </row>
    <row r="292" spans="1:9" ht="15.75">
      <c r="A292" s="292"/>
      <c r="B292" s="292"/>
      <c r="C292" s="299"/>
      <c r="D292" s="292"/>
      <c r="E292" s="292"/>
      <c r="F292" s="300"/>
      <c r="G292" s="300"/>
      <c r="H292" s="301"/>
      <c r="I292" s="292"/>
    </row>
    <row r="293" spans="1:9" ht="15.75">
      <c r="A293" s="292"/>
      <c r="B293" s="292"/>
      <c r="C293" s="299"/>
      <c r="D293" s="292"/>
      <c r="E293" s="292"/>
      <c r="F293" s="300"/>
      <c r="G293" s="300"/>
      <c r="H293" s="301"/>
      <c r="I293" s="292"/>
    </row>
    <row r="294" spans="1:9" ht="15.75">
      <c r="A294" s="292"/>
      <c r="B294" s="292"/>
      <c r="C294" s="299"/>
      <c r="D294" s="292"/>
      <c r="E294" s="292"/>
      <c r="F294" s="300"/>
      <c r="G294" s="300"/>
      <c r="H294" s="301"/>
      <c r="I294" s="292"/>
    </row>
    <row r="295" spans="1:9" ht="15.75">
      <c r="A295" s="292"/>
      <c r="B295" s="292"/>
      <c r="C295" s="299"/>
      <c r="D295" s="292"/>
      <c r="E295" s="292"/>
      <c r="F295" s="300"/>
      <c r="G295" s="300"/>
      <c r="H295" s="301"/>
      <c r="I295" s="292"/>
    </row>
    <row r="296" spans="1:9" ht="15.75">
      <c r="A296" s="292"/>
      <c r="B296" s="292"/>
      <c r="C296" s="299"/>
      <c r="D296" s="292"/>
      <c r="E296" s="292"/>
      <c r="F296" s="300"/>
      <c r="G296" s="300"/>
      <c r="H296" s="301"/>
      <c r="I296" s="292"/>
    </row>
    <row r="297" spans="1:9" ht="15.75">
      <c r="A297" s="292"/>
      <c r="B297" s="292"/>
      <c r="C297" s="299"/>
      <c r="D297" s="292"/>
      <c r="E297" s="292"/>
      <c r="F297" s="300"/>
      <c r="G297" s="300"/>
      <c r="H297" s="301"/>
      <c r="I297" s="292"/>
    </row>
    <row r="298" spans="1:9" ht="15.75">
      <c r="A298" s="292"/>
      <c r="B298" s="292"/>
      <c r="C298" s="299"/>
      <c r="D298" s="292"/>
      <c r="E298" s="292"/>
      <c r="F298" s="300"/>
      <c r="G298" s="300"/>
      <c r="H298" s="301"/>
      <c r="I298" s="292"/>
    </row>
    <row r="299" spans="1:9" ht="15.75">
      <c r="A299" s="292"/>
      <c r="B299" s="292"/>
      <c r="C299" s="299"/>
      <c r="D299" s="292"/>
      <c r="E299" s="292"/>
      <c r="F299" s="300"/>
      <c r="G299" s="300"/>
      <c r="H299" s="301"/>
      <c r="I299" s="292"/>
    </row>
    <row r="300" spans="1:9" ht="15.75">
      <c r="A300" s="292"/>
      <c r="B300" s="292"/>
      <c r="C300" s="299"/>
      <c r="D300" s="292"/>
      <c r="E300" s="292"/>
      <c r="F300" s="300"/>
      <c r="G300" s="300"/>
      <c r="H300" s="301"/>
      <c r="I300" s="292"/>
    </row>
    <row r="301" spans="1:9" ht="15.75">
      <c r="A301" s="292"/>
      <c r="B301" s="292"/>
      <c r="C301" s="299"/>
      <c r="D301" s="292"/>
      <c r="E301" s="292"/>
      <c r="F301" s="300"/>
      <c r="G301" s="300"/>
      <c r="H301" s="301"/>
      <c r="I301" s="292"/>
    </row>
    <row r="302" spans="1:9" ht="15.75">
      <c r="A302" s="292"/>
      <c r="B302" s="292"/>
      <c r="C302" s="299"/>
      <c r="D302" s="292"/>
      <c r="E302" s="292"/>
      <c r="F302" s="300"/>
      <c r="G302" s="300"/>
      <c r="H302" s="301"/>
      <c r="I302" s="292"/>
    </row>
    <row r="303" spans="1:9" ht="15.75">
      <c r="A303" s="292"/>
      <c r="B303" s="292"/>
      <c r="C303" s="299"/>
      <c r="D303" s="292"/>
      <c r="E303" s="292"/>
      <c r="F303" s="300"/>
      <c r="G303" s="300"/>
      <c r="H303" s="301"/>
      <c r="I303" s="292"/>
    </row>
    <row r="304" spans="1:9" ht="15.75">
      <c r="A304" s="292"/>
      <c r="B304" s="292"/>
      <c r="C304" s="299"/>
      <c r="D304" s="292"/>
      <c r="E304" s="292"/>
      <c r="F304" s="300"/>
      <c r="G304" s="300"/>
      <c r="H304" s="301"/>
      <c r="I304" s="292"/>
    </row>
    <row r="305" spans="1:9" ht="15.75">
      <c r="A305" s="292"/>
      <c r="B305" s="292"/>
      <c r="C305" s="299"/>
      <c r="D305" s="292"/>
      <c r="E305" s="292"/>
      <c r="F305" s="300"/>
      <c r="G305" s="300"/>
      <c r="H305" s="301"/>
      <c r="I305" s="292"/>
    </row>
    <row r="306" spans="1:9" ht="15.75">
      <c r="A306" s="292"/>
      <c r="B306" s="292"/>
      <c r="C306" s="299"/>
      <c r="D306" s="292"/>
      <c r="E306" s="292"/>
      <c r="F306" s="300"/>
      <c r="G306" s="300"/>
      <c r="H306" s="301"/>
      <c r="I306" s="292"/>
    </row>
    <row r="307" spans="1:9" ht="15.75">
      <c r="A307" s="292"/>
      <c r="B307" s="292"/>
      <c r="C307" s="299"/>
      <c r="D307" s="292"/>
      <c r="E307" s="292"/>
      <c r="F307" s="300"/>
      <c r="G307" s="300"/>
      <c r="H307" s="301"/>
      <c r="I307" s="292"/>
    </row>
    <row r="308" spans="1:9" ht="15.75">
      <c r="A308" s="292"/>
      <c r="B308" s="292"/>
      <c r="C308" s="299"/>
      <c r="D308" s="292"/>
      <c r="E308" s="292"/>
      <c r="F308" s="300"/>
      <c r="G308" s="300"/>
      <c r="H308" s="301"/>
      <c r="I308" s="292"/>
    </row>
    <row r="309" spans="1:9" ht="15.75">
      <c r="A309" s="292"/>
      <c r="B309" s="292"/>
      <c r="C309" s="299"/>
      <c r="D309" s="292"/>
      <c r="E309" s="292"/>
      <c r="F309" s="300"/>
      <c r="G309" s="300"/>
      <c r="H309" s="301"/>
      <c r="I309" s="292"/>
    </row>
    <row r="310" spans="1:9" ht="15.75">
      <c r="A310" s="292"/>
      <c r="B310" s="292"/>
      <c r="C310" s="299"/>
      <c r="D310" s="292"/>
      <c r="E310" s="292"/>
      <c r="F310" s="300"/>
      <c r="G310" s="300"/>
      <c r="H310" s="301"/>
      <c r="I310" s="292"/>
    </row>
    <row r="311" spans="1:9" ht="15.75">
      <c r="A311" s="292"/>
      <c r="B311" s="292"/>
      <c r="C311" s="299"/>
      <c r="D311" s="292"/>
      <c r="E311" s="292"/>
      <c r="F311" s="300"/>
      <c r="G311" s="300"/>
      <c r="H311" s="301"/>
      <c r="I311" s="292"/>
    </row>
    <row r="312" spans="1:9" ht="15.75">
      <c r="A312" s="292"/>
      <c r="B312" s="292"/>
      <c r="C312" s="299"/>
      <c r="D312" s="292"/>
      <c r="E312" s="292"/>
      <c r="F312" s="300"/>
      <c r="G312" s="300"/>
      <c r="H312" s="301"/>
      <c r="I312" s="292"/>
    </row>
    <row r="313" spans="1:9" ht="15.75">
      <c r="A313" s="292"/>
      <c r="B313" s="292"/>
      <c r="C313" s="299"/>
      <c r="D313" s="292"/>
      <c r="E313" s="292"/>
      <c r="F313" s="300"/>
      <c r="G313" s="300"/>
      <c r="H313" s="301"/>
      <c r="I313" s="292"/>
    </row>
    <row r="314" spans="1:9" ht="15.75">
      <c r="A314" s="292"/>
      <c r="B314" s="292"/>
      <c r="C314" s="299"/>
      <c r="D314" s="292"/>
      <c r="E314" s="292"/>
      <c r="F314" s="300"/>
      <c r="G314" s="300"/>
      <c r="H314" s="301"/>
      <c r="I314" s="292"/>
    </row>
    <row r="315" spans="1:9" ht="15.75">
      <c r="A315" s="292"/>
      <c r="B315" s="292"/>
      <c r="C315" s="299"/>
      <c r="D315" s="292"/>
      <c r="E315" s="292"/>
      <c r="F315" s="300"/>
      <c r="G315" s="300"/>
      <c r="H315" s="301"/>
      <c r="I315" s="292"/>
    </row>
    <row r="316" spans="1:9" ht="15.75">
      <c r="A316" s="292"/>
      <c r="B316" s="292"/>
      <c r="C316" s="299"/>
      <c r="D316" s="292"/>
      <c r="E316" s="292"/>
      <c r="F316" s="300"/>
      <c r="G316" s="300"/>
      <c r="H316" s="301"/>
      <c r="I316" s="292"/>
    </row>
    <row r="317" spans="1:9" ht="15.75">
      <c r="A317" s="292"/>
      <c r="B317" s="292"/>
      <c r="C317" s="299"/>
      <c r="D317" s="292"/>
      <c r="E317" s="292"/>
      <c r="F317" s="300"/>
      <c r="G317" s="300"/>
      <c r="H317" s="301"/>
      <c r="I317" s="292"/>
    </row>
    <row r="318" spans="1:9" ht="15.75">
      <c r="A318" s="292"/>
      <c r="B318" s="292"/>
      <c r="C318" s="299"/>
      <c r="D318" s="292"/>
      <c r="E318" s="292"/>
      <c r="F318" s="300"/>
      <c r="G318" s="300"/>
      <c r="H318" s="301"/>
      <c r="I318" s="292"/>
    </row>
    <row r="319" spans="1:9" ht="15.75">
      <c r="A319" s="292"/>
      <c r="B319" s="292"/>
      <c r="C319" s="299"/>
      <c r="D319" s="292"/>
      <c r="E319" s="292"/>
      <c r="F319" s="300"/>
      <c r="G319" s="300"/>
      <c r="H319" s="301"/>
      <c r="I319" s="292"/>
    </row>
    <row r="320" spans="1:9" ht="15.75">
      <c r="A320" s="292"/>
      <c r="B320" s="292"/>
      <c r="C320" s="299"/>
      <c r="D320" s="292"/>
      <c r="E320" s="292"/>
      <c r="F320" s="300"/>
      <c r="G320" s="300"/>
      <c r="H320" s="301"/>
      <c r="I320" s="292"/>
    </row>
    <row r="321" spans="1:9" ht="15.75">
      <c r="A321" s="292"/>
      <c r="B321" s="292"/>
      <c r="C321" s="299"/>
      <c r="D321" s="292"/>
      <c r="E321" s="292"/>
      <c r="F321" s="300"/>
      <c r="G321" s="300"/>
      <c r="H321" s="301"/>
      <c r="I321" s="292"/>
    </row>
    <row r="322" spans="1:9" ht="15.75">
      <c r="A322" s="292"/>
      <c r="B322" s="292"/>
      <c r="C322" s="299"/>
      <c r="D322" s="292"/>
      <c r="E322" s="292"/>
      <c r="F322" s="300"/>
      <c r="G322" s="300"/>
      <c r="H322" s="301"/>
      <c r="I322" s="292"/>
    </row>
    <row r="323" spans="1:9" ht="15.75">
      <c r="A323" s="292"/>
      <c r="B323" s="292"/>
      <c r="C323" s="299"/>
      <c r="D323" s="292"/>
      <c r="E323" s="292"/>
      <c r="F323" s="300"/>
      <c r="G323" s="300"/>
      <c r="H323" s="301"/>
      <c r="I323" s="292"/>
    </row>
    <row r="324" spans="1:9" ht="15.75">
      <c r="A324" s="292"/>
      <c r="B324" s="292"/>
      <c r="C324" s="299"/>
      <c r="D324" s="292"/>
      <c r="E324" s="292"/>
      <c r="F324" s="300"/>
      <c r="G324" s="300"/>
      <c r="H324" s="301"/>
      <c r="I324" s="292"/>
    </row>
    <row r="325" spans="1:9" ht="15.75">
      <c r="A325" s="292"/>
      <c r="B325" s="292"/>
      <c r="C325" s="299"/>
      <c r="D325" s="292"/>
      <c r="E325" s="292"/>
      <c r="F325" s="300"/>
      <c r="G325" s="300"/>
      <c r="H325" s="301"/>
      <c r="I325" s="292"/>
    </row>
    <row r="326" spans="1:9" ht="15.75">
      <c r="A326" s="292"/>
      <c r="B326" s="292"/>
      <c r="C326" s="299"/>
      <c r="D326" s="292"/>
      <c r="E326" s="292"/>
      <c r="F326" s="300"/>
      <c r="G326" s="300"/>
      <c r="H326" s="301"/>
      <c r="I326" s="292"/>
    </row>
    <row r="327" spans="1:9" ht="15.75">
      <c r="A327" s="292"/>
      <c r="B327" s="292"/>
      <c r="C327" s="299"/>
      <c r="D327" s="292"/>
      <c r="E327" s="292"/>
      <c r="F327" s="300"/>
      <c r="G327" s="300"/>
      <c r="H327" s="301"/>
      <c r="I327" s="292"/>
    </row>
    <row r="328" spans="1:9" ht="15.75">
      <c r="A328" s="292"/>
      <c r="B328" s="292"/>
      <c r="C328" s="299"/>
      <c r="D328" s="292"/>
      <c r="E328" s="292"/>
      <c r="F328" s="300"/>
      <c r="G328" s="300"/>
      <c r="H328" s="301"/>
      <c r="I328" s="292"/>
    </row>
    <row r="329" spans="1:9" ht="15.75">
      <c r="A329" s="292"/>
      <c r="B329" s="292"/>
      <c r="C329" s="299"/>
      <c r="D329" s="292"/>
      <c r="E329" s="292"/>
      <c r="F329" s="300"/>
      <c r="G329" s="300"/>
      <c r="H329" s="301"/>
      <c r="I329" s="292"/>
    </row>
    <row r="330" spans="1:9" ht="15.75">
      <c r="A330" s="292"/>
      <c r="B330" s="292"/>
      <c r="C330" s="299"/>
      <c r="D330" s="292"/>
      <c r="E330" s="292"/>
      <c r="F330" s="300"/>
      <c r="G330" s="300"/>
      <c r="H330" s="301"/>
      <c r="I330" s="292"/>
    </row>
    <row r="331" spans="1:9" ht="15.75">
      <c r="A331" s="292"/>
      <c r="B331" s="292"/>
      <c r="C331" s="299"/>
      <c r="D331" s="292"/>
      <c r="E331" s="292"/>
      <c r="F331" s="300"/>
      <c r="G331" s="300"/>
      <c r="H331" s="301"/>
      <c r="I331" s="292"/>
    </row>
    <row r="332" spans="1:9" ht="15.75">
      <c r="A332" s="292"/>
      <c r="B332" s="292"/>
      <c r="C332" s="299"/>
      <c r="D332" s="292"/>
      <c r="E332" s="292"/>
      <c r="F332" s="300"/>
      <c r="G332" s="300"/>
      <c r="H332" s="301"/>
      <c r="I332" s="292"/>
    </row>
    <row r="333" spans="1:9" ht="15.75">
      <c r="A333" s="292"/>
      <c r="B333" s="292"/>
      <c r="C333" s="299"/>
      <c r="D333" s="292"/>
      <c r="E333" s="292"/>
      <c r="F333" s="300"/>
      <c r="G333" s="300"/>
      <c r="H333" s="301"/>
      <c r="I333" s="292"/>
    </row>
    <row r="334" spans="1:9" ht="15.75">
      <c r="A334" s="292"/>
      <c r="B334" s="292"/>
      <c r="C334" s="299"/>
      <c r="D334" s="292"/>
      <c r="E334" s="292"/>
      <c r="F334" s="300"/>
      <c r="G334" s="300"/>
      <c r="H334" s="301"/>
      <c r="I334" s="292"/>
    </row>
    <row r="335" spans="1:9" ht="15.75">
      <c r="A335" s="292"/>
      <c r="B335" s="292"/>
      <c r="C335" s="299"/>
      <c r="D335" s="292"/>
      <c r="E335" s="292"/>
      <c r="F335" s="300"/>
      <c r="G335" s="300"/>
      <c r="H335" s="301"/>
      <c r="I335" s="292"/>
    </row>
    <row r="336" spans="1:9" ht="15.75">
      <c r="A336" s="292"/>
      <c r="B336" s="292"/>
      <c r="C336" s="299"/>
      <c r="D336" s="292"/>
      <c r="E336" s="292"/>
      <c r="F336" s="300"/>
      <c r="G336" s="300"/>
      <c r="H336" s="301"/>
      <c r="I336" s="292"/>
    </row>
    <row r="337" spans="1:9" ht="15.75">
      <c r="A337" s="292"/>
      <c r="B337" s="292"/>
      <c r="C337" s="299"/>
      <c r="D337" s="292"/>
      <c r="E337" s="292"/>
      <c r="F337" s="300"/>
      <c r="G337" s="300"/>
      <c r="H337" s="301"/>
      <c r="I337" s="292"/>
    </row>
    <row r="338" spans="1:9" ht="15.75">
      <c r="A338" s="292"/>
      <c r="B338" s="292"/>
      <c r="C338" s="299"/>
      <c r="D338" s="292"/>
      <c r="E338" s="292"/>
      <c r="F338" s="300"/>
      <c r="G338" s="300"/>
      <c r="H338" s="301"/>
      <c r="I338" s="292"/>
    </row>
    <row r="339" spans="1:9" ht="15.75">
      <c r="A339" s="292"/>
      <c r="B339" s="292"/>
      <c r="C339" s="299"/>
      <c r="D339" s="292"/>
      <c r="E339" s="292"/>
      <c r="F339" s="300"/>
      <c r="G339" s="300"/>
      <c r="H339" s="301"/>
      <c r="I339" s="292"/>
    </row>
    <row r="340" spans="1:9" ht="15.75">
      <c r="A340" s="292"/>
      <c r="B340" s="292"/>
      <c r="C340" s="299"/>
      <c r="D340" s="292"/>
      <c r="E340" s="292"/>
      <c r="F340" s="300"/>
      <c r="G340" s="300"/>
      <c r="H340" s="301"/>
      <c r="I340" s="292"/>
    </row>
    <row r="341" spans="1:9" ht="15.75">
      <c r="A341" s="292"/>
      <c r="B341" s="292"/>
      <c r="C341" s="299"/>
      <c r="D341" s="292"/>
      <c r="E341" s="292"/>
      <c r="F341" s="300"/>
      <c r="G341" s="300"/>
      <c r="H341" s="301"/>
      <c r="I341" s="292"/>
    </row>
    <row r="342" spans="1:9" ht="15.75">
      <c r="A342" s="292"/>
      <c r="B342" s="292"/>
      <c r="C342" s="299"/>
      <c r="D342" s="292"/>
      <c r="E342" s="292"/>
      <c r="F342" s="300"/>
      <c r="G342" s="300"/>
      <c r="H342" s="301"/>
      <c r="I342" s="292"/>
    </row>
    <row r="343" spans="1:9" ht="15.75">
      <c r="A343" s="292"/>
      <c r="B343" s="292"/>
      <c r="C343" s="299"/>
      <c r="D343" s="292"/>
      <c r="E343" s="292"/>
      <c r="F343" s="300"/>
      <c r="G343" s="300"/>
      <c r="H343" s="301"/>
      <c r="I343" s="292"/>
    </row>
    <row r="344" spans="1:9" ht="15.75">
      <c r="A344" s="292"/>
      <c r="B344" s="292"/>
      <c r="C344" s="299"/>
      <c r="D344" s="292"/>
      <c r="E344" s="292"/>
      <c r="F344" s="300"/>
      <c r="G344" s="300"/>
      <c r="H344" s="301"/>
      <c r="I344" s="292"/>
    </row>
    <row r="345" spans="1:9" ht="15.75">
      <c r="A345" s="292"/>
      <c r="B345" s="292"/>
      <c r="C345" s="299"/>
      <c r="D345" s="292"/>
      <c r="E345" s="292"/>
      <c r="F345" s="300"/>
      <c r="G345" s="300"/>
      <c r="H345" s="301"/>
      <c r="I345" s="292"/>
    </row>
    <row r="346" spans="1:9" ht="15.75" customHeight="1">
      <c r="A346" s="292"/>
      <c r="B346" s="292"/>
      <c r="C346" s="299"/>
      <c r="D346" s="292"/>
      <c r="E346" s="292"/>
      <c r="F346" s="300"/>
      <c r="G346" s="300"/>
      <c r="H346" s="301"/>
      <c r="I346" s="292"/>
    </row>
    <row r="347" spans="1:9" ht="15.75">
      <c r="A347" s="292"/>
      <c r="B347" s="292"/>
      <c r="C347" s="299"/>
      <c r="D347" s="292"/>
      <c r="E347" s="292"/>
      <c r="F347" s="300"/>
      <c r="G347" s="300"/>
      <c r="H347" s="301"/>
      <c r="I347" s="292"/>
    </row>
    <row r="348" spans="1:9" ht="15.75">
      <c r="A348" s="292"/>
      <c r="B348" s="292"/>
      <c r="C348" s="299"/>
      <c r="D348" s="292"/>
      <c r="E348" s="292"/>
      <c r="F348" s="300"/>
      <c r="G348" s="300"/>
      <c r="H348" s="301"/>
      <c r="I348" s="292"/>
    </row>
    <row r="349" spans="1:9" ht="15.75">
      <c r="A349" s="292"/>
      <c r="B349" s="292"/>
      <c r="C349" s="299"/>
      <c r="D349" s="292"/>
      <c r="E349" s="292"/>
      <c r="F349" s="300"/>
      <c r="G349" s="300"/>
      <c r="H349" s="301"/>
      <c r="I349" s="292"/>
    </row>
    <row r="350" spans="1:9" ht="15.75">
      <c r="A350" s="292"/>
      <c r="B350" s="292"/>
      <c r="C350" s="299"/>
      <c r="D350" s="292"/>
      <c r="E350" s="292"/>
      <c r="F350" s="300"/>
      <c r="G350" s="300"/>
      <c r="H350" s="301"/>
      <c r="I350" s="292"/>
    </row>
    <row r="351" spans="1:9" ht="15.75">
      <c r="A351" s="292"/>
      <c r="B351" s="292"/>
      <c r="C351" s="299"/>
      <c r="D351" s="292"/>
      <c r="E351" s="292"/>
      <c r="F351" s="300"/>
      <c r="G351" s="300"/>
      <c r="H351" s="301"/>
      <c r="I351" s="292"/>
    </row>
    <row r="352" spans="1:9" ht="15.75">
      <c r="A352" s="292"/>
      <c r="B352" s="292"/>
      <c r="C352" s="299"/>
      <c r="D352" s="292"/>
      <c r="E352" s="292"/>
      <c r="F352" s="300"/>
      <c r="G352" s="300"/>
      <c r="H352" s="301"/>
      <c r="I352" s="292"/>
    </row>
    <row r="353" spans="1:9" ht="15.75">
      <c r="A353" s="292"/>
      <c r="B353" s="292"/>
      <c r="C353" s="299"/>
      <c r="D353" s="292"/>
      <c r="E353" s="292"/>
      <c r="F353" s="300"/>
      <c r="G353" s="300"/>
      <c r="H353" s="301"/>
      <c r="I353" s="292"/>
    </row>
    <row r="354" spans="1:9" ht="15.75">
      <c r="A354" s="292"/>
      <c r="B354" s="292"/>
      <c r="C354" s="299"/>
      <c r="D354" s="292"/>
      <c r="E354" s="292"/>
      <c r="F354" s="300"/>
      <c r="G354" s="300"/>
      <c r="H354" s="301"/>
      <c r="I354" s="292"/>
    </row>
    <row r="355" spans="1:9" ht="15.75">
      <c r="A355" s="292"/>
      <c r="B355" s="292"/>
      <c r="C355" s="299"/>
      <c r="D355" s="292"/>
      <c r="E355" s="292"/>
      <c r="F355" s="300"/>
      <c r="G355" s="300"/>
      <c r="H355" s="301"/>
      <c r="I355" s="292"/>
    </row>
    <row r="356" spans="1:9" ht="15.75">
      <c r="A356" s="292"/>
      <c r="B356" s="292"/>
      <c r="C356" s="299"/>
      <c r="D356" s="292"/>
      <c r="E356" s="292"/>
      <c r="F356" s="300"/>
      <c r="G356" s="300"/>
      <c r="H356" s="301"/>
      <c r="I356" s="292"/>
    </row>
    <row r="357" spans="1:9" ht="15.75">
      <c r="A357" s="292"/>
      <c r="B357" s="292"/>
      <c r="C357" s="299"/>
      <c r="D357" s="292"/>
      <c r="E357" s="292"/>
      <c r="F357" s="300"/>
      <c r="G357" s="300"/>
      <c r="H357" s="301"/>
      <c r="I357" s="292"/>
    </row>
    <row r="358" spans="1:9" ht="15.75">
      <c r="A358" s="292"/>
      <c r="B358" s="292"/>
      <c r="C358" s="299"/>
      <c r="D358" s="292"/>
      <c r="E358" s="292"/>
      <c r="F358" s="300"/>
      <c r="G358" s="300"/>
      <c r="H358" s="301"/>
      <c r="I358" s="292"/>
    </row>
    <row r="359" spans="1:9" ht="15.75">
      <c r="A359" s="292"/>
      <c r="B359" s="292"/>
      <c r="C359" s="299"/>
      <c r="D359" s="292"/>
      <c r="E359" s="292"/>
      <c r="F359" s="300"/>
      <c r="G359" s="300"/>
      <c r="H359" s="301"/>
      <c r="I359" s="292"/>
    </row>
    <row r="360" spans="1:9" ht="15.75">
      <c r="A360" s="292"/>
      <c r="B360" s="292"/>
      <c r="C360" s="299"/>
      <c r="D360" s="292"/>
      <c r="E360" s="292"/>
      <c r="F360" s="300"/>
      <c r="G360" s="300"/>
      <c r="H360" s="301"/>
      <c r="I360" s="292"/>
    </row>
    <row r="361" spans="1:9" ht="15.75">
      <c r="A361" s="292"/>
      <c r="B361" s="292"/>
      <c r="C361" s="299"/>
      <c r="D361" s="292"/>
      <c r="E361" s="292"/>
      <c r="F361" s="300"/>
      <c r="G361" s="300"/>
      <c r="H361" s="301"/>
      <c r="I361" s="292"/>
    </row>
    <row r="362" spans="1:9" ht="15.75">
      <c r="A362" s="292"/>
      <c r="B362" s="292"/>
      <c r="C362" s="299"/>
      <c r="D362" s="292"/>
      <c r="E362" s="292"/>
      <c r="F362" s="300"/>
      <c r="G362" s="300"/>
      <c r="H362" s="301"/>
      <c r="I362" s="292"/>
    </row>
    <row r="363" spans="1:9" ht="15.75">
      <c r="A363" s="292"/>
      <c r="B363" s="292"/>
      <c r="C363" s="299"/>
      <c r="D363" s="292"/>
      <c r="E363" s="292"/>
      <c r="F363" s="300"/>
      <c r="G363" s="300"/>
      <c r="H363" s="301"/>
      <c r="I363" s="292"/>
    </row>
    <row r="364" spans="1:9" ht="15.75">
      <c r="A364" s="292"/>
      <c r="B364" s="292"/>
      <c r="C364" s="299"/>
      <c r="D364" s="292"/>
      <c r="E364" s="292"/>
      <c r="F364" s="300"/>
      <c r="G364" s="300"/>
      <c r="H364" s="301"/>
      <c r="I364" s="292"/>
    </row>
    <row r="365" spans="1:9" ht="15.75">
      <c r="A365" s="292"/>
      <c r="B365" s="292"/>
      <c r="C365" s="299"/>
      <c r="D365" s="292"/>
      <c r="E365" s="292"/>
      <c r="F365" s="300"/>
      <c r="G365" s="300"/>
      <c r="H365" s="301"/>
      <c r="I365" s="292"/>
    </row>
    <row r="366" spans="1:9" ht="15.75">
      <c r="A366" s="292"/>
      <c r="B366" s="292"/>
      <c r="C366" s="299"/>
      <c r="D366" s="292"/>
      <c r="E366" s="292"/>
      <c r="F366" s="300"/>
      <c r="G366" s="300"/>
      <c r="H366" s="301"/>
      <c r="I366" s="292"/>
    </row>
    <row r="367" spans="1:9" ht="15.75">
      <c r="A367" s="292"/>
      <c r="B367" s="292"/>
      <c r="C367" s="299"/>
      <c r="D367" s="292"/>
      <c r="E367" s="292"/>
      <c r="F367" s="300"/>
      <c r="G367" s="300"/>
      <c r="H367" s="301"/>
      <c r="I367" s="292"/>
    </row>
    <row r="368" spans="1:9" ht="15.75">
      <c r="A368" s="292"/>
      <c r="B368" s="292"/>
      <c r="C368" s="299"/>
      <c r="D368" s="292"/>
      <c r="E368" s="292"/>
      <c r="F368" s="300"/>
      <c r="G368" s="300"/>
      <c r="H368" s="301"/>
      <c r="I368" s="292"/>
    </row>
    <row r="369" spans="1:9" ht="15.75">
      <c r="A369" s="292"/>
      <c r="B369" s="292"/>
      <c r="C369" s="299"/>
      <c r="D369" s="292"/>
      <c r="E369" s="292"/>
      <c r="F369" s="300"/>
      <c r="G369" s="300"/>
      <c r="H369" s="301"/>
      <c r="I369" s="292"/>
    </row>
    <row r="370" spans="1:9" ht="15.75">
      <c r="A370" s="292"/>
      <c r="B370" s="292"/>
      <c r="C370" s="299"/>
      <c r="D370" s="292"/>
      <c r="E370" s="292"/>
      <c r="F370" s="300"/>
      <c r="G370" s="300"/>
      <c r="H370" s="301"/>
      <c r="I370" s="292"/>
    </row>
    <row r="371" spans="1:9" ht="15.75">
      <c r="A371" s="292"/>
      <c r="B371" s="292"/>
      <c r="C371" s="299"/>
      <c r="D371" s="292"/>
      <c r="E371" s="292"/>
      <c r="F371" s="300"/>
      <c r="G371" s="300"/>
      <c r="H371" s="301"/>
      <c r="I371" s="292"/>
    </row>
    <row r="372" spans="1:9" ht="15.75">
      <c r="A372" s="292"/>
      <c r="B372" s="292"/>
      <c r="C372" s="299"/>
      <c r="D372" s="292"/>
      <c r="E372" s="292"/>
      <c r="F372" s="300"/>
      <c r="G372" s="300"/>
      <c r="H372" s="301"/>
      <c r="I372" s="292"/>
    </row>
    <row r="373" spans="1:9" ht="15.75">
      <c r="A373" s="292"/>
      <c r="B373" s="292"/>
      <c r="C373" s="299"/>
      <c r="D373" s="292"/>
      <c r="E373" s="292"/>
      <c r="F373" s="300"/>
      <c r="G373" s="300"/>
      <c r="H373" s="301"/>
      <c r="I373" s="292"/>
    </row>
    <row r="374" spans="1:9" ht="15.75">
      <c r="A374" s="292"/>
      <c r="B374" s="292"/>
      <c r="C374" s="299"/>
      <c r="D374" s="292"/>
      <c r="E374" s="292"/>
      <c r="F374" s="300"/>
      <c r="G374" s="300"/>
      <c r="H374" s="301"/>
      <c r="I374" s="292"/>
    </row>
    <row r="375" spans="1:9" ht="15.75">
      <c r="A375" s="292"/>
      <c r="B375" s="292"/>
      <c r="C375" s="299"/>
      <c r="D375" s="292"/>
      <c r="E375" s="292"/>
      <c r="F375" s="300"/>
      <c r="G375" s="300"/>
      <c r="H375" s="301"/>
      <c r="I375" s="292"/>
    </row>
    <row r="376" spans="1:9" ht="15.75">
      <c r="A376" s="292"/>
      <c r="B376" s="292"/>
      <c r="C376" s="299"/>
      <c r="D376" s="292"/>
      <c r="E376" s="292"/>
      <c r="F376" s="300"/>
      <c r="G376" s="300"/>
      <c r="H376" s="301"/>
      <c r="I376" s="292"/>
    </row>
    <row r="377" spans="1:9" ht="15.75">
      <c r="A377" s="292"/>
      <c r="B377" s="292"/>
      <c r="C377" s="299"/>
      <c r="D377" s="292"/>
      <c r="E377" s="292"/>
      <c r="F377" s="300"/>
      <c r="G377" s="300"/>
      <c r="H377" s="301"/>
      <c r="I377" s="292"/>
    </row>
    <row r="378" spans="1:9" ht="15.75">
      <c r="A378" s="292"/>
      <c r="B378" s="292"/>
      <c r="C378" s="299"/>
      <c r="D378" s="292"/>
      <c r="E378" s="292"/>
      <c r="F378" s="300"/>
      <c r="G378" s="300"/>
      <c r="H378" s="301"/>
      <c r="I378" s="292"/>
    </row>
    <row r="379" spans="1:9" ht="15.75">
      <c r="A379" s="292"/>
      <c r="B379" s="292"/>
      <c r="C379" s="299"/>
      <c r="D379" s="292"/>
      <c r="E379" s="292"/>
      <c r="F379" s="300"/>
      <c r="G379" s="300"/>
      <c r="H379" s="301"/>
      <c r="I379" s="292"/>
    </row>
    <row r="380" spans="1:9" ht="15.75">
      <c r="A380" s="292"/>
      <c r="B380" s="292"/>
      <c r="C380" s="299"/>
      <c r="D380" s="292"/>
      <c r="E380" s="292"/>
      <c r="F380" s="300"/>
      <c r="G380" s="300"/>
      <c r="H380" s="301"/>
      <c r="I380" s="292"/>
    </row>
    <row r="381" spans="1:9" ht="15.75">
      <c r="A381" s="292"/>
      <c r="B381" s="292"/>
      <c r="C381" s="299"/>
      <c r="D381" s="292"/>
      <c r="E381" s="292"/>
      <c r="F381" s="300"/>
      <c r="G381" s="300"/>
      <c r="H381" s="301"/>
      <c r="I381" s="292"/>
    </row>
    <row r="382" spans="1:9" ht="15.75">
      <c r="A382" s="292"/>
      <c r="B382" s="292"/>
      <c r="C382" s="299"/>
      <c r="D382" s="292"/>
      <c r="E382" s="292"/>
      <c r="F382" s="300"/>
      <c r="G382" s="300"/>
      <c r="H382" s="301"/>
      <c r="I382" s="292"/>
    </row>
    <row r="383" spans="1:9" ht="15.75">
      <c r="A383" s="292"/>
      <c r="B383" s="292"/>
      <c r="C383" s="299"/>
      <c r="D383" s="292"/>
      <c r="E383" s="292"/>
      <c r="F383" s="300"/>
      <c r="G383" s="300"/>
      <c r="H383" s="301"/>
      <c r="I383" s="292"/>
    </row>
    <row r="384" spans="1:9" ht="15.75">
      <c r="A384" s="292"/>
      <c r="B384" s="292"/>
      <c r="C384" s="299"/>
      <c r="D384" s="292"/>
      <c r="E384" s="292"/>
      <c r="F384" s="300"/>
      <c r="G384" s="300"/>
      <c r="H384" s="301"/>
      <c r="I384" s="292"/>
    </row>
    <row r="385" spans="1:9" ht="15.75">
      <c r="A385" s="292"/>
      <c r="B385" s="292"/>
      <c r="C385" s="299"/>
      <c r="D385" s="292"/>
      <c r="E385" s="292"/>
      <c r="F385" s="300"/>
      <c r="G385" s="300"/>
      <c r="H385" s="301"/>
      <c r="I385" s="292"/>
    </row>
    <row r="386" spans="1:9" ht="15.75">
      <c r="A386" s="292"/>
      <c r="B386" s="292"/>
      <c r="C386" s="299"/>
      <c r="D386" s="292"/>
      <c r="E386" s="292"/>
      <c r="F386" s="300"/>
      <c r="G386" s="300"/>
      <c r="H386" s="301"/>
      <c r="I386" s="292"/>
    </row>
    <row r="387" spans="1:9" ht="15.75">
      <c r="A387" s="292"/>
      <c r="B387" s="292"/>
      <c r="C387" s="299"/>
      <c r="D387" s="292"/>
      <c r="E387" s="292"/>
      <c r="F387" s="300"/>
      <c r="G387" s="300"/>
      <c r="H387" s="301"/>
      <c r="I387" s="292"/>
    </row>
    <row r="388" spans="1:9" ht="15.75">
      <c r="A388" s="292"/>
      <c r="B388" s="292"/>
      <c r="C388" s="299"/>
      <c r="D388" s="292"/>
      <c r="E388" s="292"/>
      <c r="F388" s="300"/>
      <c r="G388" s="300"/>
      <c r="H388" s="301"/>
      <c r="I388" s="292"/>
    </row>
    <row r="389" spans="1:9" ht="15.75">
      <c r="A389" s="292"/>
      <c r="B389" s="292"/>
      <c r="C389" s="299"/>
      <c r="D389" s="292"/>
      <c r="E389" s="292"/>
      <c r="F389" s="300"/>
      <c r="G389" s="300"/>
      <c r="H389" s="301"/>
      <c r="I389" s="292"/>
    </row>
    <row r="390" spans="1:9" ht="15.75">
      <c r="A390" s="292"/>
      <c r="B390" s="292"/>
      <c r="C390" s="299"/>
      <c r="D390" s="292"/>
      <c r="E390" s="292"/>
      <c r="F390" s="300"/>
      <c r="G390" s="300"/>
      <c r="H390" s="301"/>
      <c r="I390" s="292"/>
    </row>
    <row r="391" spans="1:9" ht="15.75">
      <c r="A391" s="292"/>
      <c r="B391" s="292"/>
      <c r="C391" s="299"/>
      <c r="D391" s="292"/>
      <c r="E391" s="292"/>
      <c r="F391" s="300"/>
      <c r="G391" s="300"/>
      <c r="H391" s="301"/>
      <c r="I391" s="292"/>
    </row>
    <row r="392" spans="1:9" ht="15.75">
      <c r="A392" s="292"/>
      <c r="B392" s="292"/>
      <c r="C392" s="299"/>
      <c r="D392" s="292"/>
      <c r="E392" s="292"/>
      <c r="F392" s="300"/>
      <c r="G392" s="300"/>
      <c r="H392" s="301"/>
      <c r="I392" s="292"/>
    </row>
    <row r="393" spans="1:9" ht="15.75">
      <c r="A393" s="292"/>
      <c r="B393" s="292"/>
      <c r="C393" s="299"/>
      <c r="D393" s="292"/>
      <c r="E393" s="292"/>
      <c r="F393" s="300"/>
      <c r="G393" s="300"/>
      <c r="H393" s="301"/>
      <c r="I393" s="292"/>
    </row>
    <row r="394" spans="1:9" ht="15.75">
      <c r="A394" s="292"/>
      <c r="B394" s="292"/>
      <c r="C394" s="299"/>
      <c r="D394" s="292"/>
      <c r="E394" s="292"/>
      <c r="F394" s="300"/>
      <c r="G394" s="300"/>
      <c r="H394" s="301"/>
      <c r="I394" s="292"/>
    </row>
    <row r="395" spans="1:9" ht="15.75">
      <c r="A395" s="292"/>
      <c r="B395" s="292"/>
      <c r="C395" s="299"/>
      <c r="D395" s="292"/>
      <c r="E395" s="292"/>
      <c r="F395" s="300"/>
      <c r="G395" s="300"/>
      <c r="H395" s="301"/>
      <c r="I395" s="292"/>
    </row>
    <row r="396" spans="1:9" ht="15.75">
      <c r="A396" s="292"/>
      <c r="B396" s="292"/>
      <c r="C396" s="299"/>
      <c r="D396" s="292"/>
      <c r="E396" s="292"/>
      <c r="F396" s="300"/>
      <c r="G396" s="300"/>
      <c r="H396" s="301"/>
      <c r="I396" s="292"/>
    </row>
    <row r="397" spans="1:9" ht="15.75">
      <c r="A397" s="292"/>
      <c r="B397" s="292"/>
      <c r="C397" s="299"/>
      <c r="D397" s="292"/>
      <c r="E397" s="292"/>
      <c r="F397" s="300"/>
      <c r="G397" s="300"/>
      <c r="H397" s="301"/>
      <c r="I397" s="292"/>
    </row>
    <row r="398" spans="1:9" ht="15.75">
      <c r="A398" s="292"/>
      <c r="B398" s="292"/>
      <c r="C398" s="299"/>
      <c r="D398" s="292"/>
      <c r="E398" s="292"/>
      <c r="F398" s="300"/>
      <c r="G398" s="300"/>
      <c r="H398" s="301"/>
      <c r="I398" s="292"/>
    </row>
    <row r="399" spans="1:9" ht="15.75">
      <c r="A399" s="292"/>
      <c r="B399" s="292"/>
      <c r="C399" s="299"/>
      <c r="D399" s="292"/>
      <c r="E399" s="292"/>
      <c r="F399" s="300"/>
      <c r="G399" s="300"/>
      <c r="H399" s="301"/>
      <c r="I399" s="292"/>
    </row>
    <row r="400" spans="1:9" ht="15.75">
      <c r="A400" s="292"/>
      <c r="B400" s="292"/>
      <c r="C400" s="299"/>
      <c r="D400" s="292"/>
      <c r="E400" s="292"/>
      <c r="F400" s="300"/>
      <c r="G400" s="300"/>
      <c r="H400" s="301"/>
      <c r="I400" s="292"/>
    </row>
    <row r="401" spans="1:9" ht="15.75">
      <c r="A401" s="292"/>
      <c r="B401" s="292"/>
      <c r="C401" s="299"/>
      <c r="D401" s="292"/>
      <c r="E401" s="292"/>
      <c r="F401" s="300"/>
      <c r="G401" s="300"/>
      <c r="H401" s="301"/>
      <c r="I401" s="292"/>
    </row>
    <row r="402" spans="1:9" ht="15.75">
      <c r="A402" s="292"/>
      <c r="B402" s="292"/>
      <c r="C402" s="299"/>
      <c r="D402" s="292"/>
      <c r="E402" s="292"/>
      <c r="F402" s="300"/>
      <c r="G402" s="300"/>
      <c r="H402" s="301"/>
      <c r="I402" s="292"/>
    </row>
    <row r="403" spans="1:9" ht="15.75">
      <c r="A403" s="292"/>
      <c r="B403" s="292"/>
      <c r="C403" s="299"/>
      <c r="D403" s="292"/>
      <c r="E403" s="292"/>
      <c r="F403" s="300"/>
      <c r="G403" s="300"/>
      <c r="H403" s="301"/>
      <c r="I403" s="292"/>
    </row>
    <row r="404" spans="1:9" ht="15.75">
      <c r="A404" s="292"/>
      <c r="B404" s="292"/>
      <c r="C404" s="299"/>
      <c r="D404" s="292"/>
      <c r="E404" s="292"/>
      <c r="F404" s="300"/>
      <c r="G404" s="300"/>
      <c r="H404" s="301"/>
      <c r="I404" s="292"/>
    </row>
    <row r="405" spans="1:9" ht="15.75">
      <c r="A405" s="292"/>
      <c r="B405" s="292"/>
      <c r="C405" s="299"/>
      <c r="D405" s="292"/>
      <c r="E405" s="292"/>
      <c r="F405" s="300"/>
      <c r="G405" s="300"/>
      <c r="H405" s="301"/>
      <c r="I405" s="292"/>
    </row>
    <row r="406" spans="1:9" ht="15.75">
      <c r="A406" s="292"/>
      <c r="B406" s="292"/>
      <c r="C406" s="299"/>
      <c r="D406" s="292"/>
      <c r="E406" s="292"/>
      <c r="F406" s="300"/>
      <c r="G406" s="300"/>
      <c r="H406" s="301"/>
      <c r="I406" s="292"/>
    </row>
    <row r="407" spans="1:9" ht="15.75">
      <c r="A407" s="292"/>
      <c r="B407" s="292"/>
      <c r="C407" s="299"/>
      <c r="D407" s="292"/>
      <c r="E407" s="292"/>
      <c r="F407" s="300"/>
      <c r="G407" s="300"/>
      <c r="H407" s="301"/>
      <c r="I407" s="292"/>
    </row>
    <row r="408" spans="1:9" ht="15.75">
      <c r="A408" s="292"/>
      <c r="B408" s="292"/>
      <c r="C408" s="299"/>
      <c r="D408" s="292"/>
      <c r="E408" s="292"/>
      <c r="F408" s="300"/>
      <c r="G408" s="300"/>
      <c r="H408" s="301"/>
      <c r="I408" s="292"/>
    </row>
    <row r="409" spans="1:9" ht="15.75">
      <c r="A409" s="292"/>
      <c r="B409" s="292"/>
      <c r="C409" s="299"/>
      <c r="D409" s="292"/>
      <c r="E409" s="292"/>
      <c r="F409" s="300"/>
      <c r="G409" s="300"/>
      <c r="H409" s="301"/>
      <c r="I409" s="292"/>
    </row>
    <row r="410" spans="1:9" ht="15.75">
      <c r="A410" s="292"/>
      <c r="B410" s="292"/>
      <c r="C410" s="299"/>
      <c r="D410" s="292"/>
      <c r="E410" s="292"/>
      <c r="F410" s="300"/>
      <c r="G410" s="300"/>
      <c r="H410" s="301"/>
      <c r="I410" s="292"/>
    </row>
    <row r="411" spans="1:9" ht="15.75">
      <c r="A411" s="292"/>
      <c r="B411" s="292"/>
      <c r="C411" s="299"/>
      <c r="D411" s="292"/>
      <c r="E411" s="292"/>
      <c r="F411" s="300"/>
      <c r="G411" s="300"/>
      <c r="H411" s="301"/>
      <c r="I411" s="292"/>
    </row>
    <row r="412" spans="1:9" ht="15.75">
      <c r="A412" s="292"/>
      <c r="B412" s="292"/>
      <c r="C412" s="299"/>
      <c r="D412" s="292"/>
      <c r="E412" s="292"/>
      <c r="F412" s="300"/>
      <c r="G412" s="300"/>
      <c r="H412" s="301"/>
      <c r="I412" s="292"/>
    </row>
    <row r="413" spans="1:9" ht="15.75">
      <c r="A413" s="292"/>
      <c r="B413" s="292"/>
      <c r="C413" s="299"/>
      <c r="D413" s="292"/>
      <c r="E413" s="292"/>
      <c r="F413" s="300"/>
      <c r="G413" s="300"/>
      <c r="H413" s="301"/>
      <c r="I413" s="292"/>
    </row>
    <row r="414" spans="1:9" ht="15.75">
      <c r="A414" s="292"/>
      <c r="B414" s="292"/>
      <c r="C414" s="299"/>
      <c r="D414" s="292"/>
      <c r="E414" s="292"/>
      <c r="F414" s="300"/>
      <c r="G414" s="300"/>
      <c r="H414" s="301"/>
      <c r="I414" s="292"/>
    </row>
    <row r="415" spans="1:9" ht="15.75">
      <c r="A415" s="292"/>
      <c r="B415" s="292"/>
      <c r="C415" s="299"/>
      <c r="D415" s="292"/>
      <c r="E415" s="292"/>
      <c r="F415" s="300"/>
      <c r="G415" s="300"/>
      <c r="H415" s="301"/>
      <c r="I415" s="292"/>
    </row>
    <row r="416" spans="1:9" ht="15.75">
      <c r="A416" s="292"/>
      <c r="B416" s="292"/>
      <c r="C416" s="299"/>
      <c r="D416" s="292"/>
      <c r="E416" s="292"/>
      <c r="F416" s="300"/>
      <c r="G416" s="300"/>
      <c r="H416" s="301"/>
      <c r="I416" s="292"/>
    </row>
    <row r="417" spans="1:9" ht="15.75">
      <c r="A417" s="292"/>
      <c r="B417" s="292"/>
      <c r="C417" s="299"/>
      <c r="D417" s="292"/>
      <c r="E417" s="292"/>
      <c r="F417" s="300"/>
      <c r="G417" s="300"/>
      <c r="H417" s="301"/>
      <c r="I417" s="292"/>
    </row>
    <row r="418" spans="1:9" ht="15.75">
      <c r="A418" s="292"/>
      <c r="B418" s="292"/>
      <c r="C418" s="299"/>
      <c r="D418" s="292"/>
      <c r="E418" s="292"/>
      <c r="F418" s="300"/>
      <c r="G418" s="300"/>
      <c r="H418" s="301"/>
      <c r="I418" s="292"/>
    </row>
    <row r="419" spans="1:9" ht="15.75">
      <c r="A419" s="292"/>
      <c r="B419" s="292"/>
      <c r="C419" s="299"/>
      <c r="D419" s="292"/>
      <c r="E419" s="292"/>
      <c r="F419" s="300"/>
      <c r="G419" s="300"/>
      <c r="H419" s="301"/>
      <c r="I419" s="292"/>
    </row>
    <row r="420" spans="1:9" ht="15.75">
      <c r="A420" s="292"/>
      <c r="B420" s="292"/>
      <c r="C420" s="299"/>
      <c r="D420" s="292"/>
      <c r="E420" s="292"/>
      <c r="F420" s="300"/>
      <c r="G420" s="300"/>
      <c r="H420" s="301"/>
      <c r="I420" s="292"/>
    </row>
    <row r="421" spans="1:9" ht="15.75">
      <c r="A421" s="292"/>
      <c r="B421" s="292"/>
      <c r="C421" s="299"/>
      <c r="D421" s="292"/>
      <c r="E421" s="292"/>
      <c r="F421" s="300"/>
      <c r="G421" s="300"/>
      <c r="H421" s="301"/>
      <c r="I421" s="292"/>
    </row>
    <row r="422" spans="1:9" ht="15.75">
      <c r="A422" s="292"/>
      <c r="B422" s="292"/>
      <c r="C422" s="299"/>
      <c r="D422" s="292"/>
      <c r="E422" s="292"/>
      <c r="F422" s="300"/>
      <c r="G422" s="300"/>
      <c r="H422" s="301"/>
      <c r="I422" s="292"/>
    </row>
    <row r="423" spans="1:9" ht="15.75">
      <c r="A423" s="292"/>
      <c r="B423" s="292"/>
      <c r="C423" s="299"/>
      <c r="D423" s="292"/>
      <c r="E423" s="292"/>
      <c r="F423" s="300"/>
      <c r="G423" s="300"/>
      <c r="H423" s="301"/>
      <c r="I423" s="292"/>
    </row>
    <row r="424" spans="1:9" ht="15.75">
      <c r="A424" s="292"/>
      <c r="B424" s="292"/>
      <c r="C424" s="299"/>
      <c r="D424" s="292"/>
      <c r="E424" s="292"/>
      <c r="F424" s="300"/>
      <c r="G424" s="300"/>
      <c r="H424" s="301"/>
      <c r="I424" s="292"/>
    </row>
    <row r="425" spans="1:9" ht="15.75">
      <c r="A425" s="292"/>
      <c r="B425" s="292"/>
      <c r="C425" s="299"/>
      <c r="D425" s="292"/>
      <c r="E425" s="292"/>
      <c r="F425" s="300"/>
      <c r="G425" s="300"/>
      <c r="H425" s="301"/>
      <c r="I425" s="292"/>
    </row>
    <row r="426" spans="1:9" ht="15.75">
      <c r="A426" s="292"/>
      <c r="B426" s="292"/>
      <c r="C426" s="299"/>
      <c r="D426" s="292"/>
      <c r="E426" s="292"/>
      <c r="F426" s="300"/>
      <c r="G426" s="300"/>
      <c r="H426" s="301"/>
      <c r="I426" s="292"/>
    </row>
    <row r="427" spans="1:9" ht="15.75">
      <c r="A427" s="292"/>
      <c r="B427" s="292"/>
      <c r="C427" s="299"/>
      <c r="D427" s="292"/>
      <c r="E427" s="292"/>
      <c r="F427" s="300"/>
      <c r="G427" s="300"/>
      <c r="H427" s="301"/>
      <c r="I427" s="292"/>
    </row>
    <row r="428" spans="1:9" ht="15.75">
      <c r="A428" s="292"/>
      <c r="B428" s="292"/>
      <c r="C428" s="299"/>
      <c r="D428" s="292"/>
      <c r="E428" s="292"/>
      <c r="F428" s="300"/>
      <c r="G428" s="300"/>
      <c r="H428" s="301"/>
      <c r="I428" s="292"/>
    </row>
    <row r="429" spans="1:9" ht="15.75">
      <c r="A429" s="292"/>
      <c r="B429" s="292"/>
      <c r="C429" s="299"/>
      <c r="D429" s="292"/>
      <c r="E429" s="292"/>
      <c r="F429" s="300"/>
      <c r="G429" s="300"/>
      <c r="H429" s="301"/>
      <c r="I429" s="292"/>
    </row>
    <row r="430" spans="1:9" ht="15.75">
      <c r="A430" s="292"/>
      <c r="B430" s="292"/>
      <c r="C430" s="299"/>
      <c r="D430" s="292"/>
      <c r="E430" s="292"/>
      <c r="F430" s="300"/>
      <c r="G430" s="300"/>
      <c r="H430" s="301"/>
      <c r="I430" s="292"/>
    </row>
    <row r="431" spans="1:9" ht="15.75">
      <c r="A431" s="292"/>
      <c r="B431" s="292"/>
      <c r="C431" s="299"/>
      <c r="D431" s="292"/>
      <c r="E431" s="292"/>
      <c r="F431" s="300"/>
      <c r="G431" s="300"/>
      <c r="H431" s="301"/>
      <c r="I431" s="292"/>
    </row>
    <row r="432" spans="1:9" ht="15.75">
      <c r="A432" s="292"/>
      <c r="B432" s="292"/>
      <c r="C432" s="299"/>
      <c r="D432" s="292"/>
      <c r="E432" s="292"/>
      <c r="F432" s="300"/>
      <c r="G432" s="300"/>
      <c r="H432" s="301"/>
      <c r="I432" s="292"/>
    </row>
    <row r="433" spans="1:9" ht="15.75">
      <c r="A433" s="292"/>
      <c r="B433" s="292"/>
      <c r="C433" s="299"/>
      <c r="D433" s="292"/>
      <c r="E433" s="292"/>
      <c r="F433" s="300"/>
      <c r="G433" s="300"/>
      <c r="H433" s="301"/>
      <c r="I433" s="292"/>
    </row>
    <row r="434" spans="1:9" ht="15.75">
      <c r="A434" s="292"/>
      <c r="B434" s="292"/>
      <c r="C434" s="299"/>
      <c r="D434" s="292"/>
      <c r="E434" s="292"/>
      <c r="F434" s="300"/>
      <c r="G434" s="300"/>
      <c r="H434" s="301"/>
      <c r="I434" s="292"/>
    </row>
    <row r="435" spans="1:9" ht="15.75">
      <c r="A435" s="292"/>
      <c r="B435" s="292"/>
      <c r="C435" s="299"/>
      <c r="D435" s="292"/>
      <c r="E435" s="292"/>
      <c r="F435" s="300"/>
      <c r="G435" s="300"/>
      <c r="H435" s="301"/>
      <c r="I435" s="292"/>
    </row>
    <row r="436" spans="1:9" ht="15.75">
      <c r="A436" s="292"/>
      <c r="B436" s="292"/>
      <c r="C436" s="299"/>
      <c r="D436" s="292"/>
      <c r="E436" s="292"/>
      <c r="F436" s="300"/>
      <c r="G436" s="300"/>
      <c r="H436" s="301"/>
      <c r="I436" s="292"/>
    </row>
    <row r="437" spans="1:9" ht="15.75">
      <c r="A437" s="292"/>
      <c r="B437" s="292"/>
      <c r="C437" s="299"/>
      <c r="D437" s="292"/>
      <c r="E437" s="292"/>
      <c r="F437" s="300"/>
      <c r="G437" s="300"/>
      <c r="H437" s="301"/>
      <c r="I437" s="292"/>
    </row>
    <row r="438" spans="1:9" ht="15.75">
      <c r="A438" s="292"/>
      <c r="B438" s="292"/>
      <c r="C438" s="299"/>
      <c r="D438" s="292"/>
      <c r="E438" s="292"/>
      <c r="F438" s="300"/>
      <c r="G438" s="300"/>
      <c r="H438" s="301"/>
      <c r="I438" s="292"/>
    </row>
    <row r="439" spans="1:9" ht="15.75">
      <c r="A439" s="292"/>
      <c r="B439" s="292"/>
      <c r="C439" s="299"/>
      <c r="D439" s="292"/>
      <c r="E439" s="292"/>
      <c r="F439" s="300"/>
      <c r="G439" s="300"/>
      <c r="H439" s="301"/>
      <c r="I439" s="292"/>
    </row>
    <row r="440" spans="1:9" ht="15.75">
      <c r="A440" s="292"/>
      <c r="B440" s="292"/>
      <c r="C440" s="299"/>
      <c r="D440" s="292"/>
      <c r="E440" s="292"/>
      <c r="F440" s="300"/>
      <c r="G440" s="300"/>
      <c r="H440" s="301"/>
      <c r="I440" s="292"/>
    </row>
    <row r="441" spans="1:9" ht="15.75">
      <c r="A441" s="292"/>
      <c r="B441" s="292"/>
      <c r="C441" s="299"/>
      <c r="D441" s="292"/>
      <c r="E441" s="292"/>
      <c r="F441" s="300"/>
      <c r="G441" s="300"/>
      <c r="H441" s="301"/>
      <c r="I441" s="292"/>
    </row>
    <row r="442" spans="1:9" ht="15.75">
      <c r="A442" s="292"/>
      <c r="B442" s="292"/>
      <c r="C442" s="299"/>
      <c r="D442" s="292"/>
      <c r="E442" s="292"/>
      <c r="F442" s="300"/>
      <c r="G442" s="300"/>
      <c r="H442" s="301"/>
      <c r="I442" s="292"/>
    </row>
    <row r="443" spans="1:9" ht="15.75">
      <c r="A443" s="292"/>
      <c r="B443" s="292"/>
      <c r="C443" s="299"/>
      <c r="D443" s="292"/>
      <c r="E443" s="292"/>
      <c r="F443" s="300"/>
      <c r="G443" s="300"/>
      <c r="H443" s="301"/>
      <c r="I443" s="292"/>
    </row>
    <row r="444" spans="1:9" ht="15.75">
      <c r="A444" s="292"/>
      <c r="B444" s="292"/>
      <c r="C444" s="299"/>
      <c r="D444" s="292"/>
      <c r="E444" s="292"/>
      <c r="F444" s="300"/>
      <c r="G444" s="300"/>
      <c r="H444" s="301"/>
      <c r="I444" s="292"/>
    </row>
    <row r="445" spans="1:9" ht="15.75">
      <c r="A445" s="292"/>
      <c r="B445" s="292"/>
      <c r="C445" s="299"/>
      <c r="D445" s="292"/>
      <c r="E445" s="292"/>
      <c r="F445" s="300"/>
      <c r="G445" s="300"/>
      <c r="H445" s="301"/>
      <c r="I445" s="292"/>
    </row>
    <row r="446" spans="1:9" ht="15.75">
      <c r="A446" s="292"/>
      <c r="B446" s="292"/>
      <c r="C446" s="299"/>
      <c r="D446" s="292"/>
      <c r="E446" s="292"/>
      <c r="F446" s="300"/>
      <c r="G446" s="300"/>
      <c r="H446" s="301"/>
      <c r="I446" s="292"/>
    </row>
    <row r="447" spans="1:9" ht="15.75">
      <c r="A447" s="292"/>
      <c r="B447" s="292"/>
      <c r="C447" s="299"/>
      <c r="D447" s="292"/>
      <c r="E447" s="292"/>
      <c r="F447" s="300"/>
      <c r="G447" s="300"/>
      <c r="H447" s="301"/>
      <c r="I447" s="292"/>
    </row>
    <row r="448" spans="1:9" ht="15.75">
      <c r="A448" s="292"/>
      <c r="B448" s="292"/>
      <c r="C448" s="299"/>
      <c r="D448" s="292"/>
      <c r="E448" s="292"/>
      <c r="F448" s="300"/>
      <c r="G448" s="300"/>
      <c r="H448" s="301"/>
      <c r="I448" s="292"/>
    </row>
    <row r="449" spans="1:9" ht="15.75">
      <c r="A449" s="292"/>
      <c r="B449" s="292"/>
      <c r="C449" s="299"/>
      <c r="D449" s="292"/>
      <c r="E449" s="292"/>
      <c r="F449" s="300"/>
      <c r="G449" s="300"/>
      <c r="H449" s="301"/>
      <c r="I449" s="292"/>
    </row>
    <row r="450" spans="1:9" ht="15.75">
      <c r="A450" s="292"/>
      <c r="B450" s="292"/>
      <c r="C450" s="299"/>
      <c r="D450" s="292"/>
      <c r="E450" s="292"/>
      <c r="F450" s="300"/>
      <c r="G450" s="300"/>
      <c r="H450" s="301"/>
      <c r="I450" s="292"/>
    </row>
    <row r="451" spans="1:9" ht="15.75">
      <c r="A451" s="292"/>
      <c r="B451" s="292"/>
      <c r="C451" s="299"/>
      <c r="D451" s="292"/>
      <c r="E451" s="292"/>
      <c r="F451" s="300"/>
      <c r="G451" s="300"/>
      <c r="H451" s="301"/>
      <c r="I451" s="292"/>
    </row>
    <row r="452" spans="1:9" ht="15.75">
      <c r="A452" s="292"/>
      <c r="B452" s="292"/>
      <c r="C452" s="299"/>
      <c r="D452" s="292"/>
      <c r="E452" s="292"/>
      <c r="F452" s="300"/>
      <c r="G452" s="300"/>
      <c r="H452" s="301"/>
      <c r="I452" s="292"/>
    </row>
    <row r="453" spans="1:9" ht="15.75">
      <c r="A453" s="292"/>
      <c r="B453" s="292"/>
      <c r="C453" s="299"/>
      <c r="D453" s="292"/>
      <c r="E453" s="292"/>
      <c r="F453" s="300"/>
      <c r="G453" s="300"/>
      <c r="H453" s="301"/>
      <c r="I453" s="292"/>
    </row>
    <row r="454" spans="1:9" ht="15.75">
      <c r="A454" s="292"/>
      <c r="B454" s="292"/>
      <c r="C454" s="299"/>
      <c r="D454" s="292"/>
      <c r="E454" s="292"/>
      <c r="F454" s="300"/>
      <c r="G454" s="300"/>
      <c r="H454" s="301"/>
      <c r="I454" s="292"/>
    </row>
    <row r="455" spans="1:9" ht="15.75">
      <c r="A455" s="292"/>
      <c r="B455" s="292"/>
      <c r="C455" s="299"/>
      <c r="D455" s="292"/>
      <c r="E455" s="292"/>
      <c r="F455" s="300"/>
      <c r="G455" s="300"/>
      <c r="H455" s="301"/>
      <c r="I455" s="292"/>
    </row>
    <row r="456" spans="1:9" ht="15.75">
      <c r="A456" s="292"/>
      <c r="B456" s="292"/>
      <c r="C456" s="299"/>
      <c r="D456" s="292"/>
      <c r="E456" s="292"/>
      <c r="F456" s="300"/>
      <c r="G456" s="300"/>
      <c r="H456" s="301"/>
      <c r="I456" s="292"/>
    </row>
    <row r="457" spans="1:9" ht="15.75">
      <c r="A457" s="292"/>
      <c r="B457" s="292"/>
      <c r="C457" s="299"/>
      <c r="D457" s="292"/>
      <c r="E457" s="292"/>
      <c r="F457" s="300"/>
      <c r="G457" s="300"/>
      <c r="H457" s="301"/>
      <c r="I457" s="292"/>
    </row>
    <row r="458" spans="1:9" ht="15.75">
      <c r="A458" s="292"/>
      <c r="B458" s="292"/>
      <c r="C458" s="299"/>
      <c r="D458" s="292"/>
      <c r="E458" s="292"/>
      <c r="F458" s="300"/>
      <c r="G458" s="300"/>
      <c r="H458" s="301"/>
      <c r="I458" s="292"/>
    </row>
    <row r="459" spans="1:9" ht="15.75">
      <c r="A459" s="292"/>
      <c r="B459" s="292"/>
      <c r="C459" s="299"/>
      <c r="D459" s="292"/>
      <c r="E459" s="292"/>
      <c r="F459" s="300"/>
      <c r="G459" s="300"/>
      <c r="H459" s="301"/>
      <c r="I459" s="292"/>
    </row>
    <row r="460" spans="1:9" ht="15.75">
      <c r="A460" s="292"/>
      <c r="B460" s="292"/>
      <c r="C460" s="299"/>
      <c r="D460" s="292"/>
      <c r="E460" s="292"/>
      <c r="F460" s="300"/>
      <c r="G460" s="300"/>
      <c r="H460" s="301"/>
      <c r="I460" s="292"/>
    </row>
    <row r="461" spans="1:9" ht="15.75">
      <c r="A461" s="292"/>
      <c r="B461" s="292"/>
      <c r="C461" s="299"/>
      <c r="D461" s="292"/>
      <c r="E461" s="292"/>
      <c r="F461" s="300"/>
      <c r="G461" s="300"/>
      <c r="H461" s="301"/>
      <c r="I461" s="292"/>
    </row>
    <row r="462" spans="1:9" ht="15.75">
      <c r="A462" s="292"/>
      <c r="B462" s="292"/>
      <c r="C462" s="299"/>
      <c r="D462" s="292"/>
      <c r="E462" s="292"/>
      <c r="F462" s="300"/>
      <c r="G462" s="300"/>
      <c r="H462" s="301"/>
      <c r="I462" s="292"/>
    </row>
    <row r="463" spans="1:9" ht="15.75">
      <c r="A463" s="292"/>
      <c r="B463" s="292"/>
      <c r="C463" s="299"/>
      <c r="D463" s="292"/>
      <c r="E463" s="292"/>
      <c r="F463" s="300"/>
      <c r="G463" s="300"/>
      <c r="H463" s="301"/>
      <c r="I463" s="292"/>
    </row>
    <row r="464" spans="1:9" ht="15.75">
      <c r="A464" s="292"/>
      <c r="B464" s="292"/>
      <c r="C464" s="299"/>
      <c r="D464" s="292"/>
      <c r="E464" s="292"/>
      <c r="F464" s="300"/>
      <c r="G464" s="300"/>
      <c r="H464" s="301"/>
      <c r="I464" s="292"/>
    </row>
    <row r="465" spans="1:9" ht="15.75">
      <c r="A465" s="292"/>
      <c r="B465" s="292"/>
      <c r="C465" s="299"/>
      <c r="D465" s="292"/>
      <c r="E465" s="292"/>
      <c r="F465" s="300"/>
      <c r="G465" s="300"/>
      <c r="H465" s="301"/>
      <c r="I465" s="292"/>
    </row>
    <row r="466" spans="1:9" ht="15.75">
      <c r="A466" s="292"/>
      <c r="B466" s="292"/>
      <c r="C466" s="299"/>
      <c r="D466" s="292"/>
      <c r="E466" s="292"/>
      <c r="F466" s="300"/>
      <c r="G466" s="300"/>
      <c r="H466" s="301"/>
      <c r="I466" s="292"/>
    </row>
    <row r="467" spans="1:9" ht="15.75">
      <c r="A467" s="292"/>
      <c r="B467" s="292"/>
      <c r="C467" s="299"/>
      <c r="D467" s="292"/>
      <c r="E467" s="292"/>
      <c r="F467" s="300"/>
      <c r="G467" s="300"/>
      <c r="H467" s="301"/>
      <c r="I467" s="292"/>
    </row>
    <row r="468" spans="1:9" ht="15.75">
      <c r="A468" s="292"/>
      <c r="B468" s="292"/>
      <c r="C468" s="299"/>
      <c r="D468" s="292"/>
      <c r="E468" s="292"/>
      <c r="F468" s="300"/>
      <c r="G468" s="300"/>
      <c r="H468" s="301"/>
      <c r="I468" s="292"/>
    </row>
    <row r="469" spans="1:9" ht="15.75">
      <c r="A469" s="292"/>
      <c r="B469" s="292"/>
      <c r="C469" s="299"/>
      <c r="D469" s="292"/>
      <c r="E469" s="292"/>
      <c r="F469" s="300"/>
      <c r="G469" s="300"/>
      <c r="H469" s="301"/>
      <c r="I469" s="292"/>
    </row>
    <row r="470" spans="1:9" ht="15.75">
      <c r="A470" s="292"/>
      <c r="B470" s="292"/>
      <c r="C470" s="299"/>
      <c r="D470" s="292"/>
      <c r="E470" s="292"/>
      <c r="F470" s="300"/>
      <c r="G470" s="300"/>
      <c r="H470" s="301"/>
      <c r="I470" s="292"/>
    </row>
    <row r="471" spans="1:9" ht="15.75">
      <c r="A471" s="292"/>
      <c r="B471" s="292"/>
      <c r="C471" s="299"/>
      <c r="D471" s="292"/>
      <c r="E471" s="292"/>
      <c r="F471" s="300"/>
      <c r="G471" s="300"/>
      <c r="H471" s="301"/>
      <c r="I471" s="292"/>
    </row>
    <row r="472" spans="1:9" ht="15.75">
      <c r="A472" s="292"/>
      <c r="B472" s="292"/>
      <c r="C472" s="299"/>
      <c r="D472" s="292"/>
      <c r="E472" s="292"/>
      <c r="F472" s="300"/>
      <c r="G472" s="300"/>
      <c r="H472" s="301"/>
      <c r="I472" s="292"/>
    </row>
    <row r="473" spans="1:9" ht="15.75">
      <c r="A473" s="292"/>
      <c r="B473" s="292"/>
      <c r="C473" s="299"/>
      <c r="D473" s="292"/>
      <c r="E473" s="292"/>
      <c r="F473" s="300"/>
      <c r="G473" s="300"/>
      <c r="H473" s="301"/>
      <c r="I473" s="292"/>
    </row>
    <row r="474" spans="1:9" ht="15.75">
      <c r="A474" s="292"/>
      <c r="B474" s="292"/>
      <c r="C474" s="299"/>
      <c r="D474" s="292"/>
      <c r="E474" s="292"/>
      <c r="F474" s="300"/>
      <c r="G474" s="300"/>
      <c r="H474" s="301"/>
      <c r="I474" s="292"/>
    </row>
    <row r="475" spans="1:9" ht="15.75">
      <c r="A475" s="292"/>
      <c r="B475" s="292"/>
      <c r="C475" s="299"/>
      <c r="D475" s="292"/>
      <c r="E475" s="292"/>
      <c r="F475" s="300"/>
      <c r="G475" s="300"/>
      <c r="H475" s="301"/>
      <c r="I475" s="292"/>
    </row>
    <row r="476" spans="1:9" ht="15.75">
      <c r="A476" s="292"/>
      <c r="B476" s="292"/>
      <c r="C476" s="299"/>
      <c r="D476" s="292"/>
      <c r="E476" s="292"/>
      <c r="F476" s="300"/>
      <c r="G476" s="300"/>
      <c r="H476" s="301"/>
      <c r="I476" s="292"/>
    </row>
    <row r="477" spans="1:9" ht="15.75">
      <c r="A477" s="292"/>
      <c r="B477" s="292"/>
      <c r="C477" s="299"/>
      <c r="D477" s="292"/>
      <c r="E477" s="292"/>
      <c r="F477" s="300"/>
      <c r="G477" s="300"/>
      <c r="H477" s="301"/>
      <c r="I477" s="292"/>
    </row>
    <row r="478" spans="1:9" ht="15.75">
      <c r="A478" s="292"/>
      <c r="B478" s="292"/>
      <c r="C478" s="299"/>
      <c r="D478" s="292"/>
      <c r="E478" s="292"/>
      <c r="F478" s="300"/>
      <c r="G478" s="300"/>
      <c r="H478" s="301"/>
      <c r="I478" s="292"/>
    </row>
    <row r="479" spans="1:9" ht="15.75">
      <c r="A479" s="292"/>
      <c r="B479" s="292"/>
      <c r="C479" s="299"/>
      <c r="D479" s="292"/>
      <c r="E479" s="292"/>
      <c r="F479" s="300"/>
      <c r="G479" s="300"/>
      <c r="H479" s="301"/>
      <c r="I479" s="292"/>
    </row>
    <row r="480" spans="1:9" ht="15.75">
      <c r="A480" s="292"/>
      <c r="B480" s="292"/>
      <c r="C480" s="299"/>
      <c r="D480" s="292"/>
      <c r="E480" s="292"/>
      <c r="F480" s="300"/>
      <c r="G480" s="300"/>
      <c r="H480" s="301"/>
      <c r="I480" s="292"/>
    </row>
    <row r="481" spans="1:9" ht="15.75">
      <c r="A481" s="292"/>
      <c r="B481" s="292"/>
      <c r="C481" s="299"/>
      <c r="D481" s="292"/>
      <c r="E481" s="292"/>
      <c r="F481" s="300"/>
      <c r="G481" s="300"/>
      <c r="H481" s="301"/>
      <c r="I481" s="292"/>
    </row>
    <row r="482" spans="1:9" ht="15.75">
      <c r="A482" s="292"/>
      <c r="B482" s="292"/>
      <c r="C482" s="299"/>
      <c r="D482" s="292"/>
      <c r="E482" s="292"/>
      <c r="F482" s="300"/>
      <c r="G482" s="300"/>
      <c r="H482" s="301"/>
      <c r="I482" s="292"/>
    </row>
    <row r="483" spans="1:9" ht="15.75">
      <c r="A483" s="292"/>
      <c r="B483" s="292"/>
      <c r="C483" s="299"/>
      <c r="D483" s="292"/>
      <c r="E483" s="292"/>
      <c r="F483" s="300"/>
      <c r="G483" s="300"/>
      <c r="H483" s="301"/>
      <c r="I483" s="292"/>
    </row>
    <row r="484" spans="1:9" ht="15.75">
      <c r="A484" s="292"/>
      <c r="B484" s="292"/>
      <c r="C484" s="299"/>
      <c r="D484" s="292"/>
      <c r="E484" s="292"/>
      <c r="F484" s="300"/>
      <c r="G484" s="300"/>
      <c r="H484" s="301"/>
      <c r="I484" s="292"/>
    </row>
    <row r="485" spans="1:9" ht="15.75">
      <c r="A485" s="292"/>
      <c r="B485" s="292"/>
      <c r="C485" s="299"/>
      <c r="D485" s="292"/>
      <c r="E485" s="292"/>
      <c r="F485" s="300"/>
      <c r="G485" s="300"/>
      <c r="H485" s="301"/>
      <c r="I485" s="292"/>
    </row>
    <row r="486" spans="1:9" ht="15.75">
      <c r="A486" s="292"/>
      <c r="B486" s="292"/>
      <c r="C486" s="299"/>
      <c r="D486" s="292"/>
      <c r="E486" s="292"/>
      <c r="F486" s="300"/>
      <c r="G486" s="300"/>
      <c r="H486" s="301"/>
      <c r="I486" s="292"/>
    </row>
    <row r="487" spans="1:9" ht="15.75">
      <c r="A487" s="292"/>
      <c r="B487" s="292"/>
      <c r="C487" s="299"/>
      <c r="D487" s="292"/>
      <c r="E487" s="292"/>
      <c r="F487" s="300"/>
      <c r="G487" s="300"/>
      <c r="H487" s="301"/>
      <c r="I487" s="292"/>
    </row>
    <row r="488" spans="1:9" ht="15.75">
      <c r="A488" s="292"/>
      <c r="B488" s="292"/>
      <c r="C488" s="299"/>
      <c r="D488" s="292"/>
      <c r="E488" s="292"/>
      <c r="F488" s="300"/>
      <c r="G488" s="300"/>
      <c r="H488" s="301"/>
      <c r="I488" s="292"/>
    </row>
    <row r="489" spans="1:9" ht="15.75">
      <c r="A489" s="292"/>
      <c r="B489" s="292"/>
      <c r="C489" s="299"/>
      <c r="D489" s="292"/>
      <c r="E489" s="292"/>
      <c r="F489" s="300"/>
      <c r="G489" s="300"/>
      <c r="H489" s="301"/>
      <c r="I489" s="292"/>
    </row>
    <row r="490" spans="1:9" ht="15.75">
      <c r="A490" s="292"/>
      <c r="B490" s="292"/>
      <c r="C490" s="299"/>
      <c r="D490" s="292"/>
      <c r="E490" s="292"/>
      <c r="F490" s="300"/>
      <c r="G490" s="300"/>
      <c r="H490" s="301"/>
      <c r="I490" s="292"/>
    </row>
    <row r="491" spans="1:9" ht="15.75">
      <c r="A491" s="292"/>
      <c r="B491" s="292"/>
      <c r="C491" s="299"/>
      <c r="D491" s="292"/>
      <c r="E491" s="292"/>
      <c r="F491" s="300"/>
      <c r="G491" s="300"/>
      <c r="H491" s="301"/>
      <c r="I491" s="292"/>
    </row>
    <row r="492" spans="1:9" ht="15.75">
      <c r="A492" s="292"/>
      <c r="B492" s="292"/>
      <c r="C492" s="299"/>
      <c r="D492" s="292"/>
      <c r="E492" s="292"/>
      <c r="F492" s="300"/>
      <c r="G492" s="300"/>
      <c r="H492" s="301"/>
      <c r="I492" s="292"/>
    </row>
    <row r="493" spans="1:9" ht="15.75">
      <c r="A493" s="292"/>
      <c r="B493" s="292"/>
      <c r="C493" s="299"/>
      <c r="D493" s="292"/>
      <c r="E493" s="292"/>
      <c r="F493" s="300"/>
      <c r="G493" s="300"/>
      <c r="H493" s="301"/>
      <c r="I493" s="292"/>
    </row>
    <row r="494" spans="1:9" ht="15.75">
      <c r="A494" s="292"/>
      <c r="B494" s="292"/>
      <c r="C494" s="299"/>
      <c r="D494" s="292"/>
      <c r="E494" s="292"/>
      <c r="F494" s="300"/>
      <c r="G494" s="300"/>
      <c r="H494" s="301"/>
      <c r="I494" s="292"/>
    </row>
    <row r="495" spans="1:9" ht="15.75">
      <c r="A495" s="292"/>
      <c r="B495" s="292"/>
      <c r="C495" s="299"/>
      <c r="D495" s="292"/>
      <c r="E495" s="292"/>
      <c r="F495" s="300"/>
      <c r="G495" s="300"/>
      <c r="H495" s="301"/>
      <c r="I495" s="292"/>
    </row>
    <row r="496" spans="1:9" ht="15.75">
      <c r="A496" s="292"/>
      <c r="B496" s="292"/>
      <c r="C496" s="299"/>
      <c r="D496" s="292"/>
      <c r="E496" s="292"/>
      <c r="F496" s="300"/>
      <c r="G496" s="300"/>
      <c r="H496" s="301"/>
      <c r="I496" s="292"/>
    </row>
    <row r="497" spans="1:9" ht="15.75">
      <c r="A497" s="292"/>
      <c r="B497" s="292"/>
      <c r="C497" s="299"/>
      <c r="D497" s="292"/>
      <c r="E497" s="292"/>
      <c r="F497" s="300"/>
      <c r="G497" s="300"/>
      <c r="H497" s="301"/>
      <c r="I497" s="292"/>
    </row>
    <row r="498" spans="1:9" ht="15.75">
      <c r="A498" s="292"/>
      <c r="B498" s="292"/>
      <c r="C498" s="299"/>
      <c r="D498" s="292"/>
      <c r="E498" s="292"/>
      <c r="F498" s="300"/>
      <c r="G498" s="300"/>
      <c r="H498" s="301"/>
      <c r="I498" s="292"/>
    </row>
    <row r="499" spans="1:9" ht="15.75">
      <c r="A499" s="292"/>
      <c r="B499" s="292"/>
      <c r="C499" s="299"/>
      <c r="D499" s="292"/>
      <c r="E499" s="292"/>
      <c r="F499" s="300"/>
      <c r="G499" s="300"/>
      <c r="H499" s="301"/>
      <c r="I499" s="292"/>
    </row>
    <row r="500" spans="1:9" ht="15.75">
      <c r="A500" s="292"/>
      <c r="B500" s="292"/>
      <c r="C500" s="299"/>
      <c r="D500" s="292"/>
      <c r="E500" s="292"/>
      <c r="F500" s="300"/>
      <c r="G500" s="300"/>
      <c r="H500" s="301"/>
      <c r="I500" s="292"/>
    </row>
    <row r="501" spans="1:9" ht="15.75">
      <c r="A501" s="292"/>
      <c r="B501" s="292"/>
      <c r="C501" s="299"/>
      <c r="D501" s="292"/>
      <c r="E501" s="292"/>
      <c r="F501" s="300"/>
      <c r="G501" s="300"/>
      <c r="H501" s="301"/>
      <c r="I501" s="292"/>
    </row>
    <row r="502" spans="1:9" ht="15.75">
      <c r="A502" s="292"/>
      <c r="B502" s="292"/>
      <c r="C502" s="299"/>
      <c r="D502" s="292"/>
      <c r="E502" s="292"/>
      <c r="F502" s="300"/>
      <c r="G502" s="300"/>
      <c r="H502" s="301"/>
      <c r="I502" s="292"/>
    </row>
    <row r="503" spans="1:9" ht="15.75">
      <c r="A503" s="292"/>
      <c r="B503" s="292"/>
      <c r="C503" s="299"/>
      <c r="D503" s="292"/>
      <c r="E503" s="292"/>
      <c r="F503" s="300"/>
      <c r="G503" s="300"/>
      <c r="H503" s="301"/>
      <c r="I503" s="292"/>
    </row>
    <row r="504" spans="1:9" ht="15.75">
      <c r="A504" s="292"/>
      <c r="B504" s="292"/>
      <c r="C504" s="299"/>
      <c r="D504" s="292"/>
      <c r="E504" s="292"/>
      <c r="F504" s="300"/>
      <c r="G504" s="300"/>
      <c r="H504" s="301"/>
      <c r="I504" s="292"/>
    </row>
    <row r="505" spans="1:9" ht="15.75">
      <c r="A505" s="292"/>
      <c r="B505" s="292"/>
      <c r="C505" s="299"/>
      <c r="D505" s="292"/>
      <c r="E505" s="292"/>
      <c r="F505" s="300"/>
      <c r="G505" s="300"/>
      <c r="H505" s="301"/>
      <c r="I505" s="292"/>
    </row>
    <row r="506" spans="1:9" ht="15.75">
      <c r="A506" s="292"/>
      <c r="B506" s="292"/>
      <c r="C506" s="299"/>
      <c r="D506" s="292"/>
      <c r="E506" s="292"/>
      <c r="F506" s="300"/>
      <c r="G506" s="300"/>
      <c r="H506" s="301"/>
      <c r="I506" s="292"/>
    </row>
    <row r="507" spans="1:9" ht="15.75">
      <c r="A507" s="292"/>
      <c r="B507" s="292"/>
      <c r="C507" s="299"/>
      <c r="D507" s="292"/>
      <c r="E507" s="292"/>
      <c r="F507" s="300"/>
      <c r="G507" s="300"/>
      <c r="H507" s="301"/>
      <c r="I507" s="292"/>
    </row>
    <row r="508" spans="1:9" ht="15.75">
      <c r="A508" s="292"/>
      <c r="B508" s="292"/>
      <c r="C508" s="299"/>
      <c r="D508" s="292"/>
      <c r="E508" s="292"/>
      <c r="F508" s="300"/>
      <c r="G508" s="300"/>
      <c r="H508" s="301"/>
      <c r="I508" s="292"/>
    </row>
    <row r="509" spans="1:9" ht="15.75">
      <c r="A509" s="292"/>
      <c r="B509" s="292"/>
      <c r="C509" s="299"/>
      <c r="D509" s="292"/>
      <c r="E509" s="292"/>
      <c r="F509" s="300"/>
      <c r="G509" s="300"/>
      <c r="H509" s="301"/>
      <c r="I509" s="292"/>
    </row>
    <row r="510" spans="1:9" ht="15.75">
      <c r="A510" s="292"/>
      <c r="B510" s="292"/>
      <c r="C510" s="299"/>
      <c r="D510" s="292"/>
      <c r="E510" s="292"/>
      <c r="F510" s="300"/>
      <c r="G510" s="300"/>
      <c r="H510" s="301"/>
      <c r="I510" s="292"/>
    </row>
    <row r="511" spans="1:9" ht="15.75">
      <c r="A511" s="292"/>
      <c r="B511" s="292"/>
      <c r="C511" s="299"/>
      <c r="D511" s="292"/>
      <c r="E511" s="292"/>
      <c r="F511" s="300"/>
      <c r="G511" s="300"/>
      <c r="H511" s="301"/>
      <c r="I511" s="292"/>
    </row>
    <row r="512" spans="1:9" ht="15.75">
      <c r="A512" s="292"/>
      <c r="B512" s="292"/>
      <c r="C512" s="299"/>
      <c r="D512" s="292"/>
      <c r="E512" s="292"/>
      <c r="F512" s="300"/>
      <c r="G512" s="300"/>
      <c r="H512" s="301"/>
      <c r="I512" s="292"/>
    </row>
    <row r="513" spans="1:9" ht="15.75">
      <c r="A513" s="292"/>
      <c r="B513" s="292"/>
      <c r="C513" s="299"/>
      <c r="D513" s="292"/>
      <c r="E513" s="292"/>
      <c r="F513" s="300"/>
      <c r="G513" s="300"/>
      <c r="H513" s="301"/>
      <c r="I513" s="292"/>
    </row>
    <row r="514" spans="1:9" ht="15.75">
      <c r="A514" s="292"/>
      <c r="B514" s="292"/>
      <c r="C514" s="299"/>
      <c r="D514" s="292"/>
      <c r="E514" s="292"/>
      <c r="F514" s="300"/>
      <c r="G514" s="300"/>
      <c r="H514" s="301"/>
      <c r="I514" s="292"/>
    </row>
    <row r="515" spans="1:9" ht="15.75">
      <c r="A515" s="292"/>
      <c r="B515" s="292"/>
      <c r="C515" s="299"/>
      <c r="D515" s="292"/>
      <c r="E515" s="292"/>
      <c r="F515" s="300"/>
      <c r="G515" s="300"/>
      <c r="H515" s="301"/>
      <c r="I515" s="292"/>
    </row>
    <row r="516" spans="1:9" ht="15.75">
      <c r="A516" s="292"/>
      <c r="B516" s="292"/>
      <c r="C516" s="299"/>
      <c r="D516" s="292"/>
      <c r="E516" s="292"/>
      <c r="F516" s="300"/>
      <c r="G516" s="300"/>
      <c r="H516" s="301"/>
      <c r="I516" s="292"/>
    </row>
    <row r="517" spans="1:9" ht="15.75">
      <c r="A517" s="292"/>
      <c r="B517" s="292"/>
      <c r="C517" s="299"/>
      <c r="D517" s="292"/>
      <c r="E517" s="292"/>
      <c r="F517" s="300"/>
      <c r="G517" s="300"/>
      <c r="H517" s="301"/>
      <c r="I517" s="292"/>
    </row>
    <row r="518" spans="1:9" ht="15.75">
      <c r="A518" s="292"/>
      <c r="B518" s="292"/>
      <c r="C518" s="299"/>
      <c r="D518" s="292"/>
      <c r="E518" s="292"/>
      <c r="F518" s="300"/>
      <c r="G518" s="300"/>
      <c r="H518" s="301"/>
      <c r="I518" s="292"/>
    </row>
    <row r="519" spans="1:9" ht="15.75">
      <c r="A519" s="292"/>
      <c r="B519" s="292"/>
      <c r="C519" s="299"/>
      <c r="D519" s="292"/>
      <c r="E519" s="292"/>
      <c r="F519" s="300"/>
      <c r="G519" s="300"/>
      <c r="H519" s="301"/>
      <c r="I519" s="292"/>
    </row>
    <row r="520" spans="1:9" ht="15.75">
      <c r="A520" s="292"/>
      <c r="B520" s="292"/>
      <c r="C520" s="299"/>
      <c r="D520" s="292"/>
      <c r="E520" s="292"/>
      <c r="F520" s="300"/>
      <c r="G520" s="300"/>
      <c r="H520" s="301"/>
      <c r="I520" s="292"/>
    </row>
    <row r="521" spans="1:9" ht="15.75">
      <c r="A521" s="292"/>
      <c r="B521" s="292"/>
      <c r="C521" s="299"/>
      <c r="D521" s="292"/>
      <c r="E521" s="292"/>
      <c r="F521" s="300"/>
      <c r="G521" s="300"/>
      <c r="H521" s="301"/>
      <c r="I521" s="292"/>
    </row>
    <row r="522" spans="1:9" ht="15.75">
      <c r="A522" s="292"/>
      <c r="B522" s="292"/>
      <c r="C522" s="299"/>
      <c r="D522" s="292"/>
      <c r="E522" s="292"/>
      <c r="F522" s="300"/>
      <c r="G522" s="300"/>
      <c r="H522" s="301"/>
      <c r="I522" s="292"/>
    </row>
    <row r="523" spans="1:9" ht="15.75">
      <c r="A523" s="292"/>
      <c r="B523" s="292"/>
      <c r="C523" s="299"/>
      <c r="D523" s="292"/>
      <c r="E523" s="292"/>
      <c r="F523" s="300"/>
      <c r="G523" s="300"/>
      <c r="H523" s="301"/>
      <c r="I523" s="292"/>
    </row>
    <row r="524" spans="1:9" ht="15.75">
      <c r="A524" s="292"/>
      <c r="B524" s="292"/>
      <c r="C524" s="299"/>
      <c r="D524" s="292"/>
      <c r="E524" s="292"/>
      <c r="F524" s="300"/>
      <c r="G524" s="300"/>
      <c r="H524" s="301"/>
      <c r="I524" s="292"/>
    </row>
    <row r="525" spans="1:9" ht="15.75">
      <c r="A525" s="292"/>
      <c r="B525" s="292"/>
      <c r="C525" s="299"/>
      <c r="D525" s="292"/>
      <c r="E525" s="292"/>
      <c r="F525" s="300"/>
      <c r="G525" s="300"/>
      <c r="H525" s="301"/>
      <c r="I525" s="292"/>
    </row>
    <row r="526" spans="1:9" ht="15.75">
      <c r="A526" s="292"/>
      <c r="B526" s="292"/>
      <c r="C526" s="299"/>
      <c r="D526" s="292"/>
      <c r="E526" s="292"/>
      <c r="F526" s="300"/>
      <c r="G526" s="300"/>
      <c r="H526" s="301"/>
      <c r="I526" s="292"/>
    </row>
    <row r="527" spans="1:9" ht="15.75">
      <c r="A527" s="292"/>
      <c r="B527" s="292"/>
      <c r="C527" s="299"/>
      <c r="D527" s="292"/>
      <c r="E527" s="292"/>
      <c r="F527" s="300"/>
      <c r="G527" s="300"/>
      <c r="H527" s="301"/>
      <c r="I527" s="292"/>
    </row>
    <row r="528" spans="1:9" ht="15.75">
      <c r="A528" s="292"/>
      <c r="B528" s="292"/>
      <c r="C528" s="299"/>
      <c r="D528" s="292"/>
      <c r="E528" s="292"/>
      <c r="F528" s="300"/>
      <c r="G528" s="300"/>
      <c r="H528" s="301"/>
      <c r="I528" s="292"/>
    </row>
    <row r="529" spans="1:9" ht="15.75">
      <c r="A529" s="292"/>
      <c r="B529" s="292"/>
      <c r="C529" s="299"/>
      <c r="D529" s="292"/>
      <c r="E529" s="292"/>
      <c r="F529" s="300"/>
      <c r="G529" s="300"/>
      <c r="H529" s="301"/>
      <c r="I529" s="292"/>
    </row>
    <row r="530" spans="1:9" ht="15.75">
      <c r="A530" s="292"/>
      <c r="B530" s="292"/>
      <c r="C530" s="299"/>
      <c r="D530" s="292"/>
      <c r="E530" s="292"/>
      <c r="F530" s="300"/>
      <c r="G530" s="300"/>
      <c r="H530" s="301"/>
      <c r="I530" s="292"/>
    </row>
    <row r="531" spans="1:9" ht="15.75">
      <c r="A531" s="292"/>
      <c r="B531" s="292"/>
      <c r="C531" s="299"/>
      <c r="D531" s="292"/>
      <c r="E531" s="292"/>
      <c r="F531" s="300"/>
      <c r="G531" s="300"/>
      <c r="H531" s="301"/>
      <c r="I531" s="292"/>
    </row>
    <row r="532" spans="1:9" ht="15.75">
      <c r="A532" s="292"/>
      <c r="B532" s="292"/>
      <c r="C532" s="299"/>
      <c r="D532" s="292"/>
      <c r="E532" s="292"/>
      <c r="F532" s="300"/>
      <c r="G532" s="300"/>
      <c r="H532" s="301"/>
      <c r="I532" s="292"/>
    </row>
    <row r="533" spans="1:9" ht="15.75">
      <c r="A533" s="292"/>
      <c r="B533" s="292"/>
      <c r="C533" s="299"/>
      <c r="D533" s="292"/>
      <c r="E533" s="292"/>
      <c r="F533" s="300"/>
      <c r="G533" s="300"/>
      <c r="H533" s="301"/>
      <c r="I533" s="292"/>
    </row>
    <row r="534" spans="1:9" ht="15.75">
      <c r="A534" s="292"/>
      <c r="B534" s="292"/>
      <c r="C534" s="299"/>
      <c r="D534" s="292"/>
      <c r="E534" s="292"/>
      <c r="F534" s="300"/>
      <c r="G534" s="300"/>
      <c r="H534" s="301"/>
      <c r="I534" s="292"/>
    </row>
    <row r="535" spans="1:9" ht="15.75">
      <c r="A535" s="292"/>
      <c r="B535" s="292"/>
      <c r="C535" s="299"/>
      <c r="D535" s="292"/>
      <c r="E535" s="292"/>
      <c r="F535" s="300"/>
      <c r="G535" s="300"/>
      <c r="H535" s="301"/>
      <c r="I535" s="292"/>
    </row>
    <row r="536" spans="1:9" ht="15.75">
      <c r="A536" s="292"/>
      <c r="B536" s="292"/>
      <c r="C536" s="299"/>
      <c r="D536" s="292"/>
      <c r="E536" s="292"/>
      <c r="F536" s="300"/>
      <c r="G536" s="300"/>
      <c r="H536" s="301"/>
      <c r="I536" s="292"/>
    </row>
    <row r="537" spans="1:9" ht="15.75">
      <c r="A537" s="292"/>
      <c r="B537" s="292"/>
      <c r="C537" s="299"/>
      <c r="D537" s="292"/>
      <c r="E537" s="292"/>
      <c r="F537" s="300"/>
      <c r="G537" s="300"/>
      <c r="H537" s="301"/>
      <c r="I537" s="292"/>
    </row>
    <row r="538" spans="1:9" ht="15.75">
      <c r="A538" s="292"/>
      <c r="B538" s="292"/>
      <c r="C538" s="299"/>
      <c r="D538" s="292"/>
      <c r="E538" s="292"/>
      <c r="F538" s="300"/>
      <c r="G538" s="300"/>
      <c r="H538" s="301"/>
      <c r="I538" s="292"/>
    </row>
    <row r="539" spans="1:9" ht="15.75">
      <c r="A539" s="292"/>
      <c r="B539" s="292"/>
      <c r="C539" s="299"/>
      <c r="D539" s="292"/>
      <c r="E539" s="292"/>
      <c r="F539" s="300"/>
      <c r="G539" s="300"/>
      <c r="H539" s="301"/>
      <c r="I539" s="292"/>
    </row>
    <row r="540" spans="1:9" ht="15.75">
      <c r="A540" s="292"/>
      <c r="B540" s="292"/>
      <c r="C540" s="299"/>
      <c r="D540" s="292"/>
      <c r="E540" s="292"/>
      <c r="F540" s="300"/>
      <c r="G540" s="300"/>
      <c r="H540" s="301"/>
      <c r="I540" s="292"/>
    </row>
    <row r="541" spans="1:9" ht="15.75">
      <c r="A541" s="292"/>
      <c r="B541" s="292"/>
      <c r="C541" s="299"/>
      <c r="D541" s="292"/>
      <c r="E541" s="292"/>
      <c r="F541" s="300"/>
      <c r="G541" s="300"/>
      <c r="H541" s="301"/>
      <c r="I541" s="292"/>
    </row>
    <row r="542" spans="1:9" ht="15.75">
      <c r="A542" s="292"/>
      <c r="B542" s="292"/>
      <c r="C542" s="299"/>
      <c r="D542" s="292"/>
      <c r="E542" s="292"/>
      <c r="F542" s="300"/>
      <c r="G542" s="300"/>
      <c r="H542" s="301"/>
      <c r="I542" s="292"/>
    </row>
    <row r="543" spans="1:9" ht="15.75">
      <c r="A543" s="292"/>
      <c r="B543" s="292"/>
      <c r="C543" s="299"/>
      <c r="D543" s="292"/>
      <c r="E543" s="292"/>
      <c r="F543" s="300"/>
      <c r="G543" s="300"/>
      <c r="H543" s="301"/>
      <c r="I543" s="292"/>
    </row>
    <row r="544" spans="1:9" ht="15.75">
      <c r="A544" s="292"/>
      <c r="B544" s="292"/>
      <c r="C544" s="299"/>
      <c r="D544" s="292"/>
      <c r="E544" s="292"/>
      <c r="F544" s="300"/>
      <c r="G544" s="300"/>
      <c r="H544" s="301"/>
      <c r="I544" s="292"/>
    </row>
    <row r="545" spans="1:9" ht="15.75">
      <c r="A545" s="292"/>
      <c r="B545" s="292"/>
      <c r="C545" s="299"/>
      <c r="D545" s="292"/>
      <c r="E545" s="292"/>
      <c r="F545" s="300"/>
      <c r="G545" s="300"/>
      <c r="H545" s="301"/>
      <c r="I545" s="292"/>
    </row>
    <row r="546" spans="1:9" ht="15.75">
      <c r="A546" s="292"/>
      <c r="B546" s="292"/>
      <c r="C546" s="299"/>
      <c r="D546" s="292"/>
      <c r="E546" s="292"/>
      <c r="F546" s="300"/>
      <c r="G546" s="300"/>
      <c r="H546" s="301"/>
      <c r="I546" s="292"/>
    </row>
    <row r="547" spans="1:9" ht="15.75">
      <c r="A547" s="292"/>
      <c r="B547" s="292"/>
      <c r="C547" s="299"/>
      <c r="D547" s="292"/>
      <c r="E547" s="292"/>
      <c r="F547" s="300"/>
      <c r="G547" s="300"/>
      <c r="H547" s="301"/>
      <c r="I547" s="292"/>
    </row>
    <row r="548" spans="1:9" ht="15.75">
      <c r="A548" s="292"/>
      <c r="B548" s="292"/>
      <c r="C548" s="299"/>
      <c r="D548" s="292"/>
      <c r="E548" s="292"/>
      <c r="F548" s="300"/>
      <c r="G548" s="300"/>
      <c r="H548" s="301"/>
      <c r="I548" s="292"/>
    </row>
    <row r="549" spans="1:9" ht="15.75">
      <c r="A549" s="292"/>
      <c r="B549" s="292"/>
      <c r="C549" s="299"/>
      <c r="D549" s="292"/>
      <c r="E549" s="292"/>
      <c r="F549" s="300"/>
      <c r="G549" s="300"/>
      <c r="H549" s="301"/>
      <c r="I549" s="292"/>
    </row>
    <row r="550" spans="1:9" ht="15.75">
      <c r="A550" s="292"/>
      <c r="B550" s="292"/>
      <c r="C550" s="299"/>
      <c r="D550" s="292"/>
      <c r="E550" s="292"/>
      <c r="F550" s="300"/>
      <c r="G550" s="300"/>
      <c r="H550" s="301"/>
      <c r="I550" s="292"/>
    </row>
    <row r="551" spans="1:9" ht="15.75">
      <c r="A551" s="292"/>
      <c r="B551" s="292"/>
      <c r="C551" s="299"/>
      <c r="D551" s="292"/>
      <c r="E551" s="292"/>
      <c r="F551" s="300"/>
      <c r="G551" s="300"/>
      <c r="H551" s="301"/>
      <c r="I551" s="292"/>
    </row>
    <row r="552" spans="1:9" ht="15.75">
      <c r="A552" s="292"/>
      <c r="B552" s="292"/>
      <c r="C552" s="299"/>
      <c r="D552" s="292"/>
      <c r="E552" s="292"/>
      <c r="F552" s="300"/>
      <c r="G552" s="300"/>
      <c r="H552" s="301"/>
      <c r="I552" s="292"/>
    </row>
    <row r="553" spans="1:9" ht="15.75">
      <c r="A553" s="292"/>
      <c r="B553" s="292"/>
      <c r="C553" s="299"/>
      <c r="D553" s="292"/>
      <c r="E553" s="292"/>
      <c r="F553" s="300"/>
      <c r="G553" s="300"/>
      <c r="H553" s="301"/>
      <c r="I553" s="292"/>
    </row>
    <row r="554" spans="1:9" ht="15.75">
      <c r="A554" s="292"/>
      <c r="B554" s="292"/>
      <c r="C554" s="299"/>
      <c r="D554" s="292"/>
      <c r="E554" s="292"/>
      <c r="F554" s="300"/>
      <c r="G554" s="300"/>
      <c r="H554" s="301"/>
      <c r="I554" s="292"/>
    </row>
    <row r="555" spans="1:9" ht="15.75">
      <c r="A555" s="292"/>
      <c r="B555" s="292"/>
      <c r="C555" s="299"/>
      <c r="D555" s="292"/>
      <c r="E555" s="292"/>
      <c r="F555" s="300"/>
      <c r="G555" s="300"/>
      <c r="H555" s="301"/>
      <c r="I555" s="292"/>
    </row>
    <row r="556" spans="1:9" ht="15.75">
      <c r="A556" s="292"/>
      <c r="B556" s="292"/>
      <c r="C556" s="299"/>
      <c r="D556" s="292"/>
      <c r="E556" s="292"/>
      <c r="F556" s="300"/>
      <c r="G556" s="300"/>
      <c r="H556" s="301"/>
      <c r="I556" s="292"/>
    </row>
    <row r="557" spans="1:9" ht="15.75">
      <c r="A557" s="292"/>
      <c r="B557" s="292"/>
      <c r="C557" s="299"/>
      <c r="D557" s="292"/>
      <c r="E557" s="292"/>
      <c r="F557" s="300"/>
      <c r="G557" s="300"/>
      <c r="H557" s="301"/>
      <c r="I557" s="292"/>
    </row>
    <row r="558" spans="1:9" ht="15.75">
      <c r="A558" s="292"/>
      <c r="B558" s="292"/>
      <c r="C558" s="299"/>
      <c r="D558" s="292"/>
      <c r="E558" s="292"/>
      <c r="F558" s="300"/>
      <c r="G558" s="300"/>
      <c r="H558" s="301"/>
      <c r="I558" s="292"/>
    </row>
    <row r="559" spans="1:9" ht="15.75">
      <c r="A559" s="292"/>
      <c r="B559" s="292"/>
      <c r="C559" s="299"/>
      <c r="D559" s="292"/>
      <c r="E559" s="292"/>
      <c r="F559" s="300"/>
      <c r="G559" s="300"/>
      <c r="H559" s="301"/>
      <c r="I559" s="292"/>
    </row>
    <row r="560" spans="1:9" ht="15.75">
      <c r="A560" s="292"/>
      <c r="B560" s="292"/>
      <c r="C560" s="299"/>
      <c r="D560" s="292"/>
      <c r="E560" s="292"/>
      <c r="F560" s="300"/>
      <c r="G560" s="300"/>
      <c r="H560" s="301"/>
      <c r="I560" s="292"/>
    </row>
    <row r="561" spans="1:9" ht="15.75">
      <c r="A561" s="292"/>
      <c r="B561" s="292"/>
      <c r="C561" s="299"/>
      <c r="D561" s="292"/>
      <c r="E561" s="292"/>
      <c r="F561" s="300"/>
      <c r="G561" s="300"/>
      <c r="H561" s="301"/>
      <c r="I561" s="292"/>
    </row>
    <row r="562" spans="1:9" ht="15.75">
      <c r="A562" s="292"/>
      <c r="B562" s="292"/>
      <c r="C562" s="299"/>
      <c r="D562" s="292"/>
      <c r="E562" s="292"/>
      <c r="F562" s="300"/>
      <c r="G562" s="300"/>
      <c r="H562" s="301"/>
      <c r="I562" s="292"/>
    </row>
    <row r="563" spans="1:9" ht="15.75">
      <c r="A563" s="292"/>
      <c r="B563" s="292"/>
      <c r="C563" s="299"/>
      <c r="D563" s="292"/>
      <c r="E563" s="292"/>
      <c r="F563" s="300"/>
      <c r="G563" s="300"/>
      <c r="H563" s="301"/>
      <c r="I563" s="292"/>
    </row>
    <row r="564" spans="1:9" ht="15.75">
      <c r="A564" s="292"/>
      <c r="B564" s="292"/>
      <c r="C564" s="299"/>
      <c r="D564" s="292"/>
      <c r="E564" s="292"/>
      <c r="F564" s="300"/>
      <c r="G564" s="300"/>
      <c r="H564" s="301"/>
      <c r="I564" s="292"/>
    </row>
    <row r="565" spans="1:9" ht="15.75">
      <c r="A565" s="292"/>
      <c r="B565" s="292"/>
      <c r="C565" s="299"/>
      <c r="D565" s="292"/>
      <c r="E565" s="292"/>
      <c r="F565" s="300"/>
      <c r="G565" s="300"/>
      <c r="H565" s="301"/>
      <c r="I565" s="292"/>
    </row>
    <row r="566" spans="1:9" ht="15.75">
      <c r="A566" s="292"/>
      <c r="B566" s="292"/>
      <c r="C566" s="299"/>
      <c r="D566" s="292"/>
      <c r="E566" s="292"/>
      <c r="F566" s="300"/>
      <c r="G566" s="300"/>
      <c r="H566" s="301"/>
      <c r="I566" s="292"/>
    </row>
    <row r="567" spans="1:9" ht="15.75">
      <c r="A567" s="292"/>
      <c r="B567" s="292"/>
      <c r="C567" s="299"/>
      <c r="D567" s="292"/>
      <c r="E567" s="292"/>
      <c r="F567" s="300"/>
      <c r="G567" s="300"/>
      <c r="H567" s="301"/>
      <c r="I567" s="292"/>
    </row>
    <row r="568" spans="1:9" ht="15.75">
      <c r="A568" s="292"/>
      <c r="B568" s="292"/>
      <c r="C568" s="299"/>
      <c r="D568" s="292"/>
      <c r="E568" s="292"/>
      <c r="F568" s="300"/>
      <c r="G568" s="300"/>
      <c r="H568" s="301"/>
      <c r="I568" s="292"/>
    </row>
    <row r="569" spans="1:9" ht="15.75">
      <c r="A569" s="292"/>
      <c r="B569" s="292"/>
      <c r="C569" s="299"/>
      <c r="D569" s="292"/>
      <c r="E569" s="292"/>
      <c r="F569" s="300"/>
      <c r="G569" s="300"/>
      <c r="H569" s="301"/>
      <c r="I569" s="292"/>
    </row>
    <row r="570" spans="1:9" ht="15.75">
      <c r="A570" s="292"/>
      <c r="B570" s="292"/>
      <c r="C570" s="299"/>
      <c r="D570" s="292"/>
      <c r="E570" s="292"/>
      <c r="F570" s="300"/>
      <c r="G570" s="300"/>
      <c r="H570" s="301"/>
      <c r="I570" s="292"/>
    </row>
    <row r="571" spans="1:9" ht="15.75">
      <c r="A571" s="292"/>
      <c r="B571" s="292"/>
      <c r="C571" s="299"/>
      <c r="D571" s="292"/>
      <c r="E571" s="292"/>
      <c r="F571" s="300"/>
      <c r="G571" s="300"/>
      <c r="H571" s="301"/>
      <c r="I571" s="292"/>
    </row>
    <row r="572" spans="1:9" ht="15.75">
      <c r="A572" s="292"/>
      <c r="B572" s="292"/>
      <c r="C572" s="299"/>
      <c r="D572" s="292"/>
      <c r="E572" s="292"/>
      <c r="F572" s="300"/>
      <c r="G572" s="300"/>
      <c r="H572" s="301"/>
      <c r="I572" s="292"/>
    </row>
    <row r="573" spans="1:9" ht="15.75">
      <c r="A573" s="292"/>
      <c r="B573" s="292"/>
      <c r="C573" s="299"/>
      <c r="D573" s="292"/>
      <c r="E573" s="292"/>
      <c r="F573" s="300"/>
      <c r="G573" s="300"/>
      <c r="H573" s="301"/>
      <c r="I573" s="292"/>
    </row>
    <row r="574" spans="1:9" ht="15.75">
      <c r="A574" s="292"/>
      <c r="B574" s="292"/>
      <c r="C574" s="299"/>
      <c r="D574" s="292"/>
      <c r="E574" s="292"/>
      <c r="F574" s="300"/>
      <c r="G574" s="300"/>
      <c r="H574" s="301"/>
      <c r="I574" s="292"/>
    </row>
    <row r="575" spans="1:9" ht="15.75">
      <c r="A575" s="292"/>
      <c r="B575" s="292"/>
      <c r="C575" s="299"/>
      <c r="D575" s="292"/>
      <c r="E575" s="292"/>
      <c r="F575" s="300"/>
      <c r="G575" s="300"/>
      <c r="H575" s="301"/>
      <c r="I575" s="292"/>
    </row>
    <row r="576" spans="1:9" ht="15.75">
      <c r="A576" s="292"/>
      <c r="B576" s="292"/>
      <c r="C576" s="299"/>
      <c r="D576" s="292"/>
      <c r="E576" s="292"/>
      <c r="F576" s="300"/>
      <c r="G576" s="300"/>
      <c r="H576" s="301"/>
      <c r="I576" s="292"/>
    </row>
    <row r="577" spans="1:9" ht="15.75">
      <c r="A577" s="292"/>
      <c r="B577" s="292"/>
      <c r="C577" s="299"/>
      <c r="D577" s="292"/>
      <c r="E577" s="292"/>
      <c r="F577" s="300"/>
      <c r="G577" s="300"/>
      <c r="H577" s="301"/>
      <c r="I577" s="292"/>
    </row>
    <row r="578" spans="1:9" ht="15.75">
      <c r="A578" s="292"/>
      <c r="B578" s="292"/>
      <c r="C578" s="299"/>
      <c r="D578" s="292"/>
      <c r="E578" s="292"/>
      <c r="F578" s="300"/>
      <c r="G578" s="300"/>
      <c r="H578" s="301"/>
      <c r="I578" s="292"/>
    </row>
    <row r="579" spans="1:9" ht="15.75">
      <c r="A579" s="292"/>
      <c r="B579" s="292"/>
      <c r="C579" s="299"/>
      <c r="D579" s="292"/>
      <c r="E579" s="292"/>
      <c r="F579" s="300"/>
      <c r="G579" s="300"/>
      <c r="H579" s="301"/>
      <c r="I579" s="292"/>
    </row>
    <row r="580" spans="1:9" ht="15.75">
      <c r="A580" s="292"/>
      <c r="B580" s="292"/>
      <c r="C580" s="299"/>
      <c r="D580" s="292"/>
      <c r="E580" s="292"/>
      <c r="F580" s="300"/>
      <c r="G580" s="300"/>
      <c r="H580" s="301"/>
      <c r="I580" s="292"/>
    </row>
    <row r="581" spans="1:9" ht="15.75">
      <c r="A581" s="292"/>
      <c r="B581" s="292"/>
      <c r="C581" s="299"/>
      <c r="D581" s="292"/>
      <c r="E581" s="292"/>
      <c r="F581" s="300"/>
      <c r="G581" s="300"/>
      <c r="H581" s="301"/>
      <c r="I581" s="292"/>
    </row>
    <row r="582" spans="1:9" ht="15.75">
      <c r="A582" s="292"/>
      <c r="B582" s="292"/>
      <c r="C582" s="299"/>
      <c r="D582" s="292"/>
      <c r="E582" s="292"/>
      <c r="F582" s="300"/>
      <c r="G582" s="300"/>
      <c r="H582" s="301"/>
      <c r="I582" s="292"/>
    </row>
    <row r="583" spans="1:9" ht="15.75">
      <c r="A583" s="292"/>
      <c r="B583" s="292"/>
      <c r="C583" s="299"/>
      <c r="D583" s="292"/>
      <c r="E583" s="292"/>
      <c r="F583" s="300"/>
      <c r="G583" s="300"/>
      <c r="H583" s="301"/>
      <c r="I583" s="292"/>
    </row>
    <row r="584" spans="1:9" ht="15.75">
      <c r="A584" s="292"/>
      <c r="B584" s="292"/>
      <c r="C584" s="299"/>
      <c r="D584" s="292"/>
      <c r="E584" s="292"/>
      <c r="F584" s="300"/>
      <c r="G584" s="300"/>
      <c r="H584" s="301"/>
      <c r="I584" s="292"/>
    </row>
    <row r="585" spans="1:9" ht="15.75">
      <c r="A585" s="292"/>
      <c r="B585" s="292"/>
      <c r="C585" s="299"/>
      <c r="D585" s="292"/>
      <c r="E585" s="292"/>
      <c r="F585" s="300"/>
      <c r="G585" s="300"/>
      <c r="H585" s="301"/>
      <c r="I585" s="292"/>
    </row>
    <row r="586" spans="1:9" ht="15.75">
      <c r="A586" s="292"/>
      <c r="B586" s="292"/>
      <c r="C586" s="299"/>
      <c r="D586" s="292"/>
      <c r="E586" s="292"/>
      <c r="F586" s="300"/>
      <c r="G586" s="300"/>
      <c r="H586" s="301"/>
      <c r="I586" s="292"/>
    </row>
    <row r="587" spans="1:9" ht="15.75">
      <c r="A587" s="292"/>
      <c r="B587" s="292"/>
      <c r="C587" s="299"/>
      <c r="D587" s="292"/>
      <c r="E587" s="292"/>
      <c r="F587" s="300"/>
      <c r="G587" s="300"/>
      <c r="H587" s="301"/>
      <c r="I587" s="292"/>
    </row>
    <row r="588" spans="1:9" ht="15.75">
      <c r="A588" s="292"/>
      <c r="B588" s="292"/>
      <c r="C588" s="299"/>
      <c r="D588" s="292"/>
      <c r="E588" s="292"/>
      <c r="F588" s="300"/>
      <c r="G588" s="300"/>
      <c r="H588" s="301"/>
      <c r="I588" s="292"/>
    </row>
    <row r="589" spans="1:9" ht="15.75">
      <c r="A589" s="292"/>
      <c r="B589" s="292"/>
      <c r="C589" s="299"/>
      <c r="D589" s="292"/>
      <c r="E589" s="292"/>
      <c r="F589" s="300"/>
      <c r="G589" s="300"/>
      <c r="H589" s="301"/>
      <c r="I589" s="292"/>
    </row>
    <row r="590" spans="1:9" ht="15.75">
      <c r="A590" s="292"/>
      <c r="B590" s="292"/>
      <c r="C590" s="299"/>
      <c r="D590" s="292"/>
      <c r="E590" s="292"/>
      <c r="F590" s="300"/>
      <c r="G590" s="300"/>
      <c r="H590" s="301"/>
      <c r="I590" s="292"/>
    </row>
    <row r="591" spans="1:9" ht="15.75">
      <c r="A591" s="292"/>
      <c r="B591" s="292"/>
      <c r="C591" s="299"/>
      <c r="D591" s="292"/>
      <c r="E591" s="292"/>
      <c r="F591" s="300"/>
      <c r="G591" s="300"/>
      <c r="H591" s="301"/>
      <c r="I591" s="292"/>
    </row>
    <row r="592" spans="1:9" ht="15.75">
      <c r="A592" s="292"/>
      <c r="B592" s="292"/>
      <c r="C592" s="299"/>
      <c r="D592" s="292"/>
      <c r="E592" s="292"/>
      <c r="F592" s="300"/>
      <c r="G592" s="300"/>
      <c r="H592" s="301"/>
      <c r="I592" s="292"/>
    </row>
    <row r="593" spans="1:9" ht="15.75">
      <c r="A593" s="292"/>
      <c r="B593" s="292"/>
      <c r="C593" s="299"/>
      <c r="D593" s="292"/>
      <c r="E593" s="292"/>
      <c r="F593" s="300"/>
      <c r="G593" s="300"/>
      <c r="H593" s="301"/>
      <c r="I593" s="292"/>
    </row>
    <row r="594" spans="1:9" ht="15.75">
      <c r="A594" s="292"/>
      <c r="B594" s="292"/>
      <c r="C594" s="299"/>
      <c r="D594" s="292"/>
      <c r="E594" s="292"/>
      <c r="F594" s="300"/>
      <c r="G594" s="300"/>
      <c r="H594" s="301"/>
      <c r="I594" s="292"/>
    </row>
    <row r="595" spans="1:9" ht="15.75">
      <c r="A595" s="292"/>
      <c r="B595" s="292"/>
      <c r="C595" s="299"/>
      <c r="D595" s="292"/>
      <c r="E595" s="292"/>
      <c r="F595" s="300"/>
      <c r="G595" s="300"/>
      <c r="H595" s="301"/>
      <c r="I595" s="292"/>
    </row>
    <row r="596" spans="1:9" ht="15.75">
      <c r="A596" s="292"/>
      <c r="B596" s="292"/>
      <c r="C596" s="299"/>
      <c r="D596" s="292"/>
      <c r="E596" s="292"/>
      <c r="F596" s="300"/>
      <c r="G596" s="300"/>
      <c r="H596" s="301"/>
      <c r="I596" s="292"/>
    </row>
    <row r="597" spans="1:9" ht="15.75">
      <c r="A597" s="292"/>
      <c r="B597" s="292"/>
      <c r="C597" s="299"/>
      <c r="D597" s="292"/>
      <c r="E597" s="292"/>
      <c r="F597" s="300"/>
      <c r="G597" s="300"/>
      <c r="H597" s="301"/>
      <c r="I597" s="292"/>
    </row>
    <row r="598" spans="1:9" ht="15.75">
      <c r="A598" s="292"/>
      <c r="B598" s="292"/>
      <c r="C598" s="299"/>
      <c r="D598" s="292"/>
      <c r="E598" s="292"/>
      <c r="F598" s="300"/>
      <c r="G598" s="300"/>
      <c r="H598" s="301"/>
      <c r="I598" s="292"/>
    </row>
    <row r="599" spans="1:9" ht="15.75">
      <c r="A599" s="292"/>
      <c r="B599" s="292"/>
      <c r="C599" s="299"/>
      <c r="D599" s="292"/>
      <c r="E599" s="292"/>
      <c r="F599" s="300"/>
      <c r="G599" s="300"/>
      <c r="H599" s="301"/>
      <c r="I599" s="292"/>
    </row>
    <row r="600" spans="1:9" ht="15.75">
      <c r="A600" s="292"/>
      <c r="B600" s="292"/>
      <c r="C600" s="299"/>
      <c r="D600" s="292"/>
      <c r="E600" s="292"/>
      <c r="F600" s="300"/>
      <c r="G600" s="300"/>
      <c r="H600" s="301"/>
      <c r="I600" s="292"/>
    </row>
    <row r="601" spans="1:9" ht="15.75">
      <c r="A601" s="292"/>
      <c r="B601" s="292"/>
      <c r="C601" s="299"/>
      <c r="D601" s="292"/>
      <c r="E601" s="292"/>
      <c r="F601" s="300"/>
      <c r="G601" s="300"/>
      <c r="H601" s="301"/>
      <c r="I601" s="292"/>
    </row>
    <row r="602" spans="1:9" ht="15.75">
      <c r="A602" s="292"/>
      <c r="B602" s="292"/>
      <c r="C602" s="299"/>
      <c r="D602" s="292"/>
      <c r="E602" s="292"/>
      <c r="F602" s="300"/>
      <c r="G602" s="300"/>
      <c r="H602" s="301"/>
      <c r="I602" s="292"/>
    </row>
    <row r="603" spans="1:9" ht="15.75">
      <c r="A603" s="292"/>
      <c r="B603" s="292"/>
      <c r="C603" s="299"/>
      <c r="D603" s="292"/>
      <c r="E603" s="292"/>
      <c r="F603" s="300"/>
      <c r="G603" s="300"/>
      <c r="H603" s="301"/>
      <c r="I603" s="292"/>
    </row>
    <row r="604" spans="1:9" ht="15.75">
      <c r="A604" s="292"/>
      <c r="B604" s="292"/>
      <c r="C604" s="299"/>
      <c r="D604" s="292"/>
      <c r="E604" s="292"/>
      <c r="F604" s="300"/>
      <c r="G604" s="300"/>
      <c r="H604" s="301"/>
      <c r="I604" s="292"/>
    </row>
    <row r="605" spans="1:9" ht="15.75">
      <c r="A605" s="292"/>
      <c r="B605" s="292"/>
      <c r="C605" s="299"/>
      <c r="D605" s="292"/>
      <c r="E605" s="292"/>
      <c r="F605" s="300"/>
      <c r="G605" s="300"/>
      <c r="H605" s="301"/>
      <c r="I605" s="292"/>
    </row>
    <row r="606" spans="1:9" ht="15.75">
      <c r="A606" s="292"/>
      <c r="B606" s="292"/>
      <c r="C606" s="299"/>
      <c r="D606" s="292"/>
      <c r="E606" s="292"/>
      <c r="F606" s="300"/>
      <c r="G606" s="300"/>
      <c r="H606" s="301"/>
      <c r="I606" s="292"/>
    </row>
    <row r="607" spans="1:9" ht="15.75">
      <c r="A607" s="292"/>
      <c r="B607" s="292"/>
      <c r="C607" s="299"/>
      <c r="D607" s="292"/>
      <c r="E607" s="292"/>
      <c r="F607" s="300"/>
      <c r="G607" s="300"/>
      <c r="H607" s="301"/>
      <c r="I607" s="292"/>
    </row>
    <row r="608" spans="1:9" ht="15.75">
      <c r="A608" s="292"/>
      <c r="B608" s="292"/>
      <c r="C608" s="299"/>
      <c r="D608" s="292"/>
      <c r="E608" s="292"/>
      <c r="F608" s="300"/>
      <c r="G608" s="300"/>
      <c r="H608" s="301"/>
      <c r="I608" s="292"/>
    </row>
    <row r="609" spans="1:9" ht="15.75">
      <c r="A609" s="292"/>
      <c r="B609" s="292"/>
      <c r="C609" s="299"/>
      <c r="D609" s="292"/>
      <c r="E609" s="292"/>
      <c r="F609" s="300"/>
      <c r="G609" s="300"/>
      <c r="H609" s="301"/>
      <c r="I609" s="292"/>
    </row>
    <row r="610" spans="1:9" ht="15.75">
      <c r="A610" s="292"/>
      <c r="B610" s="292"/>
      <c r="C610" s="299"/>
      <c r="D610" s="292"/>
      <c r="E610" s="292"/>
      <c r="F610" s="300"/>
      <c r="G610" s="300"/>
      <c r="H610" s="301"/>
      <c r="I610" s="292"/>
    </row>
    <row r="611" spans="1:9" ht="15.75">
      <c r="A611" s="292"/>
      <c r="B611" s="292"/>
      <c r="C611" s="299"/>
      <c r="D611" s="292"/>
      <c r="E611" s="292"/>
      <c r="F611" s="300"/>
      <c r="G611" s="300"/>
      <c r="H611" s="301"/>
      <c r="I611" s="292"/>
    </row>
    <row r="612" spans="1:9" ht="15.75">
      <c r="A612" s="292"/>
      <c r="B612" s="292"/>
      <c r="C612" s="299"/>
      <c r="D612" s="292"/>
      <c r="E612" s="292"/>
      <c r="F612" s="300"/>
      <c r="G612" s="300"/>
      <c r="H612" s="301"/>
      <c r="I612" s="292"/>
    </row>
    <row r="613" spans="1:9" ht="15.75">
      <c r="A613" s="292"/>
      <c r="B613" s="292"/>
      <c r="C613" s="299"/>
      <c r="D613" s="292"/>
      <c r="E613" s="292"/>
      <c r="F613" s="300"/>
      <c r="G613" s="300"/>
      <c r="H613" s="301"/>
      <c r="I613" s="292"/>
    </row>
    <row r="614" spans="1:9" ht="15.75">
      <c r="A614" s="292"/>
      <c r="B614" s="292"/>
      <c r="C614" s="299"/>
      <c r="D614" s="292"/>
      <c r="E614" s="292"/>
      <c r="F614" s="300"/>
      <c r="G614" s="300"/>
      <c r="H614" s="301"/>
      <c r="I614" s="292"/>
    </row>
    <row r="615" spans="1:9" ht="15.75">
      <c r="A615" s="292"/>
      <c r="B615" s="292"/>
      <c r="C615" s="299"/>
      <c r="D615" s="292"/>
      <c r="E615" s="292"/>
      <c r="F615" s="300"/>
      <c r="G615" s="300"/>
      <c r="H615" s="301"/>
      <c r="I615" s="292"/>
    </row>
    <row r="616" spans="1:9" ht="15.75">
      <c r="A616" s="292"/>
      <c r="B616" s="292"/>
      <c r="C616" s="299"/>
      <c r="D616" s="292"/>
      <c r="E616" s="292"/>
      <c r="F616" s="300"/>
      <c r="G616" s="300"/>
      <c r="H616" s="301"/>
      <c r="I616" s="292"/>
    </row>
    <row r="617" spans="1:9" ht="15.75">
      <c r="A617" s="292"/>
      <c r="B617" s="292"/>
      <c r="C617" s="299"/>
      <c r="D617" s="292"/>
      <c r="E617" s="292"/>
      <c r="F617" s="300"/>
      <c r="G617" s="300"/>
      <c r="H617" s="301"/>
      <c r="I617" s="292"/>
    </row>
    <row r="618" spans="1:9" ht="15.75">
      <c r="A618" s="292"/>
      <c r="B618" s="292"/>
      <c r="C618" s="299"/>
      <c r="D618" s="292"/>
      <c r="E618" s="292"/>
      <c r="F618" s="300"/>
      <c r="G618" s="300"/>
      <c r="H618" s="301"/>
      <c r="I618" s="292"/>
    </row>
    <row r="619" spans="1:9" ht="15.75">
      <c r="A619" s="292"/>
      <c r="B619" s="292"/>
      <c r="C619" s="299"/>
      <c r="D619" s="292"/>
      <c r="E619" s="292"/>
      <c r="F619" s="300"/>
      <c r="G619" s="300"/>
      <c r="H619" s="301"/>
      <c r="I619" s="292"/>
    </row>
    <row r="620" spans="1:9" ht="15.75">
      <c r="A620" s="292"/>
      <c r="B620" s="292"/>
      <c r="C620" s="299"/>
      <c r="D620" s="292"/>
      <c r="E620" s="292"/>
      <c r="F620" s="300"/>
      <c r="G620" s="300"/>
      <c r="H620" s="301"/>
      <c r="I620" s="292"/>
    </row>
    <row r="621" spans="1:9" ht="15.75">
      <c r="A621" s="292"/>
      <c r="B621" s="292"/>
      <c r="C621" s="299"/>
      <c r="D621" s="292"/>
      <c r="E621" s="292"/>
      <c r="F621" s="300"/>
      <c r="G621" s="300"/>
      <c r="H621" s="301"/>
      <c r="I621" s="292"/>
    </row>
    <row r="622" spans="1:9" ht="15.75">
      <c r="A622" s="292"/>
      <c r="B622" s="292"/>
      <c r="C622" s="299"/>
      <c r="D622" s="292"/>
      <c r="E622" s="292"/>
      <c r="F622" s="300"/>
      <c r="G622" s="300"/>
      <c r="H622" s="301"/>
      <c r="I622" s="292"/>
    </row>
    <row r="623" spans="1:9" ht="15.75">
      <c r="A623" s="292"/>
      <c r="B623" s="292"/>
      <c r="C623" s="299"/>
      <c r="D623" s="292"/>
      <c r="E623" s="292"/>
      <c r="F623" s="300"/>
      <c r="G623" s="300"/>
      <c r="H623" s="301"/>
      <c r="I623" s="292"/>
    </row>
    <row r="624" spans="1:9" ht="15.75">
      <c r="A624" s="292"/>
      <c r="B624" s="292"/>
      <c r="C624" s="299"/>
      <c r="D624" s="292"/>
      <c r="E624" s="292"/>
      <c r="F624" s="300"/>
      <c r="G624" s="300"/>
      <c r="H624" s="301"/>
      <c r="I624" s="292"/>
    </row>
    <row r="625" spans="1:9" ht="15.75">
      <c r="A625" s="292"/>
      <c r="B625" s="292"/>
      <c r="C625" s="299"/>
      <c r="D625" s="292"/>
      <c r="E625" s="292"/>
      <c r="F625" s="300"/>
      <c r="G625" s="300"/>
      <c r="H625" s="301"/>
      <c r="I625" s="292"/>
    </row>
    <row r="626" spans="1:9" ht="15.75">
      <c r="A626" s="292"/>
      <c r="B626" s="292"/>
      <c r="C626" s="299"/>
      <c r="D626" s="292"/>
      <c r="E626" s="292"/>
      <c r="F626" s="300"/>
      <c r="G626" s="300"/>
      <c r="H626" s="301"/>
      <c r="I626" s="292"/>
    </row>
    <row r="627" spans="1:9" ht="15.75">
      <c r="A627" s="292"/>
      <c r="B627" s="292"/>
      <c r="C627" s="299"/>
      <c r="D627" s="292"/>
      <c r="E627" s="292"/>
      <c r="F627" s="300"/>
      <c r="G627" s="300"/>
      <c r="H627" s="301"/>
      <c r="I627" s="292"/>
    </row>
    <row r="628" spans="1:9" ht="15.75">
      <c r="A628" s="292"/>
      <c r="B628" s="292"/>
      <c r="C628" s="299"/>
      <c r="D628" s="292"/>
      <c r="E628" s="292"/>
      <c r="F628" s="300"/>
      <c r="G628" s="300"/>
      <c r="H628" s="301"/>
      <c r="I628" s="292"/>
    </row>
    <row r="629" spans="1:9" ht="15.75">
      <c r="A629" s="292"/>
      <c r="B629" s="292"/>
      <c r="C629" s="299"/>
      <c r="D629" s="292"/>
      <c r="E629" s="292"/>
      <c r="F629" s="300"/>
      <c r="G629" s="300"/>
      <c r="H629" s="301"/>
      <c r="I629" s="292"/>
    </row>
    <row r="630" spans="1:9" ht="15.75">
      <c r="A630" s="292"/>
      <c r="B630" s="292"/>
      <c r="C630" s="299"/>
      <c r="D630" s="292"/>
      <c r="E630" s="292"/>
      <c r="F630" s="300"/>
      <c r="G630" s="300"/>
      <c r="H630" s="301"/>
      <c r="I630" s="292"/>
    </row>
    <row r="631" spans="1:9" ht="15.75">
      <c r="A631" s="292"/>
      <c r="B631" s="292"/>
      <c r="C631" s="299"/>
      <c r="D631" s="292"/>
      <c r="E631" s="292"/>
      <c r="F631" s="300"/>
      <c r="G631" s="300"/>
      <c r="H631" s="301"/>
      <c r="I631" s="292"/>
    </row>
    <row r="632" spans="1:9" ht="15.75">
      <c r="A632" s="292"/>
      <c r="B632" s="292"/>
      <c r="C632" s="299"/>
      <c r="D632" s="292"/>
      <c r="E632" s="292"/>
      <c r="F632" s="300"/>
      <c r="G632" s="300"/>
      <c r="H632" s="301"/>
      <c r="I632" s="292"/>
    </row>
    <row r="633" spans="1:9" ht="15.75">
      <c r="A633" s="292"/>
      <c r="B633" s="292"/>
      <c r="C633" s="299"/>
      <c r="D633" s="292"/>
      <c r="E633" s="292"/>
      <c r="F633" s="300"/>
      <c r="G633" s="300"/>
      <c r="H633" s="301"/>
      <c r="I633" s="292"/>
    </row>
    <row r="634" spans="1:9" ht="15.75">
      <c r="A634" s="292"/>
      <c r="B634" s="292"/>
      <c r="C634" s="299"/>
      <c r="D634" s="292"/>
      <c r="E634" s="292"/>
      <c r="F634" s="300"/>
      <c r="G634" s="300"/>
      <c r="H634" s="301"/>
      <c r="I634" s="292"/>
    </row>
    <row r="635" spans="1:9" ht="15.75">
      <c r="A635" s="292"/>
      <c r="B635" s="292"/>
      <c r="C635" s="299"/>
      <c r="D635" s="292"/>
      <c r="E635" s="292"/>
      <c r="F635" s="300"/>
      <c r="G635" s="300"/>
      <c r="H635" s="301"/>
      <c r="I635" s="292"/>
    </row>
    <row r="636" spans="1:9" ht="15.75">
      <c r="A636" s="292"/>
      <c r="B636" s="292"/>
      <c r="C636" s="299"/>
      <c r="D636" s="292"/>
      <c r="E636" s="292"/>
      <c r="F636" s="300"/>
      <c r="G636" s="300"/>
      <c r="H636" s="301"/>
      <c r="I636" s="292"/>
    </row>
    <row r="637" spans="1:9" ht="15.75">
      <c r="A637" s="292"/>
      <c r="B637" s="292"/>
      <c r="C637" s="299"/>
      <c r="D637" s="292"/>
      <c r="E637" s="292"/>
      <c r="F637" s="300"/>
      <c r="G637" s="300"/>
      <c r="H637" s="301"/>
      <c r="I637" s="292"/>
    </row>
    <row r="638" spans="1:9" ht="15.75">
      <c r="A638" s="292"/>
      <c r="B638" s="292"/>
      <c r="C638" s="299"/>
      <c r="D638" s="292"/>
      <c r="E638" s="292"/>
      <c r="F638" s="300"/>
      <c r="G638" s="300"/>
      <c r="H638" s="301"/>
      <c r="I638" s="292"/>
    </row>
    <row r="639" spans="1:9" ht="15.75">
      <c r="A639" s="292"/>
      <c r="B639" s="292"/>
      <c r="C639" s="299"/>
      <c r="D639" s="292"/>
      <c r="E639" s="292"/>
      <c r="F639" s="300"/>
      <c r="G639" s="300"/>
      <c r="H639" s="301"/>
      <c r="I639" s="292"/>
    </row>
    <row r="640" spans="1:9" ht="15.75">
      <c r="A640" s="292"/>
      <c r="B640" s="292"/>
      <c r="C640" s="299"/>
      <c r="D640" s="292"/>
      <c r="E640" s="292"/>
      <c r="F640" s="300"/>
      <c r="G640" s="300"/>
      <c r="H640" s="301"/>
      <c r="I640" s="292"/>
    </row>
    <row r="641" spans="1:9" ht="15.75">
      <c r="A641" s="292"/>
      <c r="B641" s="292"/>
      <c r="C641" s="299"/>
      <c r="D641" s="292"/>
      <c r="E641" s="292"/>
      <c r="F641" s="300"/>
      <c r="G641" s="300"/>
      <c r="H641" s="301"/>
      <c r="I641" s="292"/>
    </row>
    <row r="642" spans="1:9" ht="15.75">
      <c r="A642" s="292"/>
      <c r="B642" s="292"/>
      <c r="C642" s="299"/>
      <c r="D642" s="292"/>
      <c r="E642" s="292"/>
      <c r="F642" s="300"/>
      <c r="G642" s="300"/>
      <c r="H642" s="301"/>
      <c r="I642" s="292"/>
    </row>
    <row r="643" spans="1:9" ht="15.75">
      <c r="A643" s="292"/>
      <c r="B643" s="292"/>
      <c r="C643" s="299"/>
      <c r="D643" s="292"/>
      <c r="E643" s="292"/>
      <c r="F643" s="300"/>
      <c r="G643" s="300"/>
      <c r="H643" s="301"/>
      <c r="I643" s="292"/>
    </row>
    <row r="644" spans="1:9" ht="15.75">
      <c r="A644" s="292"/>
      <c r="B644" s="292"/>
      <c r="C644" s="299"/>
      <c r="D644" s="292"/>
      <c r="E644" s="292"/>
      <c r="F644" s="300"/>
      <c r="G644" s="300"/>
      <c r="H644" s="301"/>
      <c r="I644" s="292"/>
    </row>
    <row r="645" spans="1:9" ht="15.75">
      <c r="A645" s="292"/>
      <c r="B645" s="292"/>
      <c r="C645" s="299"/>
      <c r="D645" s="292"/>
      <c r="E645" s="292"/>
      <c r="F645" s="300"/>
      <c r="G645" s="300"/>
      <c r="H645" s="301"/>
      <c r="I645" s="292"/>
    </row>
    <row r="646" spans="1:9" ht="15.75">
      <c r="A646" s="292"/>
      <c r="B646" s="292"/>
      <c r="C646" s="299"/>
      <c r="D646" s="292"/>
      <c r="E646" s="292"/>
      <c r="F646" s="300"/>
      <c r="G646" s="300"/>
      <c r="H646" s="301"/>
      <c r="I646" s="292"/>
    </row>
    <row r="647" spans="1:9" ht="15.75">
      <c r="A647" s="292"/>
      <c r="B647" s="292"/>
      <c r="C647" s="299"/>
      <c r="D647" s="292"/>
      <c r="E647" s="292"/>
      <c r="F647" s="300"/>
      <c r="G647" s="300"/>
      <c r="H647" s="301"/>
      <c r="I647" s="292"/>
    </row>
    <row r="648" spans="1:9" ht="15.75">
      <c r="A648" s="292"/>
      <c r="B648" s="292"/>
      <c r="C648" s="299"/>
      <c r="D648" s="292"/>
      <c r="E648" s="292"/>
      <c r="F648" s="300"/>
      <c r="G648" s="300"/>
      <c r="H648" s="301"/>
      <c r="I648" s="292"/>
    </row>
    <row r="649" spans="1:9" ht="15.75">
      <c r="A649" s="292"/>
      <c r="B649" s="292"/>
      <c r="C649" s="299"/>
      <c r="D649" s="292"/>
      <c r="E649" s="292"/>
      <c r="F649" s="300"/>
      <c r="G649" s="300"/>
      <c r="H649" s="301"/>
      <c r="I649" s="292"/>
    </row>
    <row r="650" spans="1:9" ht="15.75">
      <c r="A650" s="292"/>
      <c r="B650" s="292"/>
      <c r="C650" s="299"/>
      <c r="D650" s="292"/>
      <c r="E650" s="292"/>
      <c r="F650" s="300"/>
      <c r="G650" s="300"/>
      <c r="H650" s="301"/>
      <c r="I650" s="292"/>
    </row>
    <row r="651" spans="1:9" ht="15.75">
      <c r="A651" s="292"/>
      <c r="B651" s="292"/>
      <c r="C651" s="299"/>
      <c r="D651" s="292"/>
      <c r="E651" s="292"/>
      <c r="F651" s="300"/>
      <c r="G651" s="300"/>
      <c r="H651" s="301"/>
      <c r="I651" s="292"/>
    </row>
    <row r="652" spans="1:9" ht="15.75">
      <c r="A652" s="292"/>
      <c r="B652" s="292"/>
      <c r="C652" s="299"/>
      <c r="D652" s="292"/>
      <c r="E652" s="292"/>
      <c r="F652" s="300"/>
      <c r="G652" s="300"/>
      <c r="H652" s="301"/>
      <c r="I652" s="292"/>
    </row>
    <row r="653" spans="1:9" ht="15.75">
      <c r="A653" s="292"/>
      <c r="B653" s="292"/>
      <c r="C653" s="299"/>
      <c r="D653" s="292"/>
      <c r="E653" s="292"/>
      <c r="F653" s="300"/>
      <c r="G653" s="300"/>
      <c r="H653" s="301"/>
      <c r="I653" s="292"/>
    </row>
    <row r="654" spans="1:9" ht="15.75">
      <c r="A654" s="292"/>
      <c r="B654" s="292"/>
      <c r="C654" s="299"/>
      <c r="D654" s="292"/>
      <c r="E654" s="292"/>
      <c r="F654" s="300"/>
      <c r="G654" s="300"/>
      <c r="H654" s="301"/>
      <c r="I654" s="292"/>
    </row>
    <row r="655" spans="1:9" ht="15.75">
      <c r="A655" s="292"/>
      <c r="B655" s="292"/>
      <c r="C655" s="299"/>
      <c r="D655" s="292"/>
      <c r="E655" s="292"/>
      <c r="F655" s="300"/>
      <c r="G655" s="300"/>
      <c r="H655" s="301"/>
      <c r="I655" s="292"/>
    </row>
    <row r="656" spans="1:9" ht="15.75">
      <c r="A656" s="292"/>
      <c r="B656" s="292"/>
      <c r="C656" s="299"/>
      <c r="D656" s="292"/>
      <c r="E656" s="292"/>
      <c r="F656" s="300"/>
      <c r="G656" s="300"/>
      <c r="H656" s="301"/>
      <c r="I656" s="292"/>
    </row>
    <row r="657" spans="1:9" ht="15.75">
      <c r="A657" s="292"/>
      <c r="B657" s="292"/>
      <c r="C657" s="299"/>
      <c r="D657" s="292"/>
      <c r="E657" s="292"/>
      <c r="F657" s="300"/>
      <c r="G657" s="300"/>
      <c r="H657" s="301"/>
      <c r="I657" s="292"/>
    </row>
    <row r="658" spans="1:9" ht="15.75">
      <c r="A658" s="292"/>
      <c r="B658" s="292"/>
      <c r="C658" s="299"/>
      <c r="D658" s="292"/>
      <c r="E658" s="292"/>
      <c r="F658" s="300"/>
      <c r="G658" s="300"/>
      <c r="H658" s="301"/>
      <c r="I658" s="292"/>
    </row>
    <row r="659" spans="1:9" ht="15.75">
      <c r="A659" s="292"/>
      <c r="B659" s="292"/>
      <c r="C659" s="299"/>
      <c r="D659" s="292"/>
      <c r="E659" s="292"/>
      <c r="F659" s="300"/>
      <c r="G659" s="300"/>
      <c r="H659" s="301"/>
      <c r="I659" s="292"/>
    </row>
    <row r="660" spans="1:9" ht="15.75">
      <c r="A660" s="292"/>
      <c r="B660" s="292"/>
      <c r="C660" s="299"/>
      <c r="D660" s="292"/>
      <c r="E660" s="292"/>
      <c r="F660" s="300"/>
      <c r="G660" s="300"/>
      <c r="H660" s="301"/>
      <c r="I660" s="292"/>
    </row>
    <row r="661" spans="1:9" ht="15.75">
      <c r="A661" s="292"/>
      <c r="B661" s="292"/>
      <c r="C661" s="299"/>
      <c r="D661" s="292"/>
      <c r="E661" s="292"/>
      <c r="F661" s="300"/>
      <c r="G661" s="300"/>
      <c r="H661" s="301"/>
      <c r="I661" s="292"/>
    </row>
    <row r="662" spans="1:9" ht="15.75">
      <c r="A662" s="292"/>
      <c r="B662" s="292"/>
      <c r="C662" s="299"/>
      <c r="D662" s="292"/>
      <c r="E662" s="292"/>
      <c r="F662" s="300"/>
      <c r="G662" s="300"/>
      <c r="H662" s="301"/>
      <c r="I662" s="292"/>
    </row>
    <row r="663" spans="1:9" ht="15.75">
      <c r="A663" s="292"/>
      <c r="B663" s="292"/>
      <c r="C663" s="299"/>
      <c r="D663" s="292"/>
      <c r="E663" s="292"/>
      <c r="F663" s="300"/>
      <c r="G663" s="300"/>
      <c r="H663" s="301"/>
      <c r="I663" s="292"/>
    </row>
    <row r="664" spans="1:9" ht="15.75">
      <c r="A664" s="292"/>
      <c r="B664" s="292"/>
      <c r="C664" s="299"/>
      <c r="D664" s="292"/>
      <c r="E664" s="292"/>
      <c r="F664" s="300"/>
      <c r="G664" s="300"/>
      <c r="H664" s="301"/>
      <c r="I664" s="292"/>
    </row>
    <row r="665" spans="1:9" ht="15.75">
      <c r="A665" s="292"/>
      <c r="B665" s="292"/>
      <c r="C665" s="299"/>
      <c r="D665" s="292"/>
      <c r="E665" s="292"/>
      <c r="F665" s="300"/>
      <c r="G665" s="300"/>
      <c r="H665" s="301"/>
      <c r="I665" s="292"/>
    </row>
    <row r="666" spans="1:9" ht="15.75">
      <c r="A666" s="292"/>
      <c r="B666" s="292"/>
      <c r="C666" s="299"/>
      <c r="D666" s="292"/>
      <c r="E666" s="292"/>
      <c r="F666" s="300"/>
      <c r="G666" s="300"/>
      <c r="H666" s="301"/>
      <c r="I666" s="292"/>
    </row>
    <row r="667" spans="1:9" ht="15.75">
      <c r="A667" s="292"/>
      <c r="B667" s="292"/>
      <c r="C667" s="299"/>
      <c r="D667" s="292"/>
      <c r="E667" s="292"/>
      <c r="F667" s="300"/>
      <c r="G667" s="300"/>
      <c r="H667" s="301"/>
      <c r="I667" s="292"/>
    </row>
    <row r="668" spans="1:9" ht="15.75">
      <c r="A668" s="292"/>
      <c r="B668" s="292"/>
      <c r="C668" s="299"/>
      <c r="D668" s="292"/>
      <c r="E668" s="292"/>
      <c r="F668" s="300"/>
      <c r="G668" s="300"/>
      <c r="H668" s="301"/>
      <c r="I668" s="292"/>
    </row>
    <row r="669" spans="1:9" ht="15.75">
      <c r="A669" s="292"/>
      <c r="B669" s="292"/>
      <c r="C669" s="299"/>
      <c r="D669" s="292"/>
      <c r="E669" s="292"/>
      <c r="F669" s="300"/>
      <c r="G669" s="300"/>
      <c r="H669" s="301"/>
      <c r="I669" s="292"/>
    </row>
    <row r="670" spans="1:9" ht="15.75">
      <c r="A670" s="292"/>
      <c r="B670" s="292"/>
      <c r="C670" s="299"/>
      <c r="D670" s="292"/>
      <c r="E670" s="292"/>
      <c r="F670" s="300"/>
      <c r="G670" s="300"/>
      <c r="H670" s="301"/>
      <c r="I670" s="292"/>
    </row>
    <row r="671" spans="1:9" ht="15.75">
      <c r="A671" s="292"/>
      <c r="B671" s="292"/>
      <c r="C671" s="299"/>
      <c r="D671" s="292"/>
      <c r="E671" s="292"/>
      <c r="F671" s="300"/>
      <c r="G671" s="300"/>
      <c r="H671" s="301"/>
      <c r="I671" s="292"/>
    </row>
    <row r="672" spans="1:9" ht="15.75">
      <c r="A672" s="292"/>
      <c r="B672" s="292"/>
      <c r="C672" s="299"/>
      <c r="D672" s="292"/>
      <c r="E672" s="292"/>
      <c r="F672" s="300"/>
      <c r="G672" s="300"/>
      <c r="H672" s="301"/>
      <c r="I672" s="292"/>
    </row>
    <row r="673" spans="1:9" ht="15.75">
      <c r="A673" s="292"/>
      <c r="B673" s="292"/>
      <c r="C673" s="299"/>
      <c r="D673" s="292"/>
      <c r="E673" s="292"/>
      <c r="F673" s="300"/>
      <c r="G673" s="300"/>
      <c r="H673" s="301"/>
      <c r="I673" s="292"/>
    </row>
    <row r="674" spans="1:9" ht="15.75">
      <c r="A674" s="292"/>
      <c r="B674" s="292"/>
      <c r="C674" s="299"/>
      <c r="D674" s="292"/>
      <c r="E674" s="292"/>
      <c r="F674" s="300"/>
      <c r="G674" s="300"/>
      <c r="H674" s="301"/>
      <c r="I674" s="292"/>
    </row>
    <row r="675" spans="1:9" ht="15.75">
      <c r="A675" s="292"/>
      <c r="B675" s="292"/>
      <c r="C675" s="299"/>
      <c r="D675" s="292"/>
      <c r="E675" s="292"/>
      <c r="F675" s="300"/>
      <c r="G675" s="300"/>
      <c r="H675" s="301"/>
      <c r="I675" s="292"/>
    </row>
    <row r="676" spans="1:9" ht="15.75">
      <c r="A676" s="292"/>
      <c r="B676" s="292"/>
      <c r="C676" s="299"/>
      <c r="D676" s="292"/>
      <c r="E676" s="292"/>
      <c r="F676" s="300"/>
      <c r="G676" s="300"/>
      <c r="H676" s="301"/>
      <c r="I676" s="292"/>
    </row>
    <row r="677" spans="1:9" ht="15.75">
      <c r="A677" s="292"/>
      <c r="B677" s="292"/>
      <c r="C677" s="299"/>
      <c r="D677" s="292"/>
      <c r="E677" s="292"/>
      <c r="F677" s="300"/>
      <c r="G677" s="300"/>
      <c r="H677" s="301"/>
      <c r="I677" s="292"/>
    </row>
    <row r="678" spans="1:9" ht="15.75">
      <c r="A678" s="292"/>
      <c r="B678" s="292"/>
      <c r="C678" s="299"/>
      <c r="D678" s="292"/>
      <c r="E678" s="292"/>
      <c r="F678" s="300"/>
      <c r="G678" s="300"/>
      <c r="H678" s="301"/>
      <c r="I678" s="292"/>
    </row>
    <row r="679" spans="1:9" ht="15.75">
      <c r="A679" s="292"/>
      <c r="B679" s="292"/>
      <c r="C679" s="299"/>
      <c r="D679" s="292"/>
      <c r="E679" s="292"/>
      <c r="F679" s="300"/>
      <c r="G679" s="300"/>
      <c r="H679" s="301"/>
      <c r="I679" s="292"/>
    </row>
    <row r="680" spans="1:9" ht="15.75">
      <c r="A680" s="292"/>
      <c r="B680" s="292"/>
      <c r="C680" s="299"/>
      <c r="D680" s="292"/>
      <c r="E680" s="292"/>
      <c r="F680" s="300"/>
      <c r="G680" s="300"/>
      <c r="H680" s="301"/>
      <c r="I680" s="292"/>
    </row>
    <row r="681" spans="1:9" ht="15.75">
      <c r="A681" s="292"/>
      <c r="B681" s="292"/>
      <c r="C681" s="299"/>
      <c r="D681" s="292"/>
      <c r="E681" s="292"/>
      <c r="F681" s="300"/>
      <c r="G681" s="300"/>
      <c r="H681" s="301"/>
      <c r="I681" s="292"/>
    </row>
    <row r="682" spans="1:9" ht="15.75">
      <c r="A682" s="292"/>
      <c r="B682" s="292"/>
      <c r="C682" s="299"/>
      <c r="D682" s="292"/>
      <c r="E682" s="292"/>
      <c r="F682" s="300"/>
      <c r="G682" s="300"/>
      <c r="H682" s="301"/>
      <c r="I682" s="292"/>
    </row>
    <row r="683" spans="1:9" ht="15.75">
      <c r="A683" s="292"/>
      <c r="B683" s="292"/>
      <c r="C683" s="299"/>
      <c r="D683" s="292"/>
      <c r="E683" s="292"/>
      <c r="F683" s="300"/>
      <c r="G683" s="300"/>
      <c r="H683" s="301"/>
      <c r="I683" s="292"/>
    </row>
    <row r="684" spans="1:9" ht="15.75">
      <c r="A684" s="292"/>
      <c r="B684" s="292"/>
      <c r="C684" s="299"/>
      <c r="D684" s="292"/>
      <c r="E684" s="292"/>
      <c r="F684" s="300"/>
      <c r="G684" s="300"/>
      <c r="H684" s="301"/>
      <c r="I684" s="292"/>
    </row>
    <row r="685" spans="1:9" ht="15.75">
      <c r="A685" s="292"/>
      <c r="B685" s="292"/>
      <c r="C685" s="299"/>
      <c r="D685" s="292"/>
      <c r="E685" s="292"/>
      <c r="F685" s="300"/>
      <c r="G685" s="300"/>
      <c r="H685" s="301"/>
      <c r="I685" s="292"/>
    </row>
    <row r="686" spans="1:9" ht="15.75">
      <c r="A686" s="292"/>
      <c r="B686" s="292"/>
      <c r="C686" s="299"/>
      <c r="D686" s="292"/>
      <c r="E686" s="292"/>
      <c r="F686" s="300"/>
      <c r="G686" s="300"/>
      <c r="H686" s="301"/>
      <c r="I686" s="292"/>
    </row>
    <row r="687" spans="1:9" ht="15.75">
      <c r="A687" s="292"/>
      <c r="B687" s="292"/>
      <c r="C687" s="299"/>
      <c r="D687" s="292"/>
      <c r="E687" s="292"/>
      <c r="F687" s="300"/>
      <c r="G687" s="300"/>
      <c r="H687" s="301"/>
      <c r="I687" s="292"/>
    </row>
    <row r="688" spans="1:9" ht="15.75">
      <c r="A688" s="292"/>
      <c r="B688" s="292"/>
      <c r="C688" s="299"/>
      <c r="D688" s="292"/>
      <c r="E688" s="292"/>
      <c r="F688" s="300"/>
      <c r="G688" s="300"/>
      <c r="H688" s="301"/>
      <c r="I688" s="292"/>
    </row>
    <row r="689" spans="1:9" ht="15.75">
      <c r="A689" s="292"/>
      <c r="B689" s="292"/>
      <c r="C689" s="299"/>
      <c r="D689" s="292"/>
      <c r="E689" s="292"/>
      <c r="F689" s="300"/>
      <c r="G689" s="300"/>
      <c r="H689" s="301"/>
      <c r="I689" s="292"/>
    </row>
    <row r="690" spans="1:9" ht="15.75">
      <c r="A690" s="292"/>
      <c r="B690" s="292"/>
      <c r="C690" s="299"/>
      <c r="D690" s="292"/>
      <c r="E690" s="292"/>
      <c r="F690" s="300"/>
      <c r="G690" s="300"/>
      <c r="H690" s="301"/>
      <c r="I690" s="292"/>
    </row>
    <row r="691" spans="1:9" ht="15.75">
      <c r="A691" s="292"/>
      <c r="B691" s="292"/>
      <c r="C691" s="299"/>
      <c r="D691" s="292"/>
      <c r="E691" s="292"/>
      <c r="F691" s="300"/>
      <c r="G691" s="300"/>
      <c r="H691" s="301"/>
      <c r="I691" s="292"/>
    </row>
    <row r="692" spans="1:9" ht="15.75">
      <c r="A692" s="292"/>
      <c r="B692" s="292"/>
      <c r="C692" s="299"/>
      <c r="D692" s="292"/>
      <c r="E692" s="292"/>
      <c r="F692" s="300"/>
      <c r="G692" s="300"/>
      <c r="H692" s="301"/>
      <c r="I692" s="292"/>
    </row>
    <row r="693" spans="1:9" ht="15.75">
      <c r="A693" s="292"/>
      <c r="B693" s="292"/>
      <c r="C693" s="299"/>
      <c r="D693" s="292"/>
      <c r="E693" s="292"/>
      <c r="F693" s="300"/>
      <c r="G693" s="300"/>
      <c r="H693" s="301"/>
      <c r="I693" s="292"/>
    </row>
    <row r="694" spans="1:9" ht="15.75">
      <c r="A694" s="292"/>
      <c r="B694" s="292"/>
      <c r="C694" s="299"/>
      <c r="D694" s="292"/>
      <c r="E694" s="292"/>
      <c r="F694" s="300"/>
      <c r="G694" s="300"/>
      <c r="H694" s="301"/>
      <c r="I694" s="292"/>
    </row>
    <row r="695" spans="1:9" ht="15.75">
      <c r="A695" s="292"/>
      <c r="B695" s="292"/>
      <c r="C695" s="299"/>
      <c r="D695" s="292"/>
      <c r="E695" s="292"/>
      <c r="F695" s="300"/>
      <c r="G695" s="300"/>
      <c r="H695" s="301"/>
      <c r="I695" s="292"/>
    </row>
    <row r="696" spans="1:9" ht="15.75">
      <c r="A696" s="292"/>
      <c r="B696" s="292"/>
      <c r="C696" s="299"/>
      <c r="D696" s="292"/>
      <c r="E696" s="292"/>
      <c r="F696" s="300"/>
      <c r="G696" s="300"/>
      <c r="H696" s="301"/>
      <c r="I696" s="292"/>
    </row>
    <row r="697" spans="1:9" ht="15.75">
      <c r="A697" s="292"/>
      <c r="B697" s="292"/>
      <c r="C697" s="299"/>
      <c r="D697" s="292"/>
      <c r="E697" s="292"/>
      <c r="F697" s="300"/>
      <c r="G697" s="300"/>
      <c r="H697" s="301"/>
      <c r="I697" s="292"/>
    </row>
    <row r="698" spans="1:9" ht="15.75">
      <c r="A698" s="292"/>
      <c r="B698" s="292"/>
      <c r="C698" s="299"/>
      <c r="D698" s="292"/>
      <c r="E698" s="292"/>
      <c r="F698" s="300"/>
      <c r="G698" s="300"/>
      <c r="H698" s="301"/>
      <c r="I698" s="292"/>
    </row>
    <row r="699" spans="1:9" ht="15.75">
      <c r="A699" s="292"/>
      <c r="B699" s="292"/>
      <c r="C699" s="299"/>
      <c r="D699" s="292"/>
      <c r="E699" s="292"/>
      <c r="F699" s="300"/>
      <c r="G699" s="300"/>
      <c r="H699" s="301"/>
      <c r="I699" s="292"/>
    </row>
    <row r="700" spans="1:9" ht="15.75">
      <c r="A700" s="292"/>
      <c r="B700" s="292"/>
      <c r="C700" s="299"/>
      <c r="D700" s="292"/>
      <c r="E700" s="292"/>
      <c r="F700" s="300"/>
      <c r="G700" s="300"/>
      <c r="H700" s="301"/>
      <c r="I700" s="292"/>
    </row>
    <row r="701" spans="1:9" ht="15.75">
      <c r="A701" s="292"/>
      <c r="B701" s="292"/>
      <c r="C701" s="299"/>
      <c r="D701" s="292"/>
      <c r="E701" s="292"/>
      <c r="F701" s="300"/>
      <c r="G701" s="300"/>
      <c r="H701" s="301"/>
      <c r="I701" s="292"/>
    </row>
    <row r="702" spans="1:9" ht="15.75">
      <c r="A702" s="292"/>
      <c r="B702" s="292"/>
      <c r="C702" s="299"/>
      <c r="D702" s="292"/>
      <c r="E702" s="292"/>
      <c r="F702" s="300"/>
      <c r="G702" s="300"/>
      <c r="H702" s="301"/>
      <c r="I702" s="292"/>
    </row>
    <row r="703" spans="1:9" ht="15.75">
      <c r="A703" s="292"/>
      <c r="B703" s="292"/>
      <c r="C703" s="299"/>
      <c r="D703" s="292"/>
      <c r="E703" s="292"/>
      <c r="F703" s="300"/>
      <c r="G703" s="300"/>
      <c r="H703" s="301"/>
      <c r="I703" s="292"/>
    </row>
    <row r="704" spans="1:9" ht="15.75">
      <c r="A704" s="292"/>
      <c r="B704" s="292"/>
      <c r="C704" s="299"/>
      <c r="D704" s="292"/>
      <c r="E704" s="292"/>
      <c r="F704" s="300"/>
      <c r="G704" s="300"/>
      <c r="H704" s="301"/>
      <c r="I704" s="292"/>
    </row>
    <row r="705" spans="1:9" ht="15.75">
      <c r="A705" s="292"/>
      <c r="B705" s="292"/>
      <c r="C705" s="299"/>
      <c r="D705" s="292"/>
      <c r="E705" s="292"/>
      <c r="F705" s="300"/>
      <c r="G705" s="300"/>
      <c r="H705" s="301"/>
      <c r="I705" s="292"/>
    </row>
    <row r="706" spans="1:9" ht="15.75">
      <c r="A706" s="292"/>
      <c r="B706" s="292"/>
      <c r="C706" s="299"/>
      <c r="D706" s="292"/>
      <c r="E706" s="292"/>
      <c r="F706" s="300"/>
      <c r="G706" s="300"/>
      <c r="H706" s="301"/>
      <c r="I706" s="292"/>
    </row>
    <row r="707" spans="1:9" ht="15.75">
      <c r="A707" s="292"/>
      <c r="B707" s="292"/>
      <c r="C707" s="299"/>
      <c r="D707" s="292"/>
      <c r="E707" s="292"/>
      <c r="F707" s="300"/>
      <c r="G707" s="300"/>
      <c r="H707" s="301"/>
      <c r="I707" s="292"/>
    </row>
    <row r="708" spans="1:9" ht="15.75">
      <c r="A708" s="292"/>
      <c r="B708" s="292"/>
      <c r="C708" s="299"/>
      <c r="D708" s="292"/>
      <c r="E708" s="292"/>
      <c r="F708" s="300"/>
      <c r="G708" s="300"/>
      <c r="H708" s="301"/>
      <c r="I708" s="292"/>
    </row>
    <row r="709" spans="1:9" ht="15.75">
      <c r="A709" s="292"/>
      <c r="B709" s="292"/>
      <c r="C709" s="299"/>
      <c r="D709" s="292"/>
      <c r="E709" s="292"/>
      <c r="F709" s="300"/>
      <c r="G709" s="300"/>
      <c r="H709" s="301"/>
      <c r="I709" s="292"/>
    </row>
    <row r="710" spans="1:9" ht="15.75">
      <c r="A710" s="292"/>
      <c r="B710" s="292"/>
      <c r="C710" s="299"/>
      <c r="D710" s="292"/>
      <c r="E710" s="292"/>
      <c r="F710" s="300"/>
      <c r="G710" s="300"/>
      <c r="H710" s="301"/>
      <c r="I710" s="292"/>
    </row>
    <row r="711" spans="1:9" ht="15.75">
      <c r="A711" s="292"/>
      <c r="B711" s="292"/>
      <c r="C711" s="299"/>
      <c r="D711" s="292"/>
      <c r="E711" s="292"/>
      <c r="F711" s="300"/>
      <c r="G711" s="300"/>
      <c r="H711" s="301"/>
      <c r="I711" s="292"/>
    </row>
    <row r="712" spans="1:9" ht="15.75">
      <c r="A712" s="292"/>
      <c r="B712" s="292"/>
      <c r="C712" s="299"/>
      <c r="D712" s="292"/>
      <c r="E712" s="292"/>
      <c r="F712" s="300"/>
      <c r="G712" s="300"/>
      <c r="H712" s="301"/>
      <c r="I712" s="292"/>
    </row>
    <row r="713" spans="1:9" ht="15.75">
      <c r="A713" s="292"/>
      <c r="B713" s="292"/>
      <c r="C713" s="299"/>
      <c r="D713" s="292"/>
      <c r="E713" s="292"/>
      <c r="F713" s="300"/>
      <c r="G713" s="300"/>
      <c r="H713" s="301"/>
      <c r="I713" s="292"/>
    </row>
    <row r="714" spans="1:9" ht="15.75">
      <c r="A714" s="292"/>
      <c r="B714" s="292"/>
      <c r="C714" s="299"/>
      <c r="D714" s="292"/>
      <c r="E714" s="292"/>
      <c r="F714" s="300"/>
      <c r="G714" s="300"/>
      <c r="H714" s="301"/>
      <c r="I714" s="292"/>
    </row>
    <row r="715" spans="1:9" ht="15.75">
      <c r="A715" s="292"/>
      <c r="B715" s="292"/>
      <c r="C715" s="299"/>
      <c r="D715" s="292"/>
      <c r="E715" s="292"/>
      <c r="F715" s="300"/>
      <c r="G715" s="300"/>
      <c r="H715" s="301"/>
      <c r="I715" s="292"/>
    </row>
    <row r="716" spans="1:9" ht="15.75">
      <c r="A716" s="292"/>
      <c r="B716" s="292"/>
      <c r="C716" s="299"/>
      <c r="D716" s="292"/>
      <c r="E716" s="292"/>
      <c r="F716" s="300"/>
      <c r="G716" s="300"/>
      <c r="H716" s="301"/>
      <c r="I716" s="292"/>
    </row>
    <row r="717" spans="1:9" ht="15.75">
      <c r="A717" s="292"/>
      <c r="B717" s="292"/>
      <c r="C717" s="299"/>
      <c r="D717" s="292"/>
      <c r="E717" s="292"/>
      <c r="F717" s="300"/>
      <c r="G717" s="300"/>
      <c r="H717" s="301"/>
      <c r="I717" s="292"/>
    </row>
    <row r="718" spans="1:9" ht="15.75">
      <c r="A718" s="292"/>
      <c r="B718" s="292"/>
      <c r="C718" s="299"/>
      <c r="D718" s="292"/>
      <c r="E718" s="292"/>
      <c r="F718" s="300"/>
      <c r="G718" s="300"/>
      <c r="H718" s="301"/>
      <c r="I718" s="292"/>
    </row>
    <row r="719" spans="1:9" ht="15.75">
      <c r="A719" s="292"/>
      <c r="B719" s="292"/>
      <c r="C719" s="299"/>
      <c r="D719" s="292"/>
      <c r="E719" s="292"/>
      <c r="F719" s="300"/>
      <c r="G719" s="300"/>
      <c r="H719" s="301"/>
      <c r="I719" s="292"/>
    </row>
    <row r="720" spans="1:9" ht="15.75">
      <c r="A720" s="292"/>
      <c r="B720" s="292"/>
      <c r="C720" s="299"/>
      <c r="D720" s="292"/>
      <c r="E720" s="292"/>
      <c r="F720" s="300"/>
      <c r="G720" s="300"/>
      <c r="H720" s="301"/>
      <c r="I720" s="292"/>
    </row>
    <row r="721" spans="1:9" ht="15.75">
      <c r="A721" s="292"/>
      <c r="B721" s="292"/>
      <c r="C721" s="299"/>
      <c r="D721" s="292"/>
      <c r="E721" s="292"/>
      <c r="F721" s="300"/>
      <c r="G721" s="300"/>
      <c r="H721" s="301"/>
      <c r="I721" s="292"/>
    </row>
    <row r="722" spans="1:9" ht="15.75">
      <c r="A722" s="292"/>
      <c r="B722" s="292"/>
      <c r="C722" s="299"/>
      <c r="D722" s="292"/>
      <c r="E722" s="292"/>
      <c r="F722" s="300"/>
      <c r="G722" s="300"/>
      <c r="H722" s="301"/>
      <c r="I722" s="292"/>
    </row>
    <row r="723" spans="1:9" ht="15.75">
      <c r="A723" s="292"/>
      <c r="B723" s="292"/>
      <c r="C723" s="299"/>
      <c r="D723" s="292"/>
      <c r="E723" s="292"/>
      <c r="F723" s="300"/>
      <c r="G723" s="300"/>
      <c r="H723" s="301"/>
      <c r="I723" s="292"/>
    </row>
    <row r="724" spans="1:9" ht="15.75">
      <c r="A724" s="33"/>
      <c r="B724" s="33"/>
      <c r="C724" s="302"/>
      <c r="D724" s="33"/>
      <c r="E724" s="292"/>
      <c r="F724" s="303"/>
      <c r="G724" s="303"/>
      <c r="H724" s="301"/>
      <c r="I724" s="269"/>
    </row>
    <row r="725" spans="1:9" ht="15.75">
      <c r="A725" s="33"/>
      <c r="B725" s="33"/>
      <c r="C725" s="302"/>
      <c r="D725" s="33"/>
      <c r="E725" s="269"/>
      <c r="F725" s="303"/>
      <c r="G725" s="303"/>
      <c r="H725" s="301"/>
      <c r="I725" s="269"/>
    </row>
    <row r="726" spans="1:9" ht="15.75">
      <c r="A726" s="33"/>
      <c r="B726" s="33"/>
      <c r="C726" s="302"/>
      <c r="D726" s="33"/>
      <c r="E726" s="269"/>
      <c r="F726" s="303"/>
      <c r="G726" s="303"/>
      <c r="H726" s="301"/>
      <c r="I726" s="269"/>
    </row>
    <row r="727" spans="1:9" ht="15.75">
      <c r="A727" s="33"/>
      <c r="B727" s="33"/>
      <c r="C727" s="302"/>
      <c r="D727" s="33"/>
      <c r="E727" s="269"/>
      <c r="F727" s="303"/>
      <c r="G727" s="303"/>
      <c r="H727" s="301"/>
      <c r="I727" s="269"/>
    </row>
    <row r="728" spans="1:9" ht="15.75">
      <c r="A728" s="33"/>
      <c r="B728" s="33"/>
      <c r="C728" s="302"/>
      <c r="D728" s="33"/>
      <c r="E728" s="269"/>
      <c r="F728" s="303"/>
      <c r="G728" s="303"/>
      <c r="H728" s="301"/>
      <c r="I728" s="269"/>
    </row>
    <row r="729" spans="1:9" ht="15.75">
      <c r="A729" s="33"/>
      <c r="B729" s="33"/>
      <c r="C729" s="302"/>
      <c r="D729" s="33"/>
      <c r="E729" s="269"/>
      <c r="F729" s="303"/>
      <c r="G729" s="303"/>
      <c r="H729" s="301"/>
      <c r="I729" s="269"/>
    </row>
    <row r="730" spans="1:9" ht="15.75">
      <c r="A730" s="33"/>
      <c r="B730" s="33"/>
      <c r="C730" s="302"/>
      <c r="D730" s="33"/>
      <c r="E730" s="269"/>
      <c r="F730" s="303"/>
      <c r="G730" s="303"/>
      <c r="H730" s="301"/>
      <c r="I730" s="269"/>
    </row>
    <row r="731" spans="1:9" ht="15.75">
      <c r="A731" s="33"/>
      <c r="B731" s="33"/>
      <c r="C731" s="302"/>
      <c r="D731" s="33"/>
      <c r="E731" s="269"/>
      <c r="F731" s="303"/>
      <c r="G731" s="303"/>
      <c r="H731" s="301"/>
      <c r="I731" s="269"/>
    </row>
    <row r="732" spans="1:9" ht="15.75">
      <c r="A732" s="33"/>
      <c r="B732" s="33"/>
      <c r="C732" s="302"/>
      <c r="D732" s="33"/>
      <c r="E732" s="269"/>
      <c r="F732" s="303"/>
      <c r="G732" s="303"/>
      <c r="H732" s="301"/>
      <c r="I732" s="269"/>
    </row>
    <row r="733" spans="1:9" ht="15.75">
      <c r="A733" s="33"/>
      <c r="B733" s="33"/>
      <c r="C733" s="302"/>
      <c r="D733" s="33"/>
      <c r="E733" s="269"/>
      <c r="F733" s="303"/>
      <c r="G733" s="303"/>
      <c r="H733" s="301"/>
      <c r="I733" s="269"/>
    </row>
    <row r="734" spans="1:9" ht="15.75">
      <c r="A734" s="33"/>
      <c r="B734" s="33"/>
      <c r="C734" s="302"/>
      <c r="D734" s="33"/>
      <c r="E734" s="269"/>
      <c r="F734" s="303"/>
      <c r="G734" s="303"/>
      <c r="H734" s="301"/>
      <c r="I734" s="269"/>
    </row>
    <row r="735" spans="1:9" ht="15.75">
      <c r="A735" s="33"/>
      <c r="B735" s="33"/>
      <c r="C735" s="302"/>
      <c r="D735" s="33"/>
      <c r="E735" s="269"/>
      <c r="F735" s="303"/>
      <c r="G735" s="303"/>
      <c r="H735" s="301"/>
      <c r="I735" s="269"/>
    </row>
    <row r="736" spans="1:9" ht="15.75">
      <c r="A736" s="33"/>
      <c r="B736" s="33"/>
      <c r="C736" s="302"/>
      <c r="D736" s="33"/>
      <c r="E736" s="269"/>
      <c r="F736" s="303"/>
      <c r="G736" s="303"/>
      <c r="H736" s="301"/>
      <c r="I736" s="269"/>
    </row>
    <row r="737" spans="1:9" ht="15.75">
      <c r="A737" s="33"/>
      <c r="B737" s="33"/>
      <c r="C737" s="302"/>
      <c r="D737" s="33"/>
      <c r="E737" s="269"/>
      <c r="F737" s="303"/>
      <c r="G737" s="303"/>
      <c r="H737" s="301"/>
      <c r="I737" s="269"/>
    </row>
    <row r="738" spans="1:9" ht="15.75">
      <c r="A738" s="33"/>
      <c r="B738" s="33"/>
      <c r="C738" s="302"/>
      <c r="D738" s="33"/>
      <c r="E738" s="269"/>
      <c r="F738" s="303"/>
      <c r="G738" s="303"/>
      <c r="H738" s="301"/>
      <c r="I738" s="269"/>
    </row>
    <row r="739" spans="1:9" ht="15.75">
      <c r="A739" s="33"/>
      <c r="B739" s="33"/>
      <c r="C739" s="302"/>
      <c r="D739" s="33"/>
      <c r="E739" s="269"/>
      <c r="F739" s="303"/>
      <c r="G739" s="303"/>
      <c r="H739" s="301"/>
      <c r="I739" s="269"/>
    </row>
    <row r="740" spans="1:9" ht="15.75">
      <c r="A740" s="33"/>
      <c r="B740" s="33"/>
      <c r="C740" s="302"/>
      <c r="D740" s="33"/>
      <c r="E740" s="269"/>
      <c r="F740" s="303"/>
      <c r="G740" s="303"/>
      <c r="H740" s="301"/>
      <c r="I740" s="269"/>
    </row>
    <row r="741" spans="1:9" ht="15.75">
      <c r="A741" s="33"/>
      <c r="B741" s="33"/>
      <c r="C741" s="302"/>
      <c r="D741" s="33"/>
      <c r="E741" s="269"/>
      <c r="F741" s="303"/>
      <c r="G741" s="303"/>
      <c r="H741" s="301"/>
      <c r="I741" s="269"/>
    </row>
    <row r="742" spans="1:9" ht="15.75">
      <c r="A742" s="33"/>
      <c r="B742" s="33"/>
      <c r="C742" s="302"/>
      <c r="D742" s="33"/>
      <c r="E742" s="269"/>
      <c r="F742" s="303"/>
      <c r="G742" s="303"/>
      <c r="H742" s="301"/>
      <c r="I742" s="269"/>
    </row>
    <row r="743" spans="1:9" ht="15.75">
      <c r="A743" s="33"/>
      <c r="B743" s="33"/>
      <c r="C743" s="302"/>
      <c r="D743" s="33"/>
      <c r="E743" s="269"/>
      <c r="F743" s="303"/>
      <c r="G743" s="303"/>
      <c r="H743" s="301"/>
      <c r="I743" s="269"/>
    </row>
    <row r="744" spans="1:9" ht="15.75">
      <c r="A744" s="33"/>
      <c r="B744" s="33"/>
      <c r="C744" s="302"/>
      <c r="D744" s="33"/>
      <c r="E744" s="269"/>
      <c r="F744" s="303"/>
      <c r="G744" s="303"/>
      <c r="H744" s="301"/>
      <c r="I744" s="269"/>
    </row>
    <row r="745" spans="1:9" ht="15.75">
      <c r="A745" s="33"/>
      <c r="B745" s="33"/>
      <c r="C745" s="302"/>
      <c r="D745" s="33"/>
      <c r="E745" s="269"/>
      <c r="F745" s="303"/>
      <c r="G745" s="303"/>
      <c r="H745" s="301"/>
      <c r="I745" s="269"/>
    </row>
    <row r="746" spans="1:9" ht="15.75">
      <c r="A746" s="33"/>
      <c r="B746" s="33"/>
      <c r="C746" s="302"/>
      <c r="D746" s="33"/>
      <c r="E746" s="269"/>
      <c r="F746" s="303"/>
      <c r="G746" s="303"/>
      <c r="H746" s="301"/>
      <c r="I746" s="269"/>
    </row>
    <row r="747" spans="1:9" ht="15.75">
      <c r="A747" s="33"/>
      <c r="B747" s="33"/>
      <c r="C747" s="302"/>
      <c r="D747" s="33"/>
      <c r="E747" s="269"/>
      <c r="F747" s="303"/>
      <c r="G747" s="303"/>
      <c r="H747" s="301"/>
      <c r="I747" s="269"/>
    </row>
    <row r="748" spans="1:9" ht="15.75">
      <c r="A748" s="33"/>
      <c r="B748" s="33"/>
      <c r="C748" s="302"/>
      <c r="D748" s="33"/>
      <c r="E748" s="269"/>
      <c r="F748" s="303"/>
      <c r="G748" s="303"/>
      <c r="H748" s="301"/>
      <c r="I748" s="269"/>
    </row>
    <row r="749" spans="1:9" ht="15.75">
      <c r="A749" s="33"/>
      <c r="B749" s="33"/>
      <c r="C749" s="302"/>
      <c r="D749" s="33"/>
      <c r="E749" s="269"/>
      <c r="F749" s="303"/>
      <c r="G749" s="303"/>
      <c r="H749" s="301"/>
      <c r="I749" s="269"/>
    </row>
    <row r="750" spans="1:9" ht="15.75">
      <c r="A750" s="33"/>
      <c r="B750" s="33"/>
      <c r="C750" s="302"/>
      <c r="D750" s="33"/>
      <c r="E750" s="269"/>
      <c r="F750" s="303"/>
      <c r="G750" s="303"/>
      <c r="H750" s="301"/>
      <c r="I750" s="269"/>
    </row>
    <row r="751" spans="1:9" ht="15.75">
      <c r="A751" s="33"/>
      <c r="B751" s="33"/>
      <c r="C751" s="302"/>
      <c r="D751" s="33"/>
      <c r="E751" s="269"/>
      <c r="F751" s="303"/>
      <c r="G751" s="303"/>
      <c r="H751" s="301"/>
      <c r="I751" s="269"/>
    </row>
    <row r="752" spans="1:9" ht="15.75">
      <c r="A752" s="33"/>
      <c r="B752" s="33"/>
      <c r="C752" s="302"/>
      <c r="D752" s="33"/>
      <c r="E752" s="269"/>
      <c r="F752" s="303"/>
      <c r="G752" s="303"/>
      <c r="H752" s="301"/>
      <c r="I752" s="269"/>
    </row>
    <row r="753" spans="1:9" ht="15.75">
      <c r="A753" s="33"/>
      <c r="B753" s="33"/>
      <c r="C753" s="302"/>
      <c r="D753" s="33"/>
      <c r="E753" s="269"/>
      <c r="F753" s="303"/>
      <c r="G753" s="303"/>
      <c r="H753" s="301"/>
      <c r="I753" s="269"/>
    </row>
    <row r="754" spans="1:9" ht="15.75">
      <c r="A754" s="33"/>
      <c r="B754" s="33"/>
      <c r="C754" s="302"/>
      <c r="D754" s="33"/>
      <c r="E754" s="269"/>
      <c r="F754" s="303"/>
      <c r="G754" s="303"/>
      <c r="H754" s="301"/>
      <c r="I754" s="269"/>
    </row>
    <row r="755" spans="1:9" ht="15.75">
      <c r="A755" s="33"/>
      <c r="B755" s="33"/>
      <c r="C755" s="302"/>
      <c r="D755" s="33"/>
      <c r="E755" s="269"/>
      <c r="F755" s="303"/>
      <c r="G755" s="303"/>
      <c r="H755" s="301"/>
      <c r="I755" s="269"/>
    </row>
    <row r="756" spans="1:9" ht="15.75">
      <c r="A756" s="33"/>
      <c r="B756" s="33"/>
      <c r="C756" s="302"/>
      <c r="D756" s="33"/>
      <c r="E756" s="269"/>
      <c r="F756" s="303"/>
      <c r="G756" s="303"/>
      <c r="H756" s="301"/>
      <c r="I756" s="269"/>
    </row>
    <row r="757" spans="1:9" ht="15.75">
      <c r="A757" s="33"/>
      <c r="B757" s="33"/>
      <c r="C757" s="302"/>
      <c r="D757" s="33"/>
      <c r="E757" s="269"/>
      <c r="F757" s="303"/>
      <c r="G757" s="303"/>
      <c r="H757" s="301"/>
      <c r="I757" s="269"/>
    </row>
    <row r="758" spans="1:9" ht="15.75">
      <c r="A758" s="33"/>
      <c r="B758" s="33"/>
      <c r="C758" s="302"/>
      <c r="D758" s="33"/>
      <c r="E758" s="269"/>
      <c r="F758" s="303"/>
      <c r="G758" s="303"/>
      <c r="H758" s="301"/>
      <c r="I758" s="269"/>
    </row>
    <row r="759" spans="1:9" ht="15.75">
      <c r="A759" s="33"/>
      <c r="B759" s="33"/>
      <c r="C759" s="302"/>
      <c r="D759" s="33"/>
      <c r="E759" s="269"/>
      <c r="F759" s="303"/>
      <c r="G759" s="303"/>
      <c r="H759" s="301"/>
      <c r="I759" s="269"/>
    </row>
    <row r="760" spans="1:9" ht="15.75">
      <c r="A760" s="33"/>
      <c r="B760" s="33"/>
      <c r="C760" s="302"/>
      <c r="D760" s="33"/>
      <c r="E760" s="269"/>
      <c r="F760" s="303"/>
      <c r="G760" s="303"/>
      <c r="H760" s="301"/>
      <c r="I760" s="269"/>
    </row>
    <row r="761" spans="1:9" ht="15.75">
      <c r="A761" s="33"/>
      <c r="B761" s="33"/>
      <c r="C761" s="302"/>
      <c r="D761" s="33"/>
      <c r="E761" s="269"/>
      <c r="F761" s="303"/>
      <c r="G761" s="303"/>
      <c r="H761" s="301"/>
      <c r="I761" s="269"/>
    </row>
    <row r="762" spans="1:9" ht="15.75">
      <c r="A762" s="33"/>
      <c r="B762" s="33"/>
      <c r="C762" s="302"/>
      <c r="D762" s="33"/>
      <c r="E762" s="269"/>
      <c r="F762" s="303"/>
      <c r="G762" s="303"/>
      <c r="H762" s="301"/>
      <c r="I762" s="269"/>
    </row>
    <row r="763" spans="1:9" ht="15.75">
      <c r="A763" s="33"/>
      <c r="B763" s="33"/>
      <c r="C763" s="302"/>
      <c r="D763" s="33"/>
      <c r="E763" s="269"/>
      <c r="F763" s="303"/>
      <c r="G763" s="303"/>
      <c r="H763" s="301"/>
      <c r="I763" s="269"/>
    </row>
    <row r="764" spans="1:9" ht="15.75">
      <c r="A764" s="33"/>
      <c r="B764" s="33"/>
      <c r="C764" s="302"/>
      <c r="D764" s="33"/>
      <c r="E764" s="269"/>
      <c r="F764" s="303"/>
      <c r="G764" s="303"/>
      <c r="H764" s="301"/>
      <c r="I764" s="269"/>
    </row>
    <row r="765" spans="1:9" ht="15.75">
      <c r="A765" s="33"/>
      <c r="B765" s="33"/>
      <c r="C765" s="302"/>
      <c r="D765" s="33"/>
      <c r="E765" s="269"/>
      <c r="F765" s="303"/>
      <c r="G765" s="303"/>
      <c r="H765" s="301"/>
      <c r="I765" s="269"/>
    </row>
    <row r="766" spans="1:9" ht="15.75">
      <c r="A766" s="33"/>
      <c r="B766" s="33"/>
      <c r="C766" s="302"/>
      <c r="D766" s="33"/>
      <c r="E766" s="269"/>
      <c r="F766" s="303"/>
      <c r="G766" s="303"/>
      <c r="H766" s="301"/>
      <c r="I766" s="269"/>
    </row>
    <row r="767" spans="1:9" ht="15.75">
      <c r="A767" s="33"/>
      <c r="B767" s="33"/>
      <c r="C767" s="302"/>
      <c r="D767" s="33"/>
      <c r="E767" s="269"/>
      <c r="F767" s="303"/>
      <c r="G767" s="303"/>
      <c r="H767" s="301"/>
      <c r="I767" s="269"/>
    </row>
    <row r="768" spans="1:9" ht="15.75">
      <c r="A768" s="33"/>
      <c r="B768" s="33"/>
      <c r="C768" s="302"/>
      <c r="D768" s="33"/>
      <c r="E768" s="269"/>
      <c r="F768" s="303"/>
      <c r="G768" s="303"/>
      <c r="H768" s="301"/>
      <c r="I768" s="269"/>
    </row>
    <row r="769" spans="1:9" ht="15.75">
      <c r="A769" s="33"/>
      <c r="B769" s="33"/>
      <c r="C769" s="302"/>
      <c r="D769" s="33"/>
      <c r="E769" s="269"/>
      <c r="F769" s="303"/>
      <c r="G769" s="303"/>
      <c r="H769" s="301"/>
      <c r="I769" s="269"/>
    </row>
    <row r="770" spans="1:9" ht="15.75">
      <c r="A770" s="33"/>
      <c r="B770" s="33"/>
      <c r="C770" s="302"/>
      <c r="D770" s="33"/>
      <c r="E770" s="269"/>
      <c r="F770" s="303"/>
      <c r="G770" s="303"/>
      <c r="H770" s="301"/>
      <c r="I770" s="269"/>
    </row>
    <row r="771" spans="1:9" ht="15.75">
      <c r="A771" s="33"/>
      <c r="B771" s="33"/>
      <c r="C771" s="302"/>
      <c r="D771" s="33"/>
      <c r="E771" s="269"/>
      <c r="F771" s="303"/>
      <c r="G771" s="303"/>
      <c r="H771" s="301"/>
      <c r="I771" s="269"/>
    </row>
    <row r="772" spans="1:9" ht="15.75">
      <c r="A772" s="33"/>
      <c r="B772" s="33"/>
      <c r="C772" s="302"/>
      <c r="D772" s="33"/>
      <c r="E772" s="269"/>
      <c r="F772" s="303"/>
      <c r="G772" s="303"/>
      <c r="H772" s="301"/>
      <c r="I772" s="269"/>
    </row>
    <row r="773" spans="1:9" ht="15.75">
      <c r="A773" s="33"/>
      <c r="B773" s="33"/>
      <c r="C773" s="302"/>
      <c r="D773" s="33"/>
      <c r="E773" s="269"/>
      <c r="F773" s="303"/>
      <c r="G773" s="303"/>
      <c r="H773" s="301"/>
      <c r="I773" s="269"/>
    </row>
    <row r="774" spans="1:9" ht="15.75">
      <c r="A774" s="33"/>
      <c r="B774" s="33"/>
      <c r="C774" s="302"/>
      <c r="D774" s="33"/>
      <c r="E774" s="269"/>
      <c r="F774" s="303"/>
      <c r="G774" s="303"/>
      <c r="H774" s="301"/>
      <c r="I774" s="269"/>
    </row>
    <row r="775" spans="1:9" ht="15.75">
      <c r="A775" s="33"/>
      <c r="B775" s="33"/>
      <c r="C775" s="302"/>
      <c r="D775" s="33"/>
      <c r="E775" s="269"/>
      <c r="F775" s="303"/>
      <c r="G775" s="303"/>
      <c r="H775" s="301"/>
      <c r="I775" s="269"/>
    </row>
    <row r="776" spans="1:9" ht="15.75">
      <c r="A776" s="33"/>
      <c r="B776" s="33"/>
      <c r="C776" s="302"/>
      <c r="D776" s="33"/>
      <c r="E776" s="269"/>
      <c r="F776" s="303"/>
      <c r="G776" s="303"/>
      <c r="H776" s="301"/>
      <c r="I776" s="269"/>
    </row>
    <row r="777" spans="1:9" ht="15.75">
      <c r="A777" s="33"/>
      <c r="B777" s="33"/>
      <c r="C777" s="302"/>
      <c r="D777" s="33"/>
      <c r="E777" s="269"/>
      <c r="F777" s="303"/>
      <c r="G777" s="303"/>
      <c r="H777" s="301"/>
      <c r="I777" s="269"/>
    </row>
    <row r="778" spans="1:9" ht="15.75">
      <c r="A778" s="33"/>
      <c r="B778" s="33"/>
      <c r="C778" s="302"/>
      <c r="D778" s="33"/>
      <c r="E778" s="269"/>
      <c r="F778" s="303"/>
      <c r="G778" s="303"/>
      <c r="H778" s="301"/>
      <c r="I778" s="269"/>
    </row>
    <row r="779" spans="1:9" ht="15.75">
      <c r="A779" s="33"/>
      <c r="B779" s="33"/>
      <c r="C779" s="302"/>
      <c r="D779" s="33"/>
      <c r="E779" s="269"/>
      <c r="F779" s="303"/>
      <c r="G779" s="303"/>
      <c r="H779" s="301"/>
      <c r="I779" s="269"/>
    </row>
    <row r="780" spans="1:9" ht="15.75">
      <c r="A780" s="33"/>
      <c r="B780" s="33"/>
      <c r="C780" s="302"/>
      <c r="D780" s="33"/>
      <c r="E780" s="269"/>
      <c r="F780" s="303"/>
      <c r="G780" s="303"/>
      <c r="H780" s="301"/>
      <c r="I780" s="269"/>
    </row>
    <row r="781" spans="1:9" ht="15.75">
      <c r="A781" s="33"/>
      <c r="B781" s="33"/>
      <c r="C781" s="302"/>
      <c r="D781" s="33"/>
      <c r="E781" s="269"/>
      <c r="F781" s="303"/>
      <c r="G781" s="303"/>
      <c r="H781" s="301"/>
      <c r="I781" s="269"/>
    </row>
    <row r="782" spans="1:9" ht="15.75">
      <c r="A782" s="33"/>
      <c r="B782" s="33"/>
      <c r="C782" s="302"/>
      <c r="D782" s="33"/>
      <c r="E782" s="269"/>
      <c r="F782" s="303"/>
      <c r="G782" s="303"/>
      <c r="H782" s="301"/>
      <c r="I782" s="269"/>
    </row>
    <row r="783" spans="1:9" ht="15.75">
      <c r="A783" s="33"/>
      <c r="B783" s="33"/>
      <c r="C783" s="302"/>
      <c r="D783" s="33"/>
      <c r="E783" s="269"/>
      <c r="F783" s="303"/>
      <c r="G783" s="303"/>
      <c r="H783" s="301"/>
      <c r="I783" s="269"/>
    </row>
    <row r="784" spans="1:9" ht="15.75">
      <c r="A784" s="33"/>
      <c r="B784" s="33"/>
      <c r="C784" s="302"/>
      <c r="D784" s="33"/>
      <c r="E784" s="269"/>
      <c r="F784" s="303"/>
      <c r="G784" s="303"/>
      <c r="H784" s="301"/>
      <c r="I784" s="269"/>
    </row>
    <row r="785" spans="1:9" ht="15.75">
      <c r="A785" s="33"/>
      <c r="B785" s="33"/>
      <c r="C785" s="302"/>
      <c r="D785" s="33"/>
      <c r="E785" s="269"/>
      <c r="F785" s="303"/>
      <c r="G785" s="303"/>
      <c r="H785" s="301"/>
      <c r="I785" s="269"/>
    </row>
    <row r="786" spans="1:9" ht="15.75">
      <c r="A786" s="33"/>
      <c r="B786" s="33"/>
      <c r="C786" s="302"/>
      <c r="D786" s="33"/>
      <c r="E786" s="269"/>
      <c r="F786" s="303"/>
      <c r="G786" s="303"/>
      <c r="H786" s="301"/>
      <c r="I786" s="269"/>
    </row>
    <row r="787" spans="1:9" ht="15.75">
      <c r="A787" s="33"/>
      <c r="B787" s="33"/>
      <c r="C787" s="302"/>
      <c r="D787" s="33"/>
      <c r="E787" s="269"/>
      <c r="F787" s="303"/>
      <c r="G787" s="303"/>
      <c r="H787" s="301"/>
      <c r="I787" s="269"/>
    </row>
    <row r="788" spans="1:9" ht="15.75">
      <c r="A788" s="33"/>
      <c r="B788" s="33"/>
      <c r="C788" s="302"/>
      <c r="D788" s="33"/>
      <c r="E788" s="269"/>
      <c r="F788" s="303"/>
      <c r="G788" s="303"/>
      <c r="H788" s="301"/>
      <c r="I788" s="269"/>
    </row>
    <row r="789" spans="1:9" ht="15.75">
      <c r="A789" s="33"/>
      <c r="B789" s="33"/>
      <c r="C789" s="302"/>
      <c r="D789" s="33"/>
      <c r="E789" s="269"/>
      <c r="F789" s="303"/>
      <c r="G789" s="303"/>
      <c r="H789" s="301"/>
      <c r="I789" s="269"/>
    </row>
    <row r="790" spans="1:9" ht="15.75">
      <c r="A790" s="33"/>
      <c r="B790" s="33"/>
      <c r="C790" s="302"/>
      <c r="D790" s="33"/>
      <c r="E790" s="269"/>
      <c r="F790" s="303"/>
      <c r="G790" s="303"/>
      <c r="H790" s="301"/>
      <c r="I790" s="269"/>
    </row>
    <row r="791" spans="1:9" ht="15.75">
      <c r="A791" s="33"/>
      <c r="B791" s="33"/>
      <c r="C791" s="302"/>
      <c r="D791" s="33"/>
      <c r="E791" s="269"/>
      <c r="F791" s="303"/>
      <c r="G791" s="303"/>
      <c r="H791" s="301"/>
      <c r="I791" s="269"/>
    </row>
    <row r="792" spans="1:9" ht="15.75">
      <c r="A792" s="33"/>
      <c r="B792" s="33"/>
      <c r="C792" s="302"/>
      <c r="D792" s="33"/>
      <c r="E792" s="269"/>
      <c r="F792" s="303"/>
      <c r="G792" s="303"/>
      <c r="H792" s="301"/>
      <c r="I792" s="269"/>
    </row>
    <row r="793" spans="1:9" ht="15.75">
      <c r="A793" s="33"/>
      <c r="B793" s="33"/>
      <c r="C793" s="302"/>
      <c r="D793" s="33"/>
      <c r="E793" s="269"/>
      <c r="F793" s="303"/>
      <c r="G793" s="303"/>
      <c r="H793" s="301"/>
      <c r="I793" s="269"/>
    </row>
    <row r="794" spans="1:9" ht="15.75">
      <c r="A794" s="33"/>
      <c r="B794" s="33"/>
      <c r="C794" s="302"/>
      <c r="D794" s="33"/>
      <c r="E794" s="269"/>
      <c r="F794" s="303"/>
      <c r="G794" s="303"/>
      <c r="H794" s="301"/>
      <c r="I794" s="269"/>
    </row>
    <row r="795" spans="1:9" ht="15.75">
      <c r="A795" s="33"/>
      <c r="B795" s="33"/>
      <c r="C795" s="302"/>
      <c r="D795" s="33"/>
      <c r="E795" s="269"/>
      <c r="F795" s="303"/>
      <c r="G795" s="303"/>
      <c r="H795" s="301"/>
      <c r="I795" s="269"/>
    </row>
    <row r="796" spans="1:9" ht="15.75">
      <c r="A796" s="33"/>
      <c r="B796" s="33"/>
      <c r="C796" s="302"/>
      <c r="D796" s="33"/>
      <c r="E796" s="269"/>
      <c r="F796" s="303"/>
      <c r="G796" s="303"/>
      <c r="H796" s="301"/>
      <c r="I796" s="269"/>
    </row>
    <row r="797" spans="1:9" ht="15.75">
      <c r="A797" s="33"/>
      <c r="B797" s="33"/>
      <c r="C797" s="302"/>
      <c r="D797" s="33"/>
      <c r="E797" s="269"/>
      <c r="F797" s="303"/>
      <c r="G797" s="303"/>
      <c r="H797" s="301"/>
      <c r="I797" s="269"/>
    </row>
    <row r="798" spans="1:9" ht="15.75">
      <c r="A798" s="33"/>
      <c r="B798" s="33"/>
      <c r="C798" s="302"/>
      <c r="D798" s="33"/>
      <c r="E798" s="269"/>
      <c r="F798" s="303"/>
      <c r="G798" s="303"/>
      <c r="H798" s="301"/>
      <c r="I798" s="269"/>
    </row>
    <row r="799" spans="1:9" ht="15.75">
      <c r="A799" s="33"/>
      <c r="B799" s="33"/>
      <c r="C799" s="302"/>
      <c r="D799" s="33"/>
      <c r="E799" s="269"/>
      <c r="F799" s="303"/>
      <c r="G799" s="303"/>
      <c r="H799" s="301"/>
      <c r="I799" s="269"/>
    </row>
    <row r="800" spans="1:9" ht="15.75">
      <c r="A800" s="33"/>
      <c r="B800" s="33"/>
      <c r="C800" s="302"/>
      <c r="D800" s="33"/>
      <c r="E800" s="269"/>
      <c r="F800" s="303"/>
      <c r="G800" s="303"/>
      <c r="H800" s="301"/>
      <c r="I800" s="269"/>
    </row>
    <row r="801" spans="1:9" ht="15.75">
      <c r="A801" s="33"/>
      <c r="B801" s="33"/>
      <c r="C801" s="302"/>
      <c r="D801" s="33"/>
      <c r="E801" s="269"/>
      <c r="F801" s="303"/>
      <c r="G801" s="303"/>
      <c r="H801" s="301"/>
      <c r="I801" s="269"/>
    </row>
    <row r="802" spans="1:9" ht="15.75">
      <c r="A802" s="33"/>
      <c r="B802" s="33"/>
      <c r="C802" s="302"/>
      <c r="D802" s="33"/>
      <c r="E802" s="269"/>
      <c r="F802" s="303"/>
      <c r="G802" s="303"/>
      <c r="H802" s="301"/>
      <c r="I802" s="269"/>
    </row>
    <row r="803" spans="1:9" ht="15.75">
      <c r="A803" s="33"/>
      <c r="B803" s="33"/>
      <c r="C803" s="302"/>
      <c r="D803" s="33"/>
      <c r="E803" s="269"/>
      <c r="F803" s="303"/>
      <c r="G803" s="303"/>
      <c r="H803" s="301"/>
      <c r="I803" s="269"/>
    </row>
    <row r="804" spans="1:9" ht="15.75">
      <c r="A804" s="33"/>
      <c r="B804" s="33"/>
      <c r="C804" s="302"/>
      <c r="D804" s="33"/>
      <c r="E804" s="269"/>
      <c r="F804" s="303"/>
      <c r="G804" s="303"/>
      <c r="H804" s="301"/>
      <c r="I804" s="269"/>
    </row>
    <row r="805" spans="1:9" ht="15.75">
      <c r="A805" s="33"/>
      <c r="B805" s="33"/>
      <c r="C805" s="302"/>
      <c r="D805" s="33"/>
      <c r="E805" s="269"/>
      <c r="F805" s="303"/>
      <c r="G805" s="303"/>
      <c r="H805" s="301"/>
      <c r="I805" s="269"/>
    </row>
    <row r="806" spans="1:9" ht="15.75">
      <c r="A806" s="33"/>
      <c r="B806" s="33"/>
      <c r="C806" s="302"/>
      <c r="D806" s="33"/>
      <c r="E806" s="269"/>
      <c r="F806" s="303"/>
      <c r="G806" s="303"/>
      <c r="H806" s="301"/>
      <c r="I806" s="269"/>
    </row>
    <row r="807" spans="1:9" ht="15.75">
      <c r="A807" s="33"/>
      <c r="B807" s="33"/>
      <c r="C807" s="302"/>
      <c r="D807" s="33"/>
      <c r="E807" s="269"/>
      <c r="F807" s="303"/>
      <c r="G807" s="303"/>
      <c r="H807" s="301"/>
      <c r="I807" s="269"/>
    </row>
    <row r="808" spans="1:9" ht="15.75">
      <c r="A808" s="33"/>
      <c r="B808" s="33"/>
      <c r="C808" s="302"/>
      <c r="D808" s="33"/>
      <c r="E808" s="269"/>
      <c r="F808" s="303"/>
      <c r="G808" s="303"/>
      <c r="H808" s="301"/>
      <c r="I808" s="269"/>
    </row>
    <row r="809" spans="1:9" ht="15.75">
      <c r="A809" s="33"/>
      <c r="B809" s="33"/>
      <c r="C809" s="302"/>
      <c r="D809" s="33"/>
      <c r="E809" s="269"/>
      <c r="F809" s="303"/>
      <c r="G809" s="303"/>
      <c r="H809" s="301"/>
      <c r="I809" s="269"/>
    </row>
    <row r="810" spans="1:9" ht="15.75">
      <c r="A810" s="33"/>
      <c r="B810" s="33"/>
      <c r="C810" s="302"/>
      <c r="D810" s="33"/>
      <c r="E810" s="269"/>
      <c r="F810" s="303"/>
      <c r="G810" s="303"/>
      <c r="H810" s="301"/>
      <c r="I810" s="269"/>
    </row>
    <row r="811" spans="1:9" ht="15.75">
      <c r="A811" s="33"/>
      <c r="B811" s="33"/>
      <c r="C811" s="302"/>
      <c r="D811" s="33"/>
      <c r="E811" s="269"/>
      <c r="F811" s="303"/>
      <c r="G811" s="303"/>
      <c r="H811" s="301"/>
      <c r="I811" s="269"/>
    </row>
    <row r="812" spans="1:9" ht="15.75">
      <c r="A812" s="33"/>
      <c r="B812" s="33"/>
      <c r="C812" s="302"/>
      <c r="D812" s="33"/>
      <c r="E812" s="269"/>
      <c r="F812" s="303"/>
      <c r="G812" s="303"/>
      <c r="H812" s="301"/>
      <c r="I812" s="269"/>
    </row>
    <row r="813" spans="1:9" ht="15.75">
      <c r="A813" s="33"/>
      <c r="B813" s="33"/>
      <c r="C813" s="302"/>
      <c r="D813" s="33"/>
      <c r="E813" s="269"/>
      <c r="F813" s="303"/>
      <c r="G813" s="303"/>
      <c r="H813" s="301"/>
      <c r="I813" s="269"/>
    </row>
    <row r="814" spans="1:9" ht="15.75">
      <c r="A814" s="33"/>
      <c r="B814" s="33"/>
      <c r="C814" s="302"/>
      <c r="D814" s="33"/>
      <c r="E814" s="269"/>
      <c r="F814" s="303"/>
      <c r="G814" s="303"/>
      <c r="H814" s="301"/>
      <c r="I814" s="269"/>
    </row>
    <row r="815" spans="1:9" ht="15.75">
      <c r="A815" s="33"/>
      <c r="B815" s="33"/>
      <c r="C815" s="302"/>
      <c r="D815" s="33"/>
      <c r="E815" s="269"/>
      <c r="F815" s="303"/>
      <c r="G815" s="303"/>
      <c r="H815" s="301"/>
      <c r="I815" s="269"/>
    </row>
    <row r="816" spans="1:9" ht="15.75">
      <c r="A816" s="33"/>
      <c r="B816" s="33"/>
      <c r="C816" s="302"/>
      <c r="D816" s="33"/>
      <c r="E816" s="269"/>
      <c r="F816" s="303"/>
      <c r="G816" s="303"/>
      <c r="H816" s="301"/>
      <c r="I816" s="269"/>
    </row>
    <row r="817" spans="1:9" ht="15.75">
      <c r="A817" s="33"/>
      <c r="B817" s="33"/>
      <c r="C817" s="302"/>
      <c r="D817" s="33"/>
      <c r="E817" s="269"/>
      <c r="F817" s="303"/>
      <c r="G817" s="303"/>
      <c r="H817" s="301"/>
      <c r="I817" s="269"/>
    </row>
    <row r="818" spans="1:9" ht="15.75">
      <c r="A818" s="33"/>
      <c r="B818" s="33"/>
      <c r="C818" s="302"/>
      <c r="D818" s="33"/>
      <c r="E818" s="269"/>
      <c r="F818" s="303"/>
      <c r="G818" s="303"/>
      <c r="H818" s="301"/>
      <c r="I818" s="269"/>
    </row>
    <row r="819" spans="1:9" ht="15.75">
      <c r="A819" s="33"/>
      <c r="B819" s="33"/>
      <c r="C819" s="302"/>
      <c r="D819" s="33"/>
      <c r="E819" s="269"/>
      <c r="F819" s="303"/>
      <c r="G819" s="303"/>
      <c r="H819" s="301"/>
      <c r="I819" s="269"/>
    </row>
    <row r="820" spans="1:9" ht="15.75">
      <c r="A820" s="33"/>
      <c r="B820" s="33"/>
      <c r="C820" s="302"/>
      <c r="D820" s="33"/>
      <c r="E820" s="269"/>
      <c r="F820" s="303"/>
      <c r="G820" s="303"/>
      <c r="H820" s="301"/>
      <c r="I820" s="269"/>
    </row>
    <row r="821" spans="1:9" ht="15.75">
      <c r="A821" s="33"/>
      <c r="B821" s="33"/>
      <c r="C821" s="302"/>
      <c r="D821" s="33"/>
      <c r="E821" s="269"/>
      <c r="F821" s="303"/>
      <c r="G821" s="303"/>
      <c r="H821" s="301"/>
      <c r="I821" s="269"/>
    </row>
    <row r="822" spans="1:9" ht="15.75">
      <c r="A822" s="33"/>
      <c r="B822" s="33"/>
      <c r="C822" s="302"/>
      <c r="D822" s="33"/>
      <c r="E822" s="269"/>
      <c r="F822" s="303"/>
      <c r="G822" s="303"/>
      <c r="H822" s="301"/>
      <c r="I822" s="269"/>
    </row>
    <row r="823" spans="1:9" ht="15.75">
      <c r="A823" s="33"/>
      <c r="B823" s="33"/>
      <c r="C823" s="302"/>
      <c r="D823" s="33"/>
      <c r="E823" s="269"/>
      <c r="F823" s="303"/>
      <c r="G823" s="303"/>
      <c r="H823" s="301"/>
      <c r="I823" s="269"/>
    </row>
    <row r="824" spans="1:9" ht="15.75">
      <c r="A824" s="33"/>
      <c r="B824" s="33"/>
      <c r="C824" s="302"/>
      <c r="D824" s="33"/>
      <c r="E824" s="269"/>
      <c r="F824" s="303"/>
      <c r="G824" s="303"/>
      <c r="H824" s="301"/>
      <c r="I824" s="269"/>
    </row>
    <row r="825" spans="1:9" ht="15.75">
      <c r="A825" s="33"/>
      <c r="B825" s="33"/>
      <c r="C825" s="302"/>
      <c r="D825" s="33"/>
      <c r="E825" s="269"/>
      <c r="F825" s="303"/>
      <c r="G825" s="303"/>
      <c r="H825" s="301"/>
      <c r="I825" s="269"/>
    </row>
    <row r="826" spans="1:9" ht="15.75">
      <c r="A826" s="33"/>
      <c r="B826" s="33"/>
      <c r="C826" s="302"/>
      <c r="D826" s="33"/>
      <c r="E826" s="269"/>
      <c r="F826" s="303"/>
      <c r="G826" s="303"/>
      <c r="H826" s="301"/>
      <c r="I826" s="269"/>
    </row>
    <row r="827" spans="1:9" ht="15.75">
      <c r="A827" s="33"/>
      <c r="B827" s="33"/>
      <c r="C827" s="302"/>
      <c r="D827" s="33"/>
      <c r="E827" s="269"/>
      <c r="F827" s="303"/>
      <c r="G827" s="303"/>
      <c r="H827" s="301"/>
      <c r="I827" s="269"/>
    </row>
    <row r="828" spans="1:9" ht="15.75">
      <c r="A828" s="33"/>
      <c r="B828" s="33"/>
      <c r="C828" s="302"/>
      <c r="D828" s="33"/>
      <c r="E828" s="269"/>
      <c r="F828" s="303"/>
      <c r="G828" s="303"/>
      <c r="H828" s="301"/>
      <c r="I828" s="269"/>
    </row>
    <row r="829" spans="1:9" ht="15.75">
      <c r="A829" s="33"/>
      <c r="B829" s="33"/>
      <c r="C829" s="302"/>
      <c r="D829" s="33"/>
      <c r="E829" s="269"/>
      <c r="F829" s="303"/>
      <c r="G829" s="303"/>
      <c r="H829" s="301"/>
      <c r="I829" s="269"/>
    </row>
    <row r="830" spans="1:9" ht="15.75">
      <c r="A830" s="33"/>
      <c r="B830" s="33"/>
      <c r="C830" s="302"/>
      <c r="D830" s="33"/>
      <c r="E830" s="269"/>
      <c r="F830" s="303"/>
      <c r="G830" s="303"/>
      <c r="H830" s="301"/>
      <c r="I830" s="269"/>
    </row>
    <row r="831" spans="1:9" ht="15.75">
      <c r="A831" s="33"/>
      <c r="B831" s="33"/>
      <c r="C831" s="302"/>
      <c r="D831" s="33"/>
      <c r="E831" s="269"/>
      <c r="F831" s="303"/>
      <c r="G831" s="303"/>
      <c r="H831" s="301"/>
      <c r="I831" s="269"/>
    </row>
    <row r="832" spans="1:9" ht="15.75">
      <c r="A832" s="33"/>
      <c r="B832" s="33"/>
      <c r="C832" s="302"/>
      <c r="D832" s="33"/>
      <c r="E832" s="269"/>
      <c r="F832" s="303"/>
      <c r="G832" s="303"/>
      <c r="H832" s="301"/>
      <c r="I832" s="269"/>
    </row>
    <row r="833" spans="1:9" ht="15.75">
      <c r="A833" s="33"/>
      <c r="B833" s="33"/>
      <c r="C833" s="302"/>
      <c r="D833" s="33"/>
      <c r="E833" s="269"/>
      <c r="F833" s="303"/>
      <c r="G833" s="303"/>
      <c r="H833" s="301"/>
      <c r="I833" s="269"/>
    </row>
    <row r="834" spans="1:9" ht="15.75">
      <c r="A834" s="33"/>
      <c r="B834" s="33"/>
      <c r="C834" s="302"/>
      <c r="D834" s="33"/>
      <c r="E834" s="269"/>
      <c r="F834" s="303"/>
      <c r="G834" s="303"/>
      <c r="H834" s="301"/>
      <c r="I834" s="269"/>
    </row>
    <row r="835" spans="1:9" ht="15.75">
      <c r="A835" s="33"/>
      <c r="B835" s="33"/>
      <c r="C835" s="302"/>
      <c r="D835" s="33"/>
      <c r="E835" s="269"/>
      <c r="F835" s="303"/>
      <c r="G835" s="303"/>
      <c r="H835" s="301"/>
      <c r="I835" s="269"/>
    </row>
    <row r="836" spans="1:9" ht="15.75">
      <c r="A836" s="33"/>
      <c r="B836" s="33"/>
      <c r="C836" s="302"/>
      <c r="D836" s="33"/>
      <c r="E836" s="269"/>
      <c r="F836" s="303"/>
      <c r="G836" s="303"/>
      <c r="H836" s="301"/>
      <c r="I836" s="269"/>
    </row>
    <row r="837" spans="1:9" ht="15.75">
      <c r="A837" s="33"/>
      <c r="B837" s="33"/>
      <c r="C837" s="302"/>
      <c r="D837" s="33"/>
      <c r="E837" s="269"/>
      <c r="F837" s="303"/>
      <c r="G837" s="303"/>
      <c r="H837" s="301"/>
      <c r="I837" s="269"/>
    </row>
    <row r="838" spans="1:9" ht="15.75">
      <c r="A838" s="33"/>
      <c r="B838" s="33"/>
      <c r="C838" s="302"/>
      <c r="D838" s="33"/>
      <c r="E838" s="269"/>
      <c r="F838" s="303"/>
      <c r="G838" s="303"/>
      <c r="H838" s="301"/>
      <c r="I838" s="269"/>
    </row>
    <row r="839" spans="1:9" ht="15.75">
      <c r="A839" s="33"/>
      <c r="B839" s="33"/>
      <c r="C839" s="302"/>
      <c r="D839" s="33"/>
      <c r="E839" s="269"/>
      <c r="F839" s="303"/>
      <c r="G839" s="303"/>
      <c r="H839" s="301"/>
      <c r="I839" s="269"/>
    </row>
    <row r="840" spans="1:9" ht="15.75">
      <c r="A840" s="33"/>
      <c r="B840" s="33"/>
      <c r="C840" s="302"/>
      <c r="D840" s="33"/>
      <c r="E840" s="269"/>
      <c r="F840" s="303"/>
      <c r="G840" s="303"/>
      <c r="H840" s="301"/>
      <c r="I840" s="269"/>
    </row>
    <row r="841" spans="1:9" ht="15.75">
      <c r="A841" s="33"/>
      <c r="B841" s="33"/>
      <c r="C841" s="302"/>
      <c r="D841" s="33"/>
      <c r="E841" s="269"/>
      <c r="F841" s="303"/>
      <c r="G841" s="303"/>
      <c r="H841" s="301"/>
      <c r="I841" s="269"/>
    </row>
    <row r="842" spans="1:9" ht="15.75">
      <c r="A842" s="33"/>
      <c r="B842" s="33"/>
      <c r="C842" s="302"/>
      <c r="D842" s="33"/>
      <c r="E842" s="269"/>
      <c r="F842" s="303"/>
      <c r="G842" s="303"/>
      <c r="H842" s="301"/>
      <c r="I842" s="269"/>
    </row>
    <row r="843" spans="1:9" ht="15.75">
      <c r="A843" s="33"/>
      <c r="B843" s="33"/>
      <c r="C843" s="302"/>
      <c r="D843" s="33"/>
      <c r="E843" s="269"/>
      <c r="F843" s="303"/>
      <c r="G843" s="303"/>
      <c r="H843" s="301"/>
      <c r="I843" s="269"/>
    </row>
    <row r="844" spans="1:9" ht="15.75">
      <c r="A844" s="33"/>
      <c r="B844" s="33"/>
      <c r="C844" s="302"/>
      <c r="D844" s="33"/>
      <c r="E844" s="269"/>
      <c r="F844" s="303"/>
      <c r="G844" s="303"/>
      <c r="H844" s="301"/>
      <c r="I844" s="269"/>
    </row>
    <row r="845" spans="1:9" ht="15.75">
      <c r="A845" s="33"/>
      <c r="B845" s="33"/>
      <c r="C845" s="302"/>
      <c r="D845" s="33"/>
      <c r="E845" s="269"/>
      <c r="F845" s="303"/>
      <c r="G845" s="303"/>
      <c r="H845" s="301"/>
      <c r="I845" s="269"/>
    </row>
    <row r="846" spans="1:9" ht="15.75">
      <c r="A846" s="33"/>
      <c r="B846" s="33"/>
      <c r="C846" s="302"/>
      <c r="D846" s="33"/>
      <c r="E846" s="269"/>
      <c r="F846" s="303"/>
      <c r="G846" s="303"/>
      <c r="H846" s="301"/>
      <c r="I846" s="269"/>
    </row>
    <row r="847" spans="1:9" ht="15.75">
      <c r="A847" s="33"/>
      <c r="B847" s="33"/>
      <c r="C847" s="302"/>
      <c r="D847" s="33"/>
      <c r="E847" s="269"/>
      <c r="F847" s="303"/>
      <c r="G847" s="303"/>
      <c r="H847" s="301"/>
      <c r="I847" s="269"/>
    </row>
    <row r="848" spans="1:9" ht="15.75">
      <c r="A848" s="33"/>
      <c r="B848" s="33"/>
      <c r="C848" s="302"/>
      <c r="D848" s="33"/>
      <c r="E848" s="269"/>
      <c r="F848" s="303"/>
      <c r="G848" s="303"/>
      <c r="H848" s="301"/>
      <c r="I848" s="269"/>
    </row>
    <row r="849" spans="1:9" ht="15.75">
      <c r="A849" s="33"/>
      <c r="B849" s="33"/>
      <c r="C849" s="302"/>
      <c r="D849" s="33"/>
      <c r="E849" s="269"/>
      <c r="F849" s="303"/>
      <c r="G849" s="303"/>
      <c r="H849" s="301"/>
      <c r="I849" s="269"/>
    </row>
    <row r="850" spans="1:9" ht="15.75">
      <c r="A850" s="33"/>
      <c r="B850" s="33"/>
      <c r="C850" s="302"/>
      <c r="D850" s="33"/>
      <c r="E850" s="269"/>
      <c r="F850" s="303"/>
      <c r="G850" s="303"/>
      <c r="H850" s="301"/>
      <c r="I850" s="269"/>
    </row>
    <row r="851" spans="1:9" ht="15.75">
      <c r="A851" s="33"/>
      <c r="B851" s="33"/>
      <c r="C851" s="302"/>
      <c r="D851" s="33"/>
      <c r="E851" s="269"/>
      <c r="F851" s="303"/>
      <c r="G851" s="303"/>
      <c r="H851" s="301"/>
      <c r="I851" s="269"/>
    </row>
    <row r="852" spans="1:9" ht="15.75">
      <c r="A852" s="33"/>
      <c r="B852" s="33"/>
      <c r="C852" s="302"/>
      <c r="D852" s="33"/>
      <c r="E852" s="269"/>
      <c r="F852" s="303"/>
      <c r="G852" s="303"/>
      <c r="H852" s="301"/>
      <c r="I852" s="269"/>
    </row>
    <row r="853" spans="1:9" ht="15.75">
      <c r="A853" s="33"/>
      <c r="B853" s="33"/>
      <c r="C853" s="302"/>
      <c r="D853" s="33"/>
      <c r="E853" s="269"/>
      <c r="F853" s="303"/>
      <c r="G853" s="303"/>
      <c r="H853" s="301"/>
      <c r="I853" s="269"/>
    </row>
    <row r="854" spans="1:9" ht="15.75">
      <c r="A854" s="33"/>
      <c r="B854" s="33"/>
      <c r="C854" s="302"/>
      <c r="D854" s="33"/>
      <c r="E854" s="269"/>
      <c r="F854" s="303"/>
      <c r="G854" s="303"/>
      <c r="H854" s="301"/>
      <c r="I854" s="269"/>
    </row>
    <row r="855" spans="1:9" ht="15.75">
      <c r="A855" s="33"/>
      <c r="B855" s="33"/>
      <c r="C855" s="302"/>
      <c r="D855" s="33"/>
      <c r="E855" s="269"/>
      <c r="F855" s="303"/>
      <c r="G855" s="303"/>
      <c r="H855" s="301"/>
      <c r="I855" s="269"/>
    </row>
    <row r="856" spans="1:9" ht="15.75">
      <c r="A856" s="33"/>
      <c r="B856" s="33"/>
      <c r="C856" s="302"/>
      <c r="D856" s="33"/>
      <c r="E856" s="269"/>
      <c r="F856" s="303"/>
      <c r="G856" s="303"/>
      <c r="H856" s="301"/>
      <c r="I856" s="269"/>
    </row>
    <row r="857" spans="1:9" ht="15.75">
      <c r="A857" s="33"/>
      <c r="B857" s="33"/>
      <c r="C857" s="302"/>
      <c r="D857" s="33"/>
      <c r="E857" s="269"/>
      <c r="F857" s="303"/>
      <c r="G857" s="303"/>
      <c r="H857" s="301"/>
      <c r="I857" s="269"/>
    </row>
    <row r="858" spans="1:9" ht="15.75">
      <c r="A858" s="33"/>
      <c r="B858" s="33"/>
      <c r="C858" s="302"/>
      <c r="D858" s="33"/>
      <c r="E858" s="269"/>
      <c r="F858" s="303"/>
      <c r="G858" s="303"/>
      <c r="H858" s="301"/>
      <c r="I858" s="269"/>
    </row>
    <row r="859" spans="1:9" ht="15.75">
      <c r="A859" s="33"/>
      <c r="B859" s="33"/>
      <c r="C859" s="302"/>
      <c r="D859" s="33"/>
      <c r="E859" s="269"/>
      <c r="F859" s="303"/>
      <c r="G859" s="303"/>
      <c r="H859" s="301"/>
      <c r="I859" s="269"/>
    </row>
    <row r="860" spans="1:9" ht="15.75">
      <c r="A860" s="33"/>
      <c r="B860" s="33"/>
      <c r="C860" s="302"/>
      <c r="D860" s="33"/>
      <c r="E860" s="269"/>
      <c r="F860" s="303"/>
      <c r="G860" s="303"/>
      <c r="H860" s="301"/>
      <c r="I860" s="269"/>
    </row>
    <row r="861" spans="1:9" ht="15.75">
      <c r="A861" s="33"/>
      <c r="B861" s="33"/>
      <c r="C861" s="302"/>
      <c r="D861" s="33"/>
      <c r="E861" s="269"/>
      <c r="F861" s="303"/>
      <c r="G861" s="303"/>
      <c r="H861" s="301"/>
      <c r="I861" s="269"/>
    </row>
    <row r="862" spans="1:9" ht="15.75">
      <c r="A862" s="33"/>
      <c r="B862" s="33"/>
      <c r="C862" s="302"/>
      <c r="D862" s="33"/>
      <c r="E862" s="269"/>
      <c r="F862" s="303"/>
      <c r="G862" s="303"/>
      <c r="H862" s="301"/>
      <c r="I862" s="269"/>
    </row>
    <row r="863" spans="1:9" ht="15.75">
      <c r="A863" s="33"/>
      <c r="B863" s="33"/>
      <c r="C863" s="302"/>
      <c r="D863" s="33"/>
      <c r="E863" s="269"/>
      <c r="F863" s="303"/>
      <c r="G863" s="303"/>
      <c r="H863" s="301"/>
      <c r="I863" s="269"/>
    </row>
    <row r="864" spans="1:9" ht="15.75">
      <c r="A864" s="33"/>
      <c r="B864" s="33"/>
      <c r="C864" s="302"/>
      <c r="D864" s="33"/>
      <c r="E864" s="269"/>
      <c r="F864" s="303"/>
      <c r="G864" s="303"/>
      <c r="H864" s="301"/>
      <c r="I864" s="269"/>
    </row>
    <row r="865" spans="1:9" ht="15.75">
      <c r="A865" s="33"/>
      <c r="B865" s="33"/>
      <c r="C865" s="302"/>
      <c r="D865" s="33"/>
      <c r="E865" s="269"/>
      <c r="F865" s="303"/>
      <c r="G865" s="303"/>
      <c r="H865" s="301"/>
      <c r="I865" s="269"/>
    </row>
    <row r="866" spans="1:9" ht="15.75">
      <c r="A866" s="33"/>
      <c r="B866" s="33"/>
      <c r="C866" s="302"/>
      <c r="D866" s="33"/>
      <c r="E866" s="269"/>
      <c r="F866" s="303"/>
      <c r="G866" s="303"/>
      <c r="H866" s="301"/>
      <c r="I866" s="269"/>
    </row>
    <row r="867" spans="1:9" ht="15.75">
      <c r="A867" s="33"/>
      <c r="B867" s="33"/>
      <c r="C867" s="302"/>
      <c r="D867" s="33"/>
      <c r="E867" s="269"/>
      <c r="F867" s="303"/>
      <c r="G867" s="303"/>
      <c r="H867" s="301"/>
      <c r="I867" s="269"/>
    </row>
    <row r="868" spans="1:9" ht="15.75">
      <c r="A868" s="33"/>
      <c r="B868" s="33"/>
      <c r="C868" s="302"/>
      <c r="D868" s="33"/>
      <c r="E868" s="269"/>
      <c r="F868" s="303"/>
      <c r="G868" s="303"/>
      <c r="H868" s="301"/>
      <c r="I868" s="269"/>
    </row>
    <row r="869" spans="1:9" ht="15.75">
      <c r="A869" s="33"/>
      <c r="B869" s="33"/>
      <c r="C869" s="302"/>
      <c r="D869" s="33"/>
      <c r="E869" s="269"/>
      <c r="F869" s="303"/>
      <c r="G869" s="303"/>
      <c r="H869" s="301"/>
      <c r="I869" s="269"/>
    </row>
    <row r="870" spans="1:9" ht="15.75">
      <c r="A870" s="33"/>
      <c r="B870" s="33"/>
      <c r="C870" s="302"/>
      <c r="D870" s="33"/>
      <c r="E870" s="269"/>
      <c r="F870" s="303"/>
      <c r="G870" s="303"/>
      <c r="H870" s="301"/>
      <c r="I870" s="269"/>
    </row>
    <row r="871" spans="1:9" ht="15.75">
      <c r="A871" s="33"/>
      <c r="B871" s="33"/>
      <c r="C871" s="302"/>
      <c r="D871" s="33"/>
      <c r="E871" s="269"/>
      <c r="F871" s="303"/>
      <c r="G871" s="303"/>
      <c r="H871" s="301"/>
      <c r="I871" s="269"/>
    </row>
    <row r="872" spans="1:9" ht="15.75">
      <c r="A872" s="33"/>
      <c r="B872" s="33"/>
      <c r="C872" s="302"/>
      <c r="D872" s="33"/>
      <c r="E872" s="269"/>
      <c r="F872" s="303"/>
      <c r="G872" s="303"/>
      <c r="H872" s="301"/>
      <c r="I872" s="269"/>
    </row>
    <row r="873" spans="1:9" ht="15.75">
      <c r="A873" s="33"/>
      <c r="B873" s="33"/>
      <c r="C873" s="302"/>
      <c r="D873" s="33"/>
      <c r="E873" s="269"/>
      <c r="F873" s="303"/>
      <c r="G873" s="303"/>
      <c r="H873" s="301"/>
      <c r="I873" s="269"/>
    </row>
    <row r="874" spans="1:9" ht="15.75">
      <c r="A874" s="33"/>
      <c r="B874" s="33"/>
      <c r="C874" s="302"/>
      <c r="D874" s="33"/>
      <c r="E874" s="269"/>
      <c r="F874" s="303"/>
      <c r="G874" s="303"/>
      <c r="H874" s="301"/>
      <c r="I874" s="269"/>
    </row>
    <row r="875" spans="1:9" ht="15.75">
      <c r="A875" s="33"/>
      <c r="B875" s="33"/>
      <c r="C875" s="302"/>
      <c r="D875" s="33"/>
      <c r="E875" s="269"/>
      <c r="F875" s="303"/>
      <c r="G875" s="303"/>
      <c r="H875" s="301"/>
      <c r="I875" s="269"/>
    </row>
    <row r="876" spans="1:9" ht="15.75">
      <c r="A876" s="33"/>
      <c r="B876" s="33"/>
      <c r="C876" s="302"/>
      <c r="D876" s="33"/>
      <c r="E876" s="269"/>
      <c r="F876" s="303"/>
      <c r="G876" s="303"/>
      <c r="H876" s="301"/>
      <c r="I876" s="269"/>
    </row>
    <row r="877" spans="1:9" ht="15.75">
      <c r="A877" s="33"/>
      <c r="B877" s="33"/>
      <c r="C877" s="302"/>
      <c r="D877" s="33"/>
      <c r="E877" s="269"/>
      <c r="F877" s="303"/>
      <c r="G877" s="303"/>
      <c r="H877" s="301"/>
      <c r="I877" s="269"/>
    </row>
    <row r="878" spans="1:9" ht="15.75">
      <c r="A878" s="33"/>
      <c r="B878" s="33"/>
      <c r="C878" s="302"/>
      <c r="D878" s="33"/>
      <c r="E878" s="269"/>
      <c r="F878" s="303"/>
      <c r="G878" s="303"/>
      <c r="H878" s="301"/>
      <c r="I878" s="269"/>
    </row>
    <row r="879" spans="1:9" ht="15.75">
      <c r="A879" s="33"/>
      <c r="B879" s="33"/>
      <c r="C879" s="302"/>
      <c r="D879" s="33"/>
      <c r="E879" s="269"/>
      <c r="F879" s="303"/>
      <c r="G879" s="303"/>
      <c r="H879" s="301"/>
      <c r="I879" s="269"/>
    </row>
    <row r="880" spans="1:9" ht="15.75">
      <c r="A880" s="33"/>
      <c r="B880" s="33"/>
      <c r="C880" s="302"/>
      <c r="D880" s="33"/>
      <c r="E880" s="269"/>
      <c r="F880" s="303"/>
      <c r="G880" s="303"/>
      <c r="H880" s="301"/>
      <c r="I880" s="269"/>
    </row>
    <row r="881" spans="1:9" ht="15.75">
      <c r="A881" s="33"/>
      <c r="B881" s="33"/>
      <c r="C881" s="302"/>
      <c r="D881" s="33"/>
      <c r="E881" s="269"/>
      <c r="F881" s="303"/>
      <c r="G881" s="303"/>
      <c r="H881" s="301"/>
      <c r="I881" s="269"/>
    </row>
    <row r="882" spans="1:9" ht="15.75">
      <c r="A882" s="33"/>
      <c r="B882" s="33"/>
      <c r="C882" s="302"/>
      <c r="D882" s="33"/>
      <c r="E882" s="269"/>
      <c r="F882" s="303"/>
      <c r="G882" s="303"/>
      <c r="H882" s="301"/>
      <c r="I882" s="269"/>
    </row>
    <row r="883" spans="1:9" ht="15.75">
      <c r="A883" s="33"/>
      <c r="B883" s="33"/>
      <c r="C883" s="302"/>
      <c r="D883" s="33"/>
      <c r="E883" s="269"/>
      <c r="F883" s="303"/>
      <c r="G883" s="303"/>
      <c r="H883" s="301"/>
      <c r="I883" s="269"/>
    </row>
    <row r="884" spans="1:9" ht="15.75">
      <c r="A884" s="33"/>
      <c r="B884" s="33"/>
      <c r="C884" s="302"/>
      <c r="D884" s="33"/>
      <c r="E884" s="269"/>
      <c r="F884" s="303"/>
      <c r="G884" s="303"/>
      <c r="H884" s="301"/>
      <c r="I884" s="269"/>
    </row>
    <row r="885" spans="1:9" ht="15.75">
      <c r="A885" s="33"/>
      <c r="B885" s="33"/>
      <c r="C885" s="302"/>
      <c r="D885" s="33"/>
      <c r="E885" s="269"/>
      <c r="F885" s="303"/>
      <c r="G885" s="303"/>
      <c r="H885" s="301"/>
      <c r="I885" s="269"/>
    </row>
    <row r="886" spans="1:9" ht="15.75">
      <c r="A886" s="33"/>
      <c r="B886" s="33"/>
      <c r="C886" s="302"/>
      <c r="D886" s="33"/>
      <c r="E886" s="269"/>
      <c r="F886" s="303"/>
      <c r="G886" s="303"/>
      <c r="H886" s="301"/>
      <c r="I886" s="269"/>
    </row>
    <row r="887" spans="1:9" ht="15.75">
      <c r="A887" s="33"/>
      <c r="B887" s="33"/>
      <c r="C887" s="302"/>
      <c r="D887" s="33"/>
      <c r="E887" s="269"/>
      <c r="F887" s="303"/>
      <c r="G887" s="303"/>
      <c r="H887" s="301"/>
      <c r="I887" s="269"/>
    </row>
    <row r="888" spans="1:9" ht="15.75">
      <c r="A888" s="33"/>
      <c r="B888" s="33"/>
      <c r="C888" s="302"/>
      <c r="D888" s="33"/>
      <c r="E888" s="269"/>
      <c r="F888" s="303"/>
      <c r="G888" s="303"/>
      <c r="H888" s="301"/>
      <c r="I888" s="269"/>
    </row>
    <row r="889" spans="1:9" ht="15.75">
      <c r="A889" s="33"/>
      <c r="B889" s="33"/>
      <c r="C889" s="302"/>
      <c r="D889" s="33"/>
      <c r="E889" s="269"/>
      <c r="F889" s="303"/>
      <c r="G889" s="303"/>
      <c r="H889" s="301"/>
      <c r="I889" s="269"/>
    </row>
    <row r="890" spans="1:9" ht="15.75">
      <c r="A890" s="33"/>
      <c r="B890" s="33"/>
      <c r="C890" s="302"/>
      <c r="D890" s="33"/>
      <c r="E890" s="269"/>
      <c r="F890" s="303"/>
      <c r="G890" s="303"/>
      <c r="H890" s="301"/>
      <c r="I890" s="269"/>
    </row>
    <row r="891" spans="1:9" ht="15.75">
      <c r="A891" s="33"/>
      <c r="B891" s="33"/>
      <c r="C891" s="302"/>
      <c r="D891" s="33"/>
      <c r="E891" s="269"/>
      <c r="F891" s="303"/>
      <c r="G891" s="303"/>
      <c r="H891" s="301"/>
      <c r="I891" s="269"/>
    </row>
    <row r="892" spans="1:9" ht="15.75">
      <c r="A892" s="33"/>
      <c r="B892" s="33"/>
      <c r="C892" s="302"/>
      <c r="D892" s="33"/>
      <c r="E892" s="269"/>
      <c r="F892" s="303"/>
      <c r="G892" s="303"/>
      <c r="H892" s="301"/>
      <c r="I892" s="269"/>
    </row>
    <row r="893" spans="1:9" ht="15.75">
      <c r="A893" s="33"/>
      <c r="B893" s="33"/>
      <c r="C893" s="302"/>
      <c r="D893" s="33"/>
      <c r="E893" s="269"/>
      <c r="F893" s="303"/>
      <c r="G893" s="303"/>
      <c r="H893" s="301"/>
      <c r="I893" s="269"/>
    </row>
    <row r="894" spans="1:9" ht="15.75">
      <c r="A894" s="33"/>
      <c r="B894" s="33"/>
      <c r="C894" s="302"/>
      <c r="D894" s="33"/>
      <c r="E894" s="269"/>
      <c r="F894" s="303"/>
      <c r="G894" s="303"/>
      <c r="H894" s="301"/>
      <c r="I894" s="269"/>
    </row>
    <row r="895" spans="1:9" ht="15.75">
      <c r="A895" s="33"/>
      <c r="B895" s="33"/>
      <c r="C895" s="302"/>
      <c r="D895" s="33"/>
      <c r="E895" s="269"/>
      <c r="F895" s="303"/>
      <c r="G895" s="303"/>
      <c r="H895" s="301"/>
      <c r="I895" s="269"/>
    </row>
    <row r="896" spans="1:9" ht="15.75">
      <c r="A896" s="33"/>
      <c r="B896" s="33"/>
      <c r="C896" s="302"/>
      <c r="D896" s="33"/>
      <c r="E896" s="269"/>
      <c r="F896" s="303"/>
      <c r="G896" s="303"/>
      <c r="H896" s="301"/>
      <c r="I896" s="269"/>
    </row>
    <row r="897" spans="1:9" ht="15.75">
      <c r="A897" s="33"/>
      <c r="B897" s="33"/>
      <c r="C897" s="302"/>
      <c r="D897" s="33"/>
      <c r="E897" s="269"/>
      <c r="F897" s="303"/>
      <c r="G897" s="303"/>
      <c r="H897" s="301"/>
      <c r="I897" s="269"/>
    </row>
    <row r="898" spans="1:9" ht="15.75">
      <c r="A898" s="33"/>
      <c r="B898" s="33"/>
      <c r="C898" s="302"/>
      <c r="D898" s="33"/>
      <c r="E898" s="269"/>
      <c r="F898" s="303"/>
      <c r="G898" s="303"/>
      <c r="H898" s="301"/>
      <c r="I898" s="269"/>
    </row>
    <row r="899" spans="1:9" ht="15.75">
      <c r="A899" s="33"/>
      <c r="B899" s="33"/>
      <c r="C899" s="302"/>
      <c r="D899" s="33"/>
      <c r="E899" s="269"/>
      <c r="F899" s="303"/>
      <c r="G899" s="303"/>
      <c r="H899" s="301"/>
      <c r="I899" s="269"/>
    </row>
    <row r="900" spans="1:9" ht="15.75">
      <c r="A900" s="33"/>
      <c r="B900" s="33"/>
      <c r="C900" s="302"/>
      <c r="D900" s="33"/>
      <c r="E900" s="269"/>
      <c r="F900" s="303"/>
      <c r="G900" s="303"/>
      <c r="H900" s="301"/>
      <c r="I900" s="269"/>
    </row>
    <row r="901" spans="1:9" ht="15.75">
      <c r="A901" s="33"/>
      <c r="B901" s="33"/>
      <c r="C901" s="302"/>
      <c r="D901" s="33"/>
      <c r="E901" s="269"/>
      <c r="F901" s="303"/>
      <c r="G901" s="303"/>
      <c r="H901" s="301"/>
      <c r="I901" s="269"/>
    </row>
    <row r="902" spans="1:9" ht="15.75">
      <c r="A902" s="33"/>
      <c r="B902" s="33"/>
      <c r="C902" s="302"/>
      <c r="D902" s="33"/>
      <c r="E902" s="269"/>
      <c r="F902" s="303"/>
      <c r="G902" s="303"/>
      <c r="H902" s="301"/>
      <c r="I902" s="269"/>
    </row>
    <row r="903" spans="1:9" ht="15.75">
      <c r="A903" s="33"/>
      <c r="B903" s="33"/>
      <c r="C903" s="302"/>
      <c r="D903" s="33"/>
      <c r="E903" s="269"/>
      <c r="F903" s="303"/>
      <c r="G903" s="303"/>
      <c r="H903" s="301"/>
      <c r="I903" s="269"/>
    </row>
    <row r="904" spans="1:9" ht="15.75">
      <c r="A904" s="33"/>
      <c r="B904" s="33"/>
      <c r="C904" s="302"/>
      <c r="D904" s="33"/>
      <c r="E904" s="269"/>
      <c r="F904" s="303"/>
      <c r="G904" s="303"/>
      <c r="H904" s="301"/>
      <c r="I904" s="269"/>
    </row>
    <row r="905" spans="1:9" ht="15.75">
      <c r="A905" s="33"/>
      <c r="B905" s="33"/>
      <c r="C905" s="302"/>
      <c r="D905" s="33"/>
      <c r="E905" s="269"/>
      <c r="F905" s="303"/>
      <c r="G905" s="303"/>
      <c r="H905" s="301"/>
      <c r="I905" s="269"/>
    </row>
    <row r="906" spans="1:9" ht="15.75">
      <c r="A906" s="33"/>
      <c r="B906" s="33"/>
      <c r="C906" s="302"/>
      <c r="D906" s="33"/>
      <c r="E906" s="269"/>
      <c r="F906" s="303"/>
      <c r="G906" s="303"/>
      <c r="H906" s="301"/>
      <c r="I906" s="269"/>
    </row>
    <row r="907" spans="1:9" ht="15.75">
      <c r="A907" s="33"/>
      <c r="B907" s="33"/>
      <c r="C907" s="302"/>
      <c r="D907" s="33"/>
      <c r="E907" s="269"/>
      <c r="F907" s="303"/>
      <c r="G907" s="303"/>
      <c r="H907" s="301"/>
      <c r="I907" s="269"/>
    </row>
    <row r="908" spans="1:9" ht="15.75">
      <c r="A908" s="33"/>
      <c r="B908" s="33"/>
      <c r="C908" s="302"/>
      <c r="D908" s="33"/>
      <c r="E908" s="269"/>
      <c r="F908" s="303"/>
      <c r="G908" s="303"/>
      <c r="H908" s="301"/>
      <c r="I908" s="269"/>
    </row>
    <row r="909" spans="1:9" ht="15.75">
      <c r="A909" s="33"/>
      <c r="B909" s="33"/>
      <c r="C909" s="302"/>
      <c r="D909" s="33"/>
      <c r="E909" s="269"/>
      <c r="F909" s="303"/>
      <c r="G909" s="303"/>
      <c r="H909" s="301"/>
      <c r="I909" s="269"/>
    </row>
    <row r="910" spans="1:9" ht="15.75">
      <c r="A910" s="33"/>
      <c r="B910" s="33"/>
      <c r="C910" s="302"/>
      <c r="D910" s="33"/>
      <c r="E910" s="269"/>
      <c r="F910" s="303"/>
      <c r="G910" s="303"/>
      <c r="H910" s="301"/>
      <c r="I910" s="269"/>
    </row>
    <row r="911" spans="1:9" ht="15.75">
      <c r="A911" s="33"/>
      <c r="B911" s="33"/>
      <c r="C911" s="302"/>
      <c r="D911" s="33"/>
      <c r="E911" s="269"/>
      <c r="F911" s="303"/>
      <c r="G911" s="303"/>
      <c r="H911" s="301"/>
      <c r="I911" s="269"/>
    </row>
    <row r="912" spans="1:9" ht="15.75">
      <c r="A912" s="33"/>
      <c r="B912" s="33"/>
      <c r="C912" s="302"/>
      <c r="D912" s="33"/>
      <c r="E912" s="269"/>
      <c r="F912" s="303"/>
      <c r="G912" s="303"/>
      <c r="H912" s="301"/>
      <c r="I912" s="269"/>
    </row>
    <row r="913" spans="1:9" ht="15.75">
      <c r="A913" s="33"/>
      <c r="B913" s="33"/>
      <c r="C913" s="302"/>
      <c r="D913" s="33"/>
      <c r="E913" s="269"/>
      <c r="F913" s="303"/>
      <c r="G913" s="303"/>
      <c r="H913" s="301"/>
      <c r="I913" s="269"/>
    </row>
    <row r="914" spans="1:9" ht="15.75">
      <c r="A914" s="33"/>
      <c r="B914" s="33"/>
      <c r="C914" s="302"/>
      <c r="D914" s="33"/>
      <c r="E914" s="269"/>
      <c r="F914" s="303"/>
      <c r="G914" s="303"/>
      <c r="H914" s="301"/>
      <c r="I914" s="269"/>
    </row>
    <row r="915" spans="1:9" ht="15.75">
      <c r="A915" s="33"/>
      <c r="B915" s="33"/>
      <c r="C915" s="302"/>
      <c r="D915" s="33"/>
      <c r="E915" s="269"/>
      <c r="F915" s="303"/>
      <c r="G915" s="303"/>
      <c r="H915" s="301"/>
      <c r="I915" s="269"/>
    </row>
    <row r="916" spans="1:9" ht="15.75">
      <c r="A916" s="33"/>
      <c r="B916" s="33"/>
      <c r="C916" s="302"/>
      <c r="D916" s="33"/>
      <c r="E916" s="269"/>
      <c r="F916" s="303"/>
      <c r="G916" s="303"/>
      <c r="H916" s="301"/>
      <c r="I916" s="269"/>
    </row>
    <row r="917" spans="1:9" ht="15.75">
      <c r="A917" s="33"/>
      <c r="B917" s="33"/>
      <c r="C917" s="302"/>
      <c r="D917" s="33"/>
      <c r="E917" s="269"/>
      <c r="F917" s="303"/>
      <c r="G917" s="303"/>
      <c r="H917" s="301"/>
      <c r="I917" s="269"/>
    </row>
    <row r="918" spans="1:9" ht="15.75">
      <c r="A918" s="33"/>
      <c r="B918" s="33"/>
      <c r="C918" s="302"/>
      <c r="D918" s="33"/>
      <c r="E918" s="269"/>
      <c r="F918" s="303"/>
      <c r="G918" s="303"/>
      <c r="H918" s="301"/>
      <c r="I918" s="269"/>
    </row>
    <row r="919" spans="1:9" ht="15.75">
      <c r="A919" s="33"/>
      <c r="B919" s="33"/>
      <c r="C919" s="302"/>
      <c r="D919" s="33"/>
      <c r="E919" s="269"/>
      <c r="F919" s="303"/>
      <c r="G919" s="303"/>
      <c r="H919" s="301"/>
      <c r="I919" s="269"/>
    </row>
    <row r="920" spans="1:9" ht="15.75">
      <c r="A920" s="33"/>
      <c r="B920" s="33"/>
      <c r="C920" s="302"/>
      <c r="D920" s="33"/>
      <c r="E920" s="269"/>
      <c r="F920" s="303"/>
      <c r="G920" s="303"/>
      <c r="H920" s="301"/>
      <c r="I920" s="269"/>
    </row>
    <row r="921" spans="1:9" ht="15.75">
      <c r="A921" s="33"/>
      <c r="B921" s="33"/>
      <c r="C921" s="302"/>
      <c r="D921" s="33"/>
      <c r="E921" s="269"/>
      <c r="F921" s="303"/>
      <c r="G921" s="303"/>
      <c r="H921" s="301"/>
      <c r="I921" s="269"/>
    </row>
    <row r="922" spans="1:9" ht="15.75">
      <c r="A922" s="33"/>
      <c r="B922" s="33"/>
      <c r="C922" s="302"/>
      <c r="D922" s="33"/>
      <c r="E922" s="269"/>
      <c r="F922" s="303"/>
      <c r="G922" s="303"/>
      <c r="H922" s="301"/>
      <c r="I922" s="269"/>
    </row>
    <row r="923" spans="1:9" ht="15.75">
      <c r="A923" s="33"/>
      <c r="B923" s="33"/>
      <c r="C923" s="302"/>
      <c r="D923" s="33"/>
      <c r="E923" s="269"/>
      <c r="F923" s="303"/>
      <c r="G923" s="303"/>
      <c r="H923" s="301"/>
      <c r="I923" s="269"/>
    </row>
    <row r="924" spans="1:9" ht="15.75">
      <c r="A924" s="33"/>
      <c r="B924" s="33"/>
      <c r="C924" s="302"/>
      <c r="D924" s="33"/>
      <c r="E924" s="269"/>
      <c r="F924" s="303"/>
      <c r="G924" s="303"/>
      <c r="H924" s="301"/>
      <c r="I924" s="269"/>
    </row>
    <row r="925" spans="1:9" ht="15.75">
      <c r="A925" s="33"/>
      <c r="B925" s="33"/>
      <c r="C925" s="302"/>
      <c r="D925" s="33"/>
      <c r="E925" s="269"/>
      <c r="F925" s="303"/>
      <c r="G925" s="303"/>
      <c r="H925" s="301"/>
      <c r="I925" s="269"/>
    </row>
    <row r="926" spans="1:9" ht="15.75">
      <c r="A926" s="33"/>
      <c r="B926" s="33"/>
      <c r="C926" s="302"/>
      <c r="D926" s="33"/>
      <c r="E926" s="269"/>
      <c r="F926" s="303"/>
      <c r="G926" s="303"/>
      <c r="H926" s="301"/>
      <c r="I926" s="269"/>
    </row>
    <row r="927" spans="1:9" ht="15.75">
      <c r="A927" s="33"/>
      <c r="B927" s="33"/>
      <c r="C927" s="302"/>
      <c r="D927" s="33"/>
      <c r="E927" s="269"/>
      <c r="F927" s="303"/>
      <c r="G927" s="303"/>
      <c r="H927" s="301"/>
      <c r="I927" s="269"/>
    </row>
    <row r="928" spans="1:9" ht="15.75">
      <c r="A928" s="33"/>
      <c r="B928" s="33"/>
      <c r="C928" s="302"/>
      <c r="D928" s="33"/>
      <c r="E928" s="269"/>
      <c r="F928" s="303"/>
      <c r="G928" s="303"/>
      <c r="H928" s="301"/>
      <c r="I928" s="269"/>
    </row>
    <row r="929" spans="1:9" ht="15.75">
      <c r="A929" s="33"/>
      <c r="B929" s="33"/>
      <c r="C929" s="302"/>
      <c r="D929" s="33"/>
      <c r="E929" s="269"/>
      <c r="F929" s="303"/>
      <c r="G929" s="303"/>
      <c r="H929" s="301"/>
      <c r="I929" s="269"/>
    </row>
    <row r="930" spans="1:9" ht="15.75">
      <c r="A930" s="33"/>
      <c r="B930" s="33"/>
      <c r="C930" s="302"/>
      <c r="D930" s="33"/>
      <c r="E930" s="269"/>
      <c r="F930" s="303"/>
      <c r="G930" s="303"/>
      <c r="H930" s="301"/>
      <c r="I930" s="269"/>
    </row>
    <row r="931" spans="1:9" ht="15.75">
      <c r="A931" s="33"/>
      <c r="B931" s="33"/>
      <c r="C931" s="302"/>
      <c r="D931" s="33"/>
      <c r="E931" s="269"/>
      <c r="F931" s="303"/>
      <c r="G931" s="303"/>
      <c r="H931" s="301"/>
      <c r="I931" s="269"/>
    </row>
    <row r="932" spans="1:9" ht="15.75">
      <c r="A932" s="33"/>
      <c r="B932" s="33"/>
      <c r="C932" s="302"/>
      <c r="D932" s="33"/>
      <c r="E932" s="269"/>
      <c r="F932" s="303"/>
      <c r="G932" s="303"/>
      <c r="H932" s="301"/>
      <c r="I932" s="269"/>
    </row>
    <row r="933" spans="1:9" ht="15.75">
      <c r="A933" s="33"/>
      <c r="B933" s="33"/>
      <c r="C933" s="302"/>
      <c r="D933" s="33"/>
      <c r="E933" s="269"/>
      <c r="F933" s="303"/>
      <c r="G933" s="303"/>
      <c r="H933" s="301"/>
      <c r="I933" s="269"/>
    </row>
    <row r="934" spans="1:9" ht="15.75">
      <c r="A934" s="33"/>
      <c r="B934" s="33"/>
      <c r="C934" s="302"/>
      <c r="D934" s="33"/>
      <c r="E934" s="269"/>
      <c r="F934" s="303"/>
      <c r="G934" s="303"/>
      <c r="H934" s="301"/>
      <c r="I934" s="269"/>
    </row>
    <row r="935" spans="1:9" ht="15.75">
      <c r="A935" s="33"/>
      <c r="B935" s="33"/>
      <c r="C935" s="302"/>
      <c r="D935" s="33"/>
      <c r="E935" s="269"/>
      <c r="F935" s="303"/>
      <c r="G935" s="303"/>
      <c r="H935" s="301"/>
      <c r="I935" s="269"/>
    </row>
    <row r="936" spans="1:9" ht="15.75">
      <c r="A936" s="33"/>
      <c r="B936" s="33"/>
      <c r="C936" s="302"/>
      <c r="D936" s="33"/>
      <c r="E936" s="269"/>
      <c r="F936" s="303"/>
      <c r="G936" s="303"/>
      <c r="H936" s="301"/>
      <c r="I936" s="269"/>
    </row>
    <row r="937" spans="1:9" ht="15.75">
      <c r="A937" s="33"/>
      <c r="B937" s="33"/>
      <c r="C937" s="302"/>
      <c r="D937" s="33"/>
      <c r="E937" s="269"/>
      <c r="F937" s="303"/>
      <c r="G937" s="303"/>
      <c r="H937" s="301"/>
      <c r="I937" s="269"/>
    </row>
    <row r="938" spans="1:9" ht="15.75">
      <c r="A938" s="33"/>
      <c r="B938" s="33"/>
      <c r="C938" s="302"/>
      <c r="D938" s="33"/>
      <c r="E938" s="269"/>
      <c r="F938" s="303"/>
      <c r="G938" s="303"/>
      <c r="H938" s="301"/>
      <c r="I938" s="269"/>
    </row>
    <row r="939" spans="1:9" ht="15.75">
      <c r="A939" s="33"/>
      <c r="B939" s="33"/>
      <c r="C939" s="302"/>
      <c r="D939" s="33"/>
      <c r="E939" s="269"/>
      <c r="F939" s="303"/>
      <c r="G939" s="303"/>
      <c r="H939" s="301"/>
      <c r="I939" s="269"/>
    </row>
    <row r="940" spans="1:9" ht="15.75">
      <c r="A940" s="33"/>
      <c r="B940" s="33"/>
      <c r="C940" s="302"/>
      <c r="D940" s="33"/>
      <c r="E940" s="269"/>
      <c r="F940" s="303"/>
      <c r="G940" s="303"/>
      <c r="H940" s="301"/>
      <c r="I940" s="269"/>
    </row>
    <row r="941" spans="1:9" ht="15.75">
      <c r="A941" s="33"/>
      <c r="B941" s="33"/>
      <c r="C941" s="302"/>
      <c r="D941" s="33"/>
      <c r="E941" s="269"/>
      <c r="F941" s="303"/>
      <c r="G941" s="303"/>
      <c r="H941" s="301"/>
      <c r="I941" s="269"/>
    </row>
    <row r="942" spans="1:9" ht="15.75">
      <c r="A942" s="33"/>
      <c r="B942" s="33"/>
      <c r="C942" s="302"/>
      <c r="D942" s="33"/>
      <c r="E942" s="269"/>
      <c r="F942" s="303"/>
      <c r="G942" s="303"/>
      <c r="H942" s="301"/>
      <c r="I942" s="269"/>
    </row>
    <row r="943" spans="1:9" ht="15.75">
      <c r="A943" s="33"/>
      <c r="B943" s="33"/>
      <c r="C943" s="302"/>
      <c r="D943" s="33"/>
      <c r="E943" s="269"/>
      <c r="F943" s="303"/>
      <c r="G943" s="303"/>
      <c r="H943" s="301"/>
      <c r="I943" s="269"/>
    </row>
    <row r="944" spans="1:9" ht="15.75">
      <c r="A944" s="33"/>
      <c r="B944" s="33"/>
      <c r="C944" s="302"/>
      <c r="D944" s="33"/>
      <c r="E944" s="269"/>
      <c r="F944" s="303"/>
      <c r="G944" s="303"/>
      <c r="H944" s="301"/>
      <c r="I944" s="269"/>
    </row>
    <row r="945" spans="1:9" ht="15.75">
      <c r="A945" s="33"/>
      <c r="B945" s="33"/>
      <c r="C945" s="302"/>
      <c r="D945" s="33"/>
      <c r="E945" s="269"/>
      <c r="F945" s="303"/>
      <c r="G945" s="303"/>
      <c r="H945" s="301"/>
      <c r="I945" s="269"/>
    </row>
    <row r="946" spans="1:9" ht="15.75">
      <c r="A946" s="33"/>
      <c r="B946" s="33"/>
      <c r="C946" s="302"/>
      <c r="D946" s="33"/>
      <c r="E946" s="269"/>
      <c r="F946" s="303"/>
      <c r="G946" s="303"/>
      <c r="H946" s="301"/>
      <c r="I946" s="269"/>
    </row>
    <row r="947" spans="1:9" ht="15.75">
      <c r="A947" s="33"/>
      <c r="B947" s="33"/>
      <c r="C947" s="302"/>
      <c r="D947" s="33"/>
      <c r="E947" s="269"/>
      <c r="F947" s="303"/>
      <c r="G947" s="303"/>
      <c r="H947" s="301"/>
      <c r="I947" s="269"/>
    </row>
    <row r="948" spans="1:9" ht="15.75">
      <c r="A948" s="33"/>
      <c r="B948" s="33"/>
      <c r="C948" s="302"/>
      <c r="D948" s="33"/>
      <c r="E948" s="269"/>
      <c r="F948" s="303"/>
      <c r="G948" s="303"/>
      <c r="H948" s="301"/>
      <c r="I948" s="269"/>
    </row>
    <row r="949" spans="1:9" ht="15.75">
      <c r="A949" s="33"/>
      <c r="B949" s="33"/>
      <c r="C949" s="302"/>
      <c r="D949" s="33"/>
      <c r="E949" s="269"/>
      <c r="F949" s="303"/>
      <c r="G949" s="303"/>
      <c r="H949" s="301"/>
      <c r="I949" s="269"/>
    </row>
    <row r="950" spans="1:9" ht="15.75">
      <c r="A950" s="33"/>
      <c r="B950" s="33"/>
      <c r="C950" s="302"/>
      <c r="D950" s="33"/>
      <c r="E950" s="269"/>
      <c r="F950" s="303"/>
      <c r="G950" s="303"/>
      <c r="H950" s="301"/>
      <c r="I950" s="269"/>
    </row>
    <row r="951" spans="1:9" ht="15.75">
      <c r="A951" s="33"/>
      <c r="B951" s="33"/>
      <c r="C951" s="302"/>
      <c r="D951" s="33"/>
      <c r="E951" s="269"/>
      <c r="F951" s="303"/>
      <c r="G951" s="303"/>
      <c r="H951" s="301"/>
      <c r="I951" s="269"/>
    </row>
    <row r="952" spans="1:9" ht="15.75">
      <c r="A952" s="33"/>
      <c r="B952" s="33"/>
      <c r="C952" s="302"/>
      <c r="D952" s="33"/>
      <c r="E952" s="269"/>
      <c r="F952" s="303"/>
      <c r="G952" s="303"/>
      <c r="H952" s="301"/>
      <c r="I952" s="269"/>
    </row>
    <row r="953" spans="1:9" ht="15.75">
      <c r="A953" s="33"/>
      <c r="B953" s="33"/>
      <c r="C953" s="302"/>
      <c r="D953" s="33"/>
      <c r="E953" s="269"/>
      <c r="F953" s="303"/>
      <c r="G953" s="303"/>
      <c r="H953" s="301"/>
      <c r="I953" s="269"/>
    </row>
    <row r="954" spans="1:9" ht="15.75">
      <c r="A954" s="33"/>
      <c r="B954" s="33"/>
      <c r="C954" s="302"/>
      <c r="D954" s="33"/>
      <c r="E954" s="269"/>
      <c r="F954" s="303"/>
      <c r="G954" s="303"/>
      <c r="H954" s="301"/>
      <c r="I954" s="269"/>
    </row>
    <row r="955" spans="1:9" ht="15.75">
      <c r="A955" s="33"/>
      <c r="B955" s="33"/>
      <c r="C955" s="302"/>
      <c r="D955" s="33"/>
      <c r="E955" s="269"/>
      <c r="F955" s="303"/>
      <c r="G955" s="303"/>
      <c r="H955" s="301"/>
      <c r="I955" s="269"/>
    </row>
    <row r="956" spans="1:9" ht="15.75">
      <c r="A956" s="33"/>
      <c r="B956" s="33"/>
      <c r="C956" s="302"/>
      <c r="D956" s="33"/>
      <c r="E956" s="269"/>
      <c r="F956" s="303"/>
      <c r="G956" s="303"/>
      <c r="H956" s="301"/>
      <c r="I956" s="269"/>
    </row>
    <row r="957" spans="1:9" ht="15.75">
      <c r="A957" s="33"/>
      <c r="B957" s="33"/>
      <c r="C957" s="302"/>
      <c r="D957" s="33"/>
      <c r="E957" s="269"/>
      <c r="F957" s="303"/>
      <c r="G957" s="303"/>
      <c r="H957" s="301"/>
      <c r="I957" s="269"/>
    </row>
    <row r="958" spans="1:9" ht="15.75">
      <c r="A958" s="33"/>
      <c r="B958" s="33"/>
      <c r="C958" s="302"/>
      <c r="D958" s="33"/>
      <c r="E958" s="269"/>
      <c r="F958" s="303"/>
      <c r="G958" s="303"/>
      <c r="H958" s="301"/>
      <c r="I958" s="269"/>
    </row>
    <row r="959" spans="1:9" ht="15.75">
      <c r="A959" s="33"/>
      <c r="B959" s="33"/>
      <c r="C959" s="302"/>
      <c r="D959" s="33"/>
      <c r="E959" s="269"/>
      <c r="F959" s="303"/>
      <c r="G959" s="303"/>
      <c r="H959" s="301"/>
      <c r="I959" s="269"/>
    </row>
    <row r="960" spans="1:9" ht="15.75">
      <c r="A960" s="33"/>
      <c r="B960" s="33"/>
      <c r="C960" s="302"/>
      <c r="D960" s="33"/>
      <c r="E960" s="269"/>
      <c r="F960" s="303"/>
      <c r="G960" s="303"/>
      <c r="H960" s="301"/>
      <c r="I960" s="269"/>
    </row>
    <row r="961" spans="1:11" ht="15.75">
      <c r="A961" s="33"/>
      <c r="B961" s="33"/>
      <c r="C961" s="302"/>
      <c r="D961" s="33"/>
      <c r="E961" s="269"/>
      <c r="F961" s="303"/>
      <c r="G961" s="303"/>
      <c r="H961" s="301"/>
      <c r="I961" s="269"/>
    </row>
    <row r="962" spans="1:11" ht="15.75">
      <c r="A962" s="33"/>
      <c r="B962" s="33"/>
      <c r="C962" s="302"/>
      <c r="D962" s="33"/>
      <c r="E962" s="269"/>
      <c r="F962" s="303"/>
      <c r="G962" s="303"/>
      <c r="H962" s="301"/>
      <c r="I962" s="269"/>
    </row>
    <row r="963" spans="1:11" ht="15.75">
      <c r="A963" s="33"/>
      <c r="B963" s="33"/>
      <c r="C963" s="302"/>
      <c r="D963" s="33"/>
      <c r="E963" s="269"/>
      <c r="F963" s="303"/>
      <c r="G963" s="303"/>
      <c r="H963" s="301"/>
      <c r="I963" s="269"/>
    </row>
    <row r="964" spans="1:11" ht="15.75">
      <c r="A964" s="33"/>
      <c r="B964" s="33"/>
      <c r="C964" s="302"/>
      <c r="D964" s="33"/>
      <c r="E964" s="269"/>
      <c r="F964" s="303"/>
      <c r="G964" s="303"/>
      <c r="H964" s="301"/>
      <c r="I964" s="269"/>
    </row>
    <row r="965" spans="1:11" ht="15.75">
      <c r="A965" s="33"/>
      <c r="B965" s="33"/>
      <c r="C965" s="302"/>
      <c r="D965" s="33"/>
      <c r="E965" s="269"/>
      <c r="F965" s="303"/>
      <c r="G965" s="303"/>
      <c r="H965" s="301"/>
      <c r="I965" s="269"/>
    </row>
    <row r="966" spans="1:11" ht="15.75">
      <c r="A966" s="33"/>
      <c r="B966" s="33"/>
      <c r="C966" s="302"/>
      <c r="D966" s="33"/>
      <c r="E966" s="269"/>
      <c r="F966" s="303"/>
      <c r="G966" s="303"/>
      <c r="H966" s="301"/>
      <c r="I966" s="269"/>
    </row>
    <row r="967" spans="1:11" ht="15.75">
      <c r="A967" s="33"/>
      <c r="B967" s="33"/>
      <c r="C967" s="302"/>
      <c r="D967" s="33"/>
      <c r="E967" s="269"/>
      <c r="F967" s="303"/>
      <c r="G967" s="303"/>
      <c r="H967" s="301"/>
      <c r="I967" s="269"/>
    </row>
    <row r="968" spans="1:11" ht="15.75">
      <c r="A968" s="33"/>
      <c r="B968" s="33"/>
      <c r="C968" s="302"/>
      <c r="D968" s="33"/>
      <c r="E968" s="269"/>
      <c r="F968" s="303"/>
      <c r="G968" s="303"/>
      <c r="H968" s="301"/>
      <c r="I968" s="269"/>
    </row>
    <row r="969" spans="1:11" ht="15.75">
      <c r="A969" s="33"/>
      <c r="B969" s="33"/>
      <c r="C969" s="302"/>
      <c r="D969" s="33"/>
      <c r="E969" s="269"/>
      <c r="F969" s="303"/>
      <c r="G969" s="303"/>
      <c r="H969" s="301"/>
      <c r="I969" s="269"/>
    </row>
    <row r="970" spans="1:11" ht="15.75">
      <c r="A970" s="33"/>
      <c r="B970" s="33"/>
      <c r="C970" s="302"/>
      <c r="D970" s="33"/>
      <c r="E970" s="269"/>
      <c r="F970" s="303"/>
      <c r="G970" s="303"/>
      <c r="H970" s="301"/>
      <c r="I970" s="269"/>
    </row>
    <row r="971" spans="1:11" ht="15.75">
      <c r="A971" s="33"/>
      <c r="B971" s="33"/>
      <c r="C971" s="302"/>
      <c r="D971" s="33"/>
      <c r="E971" s="269"/>
      <c r="F971" s="303"/>
      <c r="G971" s="303"/>
      <c r="H971" s="301"/>
      <c r="I971" s="269"/>
    </row>
    <row r="972" spans="1:11" ht="15.75">
      <c r="A972" s="33"/>
      <c r="B972" s="33"/>
      <c r="C972" s="302"/>
      <c r="D972" s="33"/>
      <c r="E972" s="269"/>
      <c r="F972" s="303"/>
      <c r="G972" s="303"/>
      <c r="H972" s="301"/>
      <c r="I972" s="269"/>
    </row>
    <row r="973" spans="1:11" ht="15.75">
      <c r="A973" s="33"/>
      <c r="B973" s="33"/>
      <c r="C973" s="302"/>
      <c r="D973" s="33"/>
      <c r="E973" s="269"/>
      <c r="F973" s="303"/>
      <c r="G973" s="303"/>
      <c r="H973" s="301"/>
      <c r="I973" s="269"/>
    </row>
    <row r="974" spans="1:11" ht="15.75">
      <c r="A974" s="33"/>
      <c r="B974" s="33"/>
      <c r="C974" s="302"/>
      <c r="D974" s="33"/>
      <c r="E974" s="269"/>
      <c r="F974" s="303"/>
      <c r="G974" s="303"/>
      <c r="H974" s="301"/>
      <c r="I974" s="269"/>
    </row>
    <row r="975" spans="1:11" ht="15.75">
      <c r="A975" s="33"/>
      <c r="B975" s="33"/>
      <c r="C975" s="302"/>
      <c r="D975" s="33"/>
      <c r="E975" s="269"/>
      <c r="F975" s="303"/>
      <c r="G975" s="303"/>
      <c r="H975" s="301"/>
      <c r="I975" s="269"/>
    </row>
    <row r="976" spans="1:11" ht="15.75">
      <c r="A976" s="33"/>
      <c r="B976" s="33"/>
      <c r="C976" s="302"/>
      <c r="D976" s="33"/>
      <c r="E976" s="269"/>
      <c r="F976" s="303"/>
      <c r="G976" s="303"/>
      <c r="H976" s="301"/>
      <c r="I976" s="269"/>
      <c r="J976" s="269"/>
      <c r="K976" s="269"/>
    </row>
    <row r="977" spans="1:11" ht="15.75">
      <c r="A977" s="33"/>
      <c r="B977" s="33"/>
      <c r="C977" s="302"/>
      <c r="D977" s="33"/>
      <c r="E977" s="269"/>
      <c r="F977" s="303"/>
      <c r="G977" s="303"/>
      <c r="H977" s="301"/>
      <c r="I977" s="269"/>
      <c r="J977" s="269"/>
      <c r="K977" s="269"/>
    </row>
    <row r="978" spans="1:11" ht="15.75">
      <c r="A978" s="33"/>
      <c r="B978" s="33"/>
      <c r="C978" s="302"/>
      <c r="D978" s="33"/>
      <c r="E978" s="269"/>
      <c r="F978" s="303"/>
      <c r="G978" s="303"/>
      <c r="H978" s="301"/>
      <c r="I978" s="269"/>
      <c r="J978" s="269"/>
      <c r="K978" s="269"/>
    </row>
    <row r="979" spans="1:11" ht="15.75">
      <c r="A979" s="33"/>
      <c r="B979" s="33"/>
      <c r="C979" s="302"/>
      <c r="D979" s="33"/>
      <c r="E979" s="269"/>
      <c r="F979" s="303"/>
      <c r="G979" s="303"/>
      <c r="H979" s="301"/>
      <c r="I979" s="269"/>
      <c r="J979" s="269"/>
      <c r="K979" s="269"/>
    </row>
    <row r="980" spans="1:11" ht="15.75">
      <c r="A980" s="33"/>
      <c r="B980" s="33"/>
      <c r="C980" s="302"/>
      <c r="D980" s="33"/>
      <c r="E980" s="269"/>
      <c r="F980" s="303"/>
      <c r="G980" s="303"/>
      <c r="H980" s="301"/>
      <c r="I980" s="269"/>
      <c r="J980" s="269"/>
      <c r="K980" s="269"/>
    </row>
    <row r="981" spans="1:11" ht="15.75">
      <c r="A981" s="33"/>
      <c r="B981" s="33"/>
      <c r="C981" s="302"/>
      <c r="D981" s="33"/>
      <c r="E981" s="269"/>
      <c r="F981" s="303"/>
      <c r="G981" s="303"/>
      <c r="H981" s="301"/>
      <c r="I981" s="269"/>
      <c r="J981" s="269"/>
      <c r="K981" s="269"/>
    </row>
    <row r="982" spans="1:11" ht="15.75">
      <c r="A982" s="33"/>
      <c r="B982" s="33"/>
      <c r="C982" s="302"/>
      <c r="D982" s="33"/>
      <c r="E982" s="269"/>
      <c r="F982" s="303"/>
      <c r="G982" s="303"/>
      <c r="H982" s="301"/>
      <c r="I982" s="269"/>
      <c r="J982" s="269"/>
      <c r="K982" s="269"/>
    </row>
    <row r="983" spans="1:11" ht="15.75">
      <c r="A983" s="33"/>
      <c r="B983" s="33"/>
      <c r="C983" s="302"/>
      <c r="D983" s="33"/>
      <c r="E983" s="269"/>
      <c r="F983" s="303"/>
      <c r="G983" s="303"/>
      <c r="H983" s="301"/>
      <c r="I983" s="269"/>
      <c r="J983" s="269"/>
      <c r="K983" s="269"/>
    </row>
    <row r="984" spans="1:11" ht="15.75">
      <c r="A984" s="33"/>
      <c r="B984" s="33"/>
      <c r="C984" s="302"/>
      <c r="D984" s="33"/>
      <c r="E984" s="269"/>
      <c r="F984" s="303"/>
      <c r="G984" s="303"/>
      <c r="H984" s="301"/>
      <c r="I984" s="269"/>
      <c r="J984" s="269"/>
      <c r="K984" s="269"/>
    </row>
    <row r="985" spans="1:11" ht="15.75">
      <c r="A985" s="33"/>
      <c r="B985" s="33"/>
      <c r="C985" s="302"/>
      <c r="D985" s="33"/>
      <c r="E985" s="269"/>
      <c r="F985" s="303"/>
      <c r="G985" s="303"/>
      <c r="H985" s="301"/>
      <c r="I985" s="269"/>
      <c r="J985" s="269"/>
      <c r="K985" s="269"/>
    </row>
    <row r="986" spans="1:11" ht="15.75">
      <c r="A986" s="33"/>
      <c r="B986" s="33"/>
      <c r="C986" s="302"/>
      <c r="D986" s="33"/>
      <c r="E986" s="269"/>
      <c r="F986" s="303"/>
      <c r="G986" s="303"/>
      <c r="H986" s="301"/>
      <c r="I986" s="269"/>
      <c r="J986" s="269"/>
      <c r="K986" s="269"/>
    </row>
    <row r="987" spans="1:11" ht="15.75">
      <c r="A987" s="33"/>
      <c r="B987" s="33"/>
      <c r="C987" s="302"/>
      <c r="D987" s="33"/>
      <c r="E987" s="269"/>
      <c r="F987" s="303"/>
      <c r="G987" s="303"/>
      <c r="H987" s="301"/>
      <c r="I987" s="269"/>
      <c r="J987" s="269"/>
      <c r="K987" s="269"/>
    </row>
    <row r="988" spans="1:11" ht="15.75">
      <c r="A988" s="33"/>
      <c r="B988" s="33"/>
      <c r="C988" s="302"/>
      <c r="D988" s="33"/>
      <c r="E988" s="269"/>
      <c r="F988" s="303"/>
      <c r="G988" s="303"/>
      <c r="H988" s="301"/>
      <c r="I988" s="269"/>
      <c r="J988" s="269"/>
      <c r="K988" s="269"/>
    </row>
    <row r="989" spans="1:11" ht="15.75">
      <c r="A989" s="33"/>
      <c r="B989" s="33"/>
      <c r="C989" s="302"/>
      <c r="D989" s="33"/>
      <c r="E989" s="269"/>
      <c r="F989" s="303"/>
      <c r="G989" s="303"/>
      <c r="H989" s="301"/>
      <c r="I989" s="269"/>
      <c r="J989" s="269"/>
      <c r="K989" s="269"/>
    </row>
    <row r="990" spans="1:11" ht="15.75">
      <c r="A990" s="33"/>
      <c r="B990" s="33"/>
      <c r="C990" s="302"/>
      <c r="D990" s="33"/>
      <c r="E990" s="269"/>
      <c r="F990" s="303"/>
      <c r="G990" s="303"/>
      <c r="H990" s="301"/>
      <c r="I990" s="269"/>
      <c r="J990" s="269"/>
      <c r="K990" s="269"/>
    </row>
    <row r="991" spans="1:11" ht="15.75">
      <c r="A991" s="33"/>
      <c r="B991" s="33"/>
      <c r="C991" s="302"/>
      <c r="D991" s="33"/>
      <c r="E991" s="269"/>
      <c r="F991" s="303"/>
      <c r="G991" s="303"/>
      <c r="H991" s="301"/>
      <c r="I991" s="269"/>
      <c r="J991" s="269"/>
      <c r="K991" s="269"/>
    </row>
    <row r="992" spans="1:11" ht="15.75">
      <c r="A992" s="33"/>
      <c r="B992" s="33"/>
      <c r="C992" s="302"/>
      <c r="D992" s="33"/>
      <c r="E992" s="269"/>
      <c r="F992" s="303"/>
      <c r="G992" s="303"/>
      <c r="H992" s="301"/>
      <c r="I992" s="269"/>
      <c r="J992" s="269"/>
      <c r="K992" s="269"/>
    </row>
    <row r="993" spans="1:11" ht="15.75">
      <c r="A993" s="33"/>
      <c r="B993" s="33"/>
      <c r="C993" s="302"/>
      <c r="D993" s="33"/>
      <c r="E993" s="269"/>
      <c r="F993" s="303"/>
      <c r="G993" s="303"/>
      <c r="H993" s="301"/>
      <c r="I993" s="269"/>
      <c r="J993" s="269"/>
      <c r="K993" s="269"/>
    </row>
    <row r="994" spans="1:11" ht="15.75">
      <c r="A994" s="33"/>
      <c r="B994" s="33"/>
      <c r="C994" s="302"/>
      <c r="D994" s="33"/>
      <c r="E994" s="269"/>
      <c r="F994" s="303"/>
      <c r="G994" s="303"/>
      <c r="H994" s="301"/>
      <c r="I994" s="269"/>
      <c r="J994" s="269"/>
      <c r="K994" s="269"/>
    </row>
    <row r="995" spans="1:11" ht="15.75">
      <c r="A995" s="33"/>
      <c r="B995" s="33"/>
      <c r="C995" s="302"/>
      <c r="D995" s="33"/>
      <c r="E995" s="269"/>
      <c r="F995" s="303"/>
      <c r="G995" s="303"/>
      <c r="H995" s="301"/>
      <c r="I995" s="269"/>
      <c r="J995" s="269"/>
      <c r="K995" s="269"/>
    </row>
    <row r="996" spans="1:11" ht="15.75">
      <c r="A996" s="33"/>
      <c r="B996" s="33"/>
      <c r="C996" s="302"/>
      <c r="D996" s="33"/>
      <c r="E996" s="269"/>
      <c r="F996" s="303"/>
      <c r="G996" s="303"/>
      <c r="H996" s="301"/>
      <c r="I996" s="269"/>
      <c r="J996" s="269"/>
      <c r="K996" s="269"/>
    </row>
    <row r="997" spans="1:11" ht="15.75">
      <c r="A997" s="33"/>
      <c r="B997" s="33"/>
      <c r="C997" s="302"/>
      <c r="D997" s="33"/>
      <c r="E997" s="269"/>
      <c r="F997" s="303"/>
      <c r="G997" s="303"/>
      <c r="H997" s="301"/>
      <c r="I997" s="269"/>
      <c r="J997" s="269"/>
      <c r="K997" s="269"/>
    </row>
    <row r="998" spans="1:11" ht="15.75">
      <c r="A998" s="33"/>
      <c r="B998" s="33"/>
      <c r="C998" s="302"/>
      <c r="D998" s="33"/>
      <c r="E998" s="269"/>
      <c r="F998" s="303"/>
      <c r="G998" s="303"/>
      <c r="H998" s="301"/>
      <c r="I998" s="269"/>
      <c r="J998" s="269"/>
      <c r="K998" s="269"/>
    </row>
    <row r="999" spans="1:11" ht="15.75">
      <c r="A999" s="33"/>
      <c r="B999" s="33"/>
      <c r="C999" s="302"/>
      <c r="D999" s="33"/>
      <c r="E999" s="269"/>
      <c r="F999" s="303"/>
      <c r="G999" s="303"/>
      <c r="H999" s="301"/>
      <c r="I999" s="269"/>
      <c r="J999" s="269"/>
      <c r="K999" s="269"/>
    </row>
    <row r="1000" spans="1:11" ht="15.75">
      <c r="A1000" s="33"/>
      <c r="B1000" s="33"/>
      <c r="C1000" s="302"/>
      <c r="D1000" s="33"/>
      <c r="E1000" s="269"/>
      <c r="F1000" s="303"/>
      <c r="G1000" s="303"/>
      <c r="H1000" s="301"/>
      <c r="I1000" s="269"/>
      <c r="J1000" s="269"/>
      <c r="K1000" s="269"/>
    </row>
    <row r="1001" spans="1:11" ht="15.75">
      <c r="A1001" s="33"/>
      <c r="B1001" s="33"/>
      <c r="C1001" s="302"/>
      <c r="D1001" s="33"/>
      <c r="E1001" s="269"/>
      <c r="F1001" s="303"/>
      <c r="G1001" s="303"/>
      <c r="H1001" s="301"/>
      <c r="I1001" s="269"/>
      <c r="J1001" s="269"/>
      <c r="K1001" s="269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000"/>
  <sheetViews>
    <sheetView workbookViewId="0"/>
  </sheetViews>
  <sheetFormatPr defaultColWidth="11.125" defaultRowHeight="15" customHeight="1"/>
  <cols>
    <col min="6" max="6" width="12" customWidth="1"/>
    <col min="15" max="15" width="34.375" customWidth="1"/>
  </cols>
  <sheetData>
    <row r="1" spans="1:29">
      <c r="A1" s="304" t="s">
        <v>0</v>
      </c>
      <c r="B1" s="305" t="s">
        <v>440</v>
      </c>
      <c r="C1" s="305" t="s">
        <v>441</v>
      </c>
      <c r="D1" s="305" t="s">
        <v>413</v>
      </c>
      <c r="E1" s="305" t="s">
        <v>442</v>
      </c>
      <c r="F1" s="305" t="s">
        <v>443</v>
      </c>
      <c r="G1" s="305" t="s">
        <v>444</v>
      </c>
      <c r="H1" s="305" t="s">
        <v>445</v>
      </c>
      <c r="I1" s="305" t="s">
        <v>446</v>
      </c>
      <c r="J1" s="305" t="s">
        <v>447</v>
      </c>
      <c r="K1" s="305" t="s">
        <v>448</v>
      </c>
      <c r="L1" s="305" t="s">
        <v>449</v>
      </c>
      <c r="M1" s="305" t="s">
        <v>450</v>
      </c>
      <c r="N1" s="305" t="s">
        <v>451</v>
      </c>
      <c r="O1" s="305" t="s">
        <v>452</v>
      </c>
      <c r="P1" s="305" t="s">
        <v>416</v>
      </c>
      <c r="Q1" s="305" t="s">
        <v>453</v>
      </c>
      <c r="R1" s="305" t="s">
        <v>454</v>
      </c>
      <c r="S1" s="305" t="s">
        <v>455</v>
      </c>
      <c r="T1" s="305" t="s">
        <v>456</v>
      </c>
      <c r="U1" s="305" t="s">
        <v>457</v>
      </c>
      <c r="V1" s="305" t="s">
        <v>458</v>
      </c>
      <c r="W1" s="305" t="s">
        <v>459</v>
      </c>
      <c r="X1" s="305" t="s">
        <v>460</v>
      </c>
      <c r="Y1" s="305" t="s">
        <v>461</v>
      </c>
      <c r="Z1" s="305" t="s">
        <v>462</v>
      </c>
      <c r="AA1" s="305" t="s">
        <v>463</v>
      </c>
      <c r="AB1" s="305" t="s">
        <v>464</v>
      </c>
      <c r="AC1" s="306" t="s">
        <v>465</v>
      </c>
    </row>
    <row r="2" spans="1:29">
      <c r="A2" s="307" t="s">
        <v>466</v>
      </c>
      <c r="B2" s="308" t="s">
        <v>467</v>
      </c>
      <c r="C2" s="308"/>
      <c r="D2" s="308" t="s">
        <v>468</v>
      </c>
      <c r="E2" s="309">
        <v>1</v>
      </c>
      <c r="F2" s="310">
        <v>45202.368750000001</v>
      </c>
      <c r="G2" s="309">
        <v>1</v>
      </c>
      <c r="H2" s="309">
        <v>51.370800000000003</v>
      </c>
      <c r="I2" s="309">
        <v>14.618399999999999</v>
      </c>
      <c r="J2" s="309">
        <v>-12.356731</v>
      </c>
      <c r="K2" s="309">
        <v>-11.508680999999999</v>
      </c>
      <c r="L2" s="309">
        <v>866.02499999999998</v>
      </c>
      <c r="M2" s="309">
        <v>86.999970000000005</v>
      </c>
      <c r="N2" s="309">
        <v>11588.11</v>
      </c>
      <c r="O2" s="309">
        <v>11588.109920000001</v>
      </c>
      <c r="P2" s="309">
        <v>1931.617</v>
      </c>
      <c r="Q2" s="308" t="s">
        <v>469</v>
      </c>
      <c r="R2" s="308"/>
      <c r="S2" s="309">
        <v>15</v>
      </c>
      <c r="T2" s="309">
        <v>5</v>
      </c>
      <c r="U2" s="309">
        <v>0.7</v>
      </c>
      <c r="V2" s="309">
        <v>0.7</v>
      </c>
      <c r="W2" s="309">
        <v>0.7</v>
      </c>
      <c r="X2" s="309">
        <v>1700</v>
      </c>
      <c r="Y2" s="308" t="s">
        <v>470</v>
      </c>
      <c r="Z2" s="309">
        <v>0.85</v>
      </c>
      <c r="AA2" s="308" t="s">
        <v>471</v>
      </c>
      <c r="AB2" s="308" t="s">
        <v>472</v>
      </c>
      <c r="AC2" s="311">
        <v>220</v>
      </c>
    </row>
    <row r="3" spans="1:29">
      <c r="A3" s="312" t="s">
        <v>473</v>
      </c>
      <c r="B3" s="313" t="s">
        <v>467</v>
      </c>
      <c r="C3" s="313"/>
      <c r="D3" s="313" t="s">
        <v>468</v>
      </c>
      <c r="E3" s="314">
        <v>1</v>
      </c>
      <c r="F3" s="315">
        <v>45202.371527777781</v>
      </c>
      <c r="G3" s="314">
        <v>1</v>
      </c>
      <c r="H3" s="314">
        <v>51.370800000000003</v>
      </c>
      <c r="I3" s="314">
        <v>15.3817</v>
      </c>
      <c r="J3" s="314">
        <v>-12.770419</v>
      </c>
      <c r="K3" s="314">
        <v>-11.940787</v>
      </c>
      <c r="L3" s="314">
        <v>879.10599999999999</v>
      </c>
      <c r="M3" s="314">
        <v>85.999363000000002</v>
      </c>
      <c r="N3" s="314">
        <v>11420.3</v>
      </c>
      <c r="O3" s="314">
        <v>11420.301820000001</v>
      </c>
      <c r="P3" s="314">
        <v>1903.672</v>
      </c>
      <c r="Q3" s="313" t="s">
        <v>469</v>
      </c>
      <c r="R3" s="313"/>
      <c r="S3" s="314">
        <v>15</v>
      </c>
      <c r="T3" s="314">
        <v>5</v>
      </c>
      <c r="U3" s="314">
        <v>0.7</v>
      </c>
      <c r="V3" s="314">
        <v>0.7</v>
      </c>
      <c r="W3" s="314">
        <v>0.7</v>
      </c>
      <c r="X3" s="314">
        <v>1700</v>
      </c>
      <c r="Y3" s="313" t="s">
        <v>470</v>
      </c>
      <c r="Z3" s="314">
        <v>0.85</v>
      </c>
      <c r="AA3" s="313" t="s">
        <v>471</v>
      </c>
      <c r="AB3" s="313" t="s">
        <v>472</v>
      </c>
      <c r="AC3" s="316">
        <v>220</v>
      </c>
    </row>
    <row r="4" spans="1:29">
      <c r="A4" s="307" t="s">
        <v>474</v>
      </c>
      <c r="B4" s="308" t="s">
        <v>467</v>
      </c>
      <c r="C4" s="308"/>
      <c r="D4" s="308" t="s">
        <v>468</v>
      </c>
      <c r="E4" s="309">
        <v>1</v>
      </c>
      <c r="F4" s="310">
        <v>45202.374305555553</v>
      </c>
      <c r="G4" s="309">
        <v>1</v>
      </c>
      <c r="H4" s="309">
        <v>51.3675</v>
      </c>
      <c r="I4" s="309">
        <v>13.427199999999999</v>
      </c>
      <c r="J4" s="309">
        <v>-13.055486999999999</v>
      </c>
      <c r="K4" s="309">
        <v>-12.22925</v>
      </c>
      <c r="L4" s="309">
        <v>883.58699999999999</v>
      </c>
      <c r="M4" s="309">
        <v>91.500354999999999</v>
      </c>
      <c r="N4" s="309">
        <v>11434.04</v>
      </c>
      <c r="O4" s="309">
        <v>11434.044330000001</v>
      </c>
      <c r="P4" s="309">
        <v>1905.961</v>
      </c>
      <c r="Q4" s="308" t="s">
        <v>469</v>
      </c>
      <c r="R4" s="308"/>
      <c r="S4" s="309">
        <v>15</v>
      </c>
      <c r="T4" s="309">
        <v>5</v>
      </c>
      <c r="U4" s="309">
        <v>0.7</v>
      </c>
      <c r="V4" s="309">
        <v>0.7</v>
      </c>
      <c r="W4" s="309">
        <v>0.7</v>
      </c>
      <c r="X4" s="309">
        <v>1700</v>
      </c>
      <c r="Y4" s="308" t="s">
        <v>470</v>
      </c>
      <c r="Z4" s="309">
        <v>0.85</v>
      </c>
      <c r="AA4" s="308" t="s">
        <v>471</v>
      </c>
      <c r="AB4" s="308" t="s">
        <v>472</v>
      </c>
      <c r="AC4" s="311">
        <v>220</v>
      </c>
    </row>
    <row r="5" spans="1:29">
      <c r="A5" s="312" t="s">
        <v>475</v>
      </c>
      <c r="B5" s="313" t="s">
        <v>467</v>
      </c>
      <c r="C5" s="313"/>
      <c r="D5" s="313" t="s">
        <v>468</v>
      </c>
      <c r="E5" s="314">
        <v>1</v>
      </c>
      <c r="F5" s="315">
        <v>45202.377083333333</v>
      </c>
      <c r="G5" s="314">
        <v>1</v>
      </c>
      <c r="H5" s="314">
        <v>51.374099999999999</v>
      </c>
      <c r="I5" s="314">
        <v>11.575699999999999</v>
      </c>
      <c r="J5" s="314">
        <v>-13.070512000000001</v>
      </c>
      <c r="K5" s="314">
        <v>-12.226594</v>
      </c>
      <c r="L5" s="314">
        <v>885.22299999999996</v>
      </c>
      <c r="M5" s="314">
        <v>87.000304</v>
      </c>
      <c r="N5" s="314">
        <v>11438.83</v>
      </c>
      <c r="O5" s="314">
        <v>11438.829519999999</v>
      </c>
      <c r="P5" s="314">
        <v>1906.758</v>
      </c>
      <c r="Q5" s="313" t="s">
        <v>469</v>
      </c>
      <c r="R5" s="313"/>
      <c r="S5" s="314">
        <v>15</v>
      </c>
      <c r="T5" s="314">
        <v>5</v>
      </c>
      <c r="U5" s="314">
        <v>0.7</v>
      </c>
      <c r="V5" s="314">
        <v>0.7</v>
      </c>
      <c r="W5" s="314">
        <v>0.7</v>
      </c>
      <c r="X5" s="314">
        <v>1700</v>
      </c>
      <c r="Y5" s="313" t="s">
        <v>470</v>
      </c>
      <c r="Z5" s="314">
        <v>0.85</v>
      </c>
      <c r="AA5" s="313" t="s">
        <v>471</v>
      </c>
      <c r="AB5" s="313" t="s">
        <v>472</v>
      </c>
      <c r="AC5" s="316">
        <v>220</v>
      </c>
    </row>
    <row r="6" spans="1:29">
      <c r="A6" s="307" t="s">
        <v>476</v>
      </c>
      <c r="B6" s="308" t="s">
        <v>467</v>
      </c>
      <c r="C6" s="308"/>
      <c r="D6" s="308" t="s">
        <v>468</v>
      </c>
      <c r="E6" s="309">
        <v>1</v>
      </c>
      <c r="F6" s="310">
        <v>45202.386805555558</v>
      </c>
      <c r="G6" s="309">
        <v>1</v>
      </c>
      <c r="H6" s="309">
        <v>51.370800000000003</v>
      </c>
      <c r="I6" s="309">
        <v>10.7812</v>
      </c>
      <c r="J6" s="309">
        <v>-12.937606000000001</v>
      </c>
      <c r="K6" s="309">
        <v>-12.108275000000001</v>
      </c>
      <c r="L6" s="309">
        <v>879.55799999999999</v>
      </c>
      <c r="M6" s="309">
        <v>92.999038999999996</v>
      </c>
      <c r="N6" s="309">
        <v>11431.75</v>
      </c>
      <c r="O6" s="309">
        <v>11431.747729999999</v>
      </c>
      <c r="P6" s="309">
        <v>1905.578</v>
      </c>
      <c r="Q6" s="308" t="s">
        <v>469</v>
      </c>
      <c r="R6" s="308"/>
      <c r="S6" s="309">
        <v>15</v>
      </c>
      <c r="T6" s="309">
        <v>5</v>
      </c>
      <c r="U6" s="309">
        <v>0.7</v>
      </c>
      <c r="V6" s="309">
        <v>0.7</v>
      </c>
      <c r="W6" s="309">
        <v>0.7</v>
      </c>
      <c r="X6" s="309">
        <v>1700</v>
      </c>
      <c r="Y6" s="308" t="s">
        <v>470</v>
      </c>
      <c r="Z6" s="309">
        <v>0.85</v>
      </c>
      <c r="AA6" s="308" t="s">
        <v>471</v>
      </c>
      <c r="AB6" s="308" t="s">
        <v>472</v>
      </c>
      <c r="AC6" s="311">
        <v>220</v>
      </c>
    </row>
    <row r="7" spans="1:29">
      <c r="A7" s="312" t="s">
        <v>477</v>
      </c>
      <c r="B7" s="313" t="s">
        <v>478</v>
      </c>
      <c r="C7" s="313" t="s">
        <v>417</v>
      </c>
      <c r="D7" s="313" t="s">
        <v>468</v>
      </c>
      <c r="E7" s="314">
        <v>1.2</v>
      </c>
      <c r="F7" s="315">
        <v>45202.393055555556</v>
      </c>
      <c r="G7" s="314">
        <v>1</v>
      </c>
      <c r="H7" s="314">
        <v>51.370800000000003</v>
      </c>
      <c r="I7" s="314">
        <v>9.0403699999999994</v>
      </c>
      <c r="J7" s="314">
        <v>-13.307755999999999</v>
      </c>
      <c r="K7" s="314">
        <v>-12.467499999999999</v>
      </c>
      <c r="L7" s="314">
        <v>1006.14</v>
      </c>
      <c r="M7" s="314">
        <v>101.500304</v>
      </c>
      <c r="N7" s="314">
        <v>14324.19</v>
      </c>
      <c r="O7" s="314">
        <v>0</v>
      </c>
      <c r="P7" s="314">
        <v>2074.0500000000002</v>
      </c>
      <c r="Q7" s="313" t="s">
        <v>479</v>
      </c>
      <c r="R7" s="313"/>
      <c r="S7" s="314">
        <v>15</v>
      </c>
      <c r="T7" s="314">
        <v>5</v>
      </c>
      <c r="U7" s="314">
        <v>0.7</v>
      </c>
      <c r="V7" s="314">
        <v>0.7</v>
      </c>
      <c r="W7" s="314">
        <v>0.7</v>
      </c>
      <c r="X7" s="314">
        <v>1700</v>
      </c>
      <c r="Y7" s="313" t="s">
        <v>470</v>
      </c>
      <c r="Z7" s="314">
        <v>0.85</v>
      </c>
      <c r="AA7" s="313" t="s">
        <v>471</v>
      </c>
      <c r="AB7" s="313" t="s">
        <v>472</v>
      </c>
      <c r="AC7" s="316">
        <v>220</v>
      </c>
    </row>
    <row r="8" spans="1:29">
      <c r="A8" s="307" t="s">
        <v>480</v>
      </c>
      <c r="B8" s="308" t="s">
        <v>478</v>
      </c>
      <c r="C8" s="308" t="s">
        <v>417</v>
      </c>
      <c r="D8" s="308" t="s">
        <v>468</v>
      </c>
      <c r="E8" s="309">
        <v>1.2</v>
      </c>
      <c r="F8" s="310">
        <v>45202.396527777775</v>
      </c>
      <c r="G8" s="309">
        <v>1</v>
      </c>
      <c r="H8" s="309">
        <v>51.370800000000003</v>
      </c>
      <c r="I8" s="309">
        <v>8.1538400000000006</v>
      </c>
      <c r="J8" s="309">
        <v>-13.396487</v>
      </c>
      <c r="K8" s="309">
        <v>-12.550544</v>
      </c>
      <c r="L8" s="309">
        <v>979.65800000000002</v>
      </c>
      <c r="M8" s="309">
        <v>94.998827000000006</v>
      </c>
      <c r="N8" s="309">
        <v>14554.55</v>
      </c>
      <c r="O8" s="309">
        <v>0</v>
      </c>
      <c r="P8" s="309">
        <v>2074.0500000000002</v>
      </c>
      <c r="Q8" s="308" t="s">
        <v>479</v>
      </c>
      <c r="R8" s="308"/>
      <c r="S8" s="309">
        <v>15</v>
      </c>
      <c r="T8" s="309">
        <v>5</v>
      </c>
      <c r="U8" s="309">
        <v>0.7</v>
      </c>
      <c r="V8" s="309">
        <v>0.7</v>
      </c>
      <c r="W8" s="309">
        <v>0.7</v>
      </c>
      <c r="X8" s="309">
        <v>1700</v>
      </c>
      <c r="Y8" s="308" t="s">
        <v>470</v>
      </c>
      <c r="Z8" s="309">
        <v>0.85</v>
      </c>
      <c r="AA8" s="308" t="s">
        <v>471</v>
      </c>
      <c r="AB8" s="308" t="s">
        <v>472</v>
      </c>
      <c r="AC8" s="311">
        <v>220</v>
      </c>
    </row>
    <row r="9" spans="1:29">
      <c r="A9" s="312" t="s">
        <v>481</v>
      </c>
      <c r="B9" s="313" t="s">
        <v>478</v>
      </c>
      <c r="C9" s="313" t="s">
        <v>417</v>
      </c>
      <c r="D9" s="313" t="s">
        <v>468</v>
      </c>
      <c r="E9" s="314">
        <v>1.2</v>
      </c>
      <c r="F9" s="315">
        <v>45202.399305555555</v>
      </c>
      <c r="G9" s="314">
        <v>1</v>
      </c>
      <c r="H9" s="314">
        <v>51.374099999999999</v>
      </c>
      <c r="I9" s="314">
        <v>7.8045099999999996</v>
      </c>
      <c r="J9" s="314">
        <v>-13.366388000000001</v>
      </c>
      <c r="K9" s="314">
        <v>-12.522793999999999</v>
      </c>
      <c r="L9" s="314">
        <v>983.74300000000005</v>
      </c>
      <c r="M9" s="314">
        <v>93.997703999999999</v>
      </c>
      <c r="N9" s="314">
        <v>14533.97</v>
      </c>
      <c r="O9" s="314">
        <v>0</v>
      </c>
      <c r="P9" s="314">
        <v>2074.0500000000002</v>
      </c>
      <c r="Q9" s="313" t="s">
        <v>479</v>
      </c>
      <c r="R9" s="313"/>
      <c r="S9" s="314">
        <v>15</v>
      </c>
      <c r="T9" s="314">
        <v>5</v>
      </c>
      <c r="U9" s="314">
        <v>0.7</v>
      </c>
      <c r="V9" s="314">
        <v>0.7</v>
      </c>
      <c r="W9" s="314">
        <v>0.7</v>
      </c>
      <c r="X9" s="314">
        <v>1700</v>
      </c>
      <c r="Y9" s="313" t="s">
        <v>470</v>
      </c>
      <c r="Z9" s="314">
        <v>0.85</v>
      </c>
      <c r="AA9" s="313" t="s">
        <v>471</v>
      </c>
      <c r="AB9" s="313" t="s">
        <v>472</v>
      </c>
      <c r="AC9" s="316">
        <v>220</v>
      </c>
    </row>
    <row r="10" spans="1:29">
      <c r="A10" s="307" t="s">
        <v>482</v>
      </c>
      <c r="B10" s="308" t="s">
        <v>478</v>
      </c>
      <c r="C10" s="308" t="s">
        <v>417</v>
      </c>
      <c r="D10" s="308" t="s">
        <v>468</v>
      </c>
      <c r="E10" s="309">
        <v>1.2</v>
      </c>
      <c r="F10" s="310">
        <v>45202.402777777781</v>
      </c>
      <c r="G10" s="309">
        <v>1</v>
      </c>
      <c r="H10" s="309">
        <v>51.370800000000003</v>
      </c>
      <c r="I10" s="309">
        <v>7.5835499999999998</v>
      </c>
      <c r="J10" s="309">
        <v>-13.486056</v>
      </c>
      <c r="K10" s="309">
        <v>-12.644693999999999</v>
      </c>
      <c r="L10" s="309">
        <v>990.30499999999995</v>
      </c>
      <c r="M10" s="309">
        <v>97.999536000000006</v>
      </c>
      <c r="N10" s="309">
        <v>14491.46</v>
      </c>
      <c r="O10" s="309">
        <v>0</v>
      </c>
      <c r="P10" s="309">
        <v>2074.0500000000002</v>
      </c>
      <c r="Q10" s="308" t="s">
        <v>479</v>
      </c>
      <c r="R10" s="308"/>
      <c r="S10" s="309">
        <v>15</v>
      </c>
      <c r="T10" s="309">
        <v>5</v>
      </c>
      <c r="U10" s="309">
        <v>0.7</v>
      </c>
      <c r="V10" s="309">
        <v>0.7</v>
      </c>
      <c r="W10" s="309">
        <v>0.7</v>
      </c>
      <c r="X10" s="309">
        <v>1700</v>
      </c>
      <c r="Y10" s="308" t="s">
        <v>470</v>
      </c>
      <c r="Z10" s="309">
        <v>0.85</v>
      </c>
      <c r="AA10" s="308" t="s">
        <v>471</v>
      </c>
      <c r="AB10" s="308" t="s">
        <v>472</v>
      </c>
      <c r="AC10" s="311">
        <v>220</v>
      </c>
    </row>
    <row r="11" spans="1:29">
      <c r="A11" s="312" t="s">
        <v>483</v>
      </c>
      <c r="B11" s="313" t="s">
        <v>478</v>
      </c>
      <c r="C11" s="313" t="s">
        <v>417</v>
      </c>
      <c r="D11" s="313" t="s">
        <v>468</v>
      </c>
      <c r="E11" s="314">
        <v>1.2</v>
      </c>
      <c r="F11" s="315">
        <v>45202.40625</v>
      </c>
      <c r="G11" s="314">
        <v>1</v>
      </c>
      <c r="H11" s="314">
        <v>51.370800000000003</v>
      </c>
      <c r="I11" s="314">
        <v>7.4461199999999996</v>
      </c>
      <c r="J11" s="314">
        <v>-13.590031</v>
      </c>
      <c r="K11" s="314">
        <v>-12.752756</v>
      </c>
      <c r="L11" s="314">
        <v>974.8</v>
      </c>
      <c r="M11" s="314">
        <v>102.499077</v>
      </c>
      <c r="N11" s="314">
        <v>14473.48</v>
      </c>
      <c r="O11" s="314">
        <v>0</v>
      </c>
      <c r="P11" s="314">
        <v>2074.0500000000002</v>
      </c>
      <c r="Q11" s="313" t="s">
        <v>479</v>
      </c>
      <c r="R11" s="313"/>
      <c r="S11" s="314">
        <v>15</v>
      </c>
      <c r="T11" s="314">
        <v>5</v>
      </c>
      <c r="U11" s="314">
        <v>0.7</v>
      </c>
      <c r="V11" s="314">
        <v>0.7</v>
      </c>
      <c r="W11" s="314">
        <v>0.7</v>
      </c>
      <c r="X11" s="314">
        <v>1700</v>
      </c>
      <c r="Y11" s="313" t="s">
        <v>470</v>
      </c>
      <c r="Z11" s="314">
        <v>0.85</v>
      </c>
      <c r="AA11" s="313" t="s">
        <v>471</v>
      </c>
      <c r="AB11" s="313" t="s">
        <v>472</v>
      </c>
      <c r="AC11" s="316">
        <v>220</v>
      </c>
    </row>
    <row r="12" spans="1:29">
      <c r="A12" s="307" t="s">
        <v>484</v>
      </c>
      <c r="B12" s="308" t="s">
        <v>478</v>
      </c>
      <c r="C12" s="308" t="s">
        <v>417</v>
      </c>
      <c r="D12" s="308" t="s">
        <v>468</v>
      </c>
      <c r="E12" s="309">
        <v>1.2</v>
      </c>
      <c r="F12" s="310">
        <v>45202.409722222219</v>
      </c>
      <c r="G12" s="309">
        <v>2</v>
      </c>
      <c r="H12" s="309">
        <v>51.374099999999999</v>
      </c>
      <c r="I12" s="309">
        <v>7.31433</v>
      </c>
      <c r="J12" s="309">
        <v>-13.644261999999999</v>
      </c>
      <c r="K12" s="309">
        <v>-12.831175</v>
      </c>
      <c r="L12" s="309">
        <v>981.86500000000001</v>
      </c>
      <c r="M12" s="309">
        <v>103.4996</v>
      </c>
      <c r="N12" s="309">
        <v>14530.22</v>
      </c>
      <c r="O12" s="309">
        <v>0</v>
      </c>
      <c r="P12" s="309">
        <v>2074.0500000000002</v>
      </c>
      <c r="Q12" s="308" t="s">
        <v>479</v>
      </c>
      <c r="R12" s="308"/>
      <c r="S12" s="309">
        <v>15</v>
      </c>
      <c r="T12" s="309">
        <v>5</v>
      </c>
      <c r="U12" s="309">
        <v>0.7</v>
      </c>
      <c r="V12" s="309">
        <v>0.7</v>
      </c>
      <c r="W12" s="309">
        <v>0.7</v>
      </c>
      <c r="X12" s="309">
        <v>1700</v>
      </c>
      <c r="Y12" s="308" t="s">
        <v>470</v>
      </c>
      <c r="Z12" s="309">
        <v>0.85</v>
      </c>
      <c r="AA12" s="308" t="s">
        <v>471</v>
      </c>
      <c r="AB12" s="308" t="s">
        <v>472</v>
      </c>
      <c r="AC12" s="311">
        <v>220</v>
      </c>
    </row>
    <row r="13" spans="1:29">
      <c r="A13" s="312" t="s">
        <v>485</v>
      </c>
      <c r="B13" s="313" t="s">
        <v>478</v>
      </c>
      <c r="C13" s="313" t="s">
        <v>417</v>
      </c>
      <c r="D13" s="313" t="s">
        <v>468</v>
      </c>
      <c r="E13" s="314">
        <v>1.2</v>
      </c>
      <c r="F13" s="315">
        <v>45202.412499999999</v>
      </c>
      <c r="G13" s="314">
        <v>2</v>
      </c>
      <c r="H13" s="314">
        <v>51.3675</v>
      </c>
      <c r="I13" s="314">
        <v>7.2665699999999998</v>
      </c>
      <c r="J13" s="314">
        <v>-13.742661999999999</v>
      </c>
      <c r="K13" s="314">
        <v>-12.908837999999999</v>
      </c>
      <c r="L13" s="314">
        <v>985.34400000000005</v>
      </c>
      <c r="M13" s="314">
        <v>111.000337</v>
      </c>
      <c r="N13" s="314">
        <v>14524.4</v>
      </c>
      <c r="O13" s="314">
        <v>0</v>
      </c>
      <c r="P13" s="314">
        <v>2074.0500000000002</v>
      </c>
      <c r="Q13" s="313" t="s">
        <v>479</v>
      </c>
      <c r="R13" s="313"/>
      <c r="S13" s="314">
        <v>15</v>
      </c>
      <c r="T13" s="314">
        <v>5</v>
      </c>
      <c r="U13" s="314">
        <v>0.7</v>
      </c>
      <c r="V13" s="314">
        <v>0.7</v>
      </c>
      <c r="W13" s="314">
        <v>0.7</v>
      </c>
      <c r="X13" s="314">
        <v>1700</v>
      </c>
      <c r="Y13" s="313" t="s">
        <v>470</v>
      </c>
      <c r="Z13" s="314">
        <v>0.85</v>
      </c>
      <c r="AA13" s="313" t="s">
        <v>471</v>
      </c>
      <c r="AB13" s="313" t="s">
        <v>472</v>
      </c>
      <c r="AC13" s="316">
        <v>220</v>
      </c>
    </row>
    <row r="14" spans="1:29">
      <c r="A14" s="307" t="s">
        <v>486</v>
      </c>
      <c r="B14" s="308" t="s">
        <v>478</v>
      </c>
      <c r="C14" s="308" t="s">
        <v>417</v>
      </c>
      <c r="D14" s="308" t="s">
        <v>468</v>
      </c>
      <c r="E14" s="309">
        <v>1.2</v>
      </c>
      <c r="F14" s="310">
        <v>45202.415972222225</v>
      </c>
      <c r="G14" s="309">
        <v>2</v>
      </c>
      <c r="H14" s="309">
        <v>51.374099999999999</v>
      </c>
      <c r="I14" s="309">
        <v>7.1379900000000003</v>
      </c>
      <c r="J14" s="309">
        <v>-13.789831</v>
      </c>
      <c r="K14" s="309">
        <v>-12.947894</v>
      </c>
      <c r="L14" s="309">
        <v>983.10599999999999</v>
      </c>
      <c r="M14" s="309">
        <v>116.000556</v>
      </c>
      <c r="N14" s="309">
        <v>14559.32</v>
      </c>
      <c r="O14" s="309">
        <v>0</v>
      </c>
      <c r="P14" s="309">
        <v>2074.0500000000002</v>
      </c>
      <c r="Q14" s="308" t="s">
        <v>479</v>
      </c>
      <c r="R14" s="308"/>
      <c r="S14" s="309">
        <v>15</v>
      </c>
      <c r="T14" s="309">
        <v>5</v>
      </c>
      <c r="U14" s="309">
        <v>0.7</v>
      </c>
      <c r="V14" s="309">
        <v>0.7</v>
      </c>
      <c r="W14" s="309">
        <v>0.7</v>
      </c>
      <c r="X14" s="309">
        <v>1700</v>
      </c>
      <c r="Y14" s="308" t="s">
        <v>470</v>
      </c>
      <c r="Z14" s="309">
        <v>0.85</v>
      </c>
      <c r="AA14" s="308" t="s">
        <v>471</v>
      </c>
      <c r="AB14" s="308" t="s">
        <v>472</v>
      </c>
      <c r="AC14" s="311">
        <v>220</v>
      </c>
    </row>
    <row r="15" spans="1:29">
      <c r="A15" s="312" t="s">
        <v>487</v>
      </c>
      <c r="B15" s="313" t="s">
        <v>478</v>
      </c>
      <c r="C15" s="313" t="s">
        <v>417</v>
      </c>
      <c r="D15" s="313" t="s">
        <v>468</v>
      </c>
      <c r="E15" s="314">
        <v>1.2</v>
      </c>
      <c r="F15" s="315">
        <v>45202.419444444444</v>
      </c>
      <c r="G15" s="314">
        <v>2</v>
      </c>
      <c r="H15" s="314">
        <v>51.3675</v>
      </c>
      <c r="I15" s="314">
        <v>7.14994</v>
      </c>
      <c r="J15" s="314">
        <v>-13.687037</v>
      </c>
      <c r="K15" s="314">
        <v>-12.850713000000001</v>
      </c>
      <c r="L15" s="314">
        <v>995.89499999999998</v>
      </c>
      <c r="M15" s="314">
        <v>101.000276</v>
      </c>
      <c r="N15" s="314">
        <v>14482.23</v>
      </c>
      <c r="O15" s="314">
        <v>0</v>
      </c>
      <c r="P15" s="314">
        <v>2074.0500000000002</v>
      </c>
      <c r="Q15" s="313" t="s">
        <v>479</v>
      </c>
      <c r="R15" s="313"/>
      <c r="S15" s="314">
        <v>15</v>
      </c>
      <c r="T15" s="314">
        <v>5</v>
      </c>
      <c r="U15" s="314">
        <v>0.7</v>
      </c>
      <c r="V15" s="314">
        <v>0.7</v>
      </c>
      <c r="W15" s="314">
        <v>0.7</v>
      </c>
      <c r="X15" s="314">
        <v>1700</v>
      </c>
      <c r="Y15" s="313" t="s">
        <v>470</v>
      </c>
      <c r="Z15" s="314">
        <v>0.85</v>
      </c>
      <c r="AA15" s="313" t="s">
        <v>471</v>
      </c>
      <c r="AB15" s="313" t="s">
        <v>472</v>
      </c>
      <c r="AC15" s="316">
        <v>220</v>
      </c>
    </row>
    <row r="16" spans="1:29">
      <c r="A16" s="307" t="s">
        <v>488</v>
      </c>
      <c r="B16" s="308" t="s">
        <v>478</v>
      </c>
      <c r="C16" s="308" t="s">
        <v>417</v>
      </c>
      <c r="D16" s="308" t="s">
        <v>468</v>
      </c>
      <c r="E16" s="309">
        <v>1.2</v>
      </c>
      <c r="F16" s="310">
        <v>45202.42291666667</v>
      </c>
      <c r="G16" s="309">
        <v>2</v>
      </c>
      <c r="H16" s="309">
        <v>51.370800000000003</v>
      </c>
      <c r="I16" s="309">
        <v>7.0721499999999997</v>
      </c>
      <c r="J16" s="309">
        <v>-13.691243999999999</v>
      </c>
      <c r="K16" s="309">
        <v>-12.850156</v>
      </c>
      <c r="L16" s="309">
        <v>993.298</v>
      </c>
      <c r="M16" s="309">
        <v>100.49978400000001</v>
      </c>
      <c r="N16" s="309">
        <v>14483.69</v>
      </c>
      <c r="O16" s="309">
        <v>0</v>
      </c>
      <c r="P16" s="309">
        <v>2074.0500000000002</v>
      </c>
      <c r="Q16" s="308" t="s">
        <v>479</v>
      </c>
      <c r="R16" s="308"/>
      <c r="S16" s="309">
        <v>15</v>
      </c>
      <c r="T16" s="309">
        <v>5</v>
      </c>
      <c r="U16" s="309">
        <v>0.7</v>
      </c>
      <c r="V16" s="309">
        <v>0.7</v>
      </c>
      <c r="W16" s="309">
        <v>0.7</v>
      </c>
      <c r="X16" s="309">
        <v>1700</v>
      </c>
      <c r="Y16" s="308" t="s">
        <v>470</v>
      </c>
      <c r="Z16" s="309">
        <v>0.85</v>
      </c>
      <c r="AA16" s="308" t="s">
        <v>471</v>
      </c>
      <c r="AB16" s="308" t="s">
        <v>472</v>
      </c>
      <c r="AC16" s="311">
        <v>220</v>
      </c>
    </row>
    <row r="17" spans="1:29">
      <c r="A17" s="312" t="s">
        <v>489</v>
      </c>
      <c r="B17" s="313" t="s">
        <v>490</v>
      </c>
      <c r="C17" s="313" t="s">
        <v>417</v>
      </c>
      <c r="D17" s="313" t="s">
        <v>468</v>
      </c>
      <c r="E17" s="314">
        <v>1.5</v>
      </c>
      <c r="F17" s="315">
        <v>45202.429166666669</v>
      </c>
      <c r="G17" s="314">
        <v>1</v>
      </c>
      <c r="H17" s="314">
        <v>51.370800000000003</v>
      </c>
      <c r="I17" s="314">
        <v>6.9775900000000002</v>
      </c>
      <c r="J17" s="314">
        <v>-13.665544000000001</v>
      </c>
      <c r="K17" s="314">
        <v>-12.851125</v>
      </c>
      <c r="L17" s="314">
        <v>1004.16</v>
      </c>
      <c r="M17" s="314">
        <v>115.99955199999999</v>
      </c>
      <c r="N17" s="314">
        <v>18130.98</v>
      </c>
      <c r="O17" s="314">
        <v>18123.122060000002</v>
      </c>
      <c r="P17" s="314">
        <v>2074.0500000000002</v>
      </c>
      <c r="Q17" s="313" t="s">
        <v>469</v>
      </c>
      <c r="R17" s="313"/>
      <c r="S17" s="314">
        <v>15</v>
      </c>
      <c r="T17" s="314">
        <v>5</v>
      </c>
      <c r="U17" s="314">
        <v>0.7</v>
      </c>
      <c r="V17" s="314">
        <v>0.7</v>
      </c>
      <c r="W17" s="314">
        <v>0.7</v>
      </c>
      <c r="X17" s="314">
        <v>1700</v>
      </c>
      <c r="Y17" s="313" t="s">
        <v>470</v>
      </c>
      <c r="Z17" s="314">
        <v>0.85</v>
      </c>
      <c r="AA17" s="313" t="s">
        <v>471</v>
      </c>
      <c r="AB17" s="313" t="s">
        <v>472</v>
      </c>
      <c r="AC17" s="316">
        <v>220</v>
      </c>
    </row>
    <row r="18" spans="1:29">
      <c r="A18" s="307" t="s">
        <v>491</v>
      </c>
      <c r="B18" s="308" t="s">
        <v>490</v>
      </c>
      <c r="C18" s="308" t="s">
        <v>417</v>
      </c>
      <c r="D18" s="308" t="s">
        <v>468</v>
      </c>
      <c r="E18" s="309">
        <v>1.5</v>
      </c>
      <c r="F18" s="310">
        <v>45202.432638888888</v>
      </c>
      <c r="G18" s="309">
        <v>1</v>
      </c>
      <c r="H18" s="309">
        <v>51.374099999999999</v>
      </c>
      <c r="I18" s="309">
        <v>6.8370600000000001</v>
      </c>
      <c r="J18" s="309">
        <v>-13.725237999999999</v>
      </c>
      <c r="K18" s="309">
        <v>-12.875961999999999</v>
      </c>
      <c r="L18" s="309">
        <v>1010.97</v>
      </c>
      <c r="M18" s="309">
        <v>109.500361</v>
      </c>
      <c r="N18" s="309">
        <v>18134.87</v>
      </c>
      <c r="O18" s="309">
        <v>18123.122060000002</v>
      </c>
      <c r="P18" s="309">
        <v>2074.0500000000002</v>
      </c>
      <c r="Q18" s="308" t="s">
        <v>469</v>
      </c>
      <c r="R18" s="308"/>
      <c r="S18" s="309">
        <v>15</v>
      </c>
      <c r="T18" s="309">
        <v>5</v>
      </c>
      <c r="U18" s="309">
        <v>0.7</v>
      </c>
      <c r="V18" s="309">
        <v>0.7</v>
      </c>
      <c r="W18" s="309">
        <v>0.7</v>
      </c>
      <c r="X18" s="309">
        <v>1700</v>
      </c>
      <c r="Y18" s="308" t="s">
        <v>470</v>
      </c>
      <c r="Z18" s="309">
        <v>0.85</v>
      </c>
      <c r="AA18" s="308" t="s">
        <v>471</v>
      </c>
      <c r="AB18" s="308" t="s">
        <v>472</v>
      </c>
      <c r="AC18" s="311">
        <v>220</v>
      </c>
    </row>
    <row r="19" spans="1:29">
      <c r="A19" s="312" t="s">
        <v>492</v>
      </c>
      <c r="B19" s="313" t="s">
        <v>490</v>
      </c>
      <c r="C19" s="313" t="s">
        <v>417</v>
      </c>
      <c r="D19" s="313" t="s">
        <v>468</v>
      </c>
      <c r="E19" s="314">
        <v>1.5</v>
      </c>
      <c r="F19" s="315">
        <v>45202.436111111114</v>
      </c>
      <c r="G19" s="314">
        <v>1</v>
      </c>
      <c r="H19" s="314">
        <v>51.377400000000002</v>
      </c>
      <c r="I19" s="314">
        <v>6.8350799999999996</v>
      </c>
      <c r="J19" s="314">
        <v>-13.606119</v>
      </c>
      <c r="K19" s="314">
        <v>-12.770319000000001</v>
      </c>
      <c r="L19" s="314">
        <v>1029.8900000000001</v>
      </c>
      <c r="M19" s="314">
        <v>108.999537</v>
      </c>
      <c r="N19" s="314">
        <v>18103.509999999998</v>
      </c>
      <c r="O19" s="314">
        <v>18123.122060000002</v>
      </c>
      <c r="P19" s="314">
        <v>2074.0500000000002</v>
      </c>
      <c r="Q19" s="313" t="s">
        <v>469</v>
      </c>
      <c r="R19" s="313"/>
      <c r="S19" s="314">
        <v>15</v>
      </c>
      <c r="T19" s="314">
        <v>5</v>
      </c>
      <c r="U19" s="314">
        <v>0.7</v>
      </c>
      <c r="V19" s="314">
        <v>0.7</v>
      </c>
      <c r="W19" s="314">
        <v>0.7</v>
      </c>
      <c r="X19" s="314">
        <v>1700</v>
      </c>
      <c r="Y19" s="313" t="s">
        <v>470</v>
      </c>
      <c r="Z19" s="314">
        <v>0.85</v>
      </c>
      <c r="AA19" s="313" t="s">
        <v>471</v>
      </c>
      <c r="AB19" s="313" t="s">
        <v>472</v>
      </c>
      <c r="AC19" s="316">
        <v>220</v>
      </c>
    </row>
    <row r="20" spans="1:29">
      <c r="A20" s="307" t="s">
        <v>493</v>
      </c>
      <c r="B20" s="308" t="s">
        <v>494</v>
      </c>
      <c r="C20" s="308" t="s">
        <v>417</v>
      </c>
      <c r="D20" s="308" t="s">
        <v>468</v>
      </c>
      <c r="E20" s="309">
        <v>1.8</v>
      </c>
      <c r="F20" s="310">
        <v>45202.439583333333</v>
      </c>
      <c r="G20" s="309">
        <v>1</v>
      </c>
      <c r="H20" s="309">
        <v>51.377400000000002</v>
      </c>
      <c r="I20" s="309">
        <v>6.7357699999999996</v>
      </c>
      <c r="J20" s="309">
        <v>-13.765044</v>
      </c>
      <c r="K20" s="309">
        <v>-12.915925</v>
      </c>
      <c r="L20" s="309">
        <v>1006.59</v>
      </c>
      <c r="M20" s="309">
        <v>162.000744</v>
      </c>
      <c r="N20" s="309">
        <v>21729.47</v>
      </c>
      <c r="O20" s="309">
        <v>21713.467990000001</v>
      </c>
      <c r="P20" s="309">
        <v>2074.0500000000002</v>
      </c>
      <c r="Q20" s="308" t="s">
        <v>469</v>
      </c>
      <c r="R20" s="308"/>
      <c r="S20" s="309">
        <v>15</v>
      </c>
      <c r="T20" s="309">
        <v>5</v>
      </c>
      <c r="U20" s="309">
        <v>0.7</v>
      </c>
      <c r="V20" s="309">
        <v>0.7</v>
      </c>
      <c r="W20" s="309">
        <v>0.7</v>
      </c>
      <c r="X20" s="309">
        <v>1700</v>
      </c>
      <c r="Y20" s="308" t="s">
        <v>470</v>
      </c>
      <c r="Z20" s="309">
        <v>0.85</v>
      </c>
      <c r="AA20" s="308" t="s">
        <v>471</v>
      </c>
      <c r="AB20" s="308" t="s">
        <v>472</v>
      </c>
      <c r="AC20" s="311">
        <v>220</v>
      </c>
    </row>
    <row r="21" spans="1:29">
      <c r="A21" s="312" t="s">
        <v>495</v>
      </c>
      <c r="B21" s="313" t="s">
        <v>494</v>
      </c>
      <c r="C21" s="313" t="s">
        <v>417</v>
      </c>
      <c r="D21" s="313" t="s">
        <v>468</v>
      </c>
      <c r="E21" s="314">
        <v>1.8</v>
      </c>
      <c r="F21" s="315">
        <v>45202.443749999999</v>
      </c>
      <c r="G21" s="314">
        <v>1</v>
      </c>
      <c r="H21" s="314">
        <v>51.374099999999999</v>
      </c>
      <c r="I21" s="314">
        <v>6.8237500000000004</v>
      </c>
      <c r="J21" s="314">
        <v>-13.649894</v>
      </c>
      <c r="K21" s="314">
        <v>-12.809188000000001</v>
      </c>
      <c r="L21" s="314">
        <v>1038.04</v>
      </c>
      <c r="M21" s="314">
        <v>119.99939500000001</v>
      </c>
      <c r="N21" s="314">
        <v>21703.94</v>
      </c>
      <c r="O21" s="314">
        <v>21713.467990000001</v>
      </c>
      <c r="P21" s="314">
        <v>2074.0500000000002</v>
      </c>
      <c r="Q21" s="313" t="s">
        <v>469</v>
      </c>
      <c r="R21" s="313"/>
      <c r="S21" s="314">
        <v>15</v>
      </c>
      <c r="T21" s="314">
        <v>5</v>
      </c>
      <c r="U21" s="314">
        <v>0.7</v>
      </c>
      <c r="V21" s="314">
        <v>0.7</v>
      </c>
      <c r="W21" s="314">
        <v>0.7</v>
      </c>
      <c r="X21" s="314">
        <v>1700</v>
      </c>
      <c r="Y21" s="313" t="s">
        <v>470</v>
      </c>
      <c r="Z21" s="314">
        <v>0.85</v>
      </c>
      <c r="AA21" s="313" t="s">
        <v>471</v>
      </c>
      <c r="AB21" s="313" t="s">
        <v>472</v>
      </c>
      <c r="AC21" s="316">
        <v>220</v>
      </c>
    </row>
    <row r="22" spans="1:29">
      <c r="A22" s="307" t="s">
        <v>496</v>
      </c>
      <c r="B22" s="308" t="s">
        <v>494</v>
      </c>
      <c r="C22" s="308" t="s">
        <v>417</v>
      </c>
      <c r="D22" s="308" t="s">
        <v>468</v>
      </c>
      <c r="E22" s="309">
        <v>1.8</v>
      </c>
      <c r="F22" s="310">
        <v>45202.447222222225</v>
      </c>
      <c r="G22" s="309">
        <v>1</v>
      </c>
      <c r="H22" s="309">
        <v>51.370800000000003</v>
      </c>
      <c r="I22" s="309">
        <v>6.7880500000000001</v>
      </c>
      <c r="J22" s="309">
        <v>-13.687344</v>
      </c>
      <c r="K22" s="309">
        <v>-12.860386999999999</v>
      </c>
      <c r="L22" s="309">
        <v>1018.41</v>
      </c>
      <c r="M22" s="309">
        <v>122.500641</v>
      </c>
      <c r="N22" s="309">
        <v>21706.99</v>
      </c>
      <c r="O22" s="309">
        <v>21713.467990000001</v>
      </c>
      <c r="P22" s="309">
        <v>2074.0500000000002</v>
      </c>
      <c r="Q22" s="308" t="s">
        <v>469</v>
      </c>
      <c r="R22" s="308"/>
      <c r="S22" s="309">
        <v>15</v>
      </c>
      <c r="T22" s="309">
        <v>5</v>
      </c>
      <c r="U22" s="309">
        <v>0.7</v>
      </c>
      <c r="V22" s="309">
        <v>0.7</v>
      </c>
      <c r="W22" s="309">
        <v>0.7</v>
      </c>
      <c r="X22" s="309">
        <v>1700</v>
      </c>
      <c r="Y22" s="308" t="s">
        <v>470</v>
      </c>
      <c r="Z22" s="309">
        <v>0.85</v>
      </c>
      <c r="AA22" s="308" t="s">
        <v>471</v>
      </c>
      <c r="AB22" s="308" t="s">
        <v>472</v>
      </c>
      <c r="AC22" s="311">
        <v>220</v>
      </c>
    </row>
    <row r="23" spans="1:29">
      <c r="A23" s="312" t="s">
        <v>497</v>
      </c>
      <c r="B23" s="313">
        <v>2</v>
      </c>
      <c r="C23" s="313" t="s">
        <v>417</v>
      </c>
      <c r="D23" s="313" t="s">
        <v>468</v>
      </c>
      <c r="E23" s="314">
        <v>1.5</v>
      </c>
      <c r="F23" s="315">
        <v>45202.450694444444</v>
      </c>
      <c r="G23" s="314">
        <v>1</v>
      </c>
      <c r="H23" s="314">
        <v>51.374099999999999</v>
      </c>
      <c r="I23" s="314">
        <v>6.7445599999999999</v>
      </c>
      <c r="J23" s="314">
        <v>-13.731536999999999</v>
      </c>
      <c r="K23" s="314">
        <v>-12.881575</v>
      </c>
      <c r="L23" s="314">
        <v>1020.44</v>
      </c>
      <c r="M23" s="314">
        <v>111.000514</v>
      </c>
      <c r="N23" s="314">
        <v>18131.16</v>
      </c>
      <c r="O23" s="314">
        <v>0</v>
      </c>
      <c r="P23" s="314">
        <v>0</v>
      </c>
      <c r="Q23" s="313" t="s">
        <v>479</v>
      </c>
      <c r="R23" s="313"/>
      <c r="S23" s="314">
        <v>15</v>
      </c>
      <c r="T23" s="314">
        <v>5</v>
      </c>
      <c r="U23" s="314">
        <v>0.7</v>
      </c>
      <c r="V23" s="314">
        <v>0.7</v>
      </c>
      <c r="W23" s="314">
        <v>0.7</v>
      </c>
      <c r="X23" s="314">
        <v>1700</v>
      </c>
      <c r="Y23" s="313" t="s">
        <v>470</v>
      </c>
      <c r="Z23" s="314">
        <v>0.85</v>
      </c>
      <c r="AA23" s="313" t="s">
        <v>471</v>
      </c>
      <c r="AB23" s="313" t="s">
        <v>472</v>
      </c>
      <c r="AC23" s="316">
        <v>220</v>
      </c>
    </row>
    <row r="24" spans="1:29">
      <c r="A24" s="307" t="s">
        <v>498</v>
      </c>
      <c r="B24" s="308">
        <v>2</v>
      </c>
      <c r="C24" s="308" t="s">
        <v>417</v>
      </c>
      <c r="D24" s="308" t="s">
        <v>468</v>
      </c>
      <c r="E24" s="309">
        <v>1.5</v>
      </c>
      <c r="F24" s="310">
        <v>45202.45416666667</v>
      </c>
      <c r="G24" s="309">
        <v>1</v>
      </c>
      <c r="H24" s="309">
        <v>51.370800000000003</v>
      </c>
      <c r="I24" s="309">
        <v>6.6888199999999998</v>
      </c>
      <c r="J24" s="309">
        <v>-13.757394</v>
      </c>
      <c r="K24" s="309">
        <v>-12.911250000000001</v>
      </c>
      <c r="L24" s="309">
        <v>1042</v>
      </c>
      <c r="M24" s="309">
        <v>122.999483</v>
      </c>
      <c r="N24" s="309">
        <v>18763.21</v>
      </c>
      <c r="O24" s="309">
        <v>0</v>
      </c>
      <c r="P24" s="309">
        <v>0</v>
      </c>
      <c r="Q24" s="308" t="s">
        <v>479</v>
      </c>
      <c r="R24" s="308"/>
      <c r="S24" s="309">
        <v>15</v>
      </c>
      <c r="T24" s="309">
        <v>5</v>
      </c>
      <c r="U24" s="309">
        <v>0.7</v>
      </c>
      <c r="V24" s="309">
        <v>0.7</v>
      </c>
      <c r="W24" s="309">
        <v>0.7</v>
      </c>
      <c r="X24" s="309">
        <v>1700</v>
      </c>
      <c r="Y24" s="308" t="s">
        <v>470</v>
      </c>
      <c r="Z24" s="309">
        <v>0.85</v>
      </c>
      <c r="AA24" s="308" t="s">
        <v>471</v>
      </c>
      <c r="AB24" s="308" t="s">
        <v>472</v>
      </c>
      <c r="AC24" s="311">
        <v>214</v>
      </c>
    </row>
    <row r="25" spans="1:29">
      <c r="A25" s="312" t="s">
        <v>499</v>
      </c>
      <c r="B25" s="313">
        <v>2</v>
      </c>
      <c r="C25" s="313" t="s">
        <v>417</v>
      </c>
      <c r="D25" s="313" t="s">
        <v>468</v>
      </c>
      <c r="E25" s="314">
        <v>1.5</v>
      </c>
      <c r="F25" s="315">
        <v>45202.457638888889</v>
      </c>
      <c r="G25" s="314">
        <v>1</v>
      </c>
      <c r="H25" s="314">
        <v>51.377400000000002</v>
      </c>
      <c r="I25" s="314">
        <v>6.6823699999999997</v>
      </c>
      <c r="J25" s="314">
        <v>-13.845869</v>
      </c>
      <c r="K25" s="314">
        <v>-12.997586999999999</v>
      </c>
      <c r="L25" s="314">
        <v>1060.1500000000001</v>
      </c>
      <c r="M25" s="314">
        <v>127.49923800000001</v>
      </c>
      <c r="N25" s="314">
        <v>19031.21</v>
      </c>
      <c r="O25" s="314">
        <v>0</v>
      </c>
      <c r="P25" s="314">
        <v>0</v>
      </c>
      <c r="Q25" s="313" t="s">
        <v>479</v>
      </c>
      <c r="R25" s="313"/>
      <c r="S25" s="314">
        <v>15</v>
      </c>
      <c r="T25" s="314">
        <v>5</v>
      </c>
      <c r="U25" s="314">
        <v>0.7</v>
      </c>
      <c r="V25" s="314">
        <v>0.7</v>
      </c>
      <c r="W25" s="314">
        <v>0.7</v>
      </c>
      <c r="X25" s="314">
        <v>1700</v>
      </c>
      <c r="Y25" s="313" t="s">
        <v>470</v>
      </c>
      <c r="Z25" s="314">
        <v>0.85</v>
      </c>
      <c r="AA25" s="313" t="s">
        <v>471</v>
      </c>
      <c r="AB25" s="313" t="s">
        <v>472</v>
      </c>
      <c r="AC25" s="316">
        <v>211</v>
      </c>
    </row>
    <row r="26" spans="1:29">
      <c r="A26" s="307" t="s">
        <v>500</v>
      </c>
      <c r="B26" s="308">
        <v>2</v>
      </c>
      <c r="C26" s="308" t="s">
        <v>417</v>
      </c>
      <c r="D26" s="308" t="s">
        <v>468</v>
      </c>
      <c r="E26" s="309">
        <v>1.5</v>
      </c>
      <c r="F26" s="310">
        <v>45202.461111111108</v>
      </c>
      <c r="G26" s="309">
        <v>1</v>
      </c>
      <c r="H26" s="309">
        <v>51.374099999999999</v>
      </c>
      <c r="I26" s="309">
        <v>6.6439700000000004</v>
      </c>
      <c r="J26" s="309">
        <v>-13.73565</v>
      </c>
      <c r="K26" s="309">
        <v>-12.886644</v>
      </c>
      <c r="L26" s="309">
        <v>1071.3499999999999</v>
      </c>
      <c r="M26" s="309">
        <v>122.00051999999999</v>
      </c>
      <c r="N26" s="309">
        <v>19308.169999999998</v>
      </c>
      <c r="O26" s="309">
        <v>0</v>
      </c>
      <c r="P26" s="309">
        <v>0</v>
      </c>
      <c r="Q26" s="308" t="s">
        <v>479</v>
      </c>
      <c r="R26" s="308"/>
      <c r="S26" s="309">
        <v>15</v>
      </c>
      <c r="T26" s="309">
        <v>5</v>
      </c>
      <c r="U26" s="309">
        <v>0.7</v>
      </c>
      <c r="V26" s="309">
        <v>0.7</v>
      </c>
      <c r="W26" s="309">
        <v>0.7</v>
      </c>
      <c r="X26" s="309">
        <v>1700</v>
      </c>
      <c r="Y26" s="308" t="s">
        <v>470</v>
      </c>
      <c r="Z26" s="309">
        <v>0.85</v>
      </c>
      <c r="AA26" s="308" t="s">
        <v>471</v>
      </c>
      <c r="AB26" s="308" t="s">
        <v>472</v>
      </c>
      <c r="AC26" s="311">
        <v>208</v>
      </c>
    </row>
    <row r="27" spans="1:29">
      <c r="A27" s="312" t="s">
        <v>501</v>
      </c>
      <c r="B27" s="313">
        <v>2</v>
      </c>
      <c r="C27" s="313" t="s">
        <v>417</v>
      </c>
      <c r="D27" s="313" t="s">
        <v>468</v>
      </c>
      <c r="E27" s="314">
        <v>1.5</v>
      </c>
      <c r="F27" s="315">
        <v>45202.465277777781</v>
      </c>
      <c r="G27" s="314">
        <v>1</v>
      </c>
      <c r="H27" s="314">
        <v>51.3675</v>
      </c>
      <c r="I27" s="314">
        <v>6.64506</v>
      </c>
      <c r="J27" s="314">
        <v>-13.774875</v>
      </c>
      <c r="K27" s="314">
        <v>-12.9312</v>
      </c>
      <c r="L27" s="314">
        <v>1071.27</v>
      </c>
      <c r="M27" s="314">
        <v>127.999927</v>
      </c>
      <c r="N27" s="314">
        <v>19428.5</v>
      </c>
      <c r="O27" s="314">
        <v>0</v>
      </c>
      <c r="P27" s="314">
        <v>0</v>
      </c>
      <c r="Q27" s="313" t="s">
        <v>479</v>
      </c>
      <c r="R27" s="313"/>
      <c r="S27" s="314">
        <v>15</v>
      </c>
      <c r="T27" s="314">
        <v>5</v>
      </c>
      <c r="U27" s="314">
        <v>0.7</v>
      </c>
      <c r="V27" s="314">
        <v>0.7</v>
      </c>
      <c r="W27" s="314">
        <v>0.7</v>
      </c>
      <c r="X27" s="314">
        <v>1700</v>
      </c>
      <c r="Y27" s="313" t="s">
        <v>470</v>
      </c>
      <c r="Z27" s="314">
        <v>0.85</v>
      </c>
      <c r="AA27" s="313" t="s">
        <v>471</v>
      </c>
      <c r="AB27" s="313" t="s">
        <v>472</v>
      </c>
      <c r="AC27" s="316">
        <v>207</v>
      </c>
    </row>
    <row r="28" spans="1:29">
      <c r="A28" s="307" t="s">
        <v>502</v>
      </c>
      <c r="B28" s="308">
        <v>2</v>
      </c>
      <c r="C28" s="308" t="s">
        <v>417</v>
      </c>
      <c r="D28" s="308" t="s">
        <v>468</v>
      </c>
      <c r="E28" s="309">
        <v>1.5</v>
      </c>
      <c r="F28" s="317"/>
      <c r="G28" s="309">
        <v>2</v>
      </c>
      <c r="H28" s="309">
        <v>0</v>
      </c>
      <c r="I28" s="309">
        <v>0</v>
      </c>
      <c r="J28" s="309">
        <v>0</v>
      </c>
      <c r="K28" s="309">
        <v>0</v>
      </c>
      <c r="L28" s="309">
        <v>0</v>
      </c>
      <c r="M28" s="309">
        <v>0</v>
      </c>
      <c r="N28" s="309">
        <v>0</v>
      </c>
      <c r="O28" s="309">
        <v>0</v>
      </c>
      <c r="P28" s="309">
        <v>0</v>
      </c>
      <c r="Q28" s="308" t="s">
        <v>503</v>
      </c>
      <c r="R28" s="308"/>
      <c r="S28" s="309">
        <v>15</v>
      </c>
      <c r="T28" s="309">
        <v>5</v>
      </c>
      <c r="U28" s="309">
        <v>0.7</v>
      </c>
      <c r="V28" s="309">
        <v>0.7</v>
      </c>
      <c r="W28" s="309">
        <v>0.7</v>
      </c>
      <c r="X28" s="309">
        <v>1700</v>
      </c>
      <c r="Y28" s="308"/>
      <c r="Z28" s="308"/>
      <c r="AA28" s="308" t="s">
        <v>471</v>
      </c>
      <c r="AB28" s="308" t="s">
        <v>472</v>
      </c>
      <c r="AC28" s="311">
        <v>207</v>
      </c>
    </row>
    <row r="29" spans="1:29">
      <c r="A29" s="312" t="s">
        <v>504</v>
      </c>
      <c r="B29" s="313" t="s">
        <v>478</v>
      </c>
      <c r="C29" s="313" t="s">
        <v>417</v>
      </c>
      <c r="D29" s="313" t="s">
        <v>468</v>
      </c>
      <c r="E29" s="314">
        <v>1.2</v>
      </c>
      <c r="F29" s="315">
        <v>45202.470138888886</v>
      </c>
      <c r="G29" s="314">
        <v>1</v>
      </c>
      <c r="H29" s="314">
        <v>51.377400000000002</v>
      </c>
      <c r="I29" s="314">
        <v>6.6576899999999997</v>
      </c>
      <c r="J29" s="314">
        <v>-13.797631000000001</v>
      </c>
      <c r="K29" s="314">
        <v>-12.956244</v>
      </c>
      <c r="L29" s="314">
        <v>1085.24</v>
      </c>
      <c r="M29" s="314">
        <v>115.000275</v>
      </c>
      <c r="N29" s="314">
        <v>15827.29</v>
      </c>
      <c r="O29" s="314">
        <v>0</v>
      </c>
      <c r="P29" s="314">
        <v>2074.0500000000002</v>
      </c>
      <c r="Q29" s="313" t="s">
        <v>479</v>
      </c>
      <c r="R29" s="313"/>
      <c r="S29" s="314">
        <v>15</v>
      </c>
      <c r="T29" s="314">
        <v>5</v>
      </c>
      <c r="U29" s="314">
        <v>0.7</v>
      </c>
      <c r="V29" s="314">
        <v>0.7</v>
      </c>
      <c r="W29" s="314">
        <v>0.7</v>
      </c>
      <c r="X29" s="314">
        <v>1700</v>
      </c>
      <c r="Y29" s="313" t="s">
        <v>470</v>
      </c>
      <c r="Z29" s="314">
        <v>0.85</v>
      </c>
      <c r="AA29" s="313" t="s">
        <v>471</v>
      </c>
      <c r="AB29" s="313" t="s">
        <v>472</v>
      </c>
      <c r="AC29" s="316">
        <v>202</v>
      </c>
    </row>
    <row r="30" spans="1:29">
      <c r="A30" s="307" t="s">
        <v>505</v>
      </c>
      <c r="B30" s="308" t="s">
        <v>478</v>
      </c>
      <c r="C30" s="308" t="s">
        <v>417</v>
      </c>
      <c r="D30" s="308" t="s">
        <v>468</v>
      </c>
      <c r="E30" s="309">
        <v>1.2</v>
      </c>
      <c r="F30" s="310">
        <v>45202.473611111112</v>
      </c>
      <c r="G30" s="309">
        <v>1</v>
      </c>
      <c r="H30" s="309">
        <v>51.374099999999999</v>
      </c>
      <c r="I30" s="309">
        <v>6.5415400000000004</v>
      </c>
      <c r="J30" s="309">
        <v>-13.639644000000001</v>
      </c>
      <c r="K30" s="309">
        <v>-12.796362999999999</v>
      </c>
      <c r="L30" s="309">
        <v>1093.6500000000001</v>
      </c>
      <c r="M30" s="309">
        <v>112.002129</v>
      </c>
      <c r="N30" s="309">
        <v>16047.05</v>
      </c>
      <c r="O30" s="309">
        <v>0</v>
      </c>
      <c r="P30" s="309">
        <v>2074.0500000000002</v>
      </c>
      <c r="Q30" s="308" t="s">
        <v>479</v>
      </c>
      <c r="R30" s="308"/>
      <c r="S30" s="309">
        <v>15</v>
      </c>
      <c r="T30" s="309">
        <v>5</v>
      </c>
      <c r="U30" s="309">
        <v>0.7</v>
      </c>
      <c r="V30" s="309">
        <v>0.7</v>
      </c>
      <c r="W30" s="309">
        <v>0.7</v>
      </c>
      <c r="X30" s="309">
        <v>1700</v>
      </c>
      <c r="Y30" s="308" t="s">
        <v>470</v>
      </c>
      <c r="Z30" s="309">
        <v>0.85</v>
      </c>
      <c r="AA30" s="308" t="s">
        <v>471</v>
      </c>
      <c r="AB30" s="308" t="s">
        <v>472</v>
      </c>
      <c r="AC30" s="311">
        <v>200</v>
      </c>
    </row>
    <row r="31" spans="1:29">
      <c r="A31" s="312" t="s">
        <v>506</v>
      </c>
      <c r="B31" s="313" t="s">
        <v>478</v>
      </c>
      <c r="C31" s="313" t="s">
        <v>417</v>
      </c>
      <c r="D31" s="313" t="s">
        <v>468</v>
      </c>
      <c r="E31" s="314">
        <v>1.2</v>
      </c>
      <c r="F31" s="315">
        <v>45202.477083333331</v>
      </c>
      <c r="G31" s="314">
        <v>1</v>
      </c>
      <c r="H31" s="314">
        <v>51.374099999999999</v>
      </c>
      <c r="I31" s="314">
        <v>6.4927799999999998</v>
      </c>
      <c r="J31" s="314">
        <v>-13.715463</v>
      </c>
      <c r="K31" s="314">
        <v>-12.881494</v>
      </c>
      <c r="L31" s="314">
        <v>1094.02</v>
      </c>
      <c r="M31" s="314">
        <v>121.49945</v>
      </c>
      <c r="N31" s="314">
        <v>16118.08</v>
      </c>
      <c r="O31" s="314">
        <v>0</v>
      </c>
      <c r="P31" s="314">
        <v>2074.0500000000002</v>
      </c>
      <c r="Q31" s="313" t="s">
        <v>479</v>
      </c>
      <c r="R31" s="313"/>
      <c r="S31" s="314">
        <v>15</v>
      </c>
      <c r="T31" s="314">
        <v>5</v>
      </c>
      <c r="U31" s="314">
        <v>0.7</v>
      </c>
      <c r="V31" s="314">
        <v>0.7</v>
      </c>
      <c r="W31" s="314">
        <v>0.7</v>
      </c>
      <c r="X31" s="314">
        <v>1700</v>
      </c>
      <c r="Y31" s="313" t="s">
        <v>470</v>
      </c>
      <c r="Z31" s="314">
        <v>0.85</v>
      </c>
      <c r="AA31" s="313" t="s">
        <v>471</v>
      </c>
      <c r="AB31" s="313" t="s">
        <v>472</v>
      </c>
      <c r="AC31" s="316">
        <v>199</v>
      </c>
    </row>
    <row r="32" spans="1:29">
      <c r="A32" s="307" t="s">
        <v>507</v>
      </c>
      <c r="B32" s="308" t="s">
        <v>478</v>
      </c>
      <c r="C32" s="308" t="s">
        <v>417</v>
      </c>
      <c r="D32" s="308" t="s">
        <v>468</v>
      </c>
      <c r="E32" s="309">
        <v>1.2</v>
      </c>
      <c r="F32" s="310">
        <v>45202.480555555558</v>
      </c>
      <c r="G32" s="309">
        <v>1</v>
      </c>
      <c r="H32" s="309">
        <v>51.374099999999999</v>
      </c>
      <c r="I32" s="309">
        <v>6.4293100000000001</v>
      </c>
      <c r="J32" s="309">
        <v>-13.717112999999999</v>
      </c>
      <c r="K32" s="309">
        <v>-12.867825</v>
      </c>
      <c r="L32" s="309">
        <v>1097.3800000000001</v>
      </c>
      <c r="M32" s="309">
        <v>110.50035</v>
      </c>
      <c r="N32" s="309">
        <v>16138.59</v>
      </c>
      <c r="O32" s="309">
        <v>0</v>
      </c>
      <c r="P32" s="309">
        <v>2074.0500000000002</v>
      </c>
      <c r="Q32" s="308" t="s">
        <v>479</v>
      </c>
      <c r="R32" s="308"/>
      <c r="S32" s="309">
        <v>15</v>
      </c>
      <c r="T32" s="309">
        <v>5</v>
      </c>
      <c r="U32" s="309">
        <v>0.7</v>
      </c>
      <c r="V32" s="309">
        <v>0.7</v>
      </c>
      <c r="W32" s="309">
        <v>0.7</v>
      </c>
      <c r="X32" s="309">
        <v>1700</v>
      </c>
      <c r="Y32" s="308" t="s">
        <v>470</v>
      </c>
      <c r="Z32" s="309">
        <v>0.85</v>
      </c>
      <c r="AA32" s="308" t="s">
        <v>471</v>
      </c>
      <c r="AB32" s="308" t="s">
        <v>472</v>
      </c>
      <c r="AC32" s="311">
        <v>198</v>
      </c>
    </row>
    <row r="33" spans="1:29">
      <c r="A33" s="312" t="s">
        <v>508</v>
      </c>
      <c r="B33" s="313" t="s">
        <v>478</v>
      </c>
      <c r="C33" s="313" t="s">
        <v>417</v>
      </c>
      <c r="D33" s="313" t="s">
        <v>468</v>
      </c>
      <c r="E33" s="314">
        <v>1.2</v>
      </c>
      <c r="F33" s="315">
        <v>45202.484027777777</v>
      </c>
      <c r="G33" s="314">
        <v>1</v>
      </c>
      <c r="H33" s="314">
        <v>51.374099999999999</v>
      </c>
      <c r="I33" s="314">
        <v>6.4134500000000001</v>
      </c>
      <c r="J33" s="314">
        <v>-13.718438000000001</v>
      </c>
      <c r="K33" s="314">
        <v>-12.876725</v>
      </c>
      <c r="L33" s="314">
        <v>1142.04</v>
      </c>
      <c r="M33" s="314">
        <v>124.000291</v>
      </c>
      <c r="N33" s="314">
        <v>16435.310000000001</v>
      </c>
      <c r="O33" s="314">
        <v>0</v>
      </c>
      <c r="P33" s="314">
        <v>2074.0500000000002</v>
      </c>
      <c r="Q33" s="313" t="s">
        <v>479</v>
      </c>
      <c r="R33" s="313"/>
      <c r="S33" s="314">
        <v>15</v>
      </c>
      <c r="T33" s="314">
        <v>5</v>
      </c>
      <c r="U33" s="314">
        <v>0.7</v>
      </c>
      <c r="V33" s="314">
        <v>0.7</v>
      </c>
      <c r="W33" s="314">
        <v>0.7</v>
      </c>
      <c r="X33" s="314">
        <v>1700</v>
      </c>
      <c r="Y33" s="313" t="s">
        <v>470</v>
      </c>
      <c r="Z33" s="314">
        <v>0.85</v>
      </c>
      <c r="AA33" s="313" t="s">
        <v>471</v>
      </c>
      <c r="AB33" s="313" t="s">
        <v>472</v>
      </c>
      <c r="AC33" s="316">
        <v>196</v>
      </c>
    </row>
    <row r="34" spans="1:29">
      <c r="A34" s="307" t="s">
        <v>509</v>
      </c>
      <c r="B34" s="308" t="s">
        <v>478</v>
      </c>
      <c r="C34" s="308" t="s">
        <v>417</v>
      </c>
      <c r="D34" s="308" t="s">
        <v>468</v>
      </c>
      <c r="E34" s="309">
        <v>1.2</v>
      </c>
      <c r="F34" s="310">
        <v>45202.487500000003</v>
      </c>
      <c r="G34" s="309">
        <v>2</v>
      </c>
      <c r="H34" s="309">
        <v>51.374099999999999</v>
      </c>
      <c r="I34" s="309">
        <v>6.4328200000000004</v>
      </c>
      <c r="J34" s="309">
        <v>-13.732938000000001</v>
      </c>
      <c r="K34" s="309">
        <v>-12.891538000000001</v>
      </c>
      <c r="L34" s="309">
        <v>1118.6500000000001</v>
      </c>
      <c r="M34" s="309">
        <v>127.501232</v>
      </c>
      <c r="N34" s="309">
        <v>16706.919999999998</v>
      </c>
      <c r="O34" s="309">
        <v>0</v>
      </c>
      <c r="P34" s="309">
        <v>2074.0500000000002</v>
      </c>
      <c r="Q34" s="308" t="s">
        <v>479</v>
      </c>
      <c r="R34" s="308"/>
      <c r="S34" s="309">
        <v>15</v>
      </c>
      <c r="T34" s="309">
        <v>5</v>
      </c>
      <c r="U34" s="309">
        <v>0.7</v>
      </c>
      <c r="V34" s="309">
        <v>0.7</v>
      </c>
      <c r="W34" s="309">
        <v>0.7</v>
      </c>
      <c r="X34" s="309">
        <v>1700</v>
      </c>
      <c r="Y34" s="308" t="s">
        <v>470</v>
      </c>
      <c r="Z34" s="309">
        <v>0.85</v>
      </c>
      <c r="AA34" s="308" t="s">
        <v>471</v>
      </c>
      <c r="AB34" s="308" t="s">
        <v>472</v>
      </c>
      <c r="AC34" s="311">
        <v>193</v>
      </c>
    </row>
    <row r="35" spans="1:29">
      <c r="A35" s="312" t="s">
        <v>510</v>
      </c>
      <c r="B35" s="313" t="s">
        <v>478</v>
      </c>
      <c r="C35" s="313" t="s">
        <v>417</v>
      </c>
      <c r="D35" s="313" t="s">
        <v>468</v>
      </c>
      <c r="E35" s="314">
        <v>1.2</v>
      </c>
      <c r="F35" s="315">
        <v>45202.490972222222</v>
      </c>
      <c r="G35" s="314">
        <v>2</v>
      </c>
      <c r="H35" s="314">
        <v>51.370800000000003</v>
      </c>
      <c r="I35" s="314">
        <v>6.3837700000000002</v>
      </c>
      <c r="J35" s="314">
        <v>-13.631656</v>
      </c>
      <c r="K35" s="314">
        <v>-12.782469000000001</v>
      </c>
      <c r="L35" s="314">
        <v>1191.3800000000001</v>
      </c>
      <c r="M35" s="314">
        <v>122.999859</v>
      </c>
      <c r="N35" s="314">
        <v>17323.64</v>
      </c>
      <c r="O35" s="314">
        <v>0</v>
      </c>
      <c r="P35" s="314">
        <v>2074.0500000000002</v>
      </c>
      <c r="Q35" s="313" t="s">
        <v>479</v>
      </c>
      <c r="R35" s="313"/>
      <c r="S35" s="314">
        <v>15</v>
      </c>
      <c r="T35" s="314">
        <v>5</v>
      </c>
      <c r="U35" s="314">
        <v>0.7</v>
      </c>
      <c r="V35" s="314">
        <v>0.7</v>
      </c>
      <c r="W35" s="314">
        <v>0.7</v>
      </c>
      <c r="X35" s="314">
        <v>1700</v>
      </c>
      <c r="Y35" s="313" t="s">
        <v>470</v>
      </c>
      <c r="Z35" s="314">
        <v>0.85</v>
      </c>
      <c r="AA35" s="313" t="s">
        <v>471</v>
      </c>
      <c r="AB35" s="313" t="s">
        <v>472</v>
      </c>
      <c r="AC35" s="316">
        <v>186</v>
      </c>
    </row>
    <row r="36" spans="1:29">
      <c r="A36" s="307" t="s">
        <v>511</v>
      </c>
      <c r="B36" s="308" t="s">
        <v>478</v>
      </c>
      <c r="C36" s="308" t="s">
        <v>417</v>
      </c>
      <c r="D36" s="308" t="s">
        <v>468</v>
      </c>
      <c r="E36" s="309">
        <v>1.2</v>
      </c>
      <c r="F36" s="310">
        <v>45202.494444444441</v>
      </c>
      <c r="G36" s="309">
        <v>2</v>
      </c>
      <c r="H36" s="309">
        <v>51.374099999999999</v>
      </c>
      <c r="I36" s="309">
        <v>6.3025099999999998</v>
      </c>
      <c r="J36" s="309">
        <v>-13.612038</v>
      </c>
      <c r="K36" s="309">
        <v>-12.766806000000001</v>
      </c>
      <c r="L36" s="309">
        <v>1229.24</v>
      </c>
      <c r="M36" s="309">
        <v>140.000418</v>
      </c>
      <c r="N36" s="309">
        <v>18065.71</v>
      </c>
      <c r="O36" s="309">
        <v>0</v>
      </c>
      <c r="P36" s="309">
        <v>2074.0500000000002</v>
      </c>
      <c r="Q36" s="308" t="s">
        <v>479</v>
      </c>
      <c r="R36" s="308"/>
      <c r="S36" s="309">
        <v>15</v>
      </c>
      <c r="T36" s="309">
        <v>5</v>
      </c>
      <c r="U36" s="309">
        <v>0.7</v>
      </c>
      <c r="V36" s="309">
        <v>0.7</v>
      </c>
      <c r="W36" s="309">
        <v>0.7</v>
      </c>
      <c r="X36" s="309">
        <v>1700</v>
      </c>
      <c r="Y36" s="308" t="s">
        <v>470</v>
      </c>
      <c r="Z36" s="309">
        <v>0.85</v>
      </c>
      <c r="AA36" s="308" t="s">
        <v>471</v>
      </c>
      <c r="AB36" s="308" t="s">
        <v>472</v>
      </c>
      <c r="AC36" s="311">
        <v>180</v>
      </c>
    </row>
    <row r="37" spans="1:29">
      <c r="A37" s="312" t="s">
        <v>512</v>
      </c>
      <c r="B37" s="313" t="s">
        <v>478</v>
      </c>
      <c r="C37" s="313" t="s">
        <v>417</v>
      </c>
      <c r="D37" s="313" t="s">
        <v>468</v>
      </c>
      <c r="E37" s="314">
        <v>1.2</v>
      </c>
      <c r="F37" s="315">
        <v>45202.498611111114</v>
      </c>
      <c r="G37" s="314">
        <v>2</v>
      </c>
      <c r="H37" s="314">
        <v>51.370800000000003</v>
      </c>
      <c r="I37" s="314">
        <v>6.29847</v>
      </c>
      <c r="J37" s="314">
        <v>-13.722975</v>
      </c>
      <c r="K37" s="314">
        <v>-12.893362</v>
      </c>
      <c r="L37" s="314">
        <v>1210.21</v>
      </c>
      <c r="M37" s="314">
        <v>142.000595</v>
      </c>
      <c r="N37" s="314">
        <v>17750.43</v>
      </c>
      <c r="O37" s="314">
        <v>0</v>
      </c>
      <c r="P37" s="314">
        <v>2074.0500000000002</v>
      </c>
      <c r="Q37" s="313" t="s">
        <v>479</v>
      </c>
      <c r="R37" s="313"/>
      <c r="S37" s="314">
        <v>15</v>
      </c>
      <c r="T37" s="314">
        <v>5</v>
      </c>
      <c r="U37" s="314">
        <v>0.7</v>
      </c>
      <c r="V37" s="314">
        <v>0.7</v>
      </c>
      <c r="W37" s="314">
        <v>0.7</v>
      </c>
      <c r="X37" s="314">
        <v>1700</v>
      </c>
      <c r="Y37" s="313" t="s">
        <v>470</v>
      </c>
      <c r="Z37" s="314">
        <v>0.85</v>
      </c>
      <c r="AA37" s="313" t="s">
        <v>471</v>
      </c>
      <c r="AB37" s="313" t="s">
        <v>472</v>
      </c>
      <c r="AC37" s="316">
        <v>182</v>
      </c>
    </row>
    <row r="38" spans="1:29">
      <c r="A38" s="307" t="s">
        <v>513</v>
      </c>
      <c r="B38" s="308" t="s">
        <v>478</v>
      </c>
      <c r="C38" s="308" t="s">
        <v>417</v>
      </c>
      <c r="D38" s="308" t="s">
        <v>468</v>
      </c>
      <c r="E38" s="309">
        <v>1.2</v>
      </c>
      <c r="F38" s="310">
        <v>45202.502083333333</v>
      </c>
      <c r="G38" s="309">
        <v>2</v>
      </c>
      <c r="H38" s="309">
        <v>51.370800000000003</v>
      </c>
      <c r="I38" s="309">
        <v>6.2736099999999997</v>
      </c>
      <c r="J38" s="309">
        <v>-13.524305999999999</v>
      </c>
      <c r="K38" s="309">
        <v>-12.685181</v>
      </c>
      <c r="L38" s="309">
        <v>1205.03</v>
      </c>
      <c r="M38" s="309">
        <v>143.49996899999999</v>
      </c>
      <c r="N38" s="309">
        <v>17852.05</v>
      </c>
      <c r="O38" s="309">
        <v>0</v>
      </c>
      <c r="P38" s="309">
        <v>2074.0500000000002</v>
      </c>
      <c r="Q38" s="308" t="s">
        <v>479</v>
      </c>
      <c r="R38" s="308"/>
      <c r="S38" s="309">
        <v>15</v>
      </c>
      <c r="T38" s="309">
        <v>5</v>
      </c>
      <c r="U38" s="309">
        <v>0.7</v>
      </c>
      <c r="V38" s="309">
        <v>0.7</v>
      </c>
      <c r="W38" s="309">
        <v>0.7</v>
      </c>
      <c r="X38" s="309">
        <v>1700</v>
      </c>
      <c r="Y38" s="308" t="s">
        <v>470</v>
      </c>
      <c r="Z38" s="309">
        <v>0.85</v>
      </c>
      <c r="AA38" s="308" t="s">
        <v>471</v>
      </c>
      <c r="AB38" s="308" t="s">
        <v>472</v>
      </c>
      <c r="AC38" s="311">
        <v>181</v>
      </c>
    </row>
    <row r="39" spans="1:29">
      <c r="A39" s="312" t="s">
        <v>514</v>
      </c>
      <c r="B39" s="313" t="s">
        <v>490</v>
      </c>
      <c r="C39" s="313" t="s">
        <v>417</v>
      </c>
      <c r="D39" s="313" t="s">
        <v>468</v>
      </c>
      <c r="E39" s="314">
        <v>1.5</v>
      </c>
      <c r="F39" s="315">
        <v>45202.506249999999</v>
      </c>
      <c r="G39" s="314">
        <v>1</v>
      </c>
      <c r="H39" s="314">
        <v>51.374099999999999</v>
      </c>
      <c r="I39" s="314">
        <v>6.37202</v>
      </c>
      <c r="J39" s="314">
        <v>-13.497188</v>
      </c>
      <c r="K39" s="314">
        <v>-12.649269</v>
      </c>
      <c r="L39" s="314">
        <v>1291.1199999999999</v>
      </c>
      <c r="M39" s="314">
        <v>150.000505</v>
      </c>
      <c r="N39" s="314">
        <v>22740.26</v>
      </c>
      <c r="O39" s="314">
        <v>0</v>
      </c>
      <c r="P39" s="314">
        <v>2074.0500000000002</v>
      </c>
      <c r="Q39" s="313" t="s">
        <v>479</v>
      </c>
      <c r="R39" s="313"/>
      <c r="S39" s="314">
        <v>15</v>
      </c>
      <c r="T39" s="314">
        <v>5</v>
      </c>
      <c r="U39" s="314">
        <v>0.7</v>
      </c>
      <c r="V39" s="314">
        <v>0.7</v>
      </c>
      <c r="W39" s="314">
        <v>0.7</v>
      </c>
      <c r="X39" s="314">
        <v>1700</v>
      </c>
      <c r="Y39" s="313" t="s">
        <v>470</v>
      </c>
      <c r="Z39" s="314">
        <v>0.85</v>
      </c>
      <c r="AA39" s="313" t="s">
        <v>471</v>
      </c>
      <c r="AB39" s="313" t="s">
        <v>472</v>
      </c>
      <c r="AC39" s="316">
        <v>180</v>
      </c>
    </row>
    <row r="40" spans="1:29">
      <c r="A40" s="307" t="s">
        <v>515</v>
      </c>
      <c r="B40" s="308" t="s">
        <v>490</v>
      </c>
      <c r="C40" s="308" t="s">
        <v>417</v>
      </c>
      <c r="D40" s="308" t="s">
        <v>468</v>
      </c>
      <c r="E40" s="309">
        <v>1.5</v>
      </c>
      <c r="F40" s="310">
        <v>45202.510416666664</v>
      </c>
      <c r="G40" s="309">
        <v>1</v>
      </c>
      <c r="H40" s="309">
        <v>51.370800000000003</v>
      </c>
      <c r="I40" s="309">
        <v>6.3410500000000001</v>
      </c>
      <c r="J40" s="309">
        <v>-13.431994</v>
      </c>
      <c r="K40" s="309">
        <v>-12.610706</v>
      </c>
      <c r="L40" s="309">
        <v>1262.99</v>
      </c>
      <c r="M40" s="309">
        <v>137.999505</v>
      </c>
      <c r="N40" s="309">
        <v>22703.57</v>
      </c>
      <c r="O40" s="309">
        <v>0</v>
      </c>
      <c r="P40" s="309">
        <v>2074.0500000000002</v>
      </c>
      <c r="Q40" s="308" t="s">
        <v>479</v>
      </c>
      <c r="R40" s="308"/>
      <c r="S40" s="309">
        <v>15</v>
      </c>
      <c r="T40" s="309">
        <v>5</v>
      </c>
      <c r="U40" s="309">
        <v>0.7</v>
      </c>
      <c r="V40" s="309">
        <v>0.7</v>
      </c>
      <c r="W40" s="309">
        <v>0.7</v>
      </c>
      <c r="X40" s="309">
        <v>1700</v>
      </c>
      <c r="Y40" s="308" t="s">
        <v>470</v>
      </c>
      <c r="Z40" s="309">
        <v>0.85</v>
      </c>
      <c r="AA40" s="308" t="s">
        <v>471</v>
      </c>
      <c r="AB40" s="308" t="s">
        <v>472</v>
      </c>
      <c r="AC40" s="311">
        <v>180</v>
      </c>
    </row>
    <row r="41" spans="1:29">
      <c r="A41" s="312" t="s">
        <v>516</v>
      </c>
      <c r="B41" s="313" t="s">
        <v>490</v>
      </c>
      <c r="C41" s="313" t="s">
        <v>417</v>
      </c>
      <c r="D41" s="313" t="s">
        <v>468</v>
      </c>
      <c r="E41" s="314">
        <v>1.5</v>
      </c>
      <c r="F41" s="315">
        <v>45202.513888888891</v>
      </c>
      <c r="G41" s="314">
        <v>1</v>
      </c>
      <c r="H41" s="314">
        <v>51.370800000000003</v>
      </c>
      <c r="I41" s="314">
        <v>6.27278</v>
      </c>
      <c r="J41" s="314">
        <v>-13.650013</v>
      </c>
      <c r="K41" s="314">
        <v>-12.802887999999999</v>
      </c>
      <c r="L41" s="314">
        <v>1217.0999999999999</v>
      </c>
      <c r="M41" s="314">
        <v>146.00009700000001</v>
      </c>
      <c r="N41" s="314">
        <v>22052.74</v>
      </c>
      <c r="O41" s="314">
        <v>0</v>
      </c>
      <c r="P41" s="314">
        <v>2074.0500000000002</v>
      </c>
      <c r="Q41" s="313" t="s">
        <v>479</v>
      </c>
      <c r="R41" s="313"/>
      <c r="S41" s="314">
        <v>15</v>
      </c>
      <c r="T41" s="314">
        <v>5</v>
      </c>
      <c r="U41" s="314">
        <v>0.7</v>
      </c>
      <c r="V41" s="314">
        <v>0.7</v>
      </c>
      <c r="W41" s="314">
        <v>0.7</v>
      </c>
      <c r="X41" s="314">
        <v>1700</v>
      </c>
      <c r="Y41" s="313" t="s">
        <v>470</v>
      </c>
      <c r="Z41" s="314">
        <v>0.85</v>
      </c>
      <c r="AA41" s="313" t="s">
        <v>471</v>
      </c>
      <c r="AB41" s="313" t="s">
        <v>472</v>
      </c>
      <c r="AC41" s="316">
        <v>184</v>
      </c>
    </row>
    <row r="42" spans="1:29">
      <c r="A42" s="307" t="s">
        <v>517</v>
      </c>
      <c r="B42" s="308" t="s">
        <v>490</v>
      </c>
      <c r="C42" s="308" t="s">
        <v>417</v>
      </c>
      <c r="D42" s="308" t="s">
        <v>468</v>
      </c>
      <c r="E42" s="309">
        <v>1.5</v>
      </c>
      <c r="F42" s="310">
        <v>45202.518055555556</v>
      </c>
      <c r="G42" s="309">
        <v>1</v>
      </c>
      <c r="H42" s="309">
        <v>51.370800000000003</v>
      </c>
      <c r="I42" s="309">
        <v>6.2538499999999999</v>
      </c>
      <c r="J42" s="309">
        <v>-13.582856</v>
      </c>
      <c r="K42" s="309">
        <v>-12.756656</v>
      </c>
      <c r="L42" s="309">
        <v>1254.3399999999999</v>
      </c>
      <c r="M42" s="309">
        <v>146.00028900000001</v>
      </c>
      <c r="N42" s="309">
        <v>22424.13</v>
      </c>
      <c r="O42" s="309">
        <v>0</v>
      </c>
      <c r="P42" s="309">
        <v>2074.0500000000002</v>
      </c>
      <c r="Q42" s="308" t="s">
        <v>479</v>
      </c>
      <c r="R42" s="308"/>
      <c r="S42" s="309">
        <v>15</v>
      </c>
      <c r="T42" s="309">
        <v>5</v>
      </c>
      <c r="U42" s="309">
        <v>0.7</v>
      </c>
      <c r="V42" s="309">
        <v>0.7</v>
      </c>
      <c r="W42" s="309">
        <v>0.7</v>
      </c>
      <c r="X42" s="309">
        <v>1700</v>
      </c>
      <c r="Y42" s="308" t="s">
        <v>470</v>
      </c>
      <c r="Z42" s="309">
        <v>0.85</v>
      </c>
      <c r="AA42" s="308" t="s">
        <v>471</v>
      </c>
      <c r="AB42" s="308" t="s">
        <v>472</v>
      </c>
      <c r="AC42" s="311">
        <v>182</v>
      </c>
    </row>
    <row r="43" spans="1:29">
      <c r="A43" s="312" t="s">
        <v>518</v>
      </c>
      <c r="B43" s="313" t="s">
        <v>490</v>
      </c>
      <c r="C43" s="313" t="s">
        <v>417</v>
      </c>
      <c r="D43" s="313" t="s">
        <v>468</v>
      </c>
      <c r="E43" s="314">
        <v>1.5</v>
      </c>
      <c r="F43" s="315">
        <v>45202.521527777775</v>
      </c>
      <c r="G43" s="314">
        <v>1</v>
      </c>
      <c r="H43" s="314">
        <v>51.3675</v>
      </c>
      <c r="I43" s="314">
        <v>6.26694</v>
      </c>
      <c r="J43" s="314">
        <v>-13.549731</v>
      </c>
      <c r="K43" s="314">
        <v>-12.720094</v>
      </c>
      <c r="L43" s="314">
        <v>1251.5899999999999</v>
      </c>
      <c r="M43" s="314">
        <v>153.00212099999999</v>
      </c>
      <c r="N43" s="314">
        <v>22637.26</v>
      </c>
      <c r="O43" s="314">
        <v>0</v>
      </c>
      <c r="P43" s="314">
        <v>2074.0500000000002</v>
      </c>
      <c r="Q43" s="313" t="s">
        <v>479</v>
      </c>
      <c r="R43" s="313"/>
      <c r="S43" s="314">
        <v>15</v>
      </c>
      <c r="T43" s="314">
        <v>5</v>
      </c>
      <c r="U43" s="314">
        <v>0.7</v>
      </c>
      <c r="V43" s="314">
        <v>0.7</v>
      </c>
      <c r="W43" s="314">
        <v>0.7</v>
      </c>
      <c r="X43" s="314">
        <v>1700</v>
      </c>
      <c r="Y43" s="313" t="s">
        <v>470</v>
      </c>
      <c r="Z43" s="314">
        <v>0.85</v>
      </c>
      <c r="AA43" s="313" t="s">
        <v>471</v>
      </c>
      <c r="AB43" s="313" t="s">
        <v>472</v>
      </c>
      <c r="AC43" s="316">
        <v>180</v>
      </c>
    </row>
    <row r="44" spans="1:29">
      <c r="A44" s="307" t="s">
        <v>519</v>
      </c>
      <c r="B44" s="308" t="s">
        <v>490</v>
      </c>
      <c r="C44" s="308" t="s">
        <v>417</v>
      </c>
      <c r="D44" s="308" t="s">
        <v>468</v>
      </c>
      <c r="E44" s="309">
        <v>1.5</v>
      </c>
      <c r="F44" s="310">
        <v>45202.525694444441</v>
      </c>
      <c r="G44" s="309">
        <v>2</v>
      </c>
      <c r="H44" s="309">
        <v>51.374099999999999</v>
      </c>
      <c r="I44" s="309">
        <v>6.2862999999999998</v>
      </c>
      <c r="J44" s="309">
        <v>-13.551724999999999</v>
      </c>
      <c r="K44" s="309">
        <v>-12.715400000000001</v>
      </c>
      <c r="L44" s="309">
        <v>1265.22</v>
      </c>
      <c r="M44" s="309">
        <v>142.00049799999999</v>
      </c>
      <c r="N44" s="309">
        <v>22500.18</v>
      </c>
      <c r="O44" s="309">
        <v>0</v>
      </c>
      <c r="P44" s="309">
        <v>2074.0500000000002</v>
      </c>
      <c r="Q44" s="308" t="s">
        <v>479</v>
      </c>
      <c r="R44" s="308"/>
      <c r="S44" s="309">
        <v>15</v>
      </c>
      <c r="T44" s="309">
        <v>5</v>
      </c>
      <c r="U44" s="309">
        <v>0.7</v>
      </c>
      <c r="V44" s="309">
        <v>0.7</v>
      </c>
      <c r="W44" s="309">
        <v>0.7</v>
      </c>
      <c r="X44" s="309">
        <v>1700</v>
      </c>
      <c r="Y44" s="308" t="s">
        <v>470</v>
      </c>
      <c r="Z44" s="309">
        <v>0.85</v>
      </c>
      <c r="AA44" s="308" t="s">
        <v>471</v>
      </c>
      <c r="AB44" s="308" t="s">
        <v>472</v>
      </c>
      <c r="AC44" s="311">
        <v>181</v>
      </c>
    </row>
    <row r="45" spans="1:29">
      <c r="A45" s="312" t="s">
        <v>520</v>
      </c>
      <c r="B45" s="313" t="s">
        <v>490</v>
      </c>
      <c r="C45" s="313" t="s">
        <v>417</v>
      </c>
      <c r="D45" s="313" t="s">
        <v>468</v>
      </c>
      <c r="E45" s="314">
        <v>1.5</v>
      </c>
      <c r="F45" s="315">
        <v>45202.529166666667</v>
      </c>
      <c r="G45" s="314">
        <v>2</v>
      </c>
      <c r="H45" s="314">
        <v>51.3675</v>
      </c>
      <c r="I45" s="314">
        <v>6.2552399999999997</v>
      </c>
      <c r="J45" s="314">
        <v>-13.581256</v>
      </c>
      <c r="K45" s="314">
        <v>-12.744225</v>
      </c>
      <c r="L45" s="314">
        <v>1255.95</v>
      </c>
      <c r="M45" s="314">
        <v>143.50008500000001</v>
      </c>
      <c r="N45" s="314">
        <v>22594.2</v>
      </c>
      <c r="O45" s="314">
        <v>0</v>
      </c>
      <c r="P45" s="314">
        <v>2074.0500000000002</v>
      </c>
      <c r="Q45" s="313" t="s">
        <v>479</v>
      </c>
      <c r="R45" s="313"/>
      <c r="S45" s="314">
        <v>15</v>
      </c>
      <c r="T45" s="314">
        <v>5</v>
      </c>
      <c r="U45" s="314">
        <v>0.7</v>
      </c>
      <c r="V45" s="314">
        <v>0.7</v>
      </c>
      <c r="W45" s="314">
        <v>0.7</v>
      </c>
      <c r="X45" s="314">
        <v>1700</v>
      </c>
      <c r="Y45" s="313" t="s">
        <v>470</v>
      </c>
      <c r="Z45" s="314">
        <v>0.85</v>
      </c>
      <c r="AA45" s="313" t="s">
        <v>471</v>
      </c>
      <c r="AB45" s="313" t="s">
        <v>472</v>
      </c>
      <c r="AC45" s="316">
        <v>179</v>
      </c>
    </row>
    <row r="46" spans="1:29">
      <c r="A46" s="307" t="s">
        <v>521</v>
      </c>
      <c r="B46" s="308" t="s">
        <v>490</v>
      </c>
      <c r="C46" s="308" t="s">
        <v>417</v>
      </c>
      <c r="D46" s="308" t="s">
        <v>468</v>
      </c>
      <c r="E46" s="309">
        <v>1.5</v>
      </c>
      <c r="F46" s="310">
        <v>45202.533333333333</v>
      </c>
      <c r="G46" s="309">
        <v>2</v>
      </c>
      <c r="H46" s="309">
        <v>51.370800000000003</v>
      </c>
      <c r="I46" s="309">
        <v>6.2395399999999999</v>
      </c>
      <c r="J46" s="309">
        <v>-13.455249999999999</v>
      </c>
      <c r="K46" s="309">
        <v>-12.607275</v>
      </c>
      <c r="L46" s="309">
        <v>1311.77</v>
      </c>
      <c r="M46" s="309">
        <v>157.50091</v>
      </c>
      <c r="N46" s="309">
        <v>23671.200000000001</v>
      </c>
      <c r="O46" s="309">
        <v>0</v>
      </c>
      <c r="P46" s="309">
        <v>2074.0500000000002</v>
      </c>
      <c r="Q46" s="308" t="s">
        <v>479</v>
      </c>
      <c r="R46" s="308"/>
      <c r="S46" s="309">
        <v>15</v>
      </c>
      <c r="T46" s="309">
        <v>5</v>
      </c>
      <c r="U46" s="309">
        <v>0.7</v>
      </c>
      <c r="V46" s="309">
        <v>0.7</v>
      </c>
      <c r="W46" s="309">
        <v>0.7</v>
      </c>
      <c r="X46" s="309">
        <v>1700</v>
      </c>
      <c r="Y46" s="308" t="s">
        <v>470</v>
      </c>
      <c r="Z46" s="309">
        <v>0.85</v>
      </c>
      <c r="AA46" s="308" t="s">
        <v>471</v>
      </c>
      <c r="AB46" s="308" t="s">
        <v>472</v>
      </c>
      <c r="AC46" s="311">
        <v>173</v>
      </c>
    </row>
    <row r="47" spans="1:29">
      <c r="A47" s="312" t="s">
        <v>522</v>
      </c>
      <c r="B47" s="313" t="s">
        <v>490</v>
      </c>
      <c r="C47" s="313" t="s">
        <v>417</v>
      </c>
      <c r="D47" s="313" t="s">
        <v>468</v>
      </c>
      <c r="E47" s="314">
        <v>1.5</v>
      </c>
      <c r="F47" s="315">
        <v>45202.537499999999</v>
      </c>
      <c r="G47" s="314">
        <v>2</v>
      </c>
      <c r="H47" s="314">
        <v>51.374099999999999</v>
      </c>
      <c r="I47" s="314">
        <v>6.1360299999999999</v>
      </c>
      <c r="J47" s="314">
        <v>-13.476019000000001</v>
      </c>
      <c r="K47" s="314">
        <v>-12.636231</v>
      </c>
      <c r="L47" s="314">
        <v>1305.43</v>
      </c>
      <c r="M47" s="314">
        <v>155.99919800000001</v>
      </c>
      <c r="N47" s="314">
        <v>23859.89</v>
      </c>
      <c r="O47" s="314">
        <v>0</v>
      </c>
      <c r="P47" s="314">
        <v>2074.0500000000002</v>
      </c>
      <c r="Q47" s="313" t="s">
        <v>479</v>
      </c>
      <c r="R47" s="313"/>
      <c r="S47" s="314">
        <v>15</v>
      </c>
      <c r="T47" s="314">
        <v>5</v>
      </c>
      <c r="U47" s="314">
        <v>0.7</v>
      </c>
      <c r="V47" s="314">
        <v>0.7</v>
      </c>
      <c r="W47" s="314">
        <v>0.7</v>
      </c>
      <c r="X47" s="314">
        <v>1700</v>
      </c>
      <c r="Y47" s="313" t="s">
        <v>470</v>
      </c>
      <c r="Z47" s="314">
        <v>0.85</v>
      </c>
      <c r="AA47" s="313" t="s">
        <v>471</v>
      </c>
      <c r="AB47" s="313" t="s">
        <v>472</v>
      </c>
      <c r="AC47" s="316">
        <v>172</v>
      </c>
    </row>
    <row r="48" spans="1:29">
      <c r="A48" s="307" t="s">
        <v>523</v>
      </c>
      <c r="B48" s="308" t="s">
        <v>490</v>
      </c>
      <c r="C48" s="308" t="s">
        <v>417</v>
      </c>
      <c r="D48" s="308" t="s">
        <v>468</v>
      </c>
      <c r="E48" s="309">
        <v>1.5</v>
      </c>
      <c r="F48" s="310">
        <v>45202.540972222225</v>
      </c>
      <c r="G48" s="309">
        <v>2</v>
      </c>
      <c r="H48" s="309">
        <v>51.374099999999999</v>
      </c>
      <c r="I48" s="309">
        <v>6.1711299999999998</v>
      </c>
      <c r="J48" s="309">
        <v>-13.506500000000001</v>
      </c>
      <c r="K48" s="309">
        <v>-12.658419</v>
      </c>
      <c r="L48" s="309">
        <v>1335.93</v>
      </c>
      <c r="M48" s="309">
        <v>158.499955</v>
      </c>
      <c r="N48" s="309">
        <v>23819.02</v>
      </c>
      <c r="O48" s="309">
        <v>0</v>
      </c>
      <c r="P48" s="309">
        <v>2074.0500000000002</v>
      </c>
      <c r="Q48" s="308" t="s">
        <v>479</v>
      </c>
      <c r="R48" s="308"/>
      <c r="S48" s="309">
        <v>15</v>
      </c>
      <c r="T48" s="309">
        <v>5</v>
      </c>
      <c r="U48" s="309">
        <v>0.7</v>
      </c>
      <c r="V48" s="309">
        <v>0.7</v>
      </c>
      <c r="W48" s="309">
        <v>0.7</v>
      </c>
      <c r="X48" s="309">
        <v>1700</v>
      </c>
      <c r="Y48" s="308" t="s">
        <v>470</v>
      </c>
      <c r="Z48" s="309">
        <v>0.85</v>
      </c>
      <c r="AA48" s="308" t="s">
        <v>471</v>
      </c>
      <c r="AB48" s="308" t="s">
        <v>472</v>
      </c>
      <c r="AC48" s="311">
        <v>172</v>
      </c>
    </row>
    <row r="49" spans="1:29">
      <c r="A49" s="312" t="s">
        <v>524</v>
      </c>
      <c r="B49" s="313" t="s">
        <v>494</v>
      </c>
      <c r="C49" s="313" t="s">
        <v>417</v>
      </c>
      <c r="D49" s="313" t="s">
        <v>468</v>
      </c>
      <c r="E49" s="314">
        <v>1.8</v>
      </c>
      <c r="F49" s="318"/>
      <c r="G49" s="314">
        <v>1</v>
      </c>
      <c r="H49" s="314">
        <v>0</v>
      </c>
      <c r="I49" s="314">
        <v>0</v>
      </c>
      <c r="J49" s="314">
        <v>0</v>
      </c>
      <c r="K49" s="314">
        <v>0</v>
      </c>
      <c r="L49" s="314">
        <v>0</v>
      </c>
      <c r="M49" s="314">
        <v>0</v>
      </c>
      <c r="N49" s="314">
        <v>0</v>
      </c>
      <c r="O49" s="314">
        <v>0</v>
      </c>
      <c r="P49" s="314">
        <v>0</v>
      </c>
      <c r="Q49" s="313" t="s">
        <v>503</v>
      </c>
      <c r="R49" s="313"/>
      <c r="S49" s="314">
        <v>15</v>
      </c>
      <c r="T49" s="314">
        <v>5</v>
      </c>
      <c r="U49" s="314">
        <v>0.7</v>
      </c>
      <c r="V49" s="314">
        <v>0.7</v>
      </c>
      <c r="W49" s="314">
        <v>0.7</v>
      </c>
      <c r="X49" s="314">
        <v>1700</v>
      </c>
      <c r="Y49" s="313"/>
      <c r="Z49" s="313"/>
      <c r="AA49" s="313" t="s">
        <v>471</v>
      </c>
      <c r="AB49" s="313" t="s">
        <v>472</v>
      </c>
      <c r="AC49" s="316">
        <v>50</v>
      </c>
    </row>
    <row r="50" spans="1:29">
      <c r="A50" s="307" t="s">
        <v>525</v>
      </c>
      <c r="B50" s="308" t="s">
        <v>478</v>
      </c>
      <c r="C50" s="308" t="s">
        <v>417</v>
      </c>
      <c r="D50" s="308" t="s">
        <v>468</v>
      </c>
      <c r="E50" s="309">
        <v>1.2</v>
      </c>
      <c r="F50" s="310">
        <v>45202.548611111109</v>
      </c>
      <c r="G50" s="309">
        <v>1</v>
      </c>
      <c r="H50" s="309">
        <v>51.3675</v>
      </c>
      <c r="I50" s="309">
        <v>5.9622900000000003</v>
      </c>
      <c r="J50" s="309">
        <v>-13.570713</v>
      </c>
      <c r="K50" s="309">
        <v>-12.726606</v>
      </c>
      <c r="L50" s="309">
        <v>1239.22</v>
      </c>
      <c r="M50" s="309">
        <v>132.49983399999999</v>
      </c>
      <c r="N50" s="309">
        <v>18437.689999999999</v>
      </c>
      <c r="O50" s="309">
        <v>0</v>
      </c>
      <c r="P50" s="309">
        <v>2073.89</v>
      </c>
      <c r="Q50" s="308" t="s">
        <v>479</v>
      </c>
      <c r="R50" s="308"/>
      <c r="S50" s="309">
        <v>15</v>
      </c>
      <c r="T50" s="309">
        <v>5</v>
      </c>
      <c r="U50" s="309">
        <v>0.7</v>
      </c>
      <c r="V50" s="309">
        <v>0.7</v>
      </c>
      <c r="W50" s="309">
        <v>0.7</v>
      </c>
      <c r="X50" s="309">
        <v>1700</v>
      </c>
      <c r="Y50" s="308" t="s">
        <v>470</v>
      </c>
      <c r="Z50" s="309">
        <v>0.85</v>
      </c>
      <c r="AA50" s="308" t="s">
        <v>471</v>
      </c>
      <c r="AB50" s="308" t="s">
        <v>472</v>
      </c>
      <c r="AC50" s="311">
        <v>176</v>
      </c>
    </row>
    <row r="51" spans="1:29">
      <c r="A51" s="312" t="s">
        <v>526</v>
      </c>
      <c r="B51" s="313" t="s">
        <v>478</v>
      </c>
      <c r="C51" s="313" t="s">
        <v>417</v>
      </c>
      <c r="D51" s="313" t="s">
        <v>468</v>
      </c>
      <c r="E51" s="314">
        <v>1.2</v>
      </c>
      <c r="F51" s="315">
        <v>45202.552083333336</v>
      </c>
      <c r="G51" s="314">
        <v>1</v>
      </c>
      <c r="H51" s="314">
        <v>51.370800000000003</v>
      </c>
      <c r="I51" s="314">
        <v>6.2130099999999997</v>
      </c>
      <c r="J51" s="314">
        <v>-13.513244</v>
      </c>
      <c r="K51" s="314">
        <v>-12.680350000000001</v>
      </c>
      <c r="L51" s="314">
        <v>1255.1500000000001</v>
      </c>
      <c r="M51" s="314">
        <v>148.50137899999999</v>
      </c>
      <c r="N51" s="314">
        <v>18369.509999999998</v>
      </c>
      <c r="O51" s="314">
        <v>0</v>
      </c>
      <c r="P51" s="314">
        <v>2073.89</v>
      </c>
      <c r="Q51" s="313" t="s">
        <v>479</v>
      </c>
      <c r="R51" s="313"/>
      <c r="S51" s="314">
        <v>15</v>
      </c>
      <c r="T51" s="314">
        <v>5</v>
      </c>
      <c r="U51" s="314">
        <v>0.7</v>
      </c>
      <c r="V51" s="314">
        <v>0.7</v>
      </c>
      <c r="W51" s="314">
        <v>0.7</v>
      </c>
      <c r="X51" s="314">
        <v>1700</v>
      </c>
      <c r="Y51" s="313" t="s">
        <v>470</v>
      </c>
      <c r="Z51" s="314">
        <v>0.85</v>
      </c>
      <c r="AA51" s="313" t="s">
        <v>471</v>
      </c>
      <c r="AB51" s="313" t="s">
        <v>472</v>
      </c>
      <c r="AC51" s="316">
        <v>177</v>
      </c>
    </row>
    <row r="52" spans="1:29">
      <c r="A52" s="307" t="s">
        <v>527</v>
      </c>
      <c r="B52" s="308" t="s">
        <v>478</v>
      </c>
      <c r="C52" s="308" t="s">
        <v>417</v>
      </c>
      <c r="D52" s="308" t="s">
        <v>468</v>
      </c>
      <c r="E52" s="309">
        <v>1.2</v>
      </c>
      <c r="F52" s="310">
        <v>45202.555555555555</v>
      </c>
      <c r="G52" s="309">
        <v>1</v>
      </c>
      <c r="H52" s="309">
        <v>51.370800000000003</v>
      </c>
      <c r="I52" s="309">
        <v>6.3345599999999997</v>
      </c>
      <c r="J52" s="309">
        <v>-13.473419</v>
      </c>
      <c r="K52" s="309">
        <v>-12.635256</v>
      </c>
      <c r="L52" s="309">
        <v>1274.3399999999999</v>
      </c>
      <c r="M52" s="309">
        <v>132.99871400000001</v>
      </c>
      <c r="N52" s="309">
        <v>18700.009999999998</v>
      </c>
      <c r="O52" s="309">
        <v>0</v>
      </c>
      <c r="P52" s="309">
        <v>2073.89</v>
      </c>
      <c r="Q52" s="308" t="s">
        <v>479</v>
      </c>
      <c r="R52" s="308"/>
      <c r="S52" s="309">
        <v>15</v>
      </c>
      <c r="T52" s="309">
        <v>5</v>
      </c>
      <c r="U52" s="309">
        <v>0.7</v>
      </c>
      <c r="V52" s="309">
        <v>0.7</v>
      </c>
      <c r="W52" s="309">
        <v>0.7</v>
      </c>
      <c r="X52" s="309">
        <v>1700</v>
      </c>
      <c r="Y52" s="308" t="s">
        <v>470</v>
      </c>
      <c r="Z52" s="309">
        <v>0.85</v>
      </c>
      <c r="AA52" s="308" t="s">
        <v>471</v>
      </c>
      <c r="AB52" s="308" t="s">
        <v>472</v>
      </c>
      <c r="AC52" s="311">
        <v>174</v>
      </c>
    </row>
    <row r="53" spans="1:29">
      <c r="A53" s="312" t="s">
        <v>528</v>
      </c>
      <c r="B53" s="313" t="s">
        <v>478</v>
      </c>
      <c r="C53" s="313" t="s">
        <v>417</v>
      </c>
      <c r="D53" s="313" t="s">
        <v>468</v>
      </c>
      <c r="E53" s="314">
        <v>1.2</v>
      </c>
      <c r="F53" s="315">
        <v>45202.55972222222</v>
      </c>
      <c r="G53" s="314">
        <v>1</v>
      </c>
      <c r="H53" s="314">
        <v>51.3675</v>
      </c>
      <c r="I53" s="314">
        <v>6.4215200000000001</v>
      </c>
      <c r="J53" s="314">
        <v>-13.40325</v>
      </c>
      <c r="K53" s="314">
        <v>-12.553406000000001</v>
      </c>
      <c r="L53" s="314">
        <v>1259.2</v>
      </c>
      <c r="M53" s="314">
        <v>148.50076300000001</v>
      </c>
      <c r="N53" s="314">
        <v>18713.89</v>
      </c>
      <c r="O53" s="314">
        <v>0</v>
      </c>
      <c r="P53" s="314">
        <v>2073.89</v>
      </c>
      <c r="Q53" s="313" t="s">
        <v>479</v>
      </c>
      <c r="R53" s="313"/>
      <c r="S53" s="314">
        <v>15</v>
      </c>
      <c r="T53" s="314">
        <v>5</v>
      </c>
      <c r="U53" s="314">
        <v>0.7</v>
      </c>
      <c r="V53" s="314">
        <v>0.7</v>
      </c>
      <c r="W53" s="314">
        <v>0.7</v>
      </c>
      <c r="X53" s="314">
        <v>1700</v>
      </c>
      <c r="Y53" s="313" t="s">
        <v>470</v>
      </c>
      <c r="Z53" s="314">
        <v>0.85</v>
      </c>
      <c r="AA53" s="313" t="s">
        <v>471</v>
      </c>
      <c r="AB53" s="313" t="s">
        <v>472</v>
      </c>
      <c r="AC53" s="316">
        <v>174</v>
      </c>
    </row>
    <row r="54" spans="1:29">
      <c r="A54" s="307" t="s">
        <v>529</v>
      </c>
      <c r="B54" s="308" t="s">
        <v>478</v>
      </c>
      <c r="C54" s="308" t="s">
        <v>417</v>
      </c>
      <c r="D54" s="308" t="s">
        <v>468</v>
      </c>
      <c r="E54" s="309">
        <v>1.2</v>
      </c>
      <c r="F54" s="310">
        <v>45202.563194444447</v>
      </c>
      <c r="G54" s="309">
        <v>1</v>
      </c>
      <c r="H54" s="309">
        <v>51.377400000000002</v>
      </c>
      <c r="I54" s="309">
        <v>6.4810400000000001</v>
      </c>
      <c r="J54" s="309">
        <v>-13.360799999999999</v>
      </c>
      <c r="K54" s="309">
        <v>-12.516019</v>
      </c>
      <c r="L54" s="309">
        <v>1274.3900000000001</v>
      </c>
      <c r="M54" s="309">
        <v>137.49911299999999</v>
      </c>
      <c r="N54" s="309">
        <v>18859.18</v>
      </c>
      <c r="O54" s="309">
        <v>0</v>
      </c>
      <c r="P54" s="309">
        <v>2073.89</v>
      </c>
      <c r="Q54" s="308" t="s">
        <v>479</v>
      </c>
      <c r="R54" s="308"/>
      <c r="S54" s="309">
        <v>15</v>
      </c>
      <c r="T54" s="309">
        <v>5</v>
      </c>
      <c r="U54" s="309">
        <v>0.7</v>
      </c>
      <c r="V54" s="309">
        <v>0.7</v>
      </c>
      <c r="W54" s="309">
        <v>0.7</v>
      </c>
      <c r="X54" s="309">
        <v>1700</v>
      </c>
      <c r="Y54" s="308" t="s">
        <v>470</v>
      </c>
      <c r="Z54" s="309">
        <v>0.85</v>
      </c>
      <c r="AA54" s="308" t="s">
        <v>471</v>
      </c>
      <c r="AB54" s="308" t="s">
        <v>472</v>
      </c>
      <c r="AC54" s="311">
        <v>172</v>
      </c>
    </row>
    <row r="55" spans="1:29">
      <c r="A55" s="312" t="s">
        <v>530</v>
      </c>
      <c r="B55" s="313" t="s">
        <v>478</v>
      </c>
      <c r="C55" s="313" t="s">
        <v>417</v>
      </c>
      <c r="D55" s="313" t="s">
        <v>468</v>
      </c>
      <c r="E55" s="314">
        <v>1.2</v>
      </c>
      <c r="F55" s="315">
        <v>45202.566666666666</v>
      </c>
      <c r="G55" s="314">
        <v>2</v>
      </c>
      <c r="H55" s="314">
        <v>51.3675</v>
      </c>
      <c r="I55" s="314">
        <v>6.4175800000000001</v>
      </c>
      <c r="J55" s="314">
        <v>-13.252587</v>
      </c>
      <c r="K55" s="314">
        <v>-12.403969</v>
      </c>
      <c r="L55" s="314">
        <v>1264.77</v>
      </c>
      <c r="M55" s="314">
        <v>125.99964199999999</v>
      </c>
      <c r="N55" s="314">
        <v>18846.02</v>
      </c>
      <c r="O55" s="314">
        <v>0</v>
      </c>
      <c r="P55" s="314">
        <v>2073.89</v>
      </c>
      <c r="Q55" s="313" t="s">
        <v>479</v>
      </c>
      <c r="R55" s="313"/>
      <c r="S55" s="314">
        <v>15</v>
      </c>
      <c r="T55" s="314">
        <v>5</v>
      </c>
      <c r="U55" s="314">
        <v>0.7</v>
      </c>
      <c r="V55" s="314">
        <v>0.7</v>
      </c>
      <c r="W55" s="314">
        <v>0.7</v>
      </c>
      <c r="X55" s="314">
        <v>1700</v>
      </c>
      <c r="Y55" s="313" t="s">
        <v>470</v>
      </c>
      <c r="Z55" s="314">
        <v>0.85</v>
      </c>
      <c r="AA55" s="313" t="s">
        <v>471</v>
      </c>
      <c r="AB55" s="313" t="s">
        <v>472</v>
      </c>
      <c r="AC55" s="316">
        <v>173</v>
      </c>
    </row>
    <row r="56" spans="1:29">
      <c r="A56" s="307" t="s">
        <v>531</v>
      </c>
      <c r="B56" s="308" t="s">
        <v>478</v>
      </c>
      <c r="C56" s="308" t="s">
        <v>417</v>
      </c>
      <c r="D56" s="308" t="s">
        <v>468</v>
      </c>
      <c r="E56" s="309">
        <v>1.2</v>
      </c>
      <c r="F56" s="310">
        <v>45202.570833333331</v>
      </c>
      <c r="G56" s="309">
        <v>2</v>
      </c>
      <c r="H56" s="309">
        <v>51.370800000000003</v>
      </c>
      <c r="I56" s="309">
        <v>6.3763399999999999</v>
      </c>
      <c r="J56" s="309">
        <v>-13.463819000000001</v>
      </c>
      <c r="K56" s="309">
        <v>-12.639830999999999</v>
      </c>
      <c r="L56" s="309">
        <v>1283.02</v>
      </c>
      <c r="M56" s="309">
        <v>134.00046399999999</v>
      </c>
      <c r="N56" s="309">
        <v>19088.419999999998</v>
      </c>
      <c r="O56" s="309">
        <v>0</v>
      </c>
      <c r="P56" s="309">
        <v>2073.89</v>
      </c>
      <c r="Q56" s="308" t="s">
        <v>479</v>
      </c>
      <c r="R56" s="308"/>
      <c r="S56" s="309">
        <v>15</v>
      </c>
      <c r="T56" s="309">
        <v>5</v>
      </c>
      <c r="U56" s="309">
        <v>0.7</v>
      </c>
      <c r="V56" s="309">
        <v>0.7</v>
      </c>
      <c r="W56" s="309">
        <v>0.7</v>
      </c>
      <c r="X56" s="309">
        <v>1700</v>
      </c>
      <c r="Y56" s="308" t="s">
        <v>470</v>
      </c>
      <c r="Z56" s="309">
        <v>0.85</v>
      </c>
      <c r="AA56" s="308" t="s">
        <v>471</v>
      </c>
      <c r="AB56" s="308" t="s">
        <v>472</v>
      </c>
      <c r="AC56" s="311">
        <v>171</v>
      </c>
    </row>
    <row r="57" spans="1:29">
      <c r="A57" s="312" t="s">
        <v>532</v>
      </c>
      <c r="B57" s="313" t="s">
        <v>478</v>
      </c>
      <c r="C57" s="313" t="s">
        <v>417</v>
      </c>
      <c r="D57" s="313" t="s">
        <v>468</v>
      </c>
      <c r="E57" s="314">
        <v>1.2</v>
      </c>
      <c r="F57" s="315">
        <v>45202.574305555558</v>
      </c>
      <c r="G57" s="314">
        <v>2</v>
      </c>
      <c r="H57" s="314">
        <v>51.370800000000003</v>
      </c>
      <c r="I57" s="314">
        <v>6.3408300000000004</v>
      </c>
      <c r="J57" s="314">
        <v>-13.364587999999999</v>
      </c>
      <c r="K57" s="314">
        <v>-12.542906</v>
      </c>
      <c r="L57" s="314">
        <v>1291.4000000000001</v>
      </c>
      <c r="M57" s="314">
        <v>145.49936600000001</v>
      </c>
      <c r="N57" s="314">
        <v>19306.07</v>
      </c>
      <c r="O57" s="314">
        <v>0</v>
      </c>
      <c r="P57" s="314">
        <v>2073.89</v>
      </c>
      <c r="Q57" s="313" t="s">
        <v>479</v>
      </c>
      <c r="R57" s="313"/>
      <c r="S57" s="314">
        <v>15</v>
      </c>
      <c r="T57" s="314">
        <v>5</v>
      </c>
      <c r="U57" s="314">
        <v>0.7</v>
      </c>
      <c r="V57" s="314">
        <v>0.7</v>
      </c>
      <c r="W57" s="314">
        <v>0.7</v>
      </c>
      <c r="X57" s="314">
        <v>1700</v>
      </c>
      <c r="Y57" s="313" t="s">
        <v>470</v>
      </c>
      <c r="Z57" s="314">
        <v>0.85</v>
      </c>
      <c r="AA57" s="313" t="s">
        <v>471</v>
      </c>
      <c r="AB57" s="313" t="s">
        <v>472</v>
      </c>
      <c r="AC57" s="316">
        <v>169</v>
      </c>
    </row>
    <row r="58" spans="1:29">
      <c r="A58" s="307" t="s">
        <v>533</v>
      </c>
      <c r="B58" s="308" t="s">
        <v>478</v>
      </c>
      <c r="C58" s="308" t="s">
        <v>417</v>
      </c>
      <c r="D58" s="308" t="s">
        <v>468</v>
      </c>
      <c r="E58" s="309">
        <v>1.2</v>
      </c>
      <c r="F58" s="310">
        <v>45202.577777777777</v>
      </c>
      <c r="G58" s="309">
        <v>2</v>
      </c>
      <c r="H58" s="309">
        <v>51.3675</v>
      </c>
      <c r="I58" s="309">
        <v>6.3544</v>
      </c>
      <c r="J58" s="309">
        <v>-13.312849999999999</v>
      </c>
      <c r="K58" s="309">
        <v>-12.466231000000001</v>
      </c>
      <c r="L58" s="309">
        <v>1338.09</v>
      </c>
      <c r="M58" s="309">
        <v>144.00060199999999</v>
      </c>
      <c r="N58" s="309">
        <v>19687.310000000001</v>
      </c>
      <c r="O58" s="309">
        <v>0</v>
      </c>
      <c r="P58" s="309">
        <v>2073.89</v>
      </c>
      <c r="Q58" s="308" t="s">
        <v>479</v>
      </c>
      <c r="R58" s="308"/>
      <c r="S58" s="309">
        <v>15</v>
      </c>
      <c r="T58" s="309">
        <v>5</v>
      </c>
      <c r="U58" s="309">
        <v>0.7</v>
      </c>
      <c r="V58" s="309">
        <v>0.7</v>
      </c>
      <c r="W58" s="309">
        <v>0.7</v>
      </c>
      <c r="X58" s="309">
        <v>1700</v>
      </c>
      <c r="Y58" s="308" t="s">
        <v>470</v>
      </c>
      <c r="Z58" s="309">
        <v>0.85</v>
      </c>
      <c r="AA58" s="308" t="s">
        <v>471</v>
      </c>
      <c r="AB58" s="308" t="s">
        <v>472</v>
      </c>
      <c r="AC58" s="311">
        <v>167</v>
      </c>
    </row>
    <row r="59" spans="1:29">
      <c r="A59" s="312" t="s">
        <v>534</v>
      </c>
      <c r="B59" s="313" t="s">
        <v>478</v>
      </c>
      <c r="C59" s="313" t="s">
        <v>417</v>
      </c>
      <c r="D59" s="313" t="s">
        <v>468</v>
      </c>
      <c r="E59" s="314">
        <v>1.2</v>
      </c>
      <c r="F59" s="315">
        <v>45202.581944444442</v>
      </c>
      <c r="G59" s="314">
        <v>2</v>
      </c>
      <c r="H59" s="314">
        <v>51.370800000000003</v>
      </c>
      <c r="I59" s="314">
        <v>6.4178699999999997</v>
      </c>
      <c r="J59" s="314">
        <v>-13.316119</v>
      </c>
      <c r="K59" s="314">
        <v>-12.472049999999999</v>
      </c>
      <c r="L59" s="314">
        <v>1348.51</v>
      </c>
      <c r="M59" s="314">
        <v>140.00162599999999</v>
      </c>
      <c r="N59" s="314">
        <v>19695.73</v>
      </c>
      <c r="O59" s="314">
        <v>0</v>
      </c>
      <c r="P59" s="314">
        <v>2073.89</v>
      </c>
      <c r="Q59" s="313" t="s">
        <v>479</v>
      </c>
      <c r="R59" s="313"/>
      <c r="S59" s="314">
        <v>15</v>
      </c>
      <c r="T59" s="314">
        <v>5</v>
      </c>
      <c r="U59" s="314">
        <v>0.7</v>
      </c>
      <c r="V59" s="314">
        <v>0.7</v>
      </c>
      <c r="W59" s="314">
        <v>0.7</v>
      </c>
      <c r="X59" s="314">
        <v>1700</v>
      </c>
      <c r="Y59" s="313" t="s">
        <v>470</v>
      </c>
      <c r="Z59" s="314">
        <v>0.85</v>
      </c>
      <c r="AA59" s="313" t="s">
        <v>471</v>
      </c>
      <c r="AB59" s="313" t="s">
        <v>472</v>
      </c>
      <c r="AC59" s="316">
        <v>166</v>
      </c>
    </row>
    <row r="60" spans="1:29">
      <c r="A60" s="307" t="s">
        <v>535</v>
      </c>
      <c r="B60" s="308" t="s">
        <v>490</v>
      </c>
      <c r="C60" s="308" t="s">
        <v>417</v>
      </c>
      <c r="D60" s="308" t="s">
        <v>468</v>
      </c>
      <c r="E60" s="309">
        <v>1.5</v>
      </c>
      <c r="F60" s="310">
        <v>45202.592361111114</v>
      </c>
      <c r="G60" s="309">
        <v>1</v>
      </c>
      <c r="H60" s="309">
        <v>51.3675</v>
      </c>
      <c r="I60" s="309">
        <v>6.2767200000000001</v>
      </c>
      <c r="J60" s="309">
        <v>-13.364456000000001</v>
      </c>
      <c r="K60" s="309">
        <v>-12.520469</v>
      </c>
      <c r="L60" s="309">
        <v>1371.01</v>
      </c>
      <c r="M60" s="309">
        <v>159.50024199999999</v>
      </c>
      <c r="N60" s="309">
        <v>24565.87</v>
      </c>
      <c r="O60" s="309">
        <v>0</v>
      </c>
      <c r="P60" s="309">
        <v>2073.89</v>
      </c>
      <c r="Q60" s="308" t="s">
        <v>479</v>
      </c>
      <c r="R60" s="308"/>
      <c r="S60" s="309">
        <v>15</v>
      </c>
      <c r="T60" s="309">
        <v>5</v>
      </c>
      <c r="U60" s="309">
        <v>0.7</v>
      </c>
      <c r="V60" s="309">
        <v>0.7</v>
      </c>
      <c r="W60" s="309">
        <v>0.7</v>
      </c>
      <c r="X60" s="309">
        <v>1700</v>
      </c>
      <c r="Y60" s="308" t="s">
        <v>470</v>
      </c>
      <c r="Z60" s="309">
        <v>0.85</v>
      </c>
      <c r="AA60" s="308" t="s">
        <v>471</v>
      </c>
      <c r="AB60" s="308" t="s">
        <v>472</v>
      </c>
      <c r="AC60" s="311">
        <v>168</v>
      </c>
    </row>
    <row r="61" spans="1:29">
      <c r="A61" s="312" t="s">
        <v>536</v>
      </c>
      <c r="B61" s="313" t="s">
        <v>490</v>
      </c>
      <c r="C61" s="313" t="s">
        <v>417</v>
      </c>
      <c r="D61" s="313" t="s">
        <v>468</v>
      </c>
      <c r="E61" s="314">
        <v>1.5</v>
      </c>
      <c r="F61" s="315">
        <v>45202.59652777778</v>
      </c>
      <c r="G61" s="314">
        <v>1</v>
      </c>
      <c r="H61" s="314">
        <v>51.3675</v>
      </c>
      <c r="I61" s="314">
        <v>6.2699400000000001</v>
      </c>
      <c r="J61" s="314">
        <v>-13.535669</v>
      </c>
      <c r="K61" s="314">
        <v>-12.703331</v>
      </c>
      <c r="L61" s="314">
        <v>1331.26</v>
      </c>
      <c r="M61" s="314">
        <v>158.500405</v>
      </c>
      <c r="N61" s="314">
        <v>24058.41</v>
      </c>
      <c r="O61" s="314">
        <v>0</v>
      </c>
      <c r="P61" s="314">
        <v>2073.89</v>
      </c>
      <c r="Q61" s="313" t="s">
        <v>479</v>
      </c>
      <c r="R61" s="313"/>
      <c r="S61" s="314">
        <v>15</v>
      </c>
      <c r="T61" s="314">
        <v>5</v>
      </c>
      <c r="U61" s="314">
        <v>0.7</v>
      </c>
      <c r="V61" s="314">
        <v>0.7</v>
      </c>
      <c r="W61" s="314">
        <v>0.7</v>
      </c>
      <c r="X61" s="314">
        <v>1700</v>
      </c>
      <c r="Y61" s="313" t="s">
        <v>470</v>
      </c>
      <c r="Z61" s="314">
        <v>0.85</v>
      </c>
      <c r="AA61" s="313" t="s">
        <v>471</v>
      </c>
      <c r="AB61" s="313" t="s">
        <v>472</v>
      </c>
      <c r="AC61" s="316">
        <v>171</v>
      </c>
    </row>
    <row r="62" spans="1:29">
      <c r="A62" s="307" t="s">
        <v>537</v>
      </c>
      <c r="B62" s="308" t="s">
        <v>490</v>
      </c>
      <c r="C62" s="308" t="s">
        <v>417</v>
      </c>
      <c r="D62" s="308" t="s">
        <v>468</v>
      </c>
      <c r="E62" s="309">
        <v>1.5</v>
      </c>
      <c r="F62" s="310">
        <v>45202.6</v>
      </c>
      <c r="G62" s="309">
        <v>1</v>
      </c>
      <c r="H62" s="309">
        <v>51.374099999999999</v>
      </c>
      <c r="I62" s="309">
        <v>6.2896999999999998</v>
      </c>
      <c r="J62" s="309">
        <v>-13.406981</v>
      </c>
      <c r="K62" s="309">
        <v>-12.559519</v>
      </c>
      <c r="L62" s="309">
        <v>1351.3</v>
      </c>
      <c r="M62" s="309">
        <v>150.99957000000001</v>
      </c>
      <c r="N62" s="309">
        <v>24260.84</v>
      </c>
      <c r="O62" s="309">
        <v>0</v>
      </c>
      <c r="P62" s="309">
        <v>2073.89</v>
      </c>
      <c r="Q62" s="308" t="s">
        <v>479</v>
      </c>
      <c r="R62" s="308"/>
      <c r="S62" s="309">
        <v>15</v>
      </c>
      <c r="T62" s="309">
        <v>5</v>
      </c>
      <c r="U62" s="309">
        <v>0.7</v>
      </c>
      <c r="V62" s="309">
        <v>0.7</v>
      </c>
      <c r="W62" s="309">
        <v>0.7</v>
      </c>
      <c r="X62" s="309">
        <v>1700</v>
      </c>
      <c r="Y62" s="308" t="s">
        <v>470</v>
      </c>
      <c r="Z62" s="309">
        <v>0.85</v>
      </c>
      <c r="AA62" s="308" t="s">
        <v>471</v>
      </c>
      <c r="AB62" s="308" t="s">
        <v>472</v>
      </c>
      <c r="AC62" s="311">
        <v>168</v>
      </c>
    </row>
    <row r="63" spans="1:29">
      <c r="A63" s="312" t="s">
        <v>538</v>
      </c>
      <c r="B63" s="313" t="s">
        <v>490</v>
      </c>
      <c r="C63" s="313" t="s">
        <v>417</v>
      </c>
      <c r="D63" s="313" t="s">
        <v>468</v>
      </c>
      <c r="E63" s="314">
        <v>1.5</v>
      </c>
      <c r="F63" s="315">
        <v>45202.604166666664</v>
      </c>
      <c r="G63" s="314">
        <v>1</v>
      </c>
      <c r="H63" s="314">
        <v>51.374099999999999</v>
      </c>
      <c r="I63" s="314">
        <v>6.3011999999999997</v>
      </c>
      <c r="J63" s="314">
        <v>-13.293631</v>
      </c>
      <c r="K63" s="314">
        <v>-12.457413000000001</v>
      </c>
      <c r="L63" s="314">
        <v>1358.48</v>
      </c>
      <c r="M63" s="314">
        <v>146.50094100000001</v>
      </c>
      <c r="N63" s="314">
        <v>23932.42</v>
      </c>
      <c r="O63" s="314">
        <v>0</v>
      </c>
      <c r="P63" s="314">
        <v>2073.89</v>
      </c>
      <c r="Q63" s="313" t="s">
        <v>479</v>
      </c>
      <c r="R63" s="313"/>
      <c r="S63" s="314">
        <v>15</v>
      </c>
      <c r="T63" s="314">
        <v>5</v>
      </c>
      <c r="U63" s="314">
        <v>0.7</v>
      </c>
      <c r="V63" s="314">
        <v>0.7</v>
      </c>
      <c r="W63" s="314">
        <v>0.7</v>
      </c>
      <c r="X63" s="314">
        <v>1700</v>
      </c>
      <c r="Y63" s="313" t="s">
        <v>470</v>
      </c>
      <c r="Z63" s="314">
        <v>0.85</v>
      </c>
      <c r="AA63" s="313" t="s">
        <v>471</v>
      </c>
      <c r="AB63" s="313" t="s">
        <v>472</v>
      </c>
      <c r="AC63" s="316">
        <v>170</v>
      </c>
    </row>
    <row r="64" spans="1:29">
      <c r="A64" s="307" t="s">
        <v>539</v>
      </c>
      <c r="B64" s="308" t="s">
        <v>490</v>
      </c>
      <c r="C64" s="308" t="s">
        <v>417</v>
      </c>
      <c r="D64" s="308" t="s">
        <v>468</v>
      </c>
      <c r="E64" s="309">
        <v>1.5</v>
      </c>
      <c r="F64" s="310">
        <v>45202.60833333333</v>
      </c>
      <c r="G64" s="309">
        <v>1</v>
      </c>
      <c r="H64" s="309">
        <v>51.3675</v>
      </c>
      <c r="I64" s="309">
        <v>6.3220599999999996</v>
      </c>
      <c r="J64" s="309">
        <v>-13.41545</v>
      </c>
      <c r="K64" s="309">
        <v>-12.586969</v>
      </c>
      <c r="L64" s="309">
        <v>1362.03</v>
      </c>
      <c r="M64" s="309">
        <v>152.00053199999999</v>
      </c>
      <c r="N64" s="309">
        <v>24239.32</v>
      </c>
      <c r="O64" s="309">
        <v>0</v>
      </c>
      <c r="P64" s="309">
        <v>2073.89</v>
      </c>
      <c r="Q64" s="308" t="s">
        <v>479</v>
      </c>
      <c r="R64" s="308"/>
      <c r="S64" s="309">
        <v>15</v>
      </c>
      <c r="T64" s="309">
        <v>5</v>
      </c>
      <c r="U64" s="309">
        <v>0.7</v>
      </c>
      <c r="V64" s="309">
        <v>0.7</v>
      </c>
      <c r="W64" s="309">
        <v>0.7</v>
      </c>
      <c r="X64" s="309">
        <v>1700</v>
      </c>
      <c r="Y64" s="308" t="s">
        <v>470</v>
      </c>
      <c r="Z64" s="309">
        <v>0.85</v>
      </c>
      <c r="AA64" s="308" t="s">
        <v>471</v>
      </c>
      <c r="AB64" s="308" t="s">
        <v>472</v>
      </c>
      <c r="AC64" s="311">
        <v>168</v>
      </c>
    </row>
    <row r="65" spans="1:29">
      <c r="A65" s="312" t="s">
        <v>540</v>
      </c>
      <c r="B65" s="313" t="s">
        <v>490</v>
      </c>
      <c r="C65" s="313" t="s">
        <v>417</v>
      </c>
      <c r="D65" s="313" t="s">
        <v>468</v>
      </c>
      <c r="E65" s="314">
        <v>1.5</v>
      </c>
      <c r="F65" s="315">
        <v>45202.611805555556</v>
      </c>
      <c r="G65" s="314">
        <v>2</v>
      </c>
      <c r="H65" s="314">
        <v>51.3675</v>
      </c>
      <c r="I65" s="314">
        <v>6.3263299999999996</v>
      </c>
      <c r="J65" s="314">
        <v>-13.961994000000001</v>
      </c>
      <c r="K65" s="314">
        <v>-13.132106</v>
      </c>
      <c r="L65" s="314">
        <v>1013.21</v>
      </c>
      <c r="M65" s="314">
        <v>126.999887</v>
      </c>
      <c r="N65" s="314">
        <v>18168.939999999999</v>
      </c>
      <c r="O65" s="314">
        <v>18165.365170000001</v>
      </c>
      <c r="P65" s="314">
        <v>2073.89</v>
      </c>
      <c r="Q65" s="313" t="s">
        <v>469</v>
      </c>
      <c r="R65" s="313"/>
      <c r="S65" s="314">
        <v>15</v>
      </c>
      <c r="T65" s="314">
        <v>5</v>
      </c>
      <c r="U65" s="314">
        <v>0.7</v>
      </c>
      <c r="V65" s="314">
        <v>0.7</v>
      </c>
      <c r="W65" s="314">
        <v>0.7</v>
      </c>
      <c r="X65" s="314">
        <v>1700</v>
      </c>
      <c r="Y65" s="313" t="s">
        <v>470</v>
      </c>
      <c r="Z65" s="314">
        <v>0.85</v>
      </c>
      <c r="AA65" s="313" t="s">
        <v>471</v>
      </c>
      <c r="AB65" s="313" t="s">
        <v>472</v>
      </c>
      <c r="AC65" s="316">
        <v>220</v>
      </c>
    </row>
    <row r="66" spans="1:29">
      <c r="A66" s="307" t="s">
        <v>541</v>
      </c>
      <c r="B66" s="308" t="s">
        <v>490</v>
      </c>
      <c r="C66" s="308" t="s">
        <v>417</v>
      </c>
      <c r="D66" s="308" t="s">
        <v>468</v>
      </c>
      <c r="E66" s="309">
        <v>1.5</v>
      </c>
      <c r="F66" s="310">
        <v>45202.615277777775</v>
      </c>
      <c r="G66" s="309">
        <v>2</v>
      </c>
      <c r="H66" s="309">
        <v>51.374099999999999</v>
      </c>
      <c r="I66" s="309">
        <v>6.3795099999999998</v>
      </c>
      <c r="J66" s="309">
        <v>-14.001068999999999</v>
      </c>
      <c r="K66" s="309">
        <v>-13.171830999999999</v>
      </c>
      <c r="L66" s="309">
        <v>1022.43</v>
      </c>
      <c r="M66" s="309">
        <v>113.500454</v>
      </c>
      <c r="N66" s="309">
        <v>18130.55</v>
      </c>
      <c r="O66" s="309">
        <v>18165.365170000001</v>
      </c>
      <c r="P66" s="309">
        <v>2073.89</v>
      </c>
      <c r="Q66" s="308" t="s">
        <v>542</v>
      </c>
      <c r="R66" s="308"/>
      <c r="S66" s="309">
        <v>15</v>
      </c>
      <c r="T66" s="309">
        <v>5</v>
      </c>
      <c r="U66" s="309">
        <v>0.7</v>
      </c>
      <c r="V66" s="309">
        <v>0.7</v>
      </c>
      <c r="W66" s="309">
        <v>0.7</v>
      </c>
      <c r="X66" s="309">
        <v>1700</v>
      </c>
      <c r="Y66" s="308" t="s">
        <v>470</v>
      </c>
      <c r="Z66" s="309">
        <v>0.85</v>
      </c>
      <c r="AA66" s="308" t="s">
        <v>471</v>
      </c>
      <c r="AB66" s="308" t="s">
        <v>472</v>
      </c>
      <c r="AC66" s="311">
        <v>220</v>
      </c>
    </row>
    <row r="67" spans="1:29">
      <c r="A67" s="312" t="s">
        <v>543</v>
      </c>
      <c r="B67" s="313" t="s">
        <v>490</v>
      </c>
      <c r="C67" s="313" t="s">
        <v>417</v>
      </c>
      <c r="D67" s="313" t="s">
        <v>468</v>
      </c>
      <c r="E67" s="314">
        <v>1.5</v>
      </c>
      <c r="F67" s="315">
        <v>45202.618750000001</v>
      </c>
      <c r="G67" s="314">
        <v>2</v>
      </c>
      <c r="H67" s="314">
        <v>51.370800000000003</v>
      </c>
      <c r="I67" s="314">
        <v>6.4175700000000004</v>
      </c>
      <c r="J67" s="314">
        <v>-14.069974999999999</v>
      </c>
      <c r="K67" s="314">
        <v>-13.220969</v>
      </c>
      <c r="L67" s="314">
        <v>1000.92</v>
      </c>
      <c r="M67" s="314">
        <v>125.999779</v>
      </c>
      <c r="N67" s="314">
        <v>18165.7</v>
      </c>
      <c r="O67" s="314">
        <v>18165.365170000001</v>
      </c>
      <c r="P67" s="314">
        <v>2073.89</v>
      </c>
      <c r="Q67" s="313" t="s">
        <v>469</v>
      </c>
      <c r="R67" s="313"/>
      <c r="S67" s="314">
        <v>15</v>
      </c>
      <c r="T67" s="314">
        <v>5</v>
      </c>
      <c r="U67" s="314">
        <v>0.7</v>
      </c>
      <c r="V67" s="314">
        <v>0.7</v>
      </c>
      <c r="W67" s="314">
        <v>0.7</v>
      </c>
      <c r="X67" s="314">
        <v>1700</v>
      </c>
      <c r="Y67" s="313" t="s">
        <v>470</v>
      </c>
      <c r="Z67" s="314">
        <v>0.85</v>
      </c>
      <c r="AA67" s="313" t="s">
        <v>471</v>
      </c>
      <c r="AB67" s="313" t="s">
        <v>472</v>
      </c>
      <c r="AC67" s="316">
        <v>220</v>
      </c>
    </row>
    <row r="68" spans="1:29">
      <c r="A68" s="307" t="s">
        <v>544</v>
      </c>
      <c r="B68" s="308" t="s">
        <v>490</v>
      </c>
      <c r="C68" s="308" t="s">
        <v>417</v>
      </c>
      <c r="D68" s="308" t="s">
        <v>468</v>
      </c>
      <c r="E68" s="309">
        <v>1.5</v>
      </c>
      <c r="F68" s="310">
        <v>45202.622916666667</v>
      </c>
      <c r="G68" s="309">
        <v>2</v>
      </c>
      <c r="H68" s="309">
        <v>51.3675</v>
      </c>
      <c r="I68" s="309">
        <v>6.4201600000000001</v>
      </c>
      <c r="J68" s="309">
        <v>-13.965481</v>
      </c>
      <c r="K68" s="309">
        <v>-13.143162</v>
      </c>
      <c r="L68" s="309">
        <v>1001.42</v>
      </c>
      <c r="M68" s="309">
        <v>116.49974</v>
      </c>
      <c r="N68" s="309">
        <v>18161.46</v>
      </c>
      <c r="O68" s="309">
        <v>18165.365170000001</v>
      </c>
      <c r="P68" s="309">
        <v>2073.89</v>
      </c>
      <c r="Q68" s="308" t="s">
        <v>469</v>
      </c>
      <c r="R68" s="308"/>
      <c r="S68" s="309">
        <v>15</v>
      </c>
      <c r="T68" s="309">
        <v>5</v>
      </c>
      <c r="U68" s="309">
        <v>0.7</v>
      </c>
      <c r="V68" s="309">
        <v>0.7</v>
      </c>
      <c r="W68" s="309">
        <v>0.7</v>
      </c>
      <c r="X68" s="309">
        <v>1700</v>
      </c>
      <c r="Y68" s="308" t="s">
        <v>470</v>
      </c>
      <c r="Z68" s="309">
        <v>0.85</v>
      </c>
      <c r="AA68" s="308" t="s">
        <v>471</v>
      </c>
      <c r="AB68" s="308" t="s">
        <v>472</v>
      </c>
      <c r="AC68" s="311">
        <v>220</v>
      </c>
    </row>
    <row r="69" spans="1:29">
      <c r="A69" s="312" t="s">
        <v>545</v>
      </c>
      <c r="B69" s="313" t="s">
        <v>494</v>
      </c>
      <c r="C69" s="313" t="s">
        <v>417</v>
      </c>
      <c r="D69" s="313" t="s">
        <v>468</v>
      </c>
      <c r="E69" s="314">
        <v>1.8</v>
      </c>
      <c r="F69" s="318"/>
      <c r="G69" s="314">
        <v>1</v>
      </c>
      <c r="H69" s="314">
        <v>0</v>
      </c>
      <c r="I69" s="314">
        <v>0</v>
      </c>
      <c r="J69" s="314">
        <v>0</v>
      </c>
      <c r="K69" s="314">
        <v>0</v>
      </c>
      <c r="L69" s="314">
        <v>0</v>
      </c>
      <c r="M69" s="314">
        <v>0</v>
      </c>
      <c r="N69" s="314">
        <v>0</v>
      </c>
      <c r="O69" s="314">
        <v>0</v>
      </c>
      <c r="P69" s="314">
        <v>0</v>
      </c>
      <c r="Q69" s="313" t="s">
        <v>503</v>
      </c>
      <c r="R69" s="313"/>
      <c r="S69" s="314">
        <v>15</v>
      </c>
      <c r="T69" s="314">
        <v>5</v>
      </c>
      <c r="U69" s="314">
        <v>0.7</v>
      </c>
      <c r="V69" s="314">
        <v>0.7</v>
      </c>
      <c r="W69" s="314">
        <v>0.7</v>
      </c>
      <c r="X69" s="314">
        <v>1700</v>
      </c>
      <c r="Y69" s="313"/>
      <c r="Z69" s="313"/>
      <c r="AA69" s="313" t="s">
        <v>471</v>
      </c>
      <c r="AB69" s="313" t="s">
        <v>472</v>
      </c>
      <c r="AC69" s="316">
        <v>220</v>
      </c>
    </row>
    <row r="70" spans="1:29">
      <c r="A70" s="307" t="s">
        <v>546</v>
      </c>
      <c r="B70" s="308" t="s">
        <v>478</v>
      </c>
      <c r="C70" s="308"/>
      <c r="D70" s="308" t="s">
        <v>468</v>
      </c>
      <c r="E70" s="309">
        <v>1.2</v>
      </c>
      <c r="F70" s="310">
        <v>45202.626388888886</v>
      </c>
      <c r="G70" s="309">
        <v>1</v>
      </c>
      <c r="H70" s="309">
        <v>51.370800000000003</v>
      </c>
      <c r="I70" s="309">
        <v>6.2267900000000003</v>
      </c>
      <c r="J70" s="309">
        <v>-13.946612</v>
      </c>
      <c r="K70" s="309">
        <v>-13.109163000000001</v>
      </c>
      <c r="L70" s="309">
        <v>993.47299999999996</v>
      </c>
      <c r="M70" s="309">
        <v>110.00104</v>
      </c>
      <c r="N70" s="309">
        <v>14513.67</v>
      </c>
      <c r="O70" s="309">
        <v>14512.5555</v>
      </c>
      <c r="P70" s="309">
        <v>2073.89</v>
      </c>
      <c r="Q70" s="308" t="s">
        <v>469</v>
      </c>
      <c r="R70" s="308"/>
      <c r="S70" s="309">
        <v>15</v>
      </c>
      <c r="T70" s="309">
        <v>5</v>
      </c>
      <c r="U70" s="309">
        <v>0.7</v>
      </c>
      <c r="V70" s="309">
        <v>0.7</v>
      </c>
      <c r="W70" s="309">
        <v>0.7</v>
      </c>
      <c r="X70" s="309">
        <v>1700</v>
      </c>
      <c r="Y70" s="308" t="s">
        <v>470</v>
      </c>
      <c r="Z70" s="309">
        <v>0.85</v>
      </c>
      <c r="AA70" s="308" t="s">
        <v>471</v>
      </c>
      <c r="AB70" s="308" t="s">
        <v>472</v>
      </c>
      <c r="AC70" s="311">
        <v>220</v>
      </c>
    </row>
    <row r="71" spans="1:29">
      <c r="A71" s="312" t="s">
        <v>547</v>
      </c>
      <c r="B71" s="313" t="s">
        <v>478</v>
      </c>
      <c r="C71" s="313"/>
      <c r="D71" s="313" t="s">
        <v>468</v>
      </c>
      <c r="E71" s="314">
        <v>1.2</v>
      </c>
      <c r="F71" s="315">
        <v>45202.629861111112</v>
      </c>
      <c r="G71" s="314">
        <v>1</v>
      </c>
      <c r="H71" s="314">
        <v>51.3675</v>
      </c>
      <c r="I71" s="314">
        <v>6.3936599999999997</v>
      </c>
      <c r="J71" s="314">
        <v>-14.073969</v>
      </c>
      <c r="K71" s="314">
        <v>-13.233237000000001</v>
      </c>
      <c r="L71" s="314">
        <v>975.69399999999996</v>
      </c>
      <c r="M71" s="314">
        <v>125.50055500000001</v>
      </c>
      <c r="N71" s="314">
        <v>14519.98</v>
      </c>
      <c r="O71" s="314">
        <v>14512.5555</v>
      </c>
      <c r="P71" s="314">
        <v>2073.89</v>
      </c>
      <c r="Q71" s="313" t="s">
        <v>469</v>
      </c>
      <c r="R71" s="313"/>
      <c r="S71" s="314">
        <v>15</v>
      </c>
      <c r="T71" s="314">
        <v>5</v>
      </c>
      <c r="U71" s="314">
        <v>0.7</v>
      </c>
      <c r="V71" s="314">
        <v>0.7</v>
      </c>
      <c r="W71" s="314">
        <v>0.7</v>
      </c>
      <c r="X71" s="314">
        <v>1700</v>
      </c>
      <c r="Y71" s="313" t="s">
        <v>470</v>
      </c>
      <c r="Z71" s="314">
        <v>0.85</v>
      </c>
      <c r="AA71" s="313" t="s">
        <v>471</v>
      </c>
      <c r="AB71" s="313" t="s">
        <v>472</v>
      </c>
      <c r="AC71" s="316">
        <v>220</v>
      </c>
    </row>
    <row r="72" spans="1:29">
      <c r="A72" s="307" t="s">
        <v>548</v>
      </c>
      <c r="B72" s="308" t="s">
        <v>478</v>
      </c>
      <c r="C72" s="308"/>
      <c r="D72" s="308" t="s">
        <v>468</v>
      </c>
      <c r="E72" s="309">
        <v>1.2</v>
      </c>
      <c r="F72" s="310">
        <v>45202.633333333331</v>
      </c>
      <c r="G72" s="309">
        <v>1</v>
      </c>
      <c r="H72" s="309">
        <v>51.370800000000003</v>
      </c>
      <c r="I72" s="309">
        <v>6.3812699999999998</v>
      </c>
      <c r="J72" s="309">
        <v>-13.887912</v>
      </c>
      <c r="K72" s="309">
        <v>-13.056050000000001</v>
      </c>
      <c r="L72" s="309">
        <v>981.71900000000005</v>
      </c>
      <c r="M72" s="309">
        <v>111.49875</v>
      </c>
      <c r="N72" s="309">
        <v>14504.02</v>
      </c>
      <c r="O72" s="309">
        <v>14512.5555</v>
      </c>
      <c r="P72" s="309">
        <v>2073.89</v>
      </c>
      <c r="Q72" s="308" t="s">
        <v>469</v>
      </c>
      <c r="R72" s="308"/>
      <c r="S72" s="309">
        <v>15</v>
      </c>
      <c r="T72" s="309">
        <v>5</v>
      </c>
      <c r="U72" s="309">
        <v>0.7</v>
      </c>
      <c r="V72" s="309">
        <v>0.7</v>
      </c>
      <c r="W72" s="309">
        <v>0.7</v>
      </c>
      <c r="X72" s="309">
        <v>1700</v>
      </c>
      <c r="Y72" s="308" t="s">
        <v>470</v>
      </c>
      <c r="Z72" s="309">
        <v>0.85</v>
      </c>
      <c r="AA72" s="308" t="s">
        <v>471</v>
      </c>
      <c r="AB72" s="308" t="s">
        <v>472</v>
      </c>
      <c r="AC72" s="311">
        <v>220</v>
      </c>
    </row>
    <row r="73" spans="1:29">
      <c r="A73" s="319" t="s">
        <v>549</v>
      </c>
      <c r="B73" s="320" t="s">
        <v>490</v>
      </c>
      <c r="C73" s="320"/>
      <c r="D73" s="320" t="s">
        <v>468</v>
      </c>
      <c r="E73" s="321">
        <v>1.5</v>
      </c>
      <c r="F73" s="322">
        <v>45202.636805555558</v>
      </c>
      <c r="G73" s="321">
        <v>1</v>
      </c>
      <c r="H73" s="321">
        <v>51.374099999999999</v>
      </c>
      <c r="I73" s="321">
        <v>6.4859099999999996</v>
      </c>
      <c r="J73" s="321">
        <v>-13.909556</v>
      </c>
      <c r="K73" s="321">
        <v>-13.060437</v>
      </c>
      <c r="L73" s="321">
        <v>1008.08</v>
      </c>
      <c r="M73" s="321">
        <v>125.000226</v>
      </c>
      <c r="N73" s="321">
        <v>18158.57</v>
      </c>
      <c r="O73" s="321">
        <v>18162.809229999999</v>
      </c>
      <c r="P73" s="321">
        <v>2073.89</v>
      </c>
      <c r="Q73" s="320" t="s">
        <v>469</v>
      </c>
      <c r="R73" s="320"/>
      <c r="S73" s="321">
        <v>15</v>
      </c>
      <c r="T73" s="321">
        <v>5</v>
      </c>
      <c r="U73" s="321">
        <v>0.7</v>
      </c>
      <c r="V73" s="321">
        <v>0.7</v>
      </c>
      <c r="W73" s="321">
        <v>0.7</v>
      </c>
      <c r="X73" s="321">
        <v>1700</v>
      </c>
      <c r="Y73" s="320" t="s">
        <v>470</v>
      </c>
      <c r="Z73" s="321">
        <v>0.85</v>
      </c>
      <c r="AA73" s="320" t="s">
        <v>471</v>
      </c>
      <c r="AB73" s="320" t="s">
        <v>472</v>
      </c>
      <c r="AC73" s="323">
        <v>220</v>
      </c>
    </row>
    <row r="74" spans="1:29">
      <c r="A74" s="307" t="s">
        <v>550</v>
      </c>
      <c r="B74" s="308" t="s">
        <v>490</v>
      </c>
      <c r="C74" s="308"/>
      <c r="D74" s="308" t="s">
        <v>468</v>
      </c>
      <c r="E74" s="309">
        <v>1.5</v>
      </c>
      <c r="F74" s="310">
        <v>45202.640277777777</v>
      </c>
      <c r="G74" s="309">
        <v>1</v>
      </c>
      <c r="H74" s="309">
        <v>51.370800000000003</v>
      </c>
      <c r="I74" s="309">
        <v>6.4893099999999997</v>
      </c>
      <c r="J74" s="309">
        <v>-13.945888</v>
      </c>
      <c r="K74" s="309">
        <v>-13.121619000000001</v>
      </c>
      <c r="L74" s="309">
        <v>1016.75</v>
      </c>
      <c r="M74" s="309">
        <v>129.00089600000001</v>
      </c>
      <c r="N74" s="309">
        <v>18181.78</v>
      </c>
      <c r="O74" s="309">
        <v>18162.809229999999</v>
      </c>
      <c r="P74" s="309">
        <v>2073.89</v>
      </c>
      <c r="Q74" s="308" t="s">
        <v>469</v>
      </c>
      <c r="R74" s="308"/>
      <c r="S74" s="309">
        <v>15</v>
      </c>
      <c r="T74" s="309">
        <v>5</v>
      </c>
      <c r="U74" s="309">
        <v>0.7</v>
      </c>
      <c r="V74" s="309">
        <v>0.7</v>
      </c>
      <c r="W74" s="309">
        <v>0.7</v>
      </c>
      <c r="X74" s="309">
        <v>1700</v>
      </c>
      <c r="Y74" s="308" t="s">
        <v>470</v>
      </c>
      <c r="Z74" s="309">
        <v>0.85</v>
      </c>
      <c r="AA74" s="308" t="s">
        <v>471</v>
      </c>
      <c r="AB74" s="308" t="s">
        <v>472</v>
      </c>
      <c r="AC74" s="311">
        <v>220</v>
      </c>
    </row>
    <row r="75" spans="1:29">
      <c r="A75" s="312" t="s">
        <v>551</v>
      </c>
      <c r="B75" s="313" t="s">
        <v>490</v>
      </c>
      <c r="C75" s="313"/>
      <c r="D75" s="313" t="s">
        <v>468</v>
      </c>
      <c r="E75" s="314">
        <v>1.5</v>
      </c>
      <c r="F75" s="315">
        <v>45202.644444444442</v>
      </c>
      <c r="G75" s="314">
        <v>1</v>
      </c>
      <c r="H75" s="314">
        <v>51.364100000000001</v>
      </c>
      <c r="I75" s="314">
        <v>6.4443000000000001</v>
      </c>
      <c r="J75" s="314">
        <v>-13.93515</v>
      </c>
      <c r="K75" s="314">
        <v>-13.096418999999999</v>
      </c>
      <c r="L75" s="314">
        <v>1012.81</v>
      </c>
      <c r="M75" s="314">
        <v>121.999714</v>
      </c>
      <c r="N75" s="314">
        <v>18148.07</v>
      </c>
      <c r="O75" s="314">
        <v>18162.809229999999</v>
      </c>
      <c r="P75" s="314">
        <v>2073.89</v>
      </c>
      <c r="Q75" s="313" t="s">
        <v>469</v>
      </c>
      <c r="R75" s="313"/>
      <c r="S75" s="314">
        <v>15</v>
      </c>
      <c r="T75" s="314">
        <v>5</v>
      </c>
      <c r="U75" s="314">
        <v>0.7</v>
      </c>
      <c r="V75" s="314">
        <v>0.7</v>
      </c>
      <c r="W75" s="314">
        <v>0.7</v>
      </c>
      <c r="X75" s="314">
        <v>1700</v>
      </c>
      <c r="Y75" s="313" t="s">
        <v>470</v>
      </c>
      <c r="Z75" s="314">
        <v>0.85</v>
      </c>
      <c r="AA75" s="313" t="s">
        <v>471</v>
      </c>
      <c r="AB75" s="313" t="s">
        <v>472</v>
      </c>
      <c r="AC75" s="316">
        <v>220</v>
      </c>
    </row>
    <row r="76" spans="1:29">
      <c r="A76" s="307" t="s">
        <v>552</v>
      </c>
      <c r="B76" s="308" t="s">
        <v>494</v>
      </c>
      <c r="C76" s="308"/>
      <c r="D76" s="308" t="s">
        <v>468</v>
      </c>
      <c r="E76" s="309">
        <v>1.8</v>
      </c>
      <c r="F76" s="310">
        <v>45202.647916666669</v>
      </c>
      <c r="G76" s="309">
        <v>1</v>
      </c>
      <c r="H76" s="309">
        <v>51.3675</v>
      </c>
      <c r="I76" s="309">
        <v>6.3876900000000001</v>
      </c>
      <c r="J76" s="309">
        <v>-13.900719</v>
      </c>
      <c r="K76" s="309">
        <v>-13.073024999999999</v>
      </c>
      <c r="L76" s="309">
        <v>1012.54</v>
      </c>
      <c r="M76" s="309">
        <v>132.00045600000001</v>
      </c>
      <c r="N76" s="309">
        <v>21777.91</v>
      </c>
      <c r="O76" s="309">
        <v>21786.52331</v>
      </c>
      <c r="P76" s="309">
        <v>2073.89</v>
      </c>
      <c r="Q76" s="308" t="s">
        <v>469</v>
      </c>
      <c r="R76" s="308"/>
      <c r="S76" s="309">
        <v>15</v>
      </c>
      <c r="T76" s="309">
        <v>5</v>
      </c>
      <c r="U76" s="309">
        <v>0.7</v>
      </c>
      <c r="V76" s="309">
        <v>0.7</v>
      </c>
      <c r="W76" s="309">
        <v>0.7</v>
      </c>
      <c r="X76" s="309">
        <v>1700</v>
      </c>
      <c r="Y76" s="308" t="s">
        <v>470</v>
      </c>
      <c r="Z76" s="309">
        <v>0.85</v>
      </c>
      <c r="AA76" s="308" t="s">
        <v>471</v>
      </c>
      <c r="AB76" s="308" t="s">
        <v>472</v>
      </c>
      <c r="AC76" s="311">
        <v>220</v>
      </c>
    </row>
    <row r="77" spans="1:29">
      <c r="A77" s="312" t="s">
        <v>553</v>
      </c>
      <c r="B77" s="313" t="s">
        <v>494</v>
      </c>
      <c r="C77" s="313"/>
      <c r="D77" s="313" t="s">
        <v>468</v>
      </c>
      <c r="E77" s="314">
        <v>1.8</v>
      </c>
      <c r="F77" s="315">
        <v>45202.651388888888</v>
      </c>
      <c r="G77" s="314">
        <v>1</v>
      </c>
      <c r="H77" s="314">
        <v>51.370800000000003</v>
      </c>
      <c r="I77" s="314">
        <v>6.32857</v>
      </c>
      <c r="J77" s="314">
        <v>-13.85975</v>
      </c>
      <c r="K77" s="314">
        <v>-13.023737000000001</v>
      </c>
      <c r="L77" s="314">
        <v>1021.36</v>
      </c>
      <c r="M77" s="314">
        <v>135.49865299999999</v>
      </c>
      <c r="N77" s="314">
        <v>21787.040000000001</v>
      </c>
      <c r="O77" s="314">
        <v>21786.52331</v>
      </c>
      <c r="P77" s="314">
        <v>2073.89</v>
      </c>
      <c r="Q77" s="313" t="s">
        <v>469</v>
      </c>
      <c r="R77" s="313"/>
      <c r="S77" s="314">
        <v>15</v>
      </c>
      <c r="T77" s="314">
        <v>5</v>
      </c>
      <c r="U77" s="314">
        <v>0.7</v>
      </c>
      <c r="V77" s="314">
        <v>0.7</v>
      </c>
      <c r="W77" s="314">
        <v>0.7</v>
      </c>
      <c r="X77" s="314">
        <v>1700</v>
      </c>
      <c r="Y77" s="313" t="s">
        <v>470</v>
      </c>
      <c r="Z77" s="314">
        <v>0.85</v>
      </c>
      <c r="AA77" s="313" t="s">
        <v>471</v>
      </c>
      <c r="AB77" s="313" t="s">
        <v>472</v>
      </c>
      <c r="AC77" s="316">
        <v>220</v>
      </c>
    </row>
    <row r="78" spans="1:29">
      <c r="A78" s="307" t="s">
        <v>554</v>
      </c>
      <c r="B78" s="308" t="s">
        <v>494</v>
      </c>
      <c r="C78" s="308"/>
      <c r="D78" s="308" t="s">
        <v>468</v>
      </c>
      <c r="E78" s="309">
        <v>1.8</v>
      </c>
      <c r="F78" s="310">
        <v>45202.655555555553</v>
      </c>
      <c r="G78" s="309">
        <v>1</v>
      </c>
      <c r="H78" s="309">
        <v>51.3675</v>
      </c>
      <c r="I78" s="309">
        <v>6.4445600000000001</v>
      </c>
      <c r="J78" s="309">
        <v>-13.925205999999999</v>
      </c>
      <c r="K78" s="309">
        <v>-13.092775</v>
      </c>
      <c r="L78" s="309">
        <v>1018.57</v>
      </c>
      <c r="M78" s="309">
        <v>139.000471</v>
      </c>
      <c r="N78" s="309">
        <v>21794.62</v>
      </c>
      <c r="O78" s="309">
        <v>21786.52331</v>
      </c>
      <c r="P78" s="309">
        <v>2073.89</v>
      </c>
      <c r="Q78" s="308" t="s">
        <v>469</v>
      </c>
      <c r="R78" s="308"/>
      <c r="S78" s="309">
        <v>15</v>
      </c>
      <c r="T78" s="309">
        <v>5</v>
      </c>
      <c r="U78" s="309">
        <v>0.7</v>
      </c>
      <c r="V78" s="309">
        <v>0.7</v>
      </c>
      <c r="W78" s="309">
        <v>0.7</v>
      </c>
      <c r="X78" s="309">
        <v>1700</v>
      </c>
      <c r="Y78" s="308" t="s">
        <v>470</v>
      </c>
      <c r="Z78" s="309">
        <v>0.85</v>
      </c>
      <c r="AA78" s="308" t="s">
        <v>471</v>
      </c>
      <c r="AB78" s="308" t="s">
        <v>472</v>
      </c>
      <c r="AC78" s="311">
        <v>220</v>
      </c>
    </row>
    <row r="79" spans="1:29">
      <c r="A79" s="312" t="s">
        <v>555</v>
      </c>
      <c r="B79" s="313">
        <v>2</v>
      </c>
      <c r="C79" s="313">
        <v>182</v>
      </c>
      <c r="D79" s="313" t="s">
        <v>419</v>
      </c>
      <c r="E79" s="314">
        <v>1.5</v>
      </c>
      <c r="F79" s="315">
        <v>45202.659722222219</v>
      </c>
      <c r="G79" s="314">
        <v>1</v>
      </c>
      <c r="H79" s="314">
        <v>51.374099999999999</v>
      </c>
      <c r="I79" s="314">
        <v>6.3765099999999997</v>
      </c>
      <c r="J79" s="314">
        <v>-13.904</v>
      </c>
      <c r="K79" s="314">
        <v>-13.055268999999999</v>
      </c>
      <c r="L79" s="314">
        <v>970.16</v>
      </c>
      <c r="M79" s="314">
        <v>116.499388</v>
      </c>
      <c r="N79" s="314">
        <v>17572.68</v>
      </c>
      <c r="O79" s="314">
        <v>17587.221389999999</v>
      </c>
      <c r="P79" s="314">
        <v>2008.4860000000001</v>
      </c>
      <c r="Q79" s="313" t="s">
        <v>469</v>
      </c>
      <c r="R79" s="313"/>
      <c r="S79" s="314">
        <v>15</v>
      </c>
      <c r="T79" s="314">
        <v>5</v>
      </c>
      <c r="U79" s="314">
        <v>0.7</v>
      </c>
      <c r="V79" s="314">
        <v>0.7</v>
      </c>
      <c r="W79" s="314">
        <v>0.7</v>
      </c>
      <c r="X79" s="314">
        <v>1700</v>
      </c>
      <c r="Y79" s="313" t="s">
        <v>470</v>
      </c>
      <c r="Z79" s="314">
        <v>0.85</v>
      </c>
      <c r="AA79" s="313" t="s">
        <v>471</v>
      </c>
      <c r="AB79" s="313" t="s">
        <v>472</v>
      </c>
      <c r="AC79" s="316">
        <v>220</v>
      </c>
    </row>
    <row r="80" spans="1:29">
      <c r="A80" s="307" t="s">
        <v>556</v>
      </c>
      <c r="B80" s="308">
        <v>2</v>
      </c>
      <c r="C80" s="308">
        <v>182</v>
      </c>
      <c r="D80" s="308" t="s">
        <v>419</v>
      </c>
      <c r="E80" s="309">
        <v>1.5</v>
      </c>
      <c r="F80" s="310">
        <v>45202.663194444445</v>
      </c>
      <c r="G80" s="309">
        <v>1</v>
      </c>
      <c r="H80" s="309">
        <v>51.370800000000003</v>
      </c>
      <c r="I80" s="309">
        <v>6.5744400000000001</v>
      </c>
      <c r="J80" s="309">
        <v>-13.985006</v>
      </c>
      <c r="K80" s="309">
        <v>-13.149649999999999</v>
      </c>
      <c r="L80" s="309">
        <v>975.48599999999999</v>
      </c>
      <c r="M80" s="309">
        <v>124.500197</v>
      </c>
      <c r="N80" s="309">
        <v>17592.91</v>
      </c>
      <c r="O80" s="309">
        <v>17587.221389999999</v>
      </c>
      <c r="P80" s="309">
        <v>2008.4860000000001</v>
      </c>
      <c r="Q80" s="308" t="s">
        <v>469</v>
      </c>
      <c r="R80" s="308"/>
      <c r="S80" s="309">
        <v>15</v>
      </c>
      <c r="T80" s="309">
        <v>5</v>
      </c>
      <c r="U80" s="309">
        <v>0.7</v>
      </c>
      <c r="V80" s="309">
        <v>0.7</v>
      </c>
      <c r="W80" s="309">
        <v>0.7</v>
      </c>
      <c r="X80" s="309">
        <v>1700</v>
      </c>
      <c r="Y80" s="308" t="s">
        <v>470</v>
      </c>
      <c r="Z80" s="309">
        <v>0.85</v>
      </c>
      <c r="AA80" s="308" t="s">
        <v>471</v>
      </c>
      <c r="AB80" s="308" t="s">
        <v>472</v>
      </c>
      <c r="AC80" s="311">
        <v>220</v>
      </c>
    </row>
    <row r="81" spans="1:29">
      <c r="A81" s="312" t="s">
        <v>557</v>
      </c>
      <c r="B81" s="313">
        <v>2</v>
      </c>
      <c r="C81" s="313">
        <v>182</v>
      </c>
      <c r="D81" s="313" t="s">
        <v>419</v>
      </c>
      <c r="E81" s="314">
        <v>1.5</v>
      </c>
      <c r="F81" s="315">
        <v>45202.666666666664</v>
      </c>
      <c r="G81" s="314">
        <v>1</v>
      </c>
      <c r="H81" s="314">
        <v>51.374099999999999</v>
      </c>
      <c r="I81" s="314">
        <v>6.5524199999999997</v>
      </c>
      <c r="J81" s="314">
        <v>-13.893456</v>
      </c>
      <c r="K81" s="314">
        <v>-13.059563000000001</v>
      </c>
      <c r="L81" s="314">
        <v>973.74900000000002</v>
      </c>
      <c r="M81" s="314">
        <v>118.000362</v>
      </c>
      <c r="N81" s="314">
        <v>17596.080000000002</v>
      </c>
      <c r="O81" s="314">
        <v>17587.221389999999</v>
      </c>
      <c r="P81" s="314">
        <v>2008.4860000000001</v>
      </c>
      <c r="Q81" s="313" t="s">
        <v>469</v>
      </c>
      <c r="R81" s="313"/>
      <c r="S81" s="314">
        <v>15</v>
      </c>
      <c r="T81" s="314">
        <v>5</v>
      </c>
      <c r="U81" s="314">
        <v>0.7</v>
      </c>
      <c r="V81" s="314">
        <v>0.7</v>
      </c>
      <c r="W81" s="314">
        <v>0.7</v>
      </c>
      <c r="X81" s="314">
        <v>1700</v>
      </c>
      <c r="Y81" s="313" t="s">
        <v>470</v>
      </c>
      <c r="Z81" s="314">
        <v>0.85</v>
      </c>
      <c r="AA81" s="313" t="s">
        <v>471</v>
      </c>
      <c r="AB81" s="313" t="s">
        <v>472</v>
      </c>
      <c r="AC81" s="316">
        <v>220</v>
      </c>
    </row>
    <row r="82" spans="1:29">
      <c r="A82" s="307" t="s">
        <v>558</v>
      </c>
      <c r="B82" s="308">
        <v>3</v>
      </c>
      <c r="C82" s="308">
        <v>183</v>
      </c>
      <c r="D82" s="308" t="s">
        <v>420</v>
      </c>
      <c r="E82" s="309">
        <v>1.5</v>
      </c>
      <c r="F82" s="310">
        <v>45202.67083333333</v>
      </c>
      <c r="G82" s="309">
        <v>1</v>
      </c>
      <c r="H82" s="309">
        <v>51.370800000000003</v>
      </c>
      <c r="I82" s="309">
        <v>6.5217700000000001</v>
      </c>
      <c r="J82" s="309">
        <v>-13.860469</v>
      </c>
      <c r="K82" s="309">
        <v>-13.022181</v>
      </c>
      <c r="L82" s="309">
        <v>995.26700000000005</v>
      </c>
      <c r="M82" s="309">
        <v>119.49980499999999</v>
      </c>
      <c r="N82" s="309">
        <v>17865.73</v>
      </c>
      <c r="O82" s="309">
        <v>17881.17597</v>
      </c>
      <c r="P82" s="309">
        <v>2041.8879999999999</v>
      </c>
      <c r="Q82" s="308" t="s">
        <v>469</v>
      </c>
      <c r="R82" s="308"/>
      <c r="S82" s="309">
        <v>15</v>
      </c>
      <c r="T82" s="309">
        <v>5</v>
      </c>
      <c r="U82" s="309">
        <v>0.7</v>
      </c>
      <c r="V82" s="309">
        <v>0.7</v>
      </c>
      <c r="W82" s="309">
        <v>0.7</v>
      </c>
      <c r="X82" s="309">
        <v>1700</v>
      </c>
      <c r="Y82" s="308" t="s">
        <v>470</v>
      </c>
      <c r="Z82" s="309">
        <v>0.85</v>
      </c>
      <c r="AA82" s="308" t="s">
        <v>471</v>
      </c>
      <c r="AB82" s="308" t="s">
        <v>472</v>
      </c>
      <c r="AC82" s="311">
        <v>220</v>
      </c>
    </row>
    <row r="83" spans="1:29">
      <c r="A83" s="312" t="s">
        <v>559</v>
      </c>
      <c r="B83" s="313">
        <v>3</v>
      </c>
      <c r="C83" s="313">
        <v>183</v>
      </c>
      <c r="D83" s="313" t="s">
        <v>420</v>
      </c>
      <c r="E83" s="314">
        <v>1.5</v>
      </c>
      <c r="F83" s="315">
        <v>45202.674305555556</v>
      </c>
      <c r="G83" s="314">
        <v>1</v>
      </c>
      <c r="H83" s="314">
        <v>51.374099999999999</v>
      </c>
      <c r="I83" s="314">
        <v>6.5628500000000001</v>
      </c>
      <c r="J83" s="314">
        <v>-13.945311999999999</v>
      </c>
      <c r="K83" s="314">
        <v>-13.104412999999999</v>
      </c>
      <c r="L83" s="314">
        <v>993.87</v>
      </c>
      <c r="M83" s="314">
        <v>130.99964199999999</v>
      </c>
      <c r="N83" s="314">
        <v>17896.78</v>
      </c>
      <c r="O83" s="314">
        <v>17881.17597</v>
      </c>
      <c r="P83" s="314">
        <v>2041.8879999999999</v>
      </c>
      <c r="Q83" s="313" t="s">
        <v>469</v>
      </c>
      <c r="R83" s="313"/>
      <c r="S83" s="314">
        <v>15</v>
      </c>
      <c r="T83" s="314">
        <v>5</v>
      </c>
      <c r="U83" s="314">
        <v>0.7</v>
      </c>
      <c r="V83" s="314">
        <v>0.7</v>
      </c>
      <c r="W83" s="314">
        <v>0.7</v>
      </c>
      <c r="X83" s="314">
        <v>1700</v>
      </c>
      <c r="Y83" s="313" t="s">
        <v>470</v>
      </c>
      <c r="Z83" s="314">
        <v>0.85</v>
      </c>
      <c r="AA83" s="313" t="s">
        <v>471</v>
      </c>
      <c r="AB83" s="313" t="s">
        <v>472</v>
      </c>
      <c r="AC83" s="316">
        <v>220</v>
      </c>
    </row>
    <row r="84" spans="1:29">
      <c r="A84" s="307" t="s">
        <v>560</v>
      </c>
      <c r="B84" s="308">
        <v>3</v>
      </c>
      <c r="C84" s="308">
        <v>183</v>
      </c>
      <c r="D84" s="308" t="s">
        <v>420</v>
      </c>
      <c r="E84" s="309">
        <v>1.5</v>
      </c>
      <c r="F84" s="310">
        <v>45202.677777777775</v>
      </c>
      <c r="G84" s="309">
        <v>1</v>
      </c>
      <c r="H84" s="309">
        <v>51.374099999999999</v>
      </c>
      <c r="I84" s="309">
        <v>6.5079200000000004</v>
      </c>
      <c r="J84" s="309">
        <v>-13.882080999999999</v>
      </c>
      <c r="K84" s="309">
        <v>-13.036713000000001</v>
      </c>
      <c r="L84" s="309">
        <v>985.54899999999998</v>
      </c>
      <c r="M84" s="309">
        <v>115.49842099999999</v>
      </c>
      <c r="N84" s="309">
        <v>17881.02</v>
      </c>
      <c r="O84" s="309">
        <v>17881.17597</v>
      </c>
      <c r="P84" s="309">
        <v>2041.8879999999999</v>
      </c>
      <c r="Q84" s="308" t="s">
        <v>469</v>
      </c>
      <c r="R84" s="308"/>
      <c r="S84" s="309">
        <v>15</v>
      </c>
      <c r="T84" s="309">
        <v>5</v>
      </c>
      <c r="U84" s="309">
        <v>0.7</v>
      </c>
      <c r="V84" s="309">
        <v>0.7</v>
      </c>
      <c r="W84" s="309">
        <v>0.7</v>
      </c>
      <c r="X84" s="309">
        <v>1700</v>
      </c>
      <c r="Y84" s="308" t="s">
        <v>470</v>
      </c>
      <c r="Z84" s="309">
        <v>0.85</v>
      </c>
      <c r="AA84" s="308" t="s">
        <v>471</v>
      </c>
      <c r="AB84" s="308" t="s">
        <v>472</v>
      </c>
      <c r="AC84" s="311">
        <v>220</v>
      </c>
    </row>
    <row r="85" spans="1:29">
      <c r="A85" s="312" t="s">
        <v>561</v>
      </c>
      <c r="B85" s="313">
        <v>4</v>
      </c>
      <c r="C85" s="313">
        <v>179</v>
      </c>
      <c r="D85" s="313" t="s">
        <v>421</v>
      </c>
      <c r="E85" s="314">
        <v>1.5</v>
      </c>
      <c r="F85" s="315">
        <v>45202.681944444441</v>
      </c>
      <c r="G85" s="314">
        <v>1</v>
      </c>
      <c r="H85" s="314">
        <v>51.370800000000003</v>
      </c>
      <c r="I85" s="314">
        <v>6.4841499999999996</v>
      </c>
      <c r="J85" s="314">
        <v>-13.742594</v>
      </c>
      <c r="K85" s="314">
        <v>-12.910588000000001</v>
      </c>
      <c r="L85" s="314">
        <v>975.072</v>
      </c>
      <c r="M85" s="314">
        <v>116.49872000000001</v>
      </c>
      <c r="N85" s="314">
        <v>17544.87</v>
      </c>
      <c r="O85" s="314">
        <v>17547.838489999998</v>
      </c>
      <c r="P85" s="314">
        <v>2004.011</v>
      </c>
      <c r="Q85" s="313" t="s">
        <v>469</v>
      </c>
      <c r="R85" s="313"/>
      <c r="S85" s="314">
        <v>15</v>
      </c>
      <c r="T85" s="314">
        <v>5</v>
      </c>
      <c r="U85" s="314">
        <v>0.7</v>
      </c>
      <c r="V85" s="314">
        <v>0.7</v>
      </c>
      <c r="W85" s="314">
        <v>0.7</v>
      </c>
      <c r="X85" s="314">
        <v>1700</v>
      </c>
      <c r="Y85" s="313" t="s">
        <v>470</v>
      </c>
      <c r="Z85" s="314">
        <v>0.85</v>
      </c>
      <c r="AA85" s="313" t="s">
        <v>471</v>
      </c>
      <c r="AB85" s="313" t="s">
        <v>472</v>
      </c>
      <c r="AC85" s="316">
        <v>220</v>
      </c>
    </row>
    <row r="86" spans="1:29">
      <c r="A86" s="307" t="s">
        <v>562</v>
      </c>
      <c r="B86" s="308">
        <v>4</v>
      </c>
      <c r="C86" s="308">
        <v>179</v>
      </c>
      <c r="D86" s="308" t="s">
        <v>421</v>
      </c>
      <c r="E86" s="309">
        <v>1.5</v>
      </c>
      <c r="F86" s="310">
        <v>45202.685416666667</v>
      </c>
      <c r="G86" s="309">
        <v>1</v>
      </c>
      <c r="H86" s="309">
        <v>51.370800000000003</v>
      </c>
      <c r="I86" s="309">
        <v>6.4676099999999996</v>
      </c>
      <c r="J86" s="309">
        <v>-13.817488000000001</v>
      </c>
      <c r="K86" s="309">
        <v>-12.970243999999999</v>
      </c>
      <c r="L86" s="309">
        <v>970.09199999999998</v>
      </c>
      <c r="M86" s="309">
        <v>119.00039700000001</v>
      </c>
      <c r="N86" s="309">
        <v>17538.63</v>
      </c>
      <c r="O86" s="309">
        <v>17547.838489999998</v>
      </c>
      <c r="P86" s="309">
        <v>2004.011</v>
      </c>
      <c r="Q86" s="308" t="s">
        <v>469</v>
      </c>
      <c r="R86" s="308"/>
      <c r="S86" s="309">
        <v>15</v>
      </c>
      <c r="T86" s="309">
        <v>5</v>
      </c>
      <c r="U86" s="309">
        <v>0.7</v>
      </c>
      <c r="V86" s="309">
        <v>0.7</v>
      </c>
      <c r="W86" s="309">
        <v>0.7</v>
      </c>
      <c r="X86" s="309">
        <v>1700</v>
      </c>
      <c r="Y86" s="308" t="s">
        <v>470</v>
      </c>
      <c r="Z86" s="309">
        <v>0.85</v>
      </c>
      <c r="AA86" s="308" t="s">
        <v>471</v>
      </c>
      <c r="AB86" s="308" t="s">
        <v>472</v>
      </c>
      <c r="AC86" s="311">
        <v>220</v>
      </c>
    </row>
    <row r="87" spans="1:29">
      <c r="A87" s="312" t="s">
        <v>563</v>
      </c>
      <c r="B87" s="313">
        <v>4</v>
      </c>
      <c r="C87" s="313">
        <v>179</v>
      </c>
      <c r="D87" s="313" t="s">
        <v>421</v>
      </c>
      <c r="E87" s="314">
        <v>1.5</v>
      </c>
      <c r="F87" s="315">
        <v>45202.688888888886</v>
      </c>
      <c r="G87" s="314">
        <v>1</v>
      </c>
      <c r="H87" s="314">
        <v>51.374099999999999</v>
      </c>
      <c r="I87" s="314">
        <v>6.5261300000000002</v>
      </c>
      <c r="J87" s="314">
        <v>-13.891844000000001</v>
      </c>
      <c r="K87" s="314">
        <v>-13.068930999999999</v>
      </c>
      <c r="L87" s="314">
        <v>964.24099999999999</v>
      </c>
      <c r="M87" s="314">
        <v>129.50108399999999</v>
      </c>
      <c r="N87" s="314">
        <v>17583.38</v>
      </c>
      <c r="O87" s="314">
        <v>17547.838489999998</v>
      </c>
      <c r="P87" s="314">
        <v>2004.011</v>
      </c>
      <c r="Q87" s="313" t="s">
        <v>542</v>
      </c>
      <c r="R87" s="313"/>
      <c r="S87" s="314">
        <v>15</v>
      </c>
      <c r="T87" s="314">
        <v>5</v>
      </c>
      <c r="U87" s="314">
        <v>0.7</v>
      </c>
      <c r="V87" s="314">
        <v>0.7</v>
      </c>
      <c r="W87" s="314">
        <v>0.7</v>
      </c>
      <c r="X87" s="314">
        <v>1700</v>
      </c>
      <c r="Y87" s="313" t="s">
        <v>470</v>
      </c>
      <c r="Z87" s="314">
        <v>0.85</v>
      </c>
      <c r="AA87" s="313" t="s">
        <v>471</v>
      </c>
      <c r="AB87" s="313" t="s">
        <v>472</v>
      </c>
      <c r="AC87" s="316">
        <v>220</v>
      </c>
    </row>
    <row r="88" spans="1:29">
      <c r="A88" s="307" t="s">
        <v>564</v>
      </c>
      <c r="B88" s="308">
        <v>4</v>
      </c>
      <c r="C88" s="308">
        <v>179</v>
      </c>
      <c r="D88" s="308" t="s">
        <v>421</v>
      </c>
      <c r="E88" s="309">
        <v>1.5</v>
      </c>
      <c r="F88" s="310">
        <v>45202.693055555559</v>
      </c>
      <c r="G88" s="309">
        <v>1</v>
      </c>
      <c r="H88" s="309">
        <v>51.3675</v>
      </c>
      <c r="I88" s="309">
        <v>6.4740700000000002</v>
      </c>
      <c r="J88" s="309">
        <v>-13.805744000000001</v>
      </c>
      <c r="K88" s="309">
        <v>-12.962925</v>
      </c>
      <c r="L88" s="309">
        <v>976.10699999999997</v>
      </c>
      <c r="M88" s="309">
        <v>119.501904</v>
      </c>
      <c r="N88" s="309">
        <v>17560.02</v>
      </c>
      <c r="O88" s="309">
        <v>17547.838489999998</v>
      </c>
      <c r="P88" s="309">
        <v>2004.011</v>
      </c>
      <c r="Q88" s="308" t="s">
        <v>469</v>
      </c>
      <c r="R88" s="308"/>
      <c r="S88" s="309">
        <v>15</v>
      </c>
      <c r="T88" s="309">
        <v>5</v>
      </c>
      <c r="U88" s="309">
        <v>0.7</v>
      </c>
      <c r="V88" s="309">
        <v>0.7</v>
      </c>
      <c r="W88" s="309">
        <v>0.7</v>
      </c>
      <c r="X88" s="309">
        <v>1700</v>
      </c>
      <c r="Y88" s="308" t="s">
        <v>470</v>
      </c>
      <c r="Z88" s="309">
        <v>0.85</v>
      </c>
      <c r="AA88" s="308" t="s">
        <v>471</v>
      </c>
      <c r="AB88" s="308" t="s">
        <v>472</v>
      </c>
      <c r="AC88" s="311">
        <v>220</v>
      </c>
    </row>
    <row r="89" spans="1:29">
      <c r="A89" s="312" t="s">
        <v>565</v>
      </c>
      <c r="B89" s="313">
        <v>5</v>
      </c>
      <c r="C89" s="313">
        <v>178</v>
      </c>
      <c r="D89" s="313" t="s">
        <v>422</v>
      </c>
      <c r="E89" s="314">
        <v>1.5</v>
      </c>
      <c r="F89" s="315">
        <v>45202.697222222225</v>
      </c>
      <c r="G89" s="314">
        <v>1</v>
      </c>
      <c r="H89" s="314">
        <v>51.3675</v>
      </c>
      <c r="I89" s="314">
        <v>6.4727899999999998</v>
      </c>
      <c r="J89" s="314">
        <v>-13.860436999999999</v>
      </c>
      <c r="K89" s="314">
        <v>-13.012862999999999</v>
      </c>
      <c r="L89" s="314">
        <v>999.13400000000001</v>
      </c>
      <c r="M89" s="314">
        <v>118.50132499999999</v>
      </c>
      <c r="N89" s="314">
        <v>17837.55</v>
      </c>
      <c r="O89" s="314">
        <v>17846.62442</v>
      </c>
      <c r="P89" s="314">
        <v>2037.962</v>
      </c>
      <c r="Q89" s="313" t="s">
        <v>469</v>
      </c>
      <c r="R89" s="313"/>
      <c r="S89" s="314">
        <v>15</v>
      </c>
      <c r="T89" s="314">
        <v>5</v>
      </c>
      <c r="U89" s="314">
        <v>0.7</v>
      </c>
      <c r="V89" s="314">
        <v>0.7</v>
      </c>
      <c r="W89" s="314">
        <v>0.7</v>
      </c>
      <c r="X89" s="314">
        <v>1700</v>
      </c>
      <c r="Y89" s="313" t="s">
        <v>470</v>
      </c>
      <c r="Z89" s="314">
        <v>0.85</v>
      </c>
      <c r="AA89" s="313" t="s">
        <v>471</v>
      </c>
      <c r="AB89" s="313" t="s">
        <v>472</v>
      </c>
      <c r="AC89" s="316">
        <v>220</v>
      </c>
    </row>
    <row r="90" spans="1:29">
      <c r="A90" s="307" t="s">
        <v>566</v>
      </c>
      <c r="B90" s="308">
        <v>5</v>
      </c>
      <c r="C90" s="308">
        <v>178</v>
      </c>
      <c r="D90" s="308" t="s">
        <v>422</v>
      </c>
      <c r="E90" s="309">
        <v>1.5</v>
      </c>
      <c r="F90" s="310">
        <v>45202.700694444444</v>
      </c>
      <c r="G90" s="309">
        <v>1</v>
      </c>
      <c r="H90" s="309">
        <v>51.370800000000003</v>
      </c>
      <c r="I90" s="309">
        <v>6.4744299999999999</v>
      </c>
      <c r="J90" s="309">
        <v>-13.767780999999999</v>
      </c>
      <c r="K90" s="309">
        <v>-12.921756</v>
      </c>
      <c r="L90" s="309">
        <v>986.255</v>
      </c>
      <c r="M90" s="309">
        <v>117.999059</v>
      </c>
      <c r="N90" s="309">
        <v>17863.7</v>
      </c>
      <c r="O90" s="309">
        <v>17846.62442</v>
      </c>
      <c r="P90" s="309">
        <v>2037.962</v>
      </c>
      <c r="Q90" s="308" t="s">
        <v>469</v>
      </c>
      <c r="R90" s="308"/>
      <c r="S90" s="309">
        <v>15</v>
      </c>
      <c r="T90" s="309">
        <v>5</v>
      </c>
      <c r="U90" s="309">
        <v>0.7</v>
      </c>
      <c r="V90" s="309">
        <v>0.7</v>
      </c>
      <c r="W90" s="309">
        <v>0.7</v>
      </c>
      <c r="X90" s="309">
        <v>1700</v>
      </c>
      <c r="Y90" s="308" t="s">
        <v>470</v>
      </c>
      <c r="Z90" s="309">
        <v>0.85</v>
      </c>
      <c r="AA90" s="308" t="s">
        <v>471</v>
      </c>
      <c r="AB90" s="308" t="s">
        <v>472</v>
      </c>
      <c r="AC90" s="311">
        <v>220</v>
      </c>
    </row>
    <row r="91" spans="1:29">
      <c r="A91" s="312" t="s">
        <v>567</v>
      </c>
      <c r="B91" s="313">
        <v>5</v>
      </c>
      <c r="C91" s="313">
        <v>178</v>
      </c>
      <c r="D91" s="313" t="s">
        <v>422</v>
      </c>
      <c r="E91" s="314">
        <v>1.5</v>
      </c>
      <c r="F91" s="315">
        <v>45202.70416666667</v>
      </c>
      <c r="G91" s="314">
        <v>1</v>
      </c>
      <c r="H91" s="314">
        <v>51.370800000000003</v>
      </c>
      <c r="I91" s="314">
        <v>6.5085100000000002</v>
      </c>
      <c r="J91" s="314">
        <v>-13.846012999999999</v>
      </c>
      <c r="K91" s="314">
        <v>-13.003787000000001</v>
      </c>
      <c r="L91" s="314">
        <v>989.096</v>
      </c>
      <c r="M91" s="314">
        <v>116.498068</v>
      </c>
      <c r="N91" s="314">
        <v>17838.63</v>
      </c>
      <c r="O91" s="314">
        <v>17846.62442</v>
      </c>
      <c r="P91" s="314">
        <v>2037.962</v>
      </c>
      <c r="Q91" s="313" t="s">
        <v>469</v>
      </c>
      <c r="R91" s="313"/>
      <c r="S91" s="314">
        <v>15</v>
      </c>
      <c r="T91" s="314">
        <v>5</v>
      </c>
      <c r="U91" s="314">
        <v>0.7</v>
      </c>
      <c r="V91" s="314">
        <v>0.7</v>
      </c>
      <c r="W91" s="314">
        <v>0.7</v>
      </c>
      <c r="X91" s="314">
        <v>1700</v>
      </c>
      <c r="Y91" s="313" t="s">
        <v>470</v>
      </c>
      <c r="Z91" s="314">
        <v>0.85</v>
      </c>
      <c r="AA91" s="313" t="s">
        <v>471</v>
      </c>
      <c r="AB91" s="313" t="s">
        <v>472</v>
      </c>
      <c r="AC91" s="316">
        <v>220</v>
      </c>
    </row>
    <row r="92" spans="1:29">
      <c r="A92" s="307" t="s">
        <v>568</v>
      </c>
      <c r="B92" s="308">
        <v>6</v>
      </c>
      <c r="C92" s="308">
        <v>181</v>
      </c>
      <c r="D92" s="308" t="s">
        <v>423</v>
      </c>
      <c r="E92" s="309">
        <v>1.5</v>
      </c>
      <c r="F92" s="310">
        <v>45202.708333333336</v>
      </c>
      <c r="G92" s="309">
        <v>1</v>
      </c>
      <c r="H92" s="309">
        <v>51.370800000000003</v>
      </c>
      <c r="I92" s="309">
        <v>6.4242100000000004</v>
      </c>
      <c r="J92" s="309">
        <v>-13.865600000000001</v>
      </c>
      <c r="K92" s="309">
        <v>-13.024812000000001</v>
      </c>
      <c r="L92" s="309">
        <v>981.23800000000006</v>
      </c>
      <c r="M92" s="309">
        <v>138.00033400000001</v>
      </c>
      <c r="N92" s="309">
        <v>17583.2</v>
      </c>
      <c r="O92" s="309">
        <v>17590.348290000002</v>
      </c>
      <c r="P92" s="309">
        <v>2008.8409999999999</v>
      </c>
      <c r="Q92" s="308" t="s">
        <v>469</v>
      </c>
      <c r="R92" s="308"/>
      <c r="S92" s="309">
        <v>15</v>
      </c>
      <c r="T92" s="309">
        <v>5</v>
      </c>
      <c r="U92" s="309">
        <v>0.7</v>
      </c>
      <c r="V92" s="309">
        <v>0.7</v>
      </c>
      <c r="W92" s="309">
        <v>0.7</v>
      </c>
      <c r="X92" s="309">
        <v>1700</v>
      </c>
      <c r="Y92" s="308" t="s">
        <v>470</v>
      </c>
      <c r="Z92" s="309">
        <v>0.85</v>
      </c>
      <c r="AA92" s="308" t="s">
        <v>471</v>
      </c>
      <c r="AB92" s="308" t="s">
        <v>472</v>
      </c>
      <c r="AC92" s="311">
        <v>220</v>
      </c>
    </row>
    <row r="93" spans="1:29">
      <c r="A93" s="312" t="s">
        <v>569</v>
      </c>
      <c r="B93" s="313">
        <v>6</v>
      </c>
      <c r="C93" s="313">
        <v>181</v>
      </c>
      <c r="D93" s="313" t="s">
        <v>423</v>
      </c>
      <c r="E93" s="314">
        <v>1.5</v>
      </c>
      <c r="F93" s="315">
        <v>45202.711805555555</v>
      </c>
      <c r="G93" s="314">
        <v>1</v>
      </c>
      <c r="H93" s="314">
        <v>51.374099999999999</v>
      </c>
      <c r="I93" s="314">
        <v>6.3882199999999996</v>
      </c>
      <c r="J93" s="314">
        <v>-13.871981</v>
      </c>
      <c r="K93" s="314">
        <v>-13.028263000000001</v>
      </c>
      <c r="L93" s="314">
        <v>970.24800000000005</v>
      </c>
      <c r="M93" s="314">
        <v>118.001126</v>
      </c>
      <c r="N93" s="314">
        <v>17582.310000000001</v>
      </c>
      <c r="O93" s="314">
        <v>17590.348290000002</v>
      </c>
      <c r="P93" s="314">
        <v>2008.8409999999999</v>
      </c>
      <c r="Q93" s="313" t="s">
        <v>469</v>
      </c>
      <c r="R93" s="313"/>
      <c r="S93" s="314">
        <v>15</v>
      </c>
      <c r="T93" s="314">
        <v>5</v>
      </c>
      <c r="U93" s="314">
        <v>0.7</v>
      </c>
      <c r="V93" s="314">
        <v>0.7</v>
      </c>
      <c r="W93" s="314">
        <v>0.7</v>
      </c>
      <c r="X93" s="314">
        <v>1700</v>
      </c>
      <c r="Y93" s="313" t="s">
        <v>470</v>
      </c>
      <c r="Z93" s="314">
        <v>0.85</v>
      </c>
      <c r="AA93" s="313" t="s">
        <v>471</v>
      </c>
      <c r="AB93" s="313" t="s">
        <v>472</v>
      </c>
      <c r="AC93" s="316">
        <v>220</v>
      </c>
    </row>
    <row r="94" spans="1:29">
      <c r="A94" s="307" t="s">
        <v>570</v>
      </c>
      <c r="B94" s="308">
        <v>6</v>
      </c>
      <c r="C94" s="308">
        <v>181</v>
      </c>
      <c r="D94" s="308" t="s">
        <v>423</v>
      </c>
      <c r="E94" s="309">
        <v>1.5</v>
      </c>
      <c r="F94" s="310">
        <v>45202.715277777781</v>
      </c>
      <c r="G94" s="309">
        <v>1</v>
      </c>
      <c r="H94" s="309">
        <v>51.3675</v>
      </c>
      <c r="I94" s="309">
        <v>6.4436</v>
      </c>
      <c r="J94" s="309">
        <v>-13.854863</v>
      </c>
      <c r="K94" s="309">
        <v>-13.009425</v>
      </c>
      <c r="L94" s="309">
        <v>971.47299999999996</v>
      </c>
      <c r="M94" s="309">
        <v>114.500631</v>
      </c>
      <c r="N94" s="309">
        <v>17605.54</v>
      </c>
      <c r="O94" s="309">
        <v>17590.348290000002</v>
      </c>
      <c r="P94" s="309">
        <v>2008.8409999999999</v>
      </c>
      <c r="Q94" s="308" t="s">
        <v>469</v>
      </c>
      <c r="R94" s="308"/>
      <c r="S94" s="309">
        <v>15</v>
      </c>
      <c r="T94" s="309">
        <v>5</v>
      </c>
      <c r="U94" s="309">
        <v>0.7</v>
      </c>
      <c r="V94" s="309">
        <v>0.7</v>
      </c>
      <c r="W94" s="309">
        <v>0.7</v>
      </c>
      <c r="X94" s="309">
        <v>1700</v>
      </c>
      <c r="Y94" s="308" t="s">
        <v>470</v>
      </c>
      <c r="Z94" s="309">
        <v>0.85</v>
      </c>
      <c r="AA94" s="308" t="s">
        <v>471</v>
      </c>
      <c r="AB94" s="308" t="s">
        <v>472</v>
      </c>
      <c r="AC94" s="311">
        <v>220</v>
      </c>
    </row>
    <row r="95" spans="1:29">
      <c r="A95" s="312" t="s">
        <v>571</v>
      </c>
      <c r="B95" s="313">
        <v>7</v>
      </c>
      <c r="C95" s="313">
        <v>180</v>
      </c>
      <c r="D95" s="313" t="s">
        <v>424</v>
      </c>
      <c r="E95" s="314">
        <v>1.5</v>
      </c>
      <c r="F95" s="315">
        <v>45202.719444444447</v>
      </c>
      <c r="G95" s="314">
        <v>1</v>
      </c>
      <c r="H95" s="314">
        <v>51.370800000000003</v>
      </c>
      <c r="I95" s="314">
        <v>6.3882399999999997</v>
      </c>
      <c r="J95" s="314">
        <v>-13.848713</v>
      </c>
      <c r="K95" s="314">
        <v>-13.003569000000001</v>
      </c>
      <c r="L95" s="314">
        <v>982.29899999999998</v>
      </c>
      <c r="M95" s="314">
        <v>117.000269</v>
      </c>
      <c r="N95" s="314">
        <v>17524.25</v>
      </c>
      <c r="O95" s="314">
        <v>17566.93361</v>
      </c>
      <c r="P95" s="314">
        <v>2006.181</v>
      </c>
      <c r="Q95" s="313" t="s">
        <v>542</v>
      </c>
      <c r="R95" s="313"/>
      <c r="S95" s="314">
        <v>15</v>
      </c>
      <c r="T95" s="314">
        <v>5</v>
      </c>
      <c r="U95" s="314">
        <v>0.7</v>
      </c>
      <c r="V95" s="314">
        <v>0.7</v>
      </c>
      <c r="W95" s="314">
        <v>0.7</v>
      </c>
      <c r="X95" s="314">
        <v>1700</v>
      </c>
      <c r="Y95" s="313" t="s">
        <v>470</v>
      </c>
      <c r="Z95" s="314">
        <v>0.85</v>
      </c>
      <c r="AA95" s="313" t="s">
        <v>471</v>
      </c>
      <c r="AB95" s="313" t="s">
        <v>472</v>
      </c>
      <c r="AC95" s="316">
        <v>220</v>
      </c>
    </row>
    <row r="96" spans="1:29">
      <c r="A96" s="307" t="s">
        <v>572</v>
      </c>
      <c r="B96" s="308">
        <v>7</v>
      </c>
      <c r="C96" s="308">
        <v>180</v>
      </c>
      <c r="D96" s="308" t="s">
        <v>424</v>
      </c>
      <c r="E96" s="309">
        <v>1.5</v>
      </c>
      <c r="F96" s="310">
        <v>45202.722916666666</v>
      </c>
      <c r="G96" s="309">
        <v>1</v>
      </c>
      <c r="H96" s="309">
        <v>51.3675</v>
      </c>
      <c r="I96" s="309">
        <v>6.4156000000000004</v>
      </c>
      <c r="J96" s="309">
        <v>-13.9275</v>
      </c>
      <c r="K96" s="309">
        <v>-13.086425</v>
      </c>
      <c r="L96" s="309">
        <v>980.09100000000001</v>
      </c>
      <c r="M96" s="309">
        <v>127.00034100000001</v>
      </c>
      <c r="N96" s="309">
        <v>17576.099999999999</v>
      </c>
      <c r="O96" s="309">
        <v>17566.93361</v>
      </c>
      <c r="P96" s="309">
        <v>2006.181</v>
      </c>
      <c r="Q96" s="308" t="s">
        <v>469</v>
      </c>
      <c r="R96" s="308"/>
      <c r="S96" s="309">
        <v>15</v>
      </c>
      <c r="T96" s="309">
        <v>5</v>
      </c>
      <c r="U96" s="309">
        <v>0.7</v>
      </c>
      <c r="V96" s="309">
        <v>0.7</v>
      </c>
      <c r="W96" s="309">
        <v>0.7</v>
      </c>
      <c r="X96" s="309">
        <v>1700</v>
      </c>
      <c r="Y96" s="308" t="s">
        <v>470</v>
      </c>
      <c r="Z96" s="309">
        <v>0.85</v>
      </c>
      <c r="AA96" s="308" t="s">
        <v>471</v>
      </c>
      <c r="AB96" s="308" t="s">
        <v>472</v>
      </c>
      <c r="AC96" s="311">
        <v>220</v>
      </c>
    </row>
    <row r="97" spans="1:29">
      <c r="A97" s="312" t="s">
        <v>573</v>
      </c>
      <c r="B97" s="313">
        <v>7</v>
      </c>
      <c r="C97" s="313">
        <v>180</v>
      </c>
      <c r="D97" s="313" t="s">
        <v>424</v>
      </c>
      <c r="E97" s="314">
        <v>1.5</v>
      </c>
      <c r="F97" s="315">
        <v>45202.726388888892</v>
      </c>
      <c r="G97" s="314">
        <v>1</v>
      </c>
      <c r="H97" s="314">
        <v>51.3675</v>
      </c>
      <c r="I97" s="314">
        <v>6.5381</v>
      </c>
      <c r="J97" s="314">
        <v>-13.813224999999999</v>
      </c>
      <c r="K97" s="314">
        <v>-12.977874999999999</v>
      </c>
      <c r="L97" s="314">
        <v>962.745</v>
      </c>
      <c r="M97" s="314">
        <v>125.00067</v>
      </c>
      <c r="N97" s="314">
        <v>17521.849999999999</v>
      </c>
      <c r="O97" s="314">
        <v>17566.93361</v>
      </c>
      <c r="P97" s="314">
        <v>2006.181</v>
      </c>
      <c r="Q97" s="313" t="s">
        <v>542</v>
      </c>
      <c r="R97" s="313"/>
      <c r="S97" s="314">
        <v>15</v>
      </c>
      <c r="T97" s="314">
        <v>5</v>
      </c>
      <c r="U97" s="314">
        <v>0.7</v>
      </c>
      <c r="V97" s="314">
        <v>0.7</v>
      </c>
      <c r="W97" s="314">
        <v>0.7</v>
      </c>
      <c r="X97" s="314">
        <v>1700</v>
      </c>
      <c r="Y97" s="313" t="s">
        <v>470</v>
      </c>
      <c r="Z97" s="314">
        <v>0.85</v>
      </c>
      <c r="AA97" s="313" t="s">
        <v>471</v>
      </c>
      <c r="AB97" s="313" t="s">
        <v>472</v>
      </c>
      <c r="AC97" s="316">
        <v>220</v>
      </c>
    </row>
    <row r="98" spans="1:29">
      <c r="A98" s="307" t="s">
        <v>574</v>
      </c>
      <c r="B98" s="308">
        <v>7</v>
      </c>
      <c r="C98" s="308">
        <v>180</v>
      </c>
      <c r="D98" s="308" t="s">
        <v>424</v>
      </c>
      <c r="E98" s="309">
        <v>1.5</v>
      </c>
      <c r="F98" s="310">
        <v>45202.729861111111</v>
      </c>
      <c r="G98" s="309">
        <v>1</v>
      </c>
      <c r="H98" s="309">
        <v>51.374099999999999</v>
      </c>
      <c r="I98" s="309">
        <v>6.6843500000000002</v>
      </c>
      <c r="J98" s="309">
        <v>-13.690575000000001</v>
      </c>
      <c r="K98" s="309">
        <v>-12.858575</v>
      </c>
      <c r="L98" s="309">
        <v>973.73199999999997</v>
      </c>
      <c r="M98" s="309">
        <v>113.00036</v>
      </c>
      <c r="N98" s="309">
        <v>17561.89</v>
      </c>
      <c r="O98" s="309">
        <v>17566.93361</v>
      </c>
      <c r="P98" s="309">
        <v>2006.181</v>
      </c>
      <c r="Q98" s="308" t="s">
        <v>469</v>
      </c>
      <c r="R98" s="308"/>
      <c r="S98" s="309">
        <v>15</v>
      </c>
      <c r="T98" s="309">
        <v>5</v>
      </c>
      <c r="U98" s="309">
        <v>0.7</v>
      </c>
      <c r="V98" s="309">
        <v>0.7</v>
      </c>
      <c r="W98" s="309">
        <v>0.7</v>
      </c>
      <c r="X98" s="309">
        <v>1700</v>
      </c>
      <c r="Y98" s="308" t="s">
        <v>470</v>
      </c>
      <c r="Z98" s="309">
        <v>0.85</v>
      </c>
      <c r="AA98" s="308" t="s">
        <v>471</v>
      </c>
      <c r="AB98" s="308" t="s">
        <v>472</v>
      </c>
      <c r="AC98" s="311">
        <v>220</v>
      </c>
    </row>
    <row r="99" spans="1:29">
      <c r="A99" s="312" t="s">
        <v>575</v>
      </c>
      <c r="B99" s="313">
        <v>7</v>
      </c>
      <c r="C99" s="313">
        <v>180</v>
      </c>
      <c r="D99" s="313" t="s">
        <v>424</v>
      </c>
      <c r="E99" s="314">
        <v>1.5</v>
      </c>
      <c r="F99" s="315">
        <v>45202.73333333333</v>
      </c>
      <c r="G99" s="314">
        <v>1</v>
      </c>
      <c r="H99" s="314">
        <v>51.374099999999999</v>
      </c>
      <c r="I99" s="314">
        <v>6.77597</v>
      </c>
      <c r="J99" s="314">
        <v>-13.740256</v>
      </c>
      <c r="K99" s="314">
        <v>-12.890819</v>
      </c>
      <c r="L99" s="314">
        <v>972.57600000000002</v>
      </c>
      <c r="M99" s="314">
        <v>111.499419</v>
      </c>
      <c r="N99" s="314">
        <v>17562.810000000001</v>
      </c>
      <c r="O99" s="314">
        <v>17566.93361</v>
      </c>
      <c r="P99" s="314">
        <v>2006.181</v>
      </c>
      <c r="Q99" s="313" t="s">
        <v>469</v>
      </c>
      <c r="R99" s="313"/>
      <c r="S99" s="314">
        <v>15</v>
      </c>
      <c r="T99" s="314">
        <v>5</v>
      </c>
      <c r="U99" s="314">
        <v>0.7</v>
      </c>
      <c r="V99" s="314">
        <v>0.7</v>
      </c>
      <c r="W99" s="314">
        <v>0.7</v>
      </c>
      <c r="X99" s="314">
        <v>1700</v>
      </c>
      <c r="Y99" s="313" t="s">
        <v>470</v>
      </c>
      <c r="Z99" s="314">
        <v>0.85</v>
      </c>
      <c r="AA99" s="313" t="s">
        <v>471</v>
      </c>
      <c r="AB99" s="313" t="s">
        <v>472</v>
      </c>
      <c r="AC99" s="316">
        <v>220</v>
      </c>
    </row>
    <row r="100" spans="1:29">
      <c r="A100" s="307" t="s">
        <v>576</v>
      </c>
      <c r="B100" s="308">
        <v>8</v>
      </c>
      <c r="C100" s="308">
        <v>176</v>
      </c>
      <c r="D100" s="308" t="s">
        <v>425</v>
      </c>
      <c r="E100" s="309">
        <v>1.5</v>
      </c>
      <c r="F100" s="310">
        <v>45202.737500000003</v>
      </c>
      <c r="G100" s="309">
        <v>1</v>
      </c>
      <c r="H100" s="309">
        <v>51.370800000000003</v>
      </c>
      <c r="I100" s="309">
        <v>6.6768200000000002</v>
      </c>
      <c r="J100" s="309">
        <v>-13.653606</v>
      </c>
      <c r="K100" s="309">
        <v>-12.805787</v>
      </c>
      <c r="L100" s="309">
        <v>986.12900000000002</v>
      </c>
      <c r="M100" s="309">
        <v>106.00017</v>
      </c>
      <c r="N100" s="309">
        <v>17608.53</v>
      </c>
      <c r="O100" s="309">
        <v>17654.154790000001</v>
      </c>
      <c r="P100" s="309">
        <v>2016.0920000000001</v>
      </c>
      <c r="Q100" s="308" t="s">
        <v>542</v>
      </c>
      <c r="R100" s="308"/>
      <c r="S100" s="309">
        <v>15</v>
      </c>
      <c r="T100" s="309">
        <v>5</v>
      </c>
      <c r="U100" s="309">
        <v>0.7</v>
      </c>
      <c r="V100" s="309">
        <v>0.7</v>
      </c>
      <c r="W100" s="309">
        <v>0.7</v>
      </c>
      <c r="X100" s="309">
        <v>1700</v>
      </c>
      <c r="Y100" s="308" t="s">
        <v>470</v>
      </c>
      <c r="Z100" s="309">
        <v>0.85</v>
      </c>
      <c r="AA100" s="308" t="s">
        <v>471</v>
      </c>
      <c r="AB100" s="308" t="s">
        <v>472</v>
      </c>
      <c r="AC100" s="311">
        <v>220</v>
      </c>
    </row>
    <row r="101" spans="1:29">
      <c r="A101" s="312" t="s">
        <v>577</v>
      </c>
      <c r="B101" s="313">
        <v>8</v>
      </c>
      <c r="C101" s="313">
        <v>176</v>
      </c>
      <c r="D101" s="313" t="s">
        <v>425</v>
      </c>
      <c r="E101" s="314">
        <v>1.5</v>
      </c>
      <c r="F101" s="315">
        <v>45202.740972222222</v>
      </c>
      <c r="G101" s="314">
        <v>1</v>
      </c>
      <c r="H101" s="314">
        <v>51.370800000000003</v>
      </c>
      <c r="I101" s="314">
        <v>6.7170100000000001</v>
      </c>
      <c r="J101" s="314">
        <v>-13.728788</v>
      </c>
      <c r="K101" s="314">
        <v>-12.891980999999999</v>
      </c>
      <c r="L101" s="314">
        <v>973.29100000000005</v>
      </c>
      <c r="M101" s="314">
        <v>127.500608</v>
      </c>
      <c r="N101" s="314">
        <v>17645.400000000001</v>
      </c>
      <c r="O101" s="314">
        <v>17654.154790000001</v>
      </c>
      <c r="P101" s="314">
        <v>2016.0920000000001</v>
      </c>
      <c r="Q101" s="313" t="s">
        <v>469</v>
      </c>
      <c r="R101" s="313"/>
      <c r="S101" s="314">
        <v>15</v>
      </c>
      <c r="T101" s="314">
        <v>5</v>
      </c>
      <c r="U101" s="314">
        <v>0.7</v>
      </c>
      <c r="V101" s="314">
        <v>0.7</v>
      </c>
      <c r="W101" s="314">
        <v>0.7</v>
      </c>
      <c r="X101" s="314">
        <v>1700</v>
      </c>
      <c r="Y101" s="313" t="s">
        <v>470</v>
      </c>
      <c r="Z101" s="314">
        <v>0.85</v>
      </c>
      <c r="AA101" s="313" t="s">
        <v>471</v>
      </c>
      <c r="AB101" s="313" t="s">
        <v>472</v>
      </c>
      <c r="AC101" s="316">
        <v>220</v>
      </c>
    </row>
    <row r="102" spans="1:29">
      <c r="A102" s="307" t="s">
        <v>578</v>
      </c>
      <c r="B102" s="308">
        <v>8</v>
      </c>
      <c r="C102" s="308">
        <v>176</v>
      </c>
      <c r="D102" s="308" t="s">
        <v>425</v>
      </c>
      <c r="E102" s="309">
        <v>1.5</v>
      </c>
      <c r="F102" s="310">
        <v>45202.744444444441</v>
      </c>
      <c r="G102" s="309">
        <v>1</v>
      </c>
      <c r="H102" s="309">
        <v>51.377400000000002</v>
      </c>
      <c r="I102" s="309">
        <v>6.7220500000000003</v>
      </c>
      <c r="J102" s="309">
        <v>-13.748424999999999</v>
      </c>
      <c r="K102" s="309">
        <v>-12.906561999999999</v>
      </c>
      <c r="L102" s="309">
        <v>974.45500000000004</v>
      </c>
      <c r="M102" s="309">
        <v>104.00155100000001</v>
      </c>
      <c r="N102" s="309">
        <v>17664.36</v>
      </c>
      <c r="O102" s="309">
        <v>17654.154790000001</v>
      </c>
      <c r="P102" s="309">
        <v>2016.0920000000001</v>
      </c>
      <c r="Q102" s="308" t="s">
        <v>469</v>
      </c>
      <c r="R102" s="308"/>
      <c r="S102" s="309">
        <v>15</v>
      </c>
      <c r="T102" s="309">
        <v>5</v>
      </c>
      <c r="U102" s="309">
        <v>0.7</v>
      </c>
      <c r="V102" s="309">
        <v>0.7</v>
      </c>
      <c r="W102" s="309">
        <v>0.7</v>
      </c>
      <c r="X102" s="309">
        <v>1700</v>
      </c>
      <c r="Y102" s="308" t="s">
        <v>470</v>
      </c>
      <c r="Z102" s="309">
        <v>0.85</v>
      </c>
      <c r="AA102" s="308" t="s">
        <v>471</v>
      </c>
      <c r="AB102" s="308" t="s">
        <v>472</v>
      </c>
      <c r="AC102" s="311">
        <v>220</v>
      </c>
    </row>
    <row r="103" spans="1:29">
      <c r="A103" s="312" t="s">
        <v>579</v>
      </c>
      <c r="B103" s="313">
        <v>8</v>
      </c>
      <c r="C103" s="313">
        <v>176</v>
      </c>
      <c r="D103" s="313" t="s">
        <v>425</v>
      </c>
      <c r="E103" s="314">
        <v>1.5</v>
      </c>
      <c r="F103" s="315">
        <v>45202.747916666667</v>
      </c>
      <c r="G103" s="314">
        <v>1</v>
      </c>
      <c r="H103" s="314">
        <v>51.374099999999999</v>
      </c>
      <c r="I103" s="314">
        <v>6.7506000000000004</v>
      </c>
      <c r="J103" s="314">
        <v>-13.833256</v>
      </c>
      <c r="K103" s="314">
        <v>-12.997469000000001</v>
      </c>
      <c r="L103" s="314">
        <v>986.97799999999995</v>
      </c>
      <c r="M103" s="314">
        <v>110.000759</v>
      </c>
      <c r="N103" s="314">
        <v>17652.71</v>
      </c>
      <c r="O103" s="314">
        <v>17654.154790000001</v>
      </c>
      <c r="P103" s="314">
        <v>2016.0920000000001</v>
      </c>
      <c r="Q103" s="313" t="s">
        <v>469</v>
      </c>
      <c r="R103" s="313"/>
      <c r="S103" s="314">
        <v>15</v>
      </c>
      <c r="T103" s="314">
        <v>5</v>
      </c>
      <c r="U103" s="314">
        <v>0.7</v>
      </c>
      <c r="V103" s="314">
        <v>0.7</v>
      </c>
      <c r="W103" s="314">
        <v>0.7</v>
      </c>
      <c r="X103" s="314">
        <v>1700</v>
      </c>
      <c r="Y103" s="313" t="s">
        <v>470</v>
      </c>
      <c r="Z103" s="314">
        <v>0.85</v>
      </c>
      <c r="AA103" s="313" t="s">
        <v>471</v>
      </c>
      <c r="AB103" s="313" t="s">
        <v>472</v>
      </c>
      <c r="AC103" s="316">
        <v>220</v>
      </c>
    </row>
    <row r="104" spans="1:29">
      <c r="A104" s="307" t="s">
        <v>580</v>
      </c>
      <c r="B104" s="308">
        <v>9</v>
      </c>
      <c r="C104" s="308">
        <v>177</v>
      </c>
      <c r="D104" s="308" t="s">
        <v>426</v>
      </c>
      <c r="E104" s="309">
        <v>1.5</v>
      </c>
      <c r="F104" s="310">
        <v>45202.752083333333</v>
      </c>
      <c r="G104" s="309">
        <v>1</v>
      </c>
      <c r="H104" s="309">
        <v>51.377400000000002</v>
      </c>
      <c r="I104" s="309">
        <v>6.7545299999999999</v>
      </c>
      <c r="J104" s="309">
        <v>-13.923755999999999</v>
      </c>
      <c r="K104" s="309">
        <v>-13.122261999999999</v>
      </c>
      <c r="L104" s="309">
        <v>972.89200000000005</v>
      </c>
      <c r="M104" s="309">
        <v>118.499128</v>
      </c>
      <c r="N104" s="309">
        <v>17619.79</v>
      </c>
      <c r="O104" s="309">
        <v>17660.424159999999</v>
      </c>
      <c r="P104" s="309">
        <v>2016.8040000000001</v>
      </c>
      <c r="Q104" s="308" t="s">
        <v>542</v>
      </c>
      <c r="R104" s="308"/>
      <c r="S104" s="309">
        <v>15</v>
      </c>
      <c r="T104" s="309">
        <v>5</v>
      </c>
      <c r="U104" s="309">
        <v>0.7</v>
      </c>
      <c r="V104" s="309">
        <v>0.7</v>
      </c>
      <c r="W104" s="309">
        <v>0.7</v>
      </c>
      <c r="X104" s="309">
        <v>1700</v>
      </c>
      <c r="Y104" s="308" t="s">
        <v>470</v>
      </c>
      <c r="Z104" s="309">
        <v>0.85</v>
      </c>
      <c r="AA104" s="308" t="s">
        <v>471</v>
      </c>
      <c r="AB104" s="308" t="s">
        <v>472</v>
      </c>
      <c r="AC104" s="311">
        <v>220</v>
      </c>
    </row>
    <row r="105" spans="1:29">
      <c r="A105" s="312" t="s">
        <v>581</v>
      </c>
      <c r="B105" s="313">
        <v>9</v>
      </c>
      <c r="C105" s="313">
        <v>177</v>
      </c>
      <c r="D105" s="313" t="s">
        <v>426</v>
      </c>
      <c r="E105" s="314">
        <v>1.5</v>
      </c>
      <c r="F105" s="315">
        <v>45202.755555555559</v>
      </c>
      <c r="G105" s="314">
        <v>1</v>
      </c>
      <c r="H105" s="314">
        <v>51.374099999999999</v>
      </c>
      <c r="I105" s="314">
        <v>6.6015899999999998</v>
      </c>
      <c r="J105" s="314">
        <v>-14.008537</v>
      </c>
      <c r="K105" s="314">
        <v>-13.161144</v>
      </c>
      <c r="L105" s="314">
        <v>964.69200000000001</v>
      </c>
      <c r="M105" s="314">
        <v>118.498571</v>
      </c>
      <c r="N105" s="314">
        <v>17660.47</v>
      </c>
      <c r="O105" s="314">
        <v>17660.424159999999</v>
      </c>
      <c r="P105" s="314">
        <v>2016.8040000000001</v>
      </c>
      <c r="Q105" s="313" t="s">
        <v>469</v>
      </c>
      <c r="R105" s="313"/>
      <c r="S105" s="314">
        <v>15</v>
      </c>
      <c r="T105" s="314">
        <v>5</v>
      </c>
      <c r="U105" s="314">
        <v>0.7</v>
      </c>
      <c r="V105" s="314">
        <v>0.7</v>
      </c>
      <c r="W105" s="314">
        <v>0.7</v>
      </c>
      <c r="X105" s="314">
        <v>1700</v>
      </c>
      <c r="Y105" s="313" t="s">
        <v>470</v>
      </c>
      <c r="Z105" s="314">
        <v>0.85</v>
      </c>
      <c r="AA105" s="313" t="s">
        <v>471</v>
      </c>
      <c r="AB105" s="313" t="s">
        <v>472</v>
      </c>
      <c r="AC105" s="316">
        <v>220</v>
      </c>
    </row>
    <row r="106" spans="1:29">
      <c r="A106" s="307" t="s">
        <v>582</v>
      </c>
      <c r="B106" s="308">
        <v>9</v>
      </c>
      <c r="C106" s="308">
        <v>177</v>
      </c>
      <c r="D106" s="308" t="s">
        <v>426</v>
      </c>
      <c r="E106" s="309">
        <v>1.5</v>
      </c>
      <c r="F106" s="310">
        <v>45202.759027777778</v>
      </c>
      <c r="G106" s="309">
        <v>1</v>
      </c>
      <c r="H106" s="309">
        <v>51.370800000000003</v>
      </c>
      <c r="I106" s="309">
        <v>6.5698499999999997</v>
      </c>
      <c r="J106" s="309">
        <v>-14.087111999999999</v>
      </c>
      <c r="K106" s="309">
        <v>-13.239456000000001</v>
      </c>
      <c r="L106" s="309">
        <v>983.60400000000004</v>
      </c>
      <c r="M106" s="309">
        <v>121.000541</v>
      </c>
      <c r="N106" s="309">
        <v>17668.12</v>
      </c>
      <c r="O106" s="309">
        <v>17660.424159999999</v>
      </c>
      <c r="P106" s="309">
        <v>2016.8040000000001</v>
      </c>
      <c r="Q106" s="308" t="s">
        <v>469</v>
      </c>
      <c r="R106" s="308"/>
      <c r="S106" s="309">
        <v>15</v>
      </c>
      <c r="T106" s="309">
        <v>5</v>
      </c>
      <c r="U106" s="309">
        <v>0.7</v>
      </c>
      <c r="V106" s="309">
        <v>0.7</v>
      </c>
      <c r="W106" s="309">
        <v>0.7</v>
      </c>
      <c r="X106" s="309">
        <v>1700</v>
      </c>
      <c r="Y106" s="308" t="s">
        <v>470</v>
      </c>
      <c r="Z106" s="309">
        <v>0.85</v>
      </c>
      <c r="AA106" s="308" t="s">
        <v>471</v>
      </c>
      <c r="AB106" s="308" t="s">
        <v>472</v>
      </c>
      <c r="AC106" s="311">
        <v>220</v>
      </c>
    </row>
    <row r="107" spans="1:29">
      <c r="A107" s="312" t="s">
        <v>583</v>
      </c>
      <c r="B107" s="313">
        <v>9</v>
      </c>
      <c r="C107" s="313">
        <v>177</v>
      </c>
      <c r="D107" s="313" t="s">
        <v>426</v>
      </c>
      <c r="E107" s="314">
        <v>1.5</v>
      </c>
      <c r="F107" s="315">
        <v>45202.762499999997</v>
      </c>
      <c r="G107" s="314">
        <v>1</v>
      </c>
      <c r="H107" s="314">
        <v>51.374099999999999</v>
      </c>
      <c r="I107" s="314">
        <v>6.6908099999999999</v>
      </c>
      <c r="J107" s="314">
        <v>-13.980256000000001</v>
      </c>
      <c r="K107" s="314">
        <v>-13.143974999999999</v>
      </c>
      <c r="L107" s="314">
        <v>953.32399999999996</v>
      </c>
      <c r="M107" s="314">
        <v>120.00018</v>
      </c>
      <c r="N107" s="314">
        <v>17553.84</v>
      </c>
      <c r="O107" s="314">
        <v>17660.424159999999</v>
      </c>
      <c r="P107" s="314">
        <v>2016.8040000000001</v>
      </c>
      <c r="Q107" s="313" t="s">
        <v>542</v>
      </c>
      <c r="R107" s="313"/>
      <c r="S107" s="314">
        <v>15</v>
      </c>
      <c r="T107" s="314">
        <v>5</v>
      </c>
      <c r="U107" s="314">
        <v>0.7</v>
      </c>
      <c r="V107" s="314">
        <v>0.7</v>
      </c>
      <c r="W107" s="314">
        <v>0.7</v>
      </c>
      <c r="X107" s="314">
        <v>1700</v>
      </c>
      <c r="Y107" s="313" t="s">
        <v>470</v>
      </c>
      <c r="Z107" s="314">
        <v>0.85</v>
      </c>
      <c r="AA107" s="313" t="s">
        <v>471</v>
      </c>
      <c r="AB107" s="313" t="s">
        <v>472</v>
      </c>
      <c r="AC107" s="316">
        <v>220</v>
      </c>
    </row>
    <row r="108" spans="1:29">
      <c r="A108" s="307" t="s">
        <v>584</v>
      </c>
      <c r="B108" s="308">
        <v>9</v>
      </c>
      <c r="C108" s="308">
        <v>177</v>
      </c>
      <c r="D108" s="308" t="s">
        <v>426</v>
      </c>
      <c r="E108" s="309">
        <v>1.5</v>
      </c>
      <c r="F108" s="310">
        <v>45202.765972222223</v>
      </c>
      <c r="G108" s="309">
        <v>1</v>
      </c>
      <c r="H108" s="309">
        <v>51.370800000000003</v>
      </c>
      <c r="I108" s="309">
        <v>6.6679500000000003</v>
      </c>
      <c r="J108" s="309">
        <v>-14.096987</v>
      </c>
      <c r="K108" s="309">
        <v>-13.259294000000001</v>
      </c>
      <c r="L108" s="309">
        <v>964.78300000000002</v>
      </c>
      <c r="M108" s="309">
        <v>125.99885999999999</v>
      </c>
      <c r="N108" s="309">
        <v>17652.68</v>
      </c>
      <c r="O108" s="309">
        <v>17660.424159999999</v>
      </c>
      <c r="P108" s="309">
        <v>2016.8040000000001</v>
      </c>
      <c r="Q108" s="308" t="s">
        <v>469</v>
      </c>
      <c r="R108" s="308"/>
      <c r="S108" s="309">
        <v>15</v>
      </c>
      <c r="T108" s="309">
        <v>5</v>
      </c>
      <c r="U108" s="309">
        <v>0.7</v>
      </c>
      <c r="V108" s="309">
        <v>0.7</v>
      </c>
      <c r="W108" s="309">
        <v>0.7</v>
      </c>
      <c r="X108" s="309">
        <v>1700</v>
      </c>
      <c r="Y108" s="308" t="s">
        <v>470</v>
      </c>
      <c r="Z108" s="309">
        <v>0.85</v>
      </c>
      <c r="AA108" s="308" t="s">
        <v>471</v>
      </c>
      <c r="AB108" s="308" t="s">
        <v>472</v>
      </c>
      <c r="AC108" s="311">
        <v>220</v>
      </c>
    </row>
    <row r="109" spans="1:29">
      <c r="A109" s="319" t="s">
        <v>585</v>
      </c>
      <c r="B109" s="320">
        <v>10</v>
      </c>
      <c r="C109" s="320" t="s">
        <v>417</v>
      </c>
      <c r="D109" s="320" t="s">
        <v>468</v>
      </c>
      <c r="E109" s="321">
        <v>1.5</v>
      </c>
      <c r="F109" s="322">
        <v>45202.770138888889</v>
      </c>
      <c r="G109" s="321">
        <v>1</v>
      </c>
      <c r="H109" s="321">
        <v>51.374099999999999</v>
      </c>
      <c r="I109" s="321">
        <v>6.4590100000000001</v>
      </c>
      <c r="J109" s="321">
        <v>-14.141412000000001</v>
      </c>
      <c r="K109" s="321">
        <v>-13.297788000000001</v>
      </c>
      <c r="L109" s="321">
        <v>1008.08</v>
      </c>
      <c r="M109" s="321">
        <v>123.500435</v>
      </c>
      <c r="N109" s="321">
        <v>18159.96</v>
      </c>
      <c r="O109" s="321">
        <v>18153.494839999999</v>
      </c>
      <c r="P109" s="321">
        <v>2072.8319999999999</v>
      </c>
      <c r="Q109" s="320" t="s">
        <v>469</v>
      </c>
      <c r="R109" s="320"/>
      <c r="S109" s="321">
        <v>15</v>
      </c>
      <c r="T109" s="321">
        <v>5</v>
      </c>
      <c r="U109" s="321">
        <v>0.7</v>
      </c>
      <c r="V109" s="321">
        <v>0.7</v>
      </c>
      <c r="W109" s="321">
        <v>0.7</v>
      </c>
      <c r="X109" s="321">
        <v>1700</v>
      </c>
      <c r="Y109" s="320" t="s">
        <v>470</v>
      </c>
      <c r="Z109" s="321">
        <v>0.85</v>
      </c>
      <c r="AA109" s="320" t="s">
        <v>471</v>
      </c>
      <c r="AB109" s="320" t="s">
        <v>472</v>
      </c>
      <c r="AC109" s="323">
        <v>220</v>
      </c>
    </row>
    <row r="110" spans="1:29">
      <c r="A110" s="307" t="s">
        <v>586</v>
      </c>
      <c r="B110" s="308">
        <v>10</v>
      </c>
      <c r="C110" s="308" t="s">
        <v>417</v>
      </c>
      <c r="D110" s="308" t="s">
        <v>468</v>
      </c>
      <c r="E110" s="309">
        <v>1.5</v>
      </c>
      <c r="F110" s="310">
        <v>45202.773611111108</v>
      </c>
      <c r="G110" s="309">
        <v>1</v>
      </c>
      <c r="H110" s="309">
        <v>51.3675</v>
      </c>
      <c r="I110" s="309">
        <v>6.5101699999999996</v>
      </c>
      <c r="J110" s="309">
        <v>-14.0692</v>
      </c>
      <c r="K110" s="309">
        <v>-13.240425</v>
      </c>
      <c r="L110" s="309">
        <v>996.68299999999999</v>
      </c>
      <c r="M110" s="309">
        <v>122.500218</v>
      </c>
      <c r="N110" s="309">
        <v>18137.59</v>
      </c>
      <c r="O110" s="309">
        <v>18153.494839999999</v>
      </c>
      <c r="P110" s="309">
        <v>2072.8319999999999</v>
      </c>
      <c r="Q110" s="308" t="s">
        <v>469</v>
      </c>
      <c r="R110" s="308"/>
      <c r="S110" s="309">
        <v>15</v>
      </c>
      <c r="T110" s="309">
        <v>5</v>
      </c>
      <c r="U110" s="309">
        <v>0.7</v>
      </c>
      <c r="V110" s="309">
        <v>0.7</v>
      </c>
      <c r="W110" s="309">
        <v>0.7</v>
      </c>
      <c r="X110" s="309">
        <v>1700</v>
      </c>
      <c r="Y110" s="308" t="s">
        <v>470</v>
      </c>
      <c r="Z110" s="309">
        <v>0.85</v>
      </c>
      <c r="AA110" s="308" t="s">
        <v>471</v>
      </c>
      <c r="AB110" s="308" t="s">
        <v>472</v>
      </c>
      <c r="AC110" s="311">
        <v>220</v>
      </c>
    </row>
    <row r="111" spans="1:29">
      <c r="A111" s="312" t="s">
        <v>587</v>
      </c>
      <c r="B111" s="313">
        <v>10</v>
      </c>
      <c r="C111" s="313" t="s">
        <v>417</v>
      </c>
      <c r="D111" s="313" t="s">
        <v>468</v>
      </c>
      <c r="E111" s="314">
        <v>1.5</v>
      </c>
      <c r="F111" s="315">
        <v>45202.777777777781</v>
      </c>
      <c r="G111" s="314">
        <v>1</v>
      </c>
      <c r="H111" s="314">
        <v>51.3675</v>
      </c>
      <c r="I111" s="314">
        <v>6.5416100000000004</v>
      </c>
      <c r="J111" s="314">
        <v>-14.231044000000001</v>
      </c>
      <c r="K111" s="314">
        <v>-13.3843</v>
      </c>
      <c r="L111" s="314">
        <v>1000.38</v>
      </c>
      <c r="M111" s="314">
        <v>128.49789999999999</v>
      </c>
      <c r="N111" s="314">
        <v>18162.939999999999</v>
      </c>
      <c r="O111" s="314">
        <v>18153.494839999999</v>
      </c>
      <c r="P111" s="314">
        <v>2072.8319999999999</v>
      </c>
      <c r="Q111" s="313" t="s">
        <v>469</v>
      </c>
      <c r="R111" s="313"/>
      <c r="S111" s="314">
        <v>15</v>
      </c>
      <c r="T111" s="314">
        <v>5</v>
      </c>
      <c r="U111" s="314">
        <v>0.7</v>
      </c>
      <c r="V111" s="314">
        <v>0.7</v>
      </c>
      <c r="W111" s="314">
        <v>0.7</v>
      </c>
      <c r="X111" s="314">
        <v>1700</v>
      </c>
      <c r="Y111" s="313" t="s">
        <v>470</v>
      </c>
      <c r="Z111" s="314">
        <v>0.85</v>
      </c>
      <c r="AA111" s="313" t="s">
        <v>471</v>
      </c>
      <c r="AB111" s="313" t="s">
        <v>472</v>
      </c>
      <c r="AC111" s="316">
        <v>220</v>
      </c>
    </row>
    <row r="112" spans="1:29">
      <c r="A112" s="324"/>
      <c r="B112" s="324"/>
      <c r="C112" s="324"/>
      <c r="D112" s="324"/>
      <c r="E112" s="324"/>
      <c r="F112" s="325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</row>
    <row r="113" spans="1:29">
      <c r="A113" s="307" t="s">
        <v>466</v>
      </c>
      <c r="B113" s="308" t="s">
        <v>467</v>
      </c>
      <c r="C113" s="308" t="s">
        <v>588</v>
      </c>
      <c r="D113" s="308" t="s">
        <v>468</v>
      </c>
      <c r="E113" s="309">
        <v>1</v>
      </c>
      <c r="F113" s="310">
        <v>45203.362500000003</v>
      </c>
      <c r="G113" s="309">
        <v>1</v>
      </c>
      <c r="H113" s="309">
        <v>51.364100000000001</v>
      </c>
      <c r="I113" s="309">
        <v>9.1385199999999998</v>
      </c>
      <c r="J113" s="309">
        <v>-13.687775</v>
      </c>
      <c r="K113" s="309">
        <v>-12.843006000000001</v>
      </c>
      <c r="L113" s="309">
        <v>867.69200000000001</v>
      </c>
      <c r="M113" s="309">
        <v>97.502065000000002</v>
      </c>
      <c r="N113" s="309">
        <v>11396.12</v>
      </c>
      <c r="O113" s="309">
        <v>11396.11859</v>
      </c>
      <c r="P113" s="309">
        <v>1957.4870000000001</v>
      </c>
      <c r="Q113" s="308" t="s">
        <v>469</v>
      </c>
      <c r="R113" s="308"/>
      <c r="S113" s="309">
        <v>15</v>
      </c>
      <c r="T113" s="309">
        <v>5</v>
      </c>
      <c r="U113" s="309">
        <v>0.7</v>
      </c>
      <c r="V113" s="309">
        <v>0.7</v>
      </c>
      <c r="W113" s="309">
        <v>0.7</v>
      </c>
      <c r="X113" s="309">
        <v>1700</v>
      </c>
      <c r="Y113" s="308" t="s">
        <v>470</v>
      </c>
      <c r="Z113" s="309">
        <v>0.85</v>
      </c>
      <c r="AA113" s="308" t="s">
        <v>471</v>
      </c>
      <c r="AB113" s="308" t="s">
        <v>472</v>
      </c>
      <c r="AC113" s="311">
        <v>220</v>
      </c>
    </row>
    <row r="114" spans="1:29">
      <c r="A114" s="326" t="s">
        <v>473</v>
      </c>
      <c r="B114" s="327" t="s">
        <v>467</v>
      </c>
      <c r="C114" s="327" t="s">
        <v>588</v>
      </c>
      <c r="D114" s="327" t="s">
        <v>468</v>
      </c>
      <c r="E114" s="328">
        <v>1</v>
      </c>
      <c r="F114" s="329">
        <v>45203.365277777775</v>
      </c>
      <c r="G114" s="328">
        <v>1</v>
      </c>
      <c r="H114" s="328">
        <v>51.374099999999999</v>
      </c>
      <c r="I114" s="328">
        <v>8.2489899999999992</v>
      </c>
      <c r="J114" s="328">
        <v>-13.903675</v>
      </c>
      <c r="K114" s="328">
        <v>-13.072169000000001</v>
      </c>
      <c r="L114" s="328">
        <v>870.61900000000003</v>
      </c>
      <c r="M114" s="328">
        <v>84.999982000000003</v>
      </c>
      <c r="N114" s="328">
        <v>11369.69</v>
      </c>
      <c r="O114" s="328">
        <v>11369.686669999999</v>
      </c>
      <c r="P114" s="328">
        <v>1952.982</v>
      </c>
      <c r="Q114" s="327" t="s">
        <v>469</v>
      </c>
      <c r="R114" s="327"/>
      <c r="S114" s="328">
        <v>15</v>
      </c>
      <c r="T114" s="328">
        <v>5</v>
      </c>
      <c r="U114" s="328">
        <v>0.7</v>
      </c>
      <c r="V114" s="328">
        <v>0.7</v>
      </c>
      <c r="W114" s="328">
        <v>0.7</v>
      </c>
      <c r="X114" s="328">
        <v>1700</v>
      </c>
      <c r="Y114" s="327" t="s">
        <v>470</v>
      </c>
      <c r="Z114" s="328">
        <v>0.85</v>
      </c>
      <c r="AA114" s="327" t="s">
        <v>471</v>
      </c>
      <c r="AB114" s="327" t="s">
        <v>472</v>
      </c>
      <c r="AC114" s="330">
        <v>220</v>
      </c>
    </row>
    <row r="115" spans="1:29">
      <c r="A115" s="331" t="s">
        <v>474</v>
      </c>
      <c r="B115" s="332" t="s">
        <v>467</v>
      </c>
      <c r="C115" s="332" t="s">
        <v>588</v>
      </c>
      <c r="D115" s="332" t="s">
        <v>468</v>
      </c>
      <c r="E115" s="333">
        <v>1</v>
      </c>
      <c r="F115" s="334">
        <v>45203.368055555555</v>
      </c>
      <c r="G115" s="333">
        <v>1</v>
      </c>
      <c r="H115" s="333">
        <v>51.370800000000003</v>
      </c>
      <c r="I115" s="333">
        <v>7.3925900000000002</v>
      </c>
      <c r="J115" s="333">
        <v>-14.123431</v>
      </c>
      <c r="K115" s="333">
        <v>-13.275294000000001</v>
      </c>
      <c r="L115" s="333">
        <v>874.42899999999997</v>
      </c>
      <c r="M115" s="333">
        <v>96.000084999999999</v>
      </c>
      <c r="N115" s="333">
        <v>11362.87</v>
      </c>
      <c r="O115" s="333">
        <v>11362.872439999999</v>
      </c>
      <c r="P115" s="333">
        <v>1951.8209999999999</v>
      </c>
      <c r="Q115" s="332" t="s">
        <v>469</v>
      </c>
      <c r="R115" s="332"/>
      <c r="S115" s="333">
        <v>15</v>
      </c>
      <c r="T115" s="333">
        <v>5</v>
      </c>
      <c r="U115" s="333">
        <v>0.7</v>
      </c>
      <c r="V115" s="333">
        <v>0.7</v>
      </c>
      <c r="W115" s="333">
        <v>0.7</v>
      </c>
      <c r="X115" s="333">
        <v>1700</v>
      </c>
      <c r="Y115" s="332" t="s">
        <v>470</v>
      </c>
      <c r="Z115" s="333">
        <v>0.85</v>
      </c>
      <c r="AA115" s="332" t="s">
        <v>471</v>
      </c>
      <c r="AB115" s="332" t="s">
        <v>472</v>
      </c>
      <c r="AC115" s="335">
        <v>220</v>
      </c>
    </row>
    <row r="116" spans="1:29">
      <c r="A116" s="326" t="s">
        <v>475</v>
      </c>
      <c r="B116" s="327" t="s">
        <v>467</v>
      </c>
      <c r="C116" s="327" t="s">
        <v>588</v>
      </c>
      <c r="D116" s="327" t="s">
        <v>468</v>
      </c>
      <c r="E116" s="328">
        <v>1</v>
      </c>
      <c r="F116" s="329">
        <v>45203.371527777781</v>
      </c>
      <c r="G116" s="328">
        <v>1</v>
      </c>
      <c r="H116" s="328">
        <v>51.370800000000003</v>
      </c>
      <c r="I116" s="328">
        <v>7.0328200000000001</v>
      </c>
      <c r="J116" s="328">
        <v>-14.050063</v>
      </c>
      <c r="K116" s="328">
        <v>-13.202019</v>
      </c>
      <c r="L116" s="328">
        <v>869.91700000000003</v>
      </c>
      <c r="M116" s="328">
        <v>95.500113999999996</v>
      </c>
      <c r="N116" s="328">
        <v>11386.22</v>
      </c>
      <c r="O116" s="328">
        <v>11386.217689999999</v>
      </c>
      <c r="P116" s="328">
        <v>1955.8</v>
      </c>
      <c r="Q116" s="327" t="s">
        <v>469</v>
      </c>
      <c r="R116" s="327"/>
      <c r="S116" s="328">
        <v>15</v>
      </c>
      <c r="T116" s="328">
        <v>5</v>
      </c>
      <c r="U116" s="328">
        <v>0.7</v>
      </c>
      <c r="V116" s="328">
        <v>0.7</v>
      </c>
      <c r="W116" s="328">
        <v>0.7</v>
      </c>
      <c r="X116" s="328">
        <v>1700</v>
      </c>
      <c r="Y116" s="327" t="s">
        <v>470</v>
      </c>
      <c r="Z116" s="328">
        <v>0.85</v>
      </c>
      <c r="AA116" s="327" t="s">
        <v>471</v>
      </c>
      <c r="AB116" s="327" t="s">
        <v>472</v>
      </c>
      <c r="AC116" s="330">
        <v>220</v>
      </c>
    </row>
    <row r="117" spans="1:29">
      <c r="A117" s="331" t="s">
        <v>476</v>
      </c>
      <c r="B117" s="332" t="s">
        <v>467</v>
      </c>
      <c r="C117" s="332" t="s">
        <v>588</v>
      </c>
      <c r="D117" s="332" t="s">
        <v>468</v>
      </c>
      <c r="E117" s="333">
        <v>1</v>
      </c>
      <c r="F117" s="334">
        <v>45203.375694444447</v>
      </c>
      <c r="G117" s="333">
        <v>1</v>
      </c>
      <c r="H117" s="333">
        <v>51.364100000000001</v>
      </c>
      <c r="I117" s="333">
        <v>6.9202199999999996</v>
      </c>
      <c r="J117" s="333">
        <v>-14.290775</v>
      </c>
      <c r="K117" s="333">
        <v>-13.443531</v>
      </c>
      <c r="L117" s="333">
        <v>875.07600000000002</v>
      </c>
      <c r="M117" s="333">
        <v>103.000366</v>
      </c>
      <c r="N117" s="333">
        <v>11409.56</v>
      </c>
      <c r="O117" s="333">
        <v>11409.55694</v>
      </c>
      <c r="P117" s="333">
        <v>1959.778</v>
      </c>
      <c r="Q117" s="332" t="s">
        <v>469</v>
      </c>
      <c r="R117" s="332"/>
      <c r="S117" s="333">
        <v>15</v>
      </c>
      <c r="T117" s="333">
        <v>5</v>
      </c>
      <c r="U117" s="333">
        <v>0.7</v>
      </c>
      <c r="V117" s="333">
        <v>0.7</v>
      </c>
      <c r="W117" s="333">
        <v>0.7</v>
      </c>
      <c r="X117" s="333">
        <v>1700</v>
      </c>
      <c r="Y117" s="332" t="s">
        <v>470</v>
      </c>
      <c r="Z117" s="333">
        <v>0.85</v>
      </c>
      <c r="AA117" s="332" t="s">
        <v>471</v>
      </c>
      <c r="AB117" s="332" t="s">
        <v>472</v>
      </c>
      <c r="AC117" s="335">
        <v>220</v>
      </c>
    </row>
    <row r="118" spans="1:29">
      <c r="A118" s="326" t="s">
        <v>589</v>
      </c>
      <c r="B118" s="327" t="s">
        <v>467</v>
      </c>
      <c r="C118" s="327" t="s">
        <v>588</v>
      </c>
      <c r="D118" s="327" t="s">
        <v>468</v>
      </c>
      <c r="E118" s="328">
        <v>1</v>
      </c>
      <c r="F118" s="329">
        <v>45203.378472222219</v>
      </c>
      <c r="G118" s="328">
        <v>1</v>
      </c>
      <c r="H118" s="328">
        <v>51.370800000000003</v>
      </c>
      <c r="I118" s="328">
        <v>6.8242399999999996</v>
      </c>
      <c r="J118" s="328">
        <v>-14.1578</v>
      </c>
      <c r="K118" s="328">
        <v>-13.313069</v>
      </c>
      <c r="L118" s="328">
        <v>876.21299999999997</v>
      </c>
      <c r="M118" s="328">
        <v>96.000417999999996</v>
      </c>
      <c r="N118" s="328">
        <v>11347.84</v>
      </c>
      <c r="O118" s="328">
        <v>11347.843080000001</v>
      </c>
      <c r="P118" s="328">
        <v>1949.259</v>
      </c>
      <c r="Q118" s="327" t="s">
        <v>469</v>
      </c>
      <c r="R118" s="327"/>
      <c r="S118" s="328">
        <v>15</v>
      </c>
      <c r="T118" s="328">
        <v>5</v>
      </c>
      <c r="U118" s="328">
        <v>0.7</v>
      </c>
      <c r="V118" s="328">
        <v>0.7</v>
      </c>
      <c r="W118" s="328">
        <v>0.7</v>
      </c>
      <c r="X118" s="328">
        <v>1700</v>
      </c>
      <c r="Y118" s="327" t="s">
        <v>470</v>
      </c>
      <c r="Z118" s="328">
        <v>0.85</v>
      </c>
      <c r="AA118" s="327" t="s">
        <v>471</v>
      </c>
      <c r="AB118" s="327" t="s">
        <v>472</v>
      </c>
      <c r="AC118" s="330">
        <v>220</v>
      </c>
    </row>
    <row r="119" spans="1:29">
      <c r="A119" s="331" t="s">
        <v>497</v>
      </c>
      <c r="B119" s="332" t="s">
        <v>467</v>
      </c>
      <c r="C119" s="332" t="s">
        <v>588</v>
      </c>
      <c r="D119" s="332" t="s">
        <v>468</v>
      </c>
      <c r="E119" s="333">
        <v>1</v>
      </c>
      <c r="F119" s="334">
        <v>45203.381944444445</v>
      </c>
      <c r="G119" s="333">
        <v>1</v>
      </c>
      <c r="H119" s="333">
        <v>51.370800000000003</v>
      </c>
      <c r="I119" s="333">
        <v>6.6836200000000003</v>
      </c>
      <c r="J119" s="333">
        <v>-14.111381</v>
      </c>
      <c r="K119" s="333">
        <v>-13.27955</v>
      </c>
      <c r="L119" s="333">
        <v>873.44299999999998</v>
      </c>
      <c r="M119" s="333">
        <v>91.500890999999996</v>
      </c>
      <c r="N119" s="333">
        <v>11368.95</v>
      </c>
      <c r="O119" s="333">
        <v>11368.95443</v>
      </c>
      <c r="P119" s="333">
        <v>1952.857</v>
      </c>
      <c r="Q119" s="332" t="s">
        <v>469</v>
      </c>
      <c r="R119" s="332"/>
      <c r="S119" s="333">
        <v>15</v>
      </c>
      <c r="T119" s="333">
        <v>5</v>
      </c>
      <c r="U119" s="333">
        <v>0.7</v>
      </c>
      <c r="V119" s="333">
        <v>0.7</v>
      </c>
      <c r="W119" s="333">
        <v>0.7</v>
      </c>
      <c r="X119" s="333">
        <v>1700</v>
      </c>
      <c r="Y119" s="332" t="s">
        <v>470</v>
      </c>
      <c r="Z119" s="333">
        <v>0.85</v>
      </c>
      <c r="AA119" s="332" t="s">
        <v>471</v>
      </c>
      <c r="AB119" s="332" t="s">
        <v>472</v>
      </c>
      <c r="AC119" s="335">
        <v>220</v>
      </c>
    </row>
    <row r="120" spans="1:29">
      <c r="A120" s="326" t="s">
        <v>590</v>
      </c>
      <c r="B120" s="327" t="s">
        <v>467</v>
      </c>
      <c r="C120" s="327" t="s">
        <v>588</v>
      </c>
      <c r="D120" s="327" t="s">
        <v>468</v>
      </c>
      <c r="E120" s="328">
        <v>1</v>
      </c>
      <c r="F120" s="329">
        <v>45203.384722222225</v>
      </c>
      <c r="G120" s="328">
        <v>1</v>
      </c>
      <c r="H120" s="328">
        <v>51.374099999999999</v>
      </c>
      <c r="I120" s="328">
        <v>6.7045199999999996</v>
      </c>
      <c r="J120" s="328">
        <v>-14.322806</v>
      </c>
      <c r="K120" s="328">
        <v>-13.479761999999999</v>
      </c>
      <c r="L120" s="328">
        <v>875.20799999999997</v>
      </c>
      <c r="M120" s="328">
        <v>102.49960900000001</v>
      </c>
      <c r="N120" s="328">
        <v>11407.5</v>
      </c>
      <c r="O120" s="328">
        <v>11407.500340000001</v>
      </c>
      <c r="P120" s="328">
        <v>1959.4269999999999</v>
      </c>
      <c r="Q120" s="327" t="s">
        <v>469</v>
      </c>
      <c r="R120" s="327"/>
      <c r="S120" s="328">
        <v>15</v>
      </c>
      <c r="T120" s="328">
        <v>5</v>
      </c>
      <c r="U120" s="328">
        <v>0.7</v>
      </c>
      <c r="V120" s="328">
        <v>0.7</v>
      </c>
      <c r="W120" s="328">
        <v>0.7</v>
      </c>
      <c r="X120" s="328">
        <v>1700</v>
      </c>
      <c r="Y120" s="327" t="s">
        <v>470</v>
      </c>
      <c r="Z120" s="328">
        <v>0.85</v>
      </c>
      <c r="AA120" s="327" t="s">
        <v>471</v>
      </c>
      <c r="AB120" s="327" t="s">
        <v>472</v>
      </c>
      <c r="AC120" s="330">
        <v>220</v>
      </c>
    </row>
    <row r="121" spans="1:29">
      <c r="A121" s="331" t="s">
        <v>591</v>
      </c>
      <c r="B121" s="332" t="s">
        <v>467</v>
      </c>
      <c r="C121" s="332" t="s">
        <v>588</v>
      </c>
      <c r="D121" s="332" t="s">
        <v>468</v>
      </c>
      <c r="E121" s="333">
        <v>1</v>
      </c>
      <c r="F121" s="334">
        <v>45203.388194444444</v>
      </c>
      <c r="G121" s="333">
        <v>1</v>
      </c>
      <c r="H121" s="333">
        <v>51.374099999999999</v>
      </c>
      <c r="I121" s="333">
        <v>6.6838499999999996</v>
      </c>
      <c r="J121" s="333">
        <v>-14.123569</v>
      </c>
      <c r="K121" s="333">
        <v>-13.284331</v>
      </c>
      <c r="L121" s="333">
        <v>865.96100000000001</v>
      </c>
      <c r="M121" s="333">
        <v>99.000782000000001</v>
      </c>
      <c r="N121" s="333">
        <v>11345.42</v>
      </c>
      <c r="O121" s="333">
        <v>11345.418449999999</v>
      </c>
      <c r="P121" s="333">
        <v>1948.846</v>
      </c>
      <c r="Q121" s="332" t="s">
        <v>469</v>
      </c>
      <c r="R121" s="332"/>
      <c r="S121" s="333">
        <v>15</v>
      </c>
      <c r="T121" s="333">
        <v>5</v>
      </c>
      <c r="U121" s="333">
        <v>0.7</v>
      </c>
      <c r="V121" s="333">
        <v>0.7</v>
      </c>
      <c r="W121" s="333">
        <v>0.7</v>
      </c>
      <c r="X121" s="333">
        <v>1700</v>
      </c>
      <c r="Y121" s="332" t="s">
        <v>470</v>
      </c>
      <c r="Z121" s="333">
        <v>0.85</v>
      </c>
      <c r="AA121" s="332" t="s">
        <v>471</v>
      </c>
      <c r="AB121" s="332" t="s">
        <v>472</v>
      </c>
      <c r="AC121" s="335">
        <v>220</v>
      </c>
    </row>
    <row r="122" spans="1:29">
      <c r="A122" s="326" t="s">
        <v>592</v>
      </c>
      <c r="B122" s="327" t="s">
        <v>467</v>
      </c>
      <c r="C122" s="327" t="s">
        <v>588</v>
      </c>
      <c r="D122" s="327" t="s">
        <v>468</v>
      </c>
      <c r="E122" s="328">
        <v>1</v>
      </c>
      <c r="F122" s="329">
        <v>45203.39166666667</v>
      </c>
      <c r="G122" s="328">
        <v>1</v>
      </c>
      <c r="H122" s="328">
        <v>0</v>
      </c>
      <c r="I122" s="328">
        <v>0</v>
      </c>
      <c r="J122" s="328">
        <v>0</v>
      </c>
      <c r="K122" s="328">
        <v>0</v>
      </c>
      <c r="L122" s="328">
        <v>0</v>
      </c>
      <c r="M122" s="328">
        <v>0</v>
      </c>
      <c r="N122" s="328">
        <v>0</v>
      </c>
      <c r="O122" s="328">
        <v>0</v>
      </c>
      <c r="P122" s="328">
        <v>0</v>
      </c>
      <c r="Q122" s="327" t="s">
        <v>503</v>
      </c>
      <c r="R122" s="327"/>
      <c r="S122" s="328">
        <v>15</v>
      </c>
      <c r="T122" s="328">
        <v>5</v>
      </c>
      <c r="U122" s="328">
        <v>0.7</v>
      </c>
      <c r="V122" s="328">
        <v>0.7</v>
      </c>
      <c r="W122" s="328">
        <v>0.7</v>
      </c>
      <c r="X122" s="328">
        <v>1700</v>
      </c>
      <c r="Y122" s="327"/>
      <c r="Z122" s="327"/>
      <c r="AA122" s="327" t="s">
        <v>471</v>
      </c>
      <c r="AB122" s="327" t="s">
        <v>472</v>
      </c>
      <c r="AC122" s="330">
        <v>220</v>
      </c>
    </row>
    <row r="123" spans="1:29">
      <c r="A123" s="331" t="s">
        <v>593</v>
      </c>
      <c r="B123" s="332" t="s">
        <v>467</v>
      </c>
      <c r="C123" s="332" t="s">
        <v>594</v>
      </c>
      <c r="D123" s="332" t="s">
        <v>468</v>
      </c>
      <c r="E123" s="333">
        <v>1</v>
      </c>
      <c r="F123" s="334">
        <v>45203.394444444442</v>
      </c>
      <c r="G123" s="333">
        <v>1</v>
      </c>
      <c r="H123" s="333">
        <v>51.3675</v>
      </c>
      <c r="I123" s="333">
        <v>6.7215600000000002</v>
      </c>
      <c r="J123" s="333">
        <v>-14.375075000000001</v>
      </c>
      <c r="K123" s="333">
        <v>-13.526469000000001</v>
      </c>
      <c r="L123" s="333">
        <v>943.91200000000003</v>
      </c>
      <c r="M123" s="333">
        <v>96.499932000000001</v>
      </c>
      <c r="N123" s="333">
        <v>11813.08</v>
      </c>
      <c r="O123" s="333">
        <v>11813.07706</v>
      </c>
      <c r="P123" s="333">
        <v>2028.556</v>
      </c>
      <c r="Q123" s="332" t="s">
        <v>469</v>
      </c>
      <c r="R123" s="332"/>
      <c r="S123" s="333">
        <v>15</v>
      </c>
      <c r="T123" s="333">
        <v>5</v>
      </c>
      <c r="U123" s="333">
        <v>0.7</v>
      </c>
      <c r="V123" s="333">
        <v>0.7</v>
      </c>
      <c r="W123" s="333">
        <v>0.7</v>
      </c>
      <c r="X123" s="333">
        <v>1700</v>
      </c>
      <c r="Y123" s="332" t="s">
        <v>470</v>
      </c>
      <c r="Z123" s="333">
        <v>0.85</v>
      </c>
      <c r="AA123" s="332" t="s">
        <v>471</v>
      </c>
      <c r="AB123" s="332" t="s">
        <v>472</v>
      </c>
      <c r="AC123" s="335">
        <v>220</v>
      </c>
    </row>
    <row r="124" spans="1:29">
      <c r="A124" s="326" t="s">
        <v>595</v>
      </c>
      <c r="B124" s="327" t="s">
        <v>467</v>
      </c>
      <c r="C124" s="327" t="s">
        <v>596</v>
      </c>
      <c r="D124" s="327" t="s">
        <v>468</v>
      </c>
      <c r="E124" s="328">
        <v>1</v>
      </c>
      <c r="F124" s="329">
        <v>45203.397222222222</v>
      </c>
      <c r="G124" s="328">
        <v>1</v>
      </c>
      <c r="H124" s="328">
        <v>51.3675</v>
      </c>
      <c r="I124" s="328">
        <v>6.6957599999999999</v>
      </c>
      <c r="J124" s="328">
        <v>-14.415188000000001</v>
      </c>
      <c r="K124" s="328">
        <v>-13.577961999999999</v>
      </c>
      <c r="L124" s="328">
        <v>943.28499999999997</v>
      </c>
      <c r="M124" s="328">
        <v>110.00011499999999</v>
      </c>
      <c r="N124" s="328">
        <v>12029.63</v>
      </c>
      <c r="O124" s="328">
        <v>12029.62637</v>
      </c>
      <c r="P124" s="328">
        <v>2065.4650000000001</v>
      </c>
      <c r="Q124" s="327" t="s">
        <v>469</v>
      </c>
      <c r="R124" s="327"/>
      <c r="S124" s="328">
        <v>15</v>
      </c>
      <c r="T124" s="328">
        <v>5</v>
      </c>
      <c r="U124" s="328">
        <v>0.7</v>
      </c>
      <c r="V124" s="328">
        <v>0.7</v>
      </c>
      <c r="W124" s="328">
        <v>0.7</v>
      </c>
      <c r="X124" s="328">
        <v>1700</v>
      </c>
      <c r="Y124" s="327" t="s">
        <v>470</v>
      </c>
      <c r="Z124" s="328">
        <v>0.85</v>
      </c>
      <c r="AA124" s="327" t="s">
        <v>471</v>
      </c>
      <c r="AB124" s="327" t="s">
        <v>472</v>
      </c>
      <c r="AC124" s="330">
        <v>220</v>
      </c>
    </row>
    <row r="125" spans="1:29">
      <c r="A125" s="331" t="s">
        <v>597</v>
      </c>
      <c r="B125" s="332" t="s">
        <v>467</v>
      </c>
      <c r="C125" s="332" t="s">
        <v>598</v>
      </c>
      <c r="D125" s="332" t="s">
        <v>468</v>
      </c>
      <c r="E125" s="333">
        <v>1</v>
      </c>
      <c r="F125" s="334">
        <v>45203.400694444441</v>
      </c>
      <c r="G125" s="333">
        <v>1</v>
      </c>
      <c r="H125" s="333">
        <v>51.3675</v>
      </c>
      <c r="I125" s="333">
        <v>6.6864999999999997</v>
      </c>
      <c r="J125" s="333">
        <v>-14.407594</v>
      </c>
      <c r="K125" s="333">
        <v>-13.580063000000001</v>
      </c>
      <c r="L125" s="333">
        <v>935.62800000000004</v>
      </c>
      <c r="M125" s="333">
        <v>95.001309000000006</v>
      </c>
      <c r="N125" s="333">
        <v>12027.63</v>
      </c>
      <c r="O125" s="333">
        <v>12027.631659999999</v>
      </c>
      <c r="P125" s="333">
        <v>2065.125</v>
      </c>
      <c r="Q125" s="332" t="s">
        <v>469</v>
      </c>
      <c r="R125" s="332"/>
      <c r="S125" s="333">
        <v>15</v>
      </c>
      <c r="T125" s="333">
        <v>5</v>
      </c>
      <c r="U125" s="333">
        <v>0.7</v>
      </c>
      <c r="V125" s="333">
        <v>0.7</v>
      </c>
      <c r="W125" s="333">
        <v>0.7</v>
      </c>
      <c r="X125" s="333">
        <v>1700</v>
      </c>
      <c r="Y125" s="332" t="s">
        <v>470</v>
      </c>
      <c r="Z125" s="333">
        <v>0.85</v>
      </c>
      <c r="AA125" s="332" t="s">
        <v>471</v>
      </c>
      <c r="AB125" s="332" t="s">
        <v>472</v>
      </c>
      <c r="AC125" s="335">
        <v>220</v>
      </c>
    </row>
    <row r="126" spans="1:29">
      <c r="A126" s="326" t="s">
        <v>599</v>
      </c>
      <c r="B126" s="327" t="s">
        <v>467</v>
      </c>
      <c r="C126" s="327" t="s">
        <v>596</v>
      </c>
      <c r="D126" s="327" t="s">
        <v>468</v>
      </c>
      <c r="E126" s="328">
        <v>1</v>
      </c>
      <c r="F126" s="329">
        <v>45203.40347222222</v>
      </c>
      <c r="G126" s="328">
        <v>1</v>
      </c>
      <c r="H126" s="328">
        <v>51.3675</v>
      </c>
      <c r="I126" s="328">
        <v>6.5826500000000001</v>
      </c>
      <c r="J126" s="328">
        <v>-14.363030999999999</v>
      </c>
      <c r="K126" s="328">
        <v>-13.529756000000001</v>
      </c>
      <c r="L126" s="328">
        <v>944.39599999999996</v>
      </c>
      <c r="M126" s="328">
        <v>91.999987000000004</v>
      </c>
      <c r="N126" s="328">
        <v>11991.79</v>
      </c>
      <c r="O126" s="328">
        <v>11991.78608</v>
      </c>
      <c r="P126" s="328">
        <v>2059.0160000000001</v>
      </c>
      <c r="Q126" s="327" t="s">
        <v>469</v>
      </c>
      <c r="R126" s="327"/>
      <c r="S126" s="328">
        <v>15</v>
      </c>
      <c r="T126" s="328">
        <v>5</v>
      </c>
      <c r="U126" s="328">
        <v>0.7</v>
      </c>
      <c r="V126" s="328">
        <v>0.7</v>
      </c>
      <c r="W126" s="328">
        <v>0.7</v>
      </c>
      <c r="X126" s="328">
        <v>1700</v>
      </c>
      <c r="Y126" s="327" t="s">
        <v>470</v>
      </c>
      <c r="Z126" s="328">
        <v>0.85</v>
      </c>
      <c r="AA126" s="327" t="s">
        <v>471</v>
      </c>
      <c r="AB126" s="327" t="s">
        <v>472</v>
      </c>
      <c r="AC126" s="330">
        <v>220</v>
      </c>
    </row>
    <row r="127" spans="1:29">
      <c r="A127" s="331" t="s">
        <v>600</v>
      </c>
      <c r="B127" s="332" t="s">
        <v>467</v>
      </c>
      <c r="C127" s="332" t="s">
        <v>596</v>
      </c>
      <c r="D127" s="332" t="s">
        <v>468</v>
      </c>
      <c r="E127" s="333">
        <v>1</v>
      </c>
      <c r="F127" s="334">
        <v>45203.410416666666</v>
      </c>
      <c r="G127" s="333">
        <v>1</v>
      </c>
      <c r="H127" s="333">
        <v>51.370800000000003</v>
      </c>
      <c r="I127" s="333">
        <v>6.5406899999999997</v>
      </c>
      <c r="J127" s="333">
        <v>-14.426005999999999</v>
      </c>
      <c r="K127" s="333">
        <v>-13.578075</v>
      </c>
      <c r="L127" s="333">
        <v>958.68600000000004</v>
      </c>
      <c r="M127" s="333">
        <v>95.499836999999999</v>
      </c>
      <c r="N127" s="333">
        <v>12042.83</v>
      </c>
      <c r="O127" s="333">
        <v>12042.831990000001</v>
      </c>
      <c r="P127" s="333">
        <v>2067.7159999999999</v>
      </c>
      <c r="Q127" s="332" t="s">
        <v>469</v>
      </c>
      <c r="R127" s="332"/>
      <c r="S127" s="333">
        <v>15</v>
      </c>
      <c r="T127" s="333">
        <v>5</v>
      </c>
      <c r="U127" s="333">
        <v>0.7</v>
      </c>
      <c r="V127" s="333">
        <v>0.7</v>
      </c>
      <c r="W127" s="333">
        <v>0.7</v>
      </c>
      <c r="X127" s="333">
        <v>1700</v>
      </c>
      <c r="Y127" s="332" t="s">
        <v>470</v>
      </c>
      <c r="Z127" s="333">
        <v>0.85</v>
      </c>
      <c r="AA127" s="332" t="s">
        <v>471</v>
      </c>
      <c r="AB127" s="332" t="s">
        <v>472</v>
      </c>
      <c r="AC127" s="335">
        <v>220</v>
      </c>
    </row>
    <row r="128" spans="1:29">
      <c r="A128" s="326" t="s">
        <v>601</v>
      </c>
      <c r="B128" s="327" t="s">
        <v>467</v>
      </c>
      <c r="C128" s="327" t="s">
        <v>596</v>
      </c>
      <c r="D128" s="327" t="s">
        <v>468</v>
      </c>
      <c r="E128" s="328">
        <v>1</v>
      </c>
      <c r="F128" s="329">
        <v>45203.413888888892</v>
      </c>
      <c r="G128" s="328">
        <v>1</v>
      </c>
      <c r="H128" s="328">
        <v>51.3675</v>
      </c>
      <c r="I128" s="328">
        <v>6.4922399999999998</v>
      </c>
      <c r="J128" s="328">
        <v>-14.443</v>
      </c>
      <c r="K128" s="328">
        <v>-13.602112999999999</v>
      </c>
      <c r="L128" s="328">
        <v>949.63800000000003</v>
      </c>
      <c r="M128" s="328">
        <v>97.499967999999996</v>
      </c>
      <c r="N128" s="328">
        <v>12046.37</v>
      </c>
      <c r="O128" s="328">
        <v>12046.368049999999</v>
      </c>
      <c r="P128" s="328">
        <v>2068.319</v>
      </c>
      <c r="Q128" s="327" t="s">
        <v>469</v>
      </c>
      <c r="R128" s="327"/>
      <c r="S128" s="328">
        <v>15</v>
      </c>
      <c r="T128" s="328">
        <v>5</v>
      </c>
      <c r="U128" s="328">
        <v>0.7</v>
      </c>
      <c r="V128" s="328">
        <v>0.7</v>
      </c>
      <c r="W128" s="328">
        <v>0.7</v>
      </c>
      <c r="X128" s="328">
        <v>1700</v>
      </c>
      <c r="Y128" s="327" t="s">
        <v>470</v>
      </c>
      <c r="Z128" s="328">
        <v>0.85</v>
      </c>
      <c r="AA128" s="327" t="s">
        <v>471</v>
      </c>
      <c r="AB128" s="327" t="s">
        <v>472</v>
      </c>
      <c r="AC128" s="330">
        <v>220</v>
      </c>
    </row>
    <row r="129" spans="1:29">
      <c r="A129" s="331" t="s">
        <v>602</v>
      </c>
      <c r="B129" s="332" t="s">
        <v>467</v>
      </c>
      <c r="C129" s="332" t="s">
        <v>596</v>
      </c>
      <c r="D129" s="332" t="s">
        <v>468</v>
      </c>
      <c r="E129" s="333">
        <v>1</v>
      </c>
      <c r="F129" s="334">
        <v>45203.425000000003</v>
      </c>
      <c r="G129" s="333">
        <v>1</v>
      </c>
      <c r="H129" s="333">
        <v>51.370800000000003</v>
      </c>
      <c r="I129" s="333">
        <v>6.6636100000000003</v>
      </c>
      <c r="J129" s="333">
        <v>-14.467855999999999</v>
      </c>
      <c r="K129" s="333">
        <v>-13.635531</v>
      </c>
      <c r="L129" s="333">
        <v>950.83</v>
      </c>
      <c r="M129" s="333">
        <v>103.5</v>
      </c>
      <c r="N129" s="333">
        <v>12024.71</v>
      </c>
      <c r="O129" s="333">
        <v>12024.714819999999</v>
      </c>
      <c r="P129" s="333">
        <v>2064.6280000000002</v>
      </c>
      <c r="Q129" s="332" t="s">
        <v>469</v>
      </c>
      <c r="R129" s="332"/>
      <c r="S129" s="333">
        <v>15</v>
      </c>
      <c r="T129" s="333">
        <v>5</v>
      </c>
      <c r="U129" s="333">
        <v>0.7</v>
      </c>
      <c r="V129" s="333">
        <v>0.7</v>
      </c>
      <c r="W129" s="333">
        <v>0.7</v>
      </c>
      <c r="X129" s="333">
        <v>1700</v>
      </c>
      <c r="Y129" s="332" t="s">
        <v>470</v>
      </c>
      <c r="Z129" s="333">
        <v>0.85</v>
      </c>
      <c r="AA129" s="332" t="s">
        <v>471</v>
      </c>
      <c r="AB129" s="332" t="s">
        <v>472</v>
      </c>
      <c r="AC129" s="335">
        <v>220</v>
      </c>
    </row>
    <row r="130" spans="1:29">
      <c r="A130" s="326" t="s">
        <v>603</v>
      </c>
      <c r="B130" s="327" t="s">
        <v>478</v>
      </c>
      <c r="C130" s="327" t="s">
        <v>427</v>
      </c>
      <c r="D130" s="327" t="s">
        <v>468</v>
      </c>
      <c r="E130" s="328">
        <v>1.2</v>
      </c>
      <c r="F130" s="329">
        <v>45203.432638888888</v>
      </c>
      <c r="G130" s="328">
        <v>1</v>
      </c>
      <c r="H130" s="328">
        <v>51.3675</v>
      </c>
      <c r="I130" s="328">
        <v>6.4727399999999999</v>
      </c>
      <c r="J130" s="328">
        <v>-14.453275</v>
      </c>
      <c r="K130" s="328">
        <v>-13.616719</v>
      </c>
      <c r="L130" s="328">
        <v>978.69899999999996</v>
      </c>
      <c r="M130" s="328">
        <v>101.999504</v>
      </c>
      <c r="N130" s="328">
        <v>14452.26</v>
      </c>
      <c r="O130" s="328">
        <v>14460.474770000001</v>
      </c>
      <c r="P130" s="328">
        <v>2073.7220000000002</v>
      </c>
      <c r="Q130" s="327" t="s">
        <v>469</v>
      </c>
      <c r="R130" s="327"/>
      <c r="S130" s="328">
        <v>15</v>
      </c>
      <c r="T130" s="328">
        <v>5</v>
      </c>
      <c r="U130" s="328">
        <v>0.7</v>
      </c>
      <c r="V130" s="328">
        <v>0.7</v>
      </c>
      <c r="W130" s="328">
        <v>0.7</v>
      </c>
      <c r="X130" s="328">
        <v>1700</v>
      </c>
      <c r="Y130" s="327" t="s">
        <v>470</v>
      </c>
      <c r="Z130" s="328">
        <v>0.85</v>
      </c>
      <c r="AA130" s="327" t="s">
        <v>471</v>
      </c>
      <c r="AB130" s="327" t="s">
        <v>472</v>
      </c>
      <c r="AC130" s="330">
        <v>220</v>
      </c>
    </row>
    <row r="131" spans="1:29">
      <c r="A131" s="331" t="s">
        <v>604</v>
      </c>
      <c r="B131" s="332" t="s">
        <v>478</v>
      </c>
      <c r="C131" s="332" t="s">
        <v>427</v>
      </c>
      <c r="D131" s="332" t="s">
        <v>468</v>
      </c>
      <c r="E131" s="333">
        <v>1.2</v>
      </c>
      <c r="F131" s="334">
        <v>45203.436111111114</v>
      </c>
      <c r="G131" s="333">
        <v>1</v>
      </c>
      <c r="H131" s="333">
        <v>51.374099999999999</v>
      </c>
      <c r="I131" s="333">
        <v>6.50624</v>
      </c>
      <c r="J131" s="333">
        <v>-14.462505999999999</v>
      </c>
      <c r="K131" s="333">
        <v>-13.62045</v>
      </c>
      <c r="L131" s="333">
        <v>970.15899999999999</v>
      </c>
      <c r="M131" s="333">
        <v>97.999763000000002</v>
      </c>
      <c r="N131" s="333">
        <v>14461.91</v>
      </c>
      <c r="O131" s="333">
        <v>14460.474770000001</v>
      </c>
      <c r="P131" s="333">
        <v>2073.7220000000002</v>
      </c>
      <c r="Q131" s="332" t="s">
        <v>469</v>
      </c>
      <c r="R131" s="332"/>
      <c r="S131" s="333">
        <v>15</v>
      </c>
      <c r="T131" s="333">
        <v>5</v>
      </c>
      <c r="U131" s="333">
        <v>0.7</v>
      </c>
      <c r="V131" s="333">
        <v>0.7</v>
      </c>
      <c r="W131" s="333">
        <v>0.7</v>
      </c>
      <c r="X131" s="333">
        <v>1700</v>
      </c>
      <c r="Y131" s="332" t="s">
        <v>470</v>
      </c>
      <c r="Z131" s="333">
        <v>0.85</v>
      </c>
      <c r="AA131" s="332" t="s">
        <v>471</v>
      </c>
      <c r="AB131" s="332" t="s">
        <v>472</v>
      </c>
      <c r="AC131" s="335">
        <v>220</v>
      </c>
    </row>
    <row r="132" spans="1:29">
      <c r="A132" s="326" t="s">
        <v>605</v>
      </c>
      <c r="B132" s="327" t="s">
        <v>478</v>
      </c>
      <c r="C132" s="327" t="s">
        <v>427</v>
      </c>
      <c r="D132" s="327" t="s">
        <v>468</v>
      </c>
      <c r="E132" s="328">
        <v>1.2</v>
      </c>
      <c r="F132" s="329">
        <v>45203.439583333333</v>
      </c>
      <c r="G132" s="328">
        <v>1</v>
      </c>
      <c r="H132" s="328">
        <v>51.370800000000003</v>
      </c>
      <c r="I132" s="328">
        <v>6.52433</v>
      </c>
      <c r="J132" s="328">
        <v>-14.450437000000001</v>
      </c>
      <c r="K132" s="328">
        <v>-13.602499999999999</v>
      </c>
      <c r="L132" s="328">
        <v>975.6</v>
      </c>
      <c r="M132" s="328">
        <v>107.500057</v>
      </c>
      <c r="N132" s="328">
        <v>14467.25</v>
      </c>
      <c r="O132" s="328">
        <v>14460.474770000001</v>
      </c>
      <c r="P132" s="328">
        <v>2073.7220000000002</v>
      </c>
      <c r="Q132" s="327" t="s">
        <v>469</v>
      </c>
      <c r="R132" s="327"/>
      <c r="S132" s="328">
        <v>15</v>
      </c>
      <c r="T132" s="328">
        <v>5</v>
      </c>
      <c r="U132" s="328">
        <v>0.7</v>
      </c>
      <c r="V132" s="328">
        <v>0.7</v>
      </c>
      <c r="W132" s="328">
        <v>0.7</v>
      </c>
      <c r="X132" s="328">
        <v>1700</v>
      </c>
      <c r="Y132" s="327" t="s">
        <v>470</v>
      </c>
      <c r="Z132" s="328">
        <v>0.85</v>
      </c>
      <c r="AA132" s="327" t="s">
        <v>471</v>
      </c>
      <c r="AB132" s="327" t="s">
        <v>472</v>
      </c>
      <c r="AC132" s="330">
        <v>220</v>
      </c>
    </row>
    <row r="133" spans="1:29">
      <c r="A133" s="331" t="s">
        <v>606</v>
      </c>
      <c r="B133" s="332" t="s">
        <v>490</v>
      </c>
      <c r="C133" s="332" t="s">
        <v>427</v>
      </c>
      <c r="D133" s="332" t="s">
        <v>468</v>
      </c>
      <c r="E133" s="333">
        <v>1.5</v>
      </c>
      <c r="F133" s="334">
        <v>45203.443055555559</v>
      </c>
      <c r="G133" s="333">
        <v>1</v>
      </c>
      <c r="H133" s="333">
        <v>51.374099999999999</v>
      </c>
      <c r="I133" s="333">
        <v>6.5488299999999997</v>
      </c>
      <c r="J133" s="333">
        <v>-14.510469000000001</v>
      </c>
      <c r="K133" s="333">
        <v>-13.685819</v>
      </c>
      <c r="L133" s="333">
        <v>1000.93</v>
      </c>
      <c r="M133" s="333">
        <v>116.500058</v>
      </c>
      <c r="N133" s="333">
        <v>18131.650000000001</v>
      </c>
      <c r="O133" s="333">
        <v>18120.583549999999</v>
      </c>
      <c r="P133" s="333">
        <v>2073.7220000000002</v>
      </c>
      <c r="Q133" s="332" t="s">
        <v>469</v>
      </c>
      <c r="R133" s="332"/>
      <c r="S133" s="333">
        <v>15</v>
      </c>
      <c r="T133" s="333">
        <v>5</v>
      </c>
      <c r="U133" s="333">
        <v>0.7</v>
      </c>
      <c r="V133" s="333">
        <v>0.7</v>
      </c>
      <c r="W133" s="333">
        <v>0.7</v>
      </c>
      <c r="X133" s="333">
        <v>1700</v>
      </c>
      <c r="Y133" s="332" t="s">
        <v>470</v>
      </c>
      <c r="Z133" s="333">
        <v>0.85</v>
      </c>
      <c r="AA133" s="332" t="s">
        <v>471</v>
      </c>
      <c r="AB133" s="332" t="s">
        <v>472</v>
      </c>
      <c r="AC133" s="335">
        <v>220</v>
      </c>
    </row>
    <row r="134" spans="1:29">
      <c r="A134" s="326" t="s">
        <v>607</v>
      </c>
      <c r="B134" s="327" t="s">
        <v>490</v>
      </c>
      <c r="C134" s="327" t="s">
        <v>427</v>
      </c>
      <c r="D134" s="327" t="s">
        <v>468</v>
      </c>
      <c r="E134" s="328">
        <v>1.5</v>
      </c>
      <c r="F134" s="329">
        <v>45203.446527777778</v>
      </c>
      <c r="G134" s="328">
        <v>1</v>
      </c>
      <c r="H134" s="328">
        <v>51.374099999999999</v>
      </c>
      <c r="I134" s="328">
        <v>6.5487700000000002</v>
      </c>
      <c r="J134" s="328">
        <v>-14.426537</v>
      </c>
      <c r="K134" s="328">
        <v>-13.577225</v>
      </c>
      <c r="L134" s="328">
        <v>1014.28</v>
      </c>
      <c r="M134" s="328">
        <v>114.499987</v>
      </c>
      <c r="N134" s="328">
        <v>18124.84</v>
      </c>
      <c r="O134" s="328">
        <v>18120.583549999999</v>
      </c>
      <c r="P134" s="328">
        <v>2073.7220000000002</v>
      </c>
      <c r="Q134" s="327" t="s">
        <v>469</v>
      </c>
      <c r="R134" s="327"/>
      <c r="S134" s="328">
        <v>15</v>
      </c>
      <c r="T134" s="328">
        <v>5</v>
      </c>
      <c r="U134" s="328">
        <v>0.7</v>
      </c>
      <c r="V134" s="328">
        <v>0.7</v>
      </c>
      <c r="W134" s="328">
        <v>0.7</v>
      </c>
      <c r="X134" s="328">
        <v>1700</v>
      </c>
      <c r="Y134" s="327" t="s">
        <v>470</v>
      </c>
      <c r="Z134" s="328">
        <v>0.85</v>
      </c>
      <c r="AA134" s="327" t="s">
        <v>471</v>
      </c>
      <c r="AB134" s="327" t="s">
        <v>472</v>
      </c>
      <c r="AC134" s="330">
        <v>220</v>
      </c>
    </row>
    <row r="135" spans="1:29">
      <c r="A135" s="331" t="s">
        <v>608</v>
      </c>
      <c r="B135" s="332" t="s">
        <v>490</v>
      </c>
      <c r="C135" s="332" t="s">
        <v>427</v>
      </c>
      <c r="D135" s="332" t="s">
        <v>468</v>
      </c>
      <c r="E135" s="333">
        <v>1.5</v>
      </c>
      <c r="F135" s="334">
        <v>45203.45</v>
      </c>
      <c r="G135" s="333">
        <v>1</v>
      </c>
      <c r="H135" s="333">
        <v>51.370800000000003</v>
      </c>
      <c r="I135" s="333">
        <v>6.62303</v>
      </c>
      <c r="J135" s="333">
        <v>-14.507319000000001</v>
      </c>
      <c r="K135" s="333">
        <v>-13.675255999999999</v>
      </c>
      <c r="L135" s="333">
        <v>993.40300000000002</v>
      </c>
      <c r="M135" s="333">
        <v>120.49870799999999</v>
      </c>
      <c r="N135" s="333">
        <v>18105.259999999998</v>
      </c>
      <c r="O135" s="333">
        <v>18120.583549999999</v>
      </c>
      <c r="P135" s="333">
        <v>2073.7220000000002</v>
      </c>
      <c r="Q135" s="332" t="s">
        <v>469</v>
      </c>
      <c r="R135" s="332"/>
      <c r="S135" s="333">
        <v>15</v>
      </c>
      <c r="T135" s="333">
        <v>5</v>
      </c>
      <c r="U135" s="333">
        <v>0.7</v>
      </c>
      <c r="V135" s="333">
        <v>0.7</v>
      </c>
      <c r="W135" s="333">
        <v>0.7</v>
      </c>
      <c r="X135" s="333">
        <v>1700</v>
      </c>
      <c r="Y135" s="332" t="s">
        <v>470</v>
      </c>
      <c r="Z135" s="333">
        <v>0.85</v>
      </c>
      <c r="AA135" s="332" t="s">
        <v>471</v>
      </c>
      <c r="AB135" s="332" t="s">
        <v>472</v>
      </c>
      <c r="AC135" s="335">
        <v>220</v>
      </c>
    </row>
    <row r="136" spans="1:29">
      <c r="A136" s="326" t="s">
        <v>609</v>
      </c>
      <c r="B136" s="327" t="s">
        <v>494</v>
      </c>
      <c r="C136" s="327" t="s">
        <v>427</v>
      </c>
      <c r="D136" s="327" t="s">
        <v>468</v>
      </c>
      <c r="E136" s="328">
        <v>1.8</v>
      </c>
      <c r="F136" s="329">
        <v>45203.453472222223</v>
      </c>
      <c r="G136" s="328">
        <v>1</v>
      </c>
      <c r="H136" s="328">
        <v>51.3675</v>
      </c>
      <c r="I136" s="328">
        <v>6.6536200000000001</v>
      </c>
      <c r="J136" s="328">
        <v>-14.558999999999999</v>
      </c>
      <c r="K136" s="328">
        <v>-13.709231000000001</v>
      </c>
      <c r="L136" s="328">
        <v>1020.91</v>
      </c>
      <c r="M136" s="328">
        <v>136.99943200000001</v>
      </c>
      <c r="N136" s="328">
        <v>21701.3</v>
      </c>
      <c r="O136" s="328">
        <v>21743.552500000002</v>
      </c>
      <c r="P136" s="328">
        <v>2073.7220000000002</v>
      </c>
      <c r="Q136" s="327" t="s">
        <v>542</v>
      </c>
      <c r="R136" s="327"/>
      <c r="S136" s="328">
        <v>15</v>
      </c>
      <c r="T136" s="328">
        <v>5</v>
      </c>
      <c r="U136" s="328">
        <v>0.7</v>
      </c>
      <c r="V136" s="328">
        <v>0.7</v>
      </c>
      <c r="W136" s="328">
        <v>0.7</v>
      </c>
      <c r="X136" s="328">
        <v>1700</v>
      </c>
      <c r="Y136" s="327" t="s">
        <v>470</v>
      </c>
      <c r="Z136" s="328">
        <v>0.85</v>
      </c>
      <c r="AA136" s="327" t="s">
        <v>471</v>
      </c>
      <c r="AB136" s="327" t="s">
        <v>472</v>
      </c>
      <c r="AC136" s="330">
        <v>220</v>
      </c>
    </row>
    <row r="137" spans="1:29">
      <c r="A137" s="331" t="s">
        <v>610</v>
      </c>
      <c r="B137" s="332" t="s">
        <v>494</v>
      </c>
      <c r="C137" s="332" t="s">
        <v>427</v>
      </c>
      <c r="D137" s="332" t="s">
        <v>468</v>
      </c>
      <c r="E137" s="333">
        <v>1.8</v>
      </c>
      <c r="F137" s="334">
        <v>45203.456944444442</v>
      </c>
      <c r="G137" s="333">
        <v>1</v>
      </c>
      <c r="H137" s="333">
        <v>51.370800000000003</v>
      </c>
      <c r="I137" s="333">
        <v>6.6433</v>
      </c>
      <c r="J137" s="333">
        <v>-14.504818999999999</v>
      </c>
      <c r="K137" s="333">
        <v>-13.673731</v>
      </c>
      <c r="L137" s="333">
        <v>1020.23</v>
      </c>
      <c r="M137" s="333">
        <v>128.49958699999999</v>
      </c>
      <c r="N137" s="333">
        <v>21728.81</v>
      </c>
      <c r="O137" s="333">
        <v>21743.552500000002</v>
      </c>
      <c r="P137" s="333">
        <v>2073.7220000000002</v>
      </c>
      <c r="Q137" s="332" t="s">
        <v>469</v>
      </c>
      <c r="R137" s="332"/>
      <c r="S137" s="333">
        <v>15</v>
      </c>
      <c r="T137" s="333">
        <v>5</v>
      </c>
      <c r="U137" s="333">
        <v>0.7</v>
      </c>
      <c r="V137" s="333">
        <v>0.7</v>
      </c>
      <c r="W137" s="333">
        <v>0.7</v>
      </c>
      <c r="X137" s="333">
        <v>1700</v>
      </c>
      <c r="Y137" s="332" t="s">
        <v>470</v>
      </c>
      <c r="Z137" s="333">
        <v>0.85</v>
      </c>
      <c r="AA137" s="332" t="s">
        <v>471</v>
      </c>
      <c r="AB137" s="332" t="s">
        <v>472</v>
      </c>
      <c r="AC137" s="335">
        <v>220</v>
      </c>
    </row>
    <row r="138" spans="1:29">
      <c r="A138" s="326" t="s">
        <v>611</v>
      </c>
      <c r="B138" s="327" t="s">
        <v>494</v>
      </c>
      <c r="C138" s="327" t="s">
        <v>427</v>
      </c>
      <c r="D138" s="327" t="s">
        <v>468</v>
      </c>
      <c r="E138" s="328">
        <v>1.8</v>
      </c>
      <c r="F138" s="329">
        <v>45203.461111111108</v>
      </c>
      <c r="G138" s="328">
        <v>1</v>
      </c>
      <c r="H138" s="328">
        <v>51.3675</v>
      </c>
      <c r="I138" s="328">
        <v>6.6059599999999996</v>
      </c>
      <c r="J138" s="328">
        <v>-14.556319</v>
      </c>
      <c r="K138" s="328">
        <v>-13.719669</v>
      </c>
      <c r="L138" s="328">
        <v>1005.93</v>
      </c>
      <c r="M138" s="328">
        <v>132.49997400000001</v>
      </c>
      <c r="N138" s="328">
        <v>21748.07</v>
      </c>
      <c r="O138" s="328">
        <v>21743.552500000002</v>
      </c>
      <c r="P138" s="328">
        <v>2073.7220000000002</v>
      </c>
      <c r="Q138" s="327" t="s">
        <v>469</v>
      </c>
      <c r="R138" s="327"/>
      <c r="S138" s="328">
        <v>15</v>
      </c>
      <c r="T138" s="328">
        <v>5</v>
      </c>
      <c r="U138" s="328">
        <v>0.7</v>
      </c>
      <c r="V138" s="328">
        <v>0.7</v>
      </c>
      <c r="W138" s="328">
        <v>0.7</v>
      </c>
      <c r="X138" s="328">
        <v>1700</v>
      </c>
      <c r="Y138" s="327" t="s">
        <v>470</v>
      </c>
      <c r="Z138" s="328">
        <v>0.85</v>
      </c>
      <c r="AA138" s="327" t="s">
        <v>471</v>
      </c>
      <c r="AB138" s="327" t="s">
        <v>472</v>
      </c>
      <c r="AC138" s="330">
        <v>220</v>
      </c>
    </row>
    <row r="139" spans="1:29">
      <c r="A139" s="331" t="s">
        <v>612</v>
      </c>
      <c r="B139" s="332" t="s">
        <v>494</v>
      </c>
      <c r="C139" s="332" t="s">
        <v>427</v>
      </c>
      <c r="D139" s="332" t="s">
        <v>468</v>
      </c>
      <c r="E139" s="333">
        <v>1.8</v>
      </c>
      <c r="F139" s="334">
        <v>45203.464583333334</v>
      </c>
      <c r="G139" s="333">
        <v>1</v>
      </c>
      <c r="H139" s="333">
        <v>51.3675</v>
      </c>
      <c r="I139" s="333">
        <v>6.5433000000000003</v>
      </c>
      <c r="J139" s="333">
        <v>-14.538805999999999</v>
      </c>
      <c r="K139" s="333">
        <v>-13.691630999999999</v>
      </c>
      <c r="L139" s="333">
        <v>1012.65</v>
      </c>
      <c r="M139" s="333">
        <v>136.49893</v>
      </c>
      <c r="N139" s="333">
        <v>21753.78</v>
      </c>
      <c r="O139" s="333">
        <v>21743.552500000002</v>
      </c>
      <c r="P139" s="333">
        <v>2073.7220000000002</v>
      </c>
      <c r="Q139" s="332" t="s">
        <v>469</v>
      </c>
      <c r="R139" s="332"/>
      <c r="S139" s="333">
        <v>15</v>
      </c>
      <c r="T139" s="333">
        <v>5</v>
      </c>
      <c r="U139" s="333">
        <v>0.7</v>
      </c>
      <c r="V139" s="333">
        <v>0.7</v>
      </c>
      <c r="W139" s="333">
        <v>0.7</v>
      </c>
      <c r="X139" s="333">
        <v>1700</v>
      </c>
      <c r="Y139" s="332" t="s">
        <v>470</v>
      </c>
      <c r="Z139" s="333">
        <v>0.85</v>
      </c>
      <c r="AA139" s="332" t="s">
        <v>471</v>
      </c>
      <c r="AB139" s="332" t="s">
        <v>472</v>
      </c>
      <c r="AC139" s="335">
        <v>220</v>
      </c>
    </row>
    <row r="140" spans="1:29">
      <c r="A140" s="336" t="s">
        <v>613</v>
      </c>
      <c r="B140" s="337">
        <v>2</v>
      </c>
      <c r="C140" s="337" t="s">
        <v>427</v>
      </c>
      <c r="D140" s="337" t="s">
        <v>468</v>
      </c>
      <c r="E140" s="338">
        <v>1.5</v>
      </c>
      <c r="F140" s="339">
        <v>45203.46875</v>
      </c>
      <c r="G140" s="338">
        <v>1</v>
      </c>
      <c r="H140" s="338">
        <v>51.364100000000001</v>
      </c>
      <c r="I140" s="338">
        <v>6.5922099999999997</v>
      </c>
      <c r="J140" s="338">
        <v>-14.595131</v>
      </c>
      <c r="K140" s="338">
        <v>-13.745850000000001</v>
      </c>
      <c r="L140" s="338">
        <v>1005.44</v>
      </c>
      <c r="M140" s="338">
        <v>126.50002499999999</v>
      </c>
      <c r="N140" s="338">
        <v>18095.02</v>
      </c>
      <c r="O140" s="338">
        <v>18110.282859999999</v>
      </c>
      <c r="P140" s="338">
        <v>2072.5549999999998</v>
      </c>
      <c r="Q140" s="337" t="s">
        <v>469</v>
      </c>
      <c r="R140" s="337"/>
      <c r="S140" s="338">
        <v>15</v>
      </c>
      <c r="T140" s="338">
        <v>5</v>
      </c>
      <c r="U140" s="338">
        <v>0.7</v>
      </c>
      <c r="V140" s="338">
        <v>0.7</v>
      </c>
      <c r="W140" s="338">
        <v>0.7</v>
      </c>
      <c r="X140" s="338">
        <v>1700</v>
      </c>
      <c r="Y140" s="337" t="s">
        <v>470</v>
      </c>
      <c r="Z140" s="338">
        <v>0.85</v>
      </c>
      <c r="AA140" s="337" t="s">
        <v>471</v>
      </c>
      <c r="AB140" s="337" t="s">
        <v>472</v>
      </c>
      <c r="AC140" s="340">
        <v>220</v>
      </c>
    </row>
    <row r="141" spans="1:29">
      <c r="A141" s="331" t="s">
        <v>614</v>
      </c>
      <c r="B141" s="332">
        <v>2</v>
      </c>
      <c r="C141" s="332" t="s">
        <v>427</v>
      </c>
      <c r="D141" s="332" t="s">
        <v>468</v>
      </c>
      <c r="E141" s="333">
        <v>1.5</v>
      </c>
      <c r="F141" s="334">
        <v>45203.472222222219</v>
      </c>
      <c r="G141" s="333">
        <v>1</v>
      </c>
      <c r="H141" s="333">
        <v>51.370800000000003</v>
      </c>
      <c r="I141" s="333">
        <v>6.6624699999999999</v>
      </c>
      <c r="J141" s="333">
        <v>-14.671818999999999</v>
      </c>
      <c r="K141" s="333">
        <v>-13.832088000000001</v>
      </c>
      <c r="L141" s="333">
        <v>1012.5</v>
      </c>
      <c r="M141" s="333">
        <v>130.498865</v>
      </c>
      <c r="N141" s="333">
        <v>18114.650000000001</v>
      </c>
      <c r="O141" s="333">
        <v>18110.282859999999</v>
      </c>
      <c r="P141" s="333">
        <v>2072.5549999999998</v>
      </c>
      <c r="Q141" s="332" t="s">
        <v>469</v>
      </c>
      <c r="R141" s="332"/>
      <c r="S141" s="333">
        <v>15</v>
      </c>
      <c r="T141" s="333">
        <v>5</v>
      </c>
      <c r="U141" s="333">
        <v>0.7</v>
      </c>
      <c r="V141" s="333">
        <v>0.7</v>
      </c>
      <c r="W141" s="333">
        <v>0.7</v>
      </c>
      <c r="X141" s="333">
        <v>1700</v>
      </c>
      <c r="Y141" s="332" t="s">
        <v>470</v>
      </c>
      <c r="Z141" s="333">
        <v>0.85</v>
      </c>
      <c r="AA141" s="332" t="s">
        <v>471</v>
      </c>
      <c r="AB141" s="332" t="s">
        <v>472</v>
      </c>
      <c r="AC141" s="335">
        <v>220</v>
      </c>
    </row>
    <row r="142" spans="1:29">
      <c r="A142" s="326" t="s">
        <v>615</v>
      </c>
      <c r="B142" s="327">
        <v>2</v>
      </c>
      <c r="C142" s="327" t="s">
        <v>427</v>
      </c>
      <c r="D142" s="327" t="s">
        <v>468</v>
      </c>
      <c r="E142" s="328">
        <v>1.5</v>
      </c>
      <c r="F142" s="329">
        <v>45203.475694444445</v>
      </c>
      <c r="G142" s="328">
        <v>1</v>
      </c>
      <c r="H142" s="328">
        <v>51.377400000000002</v>
      </c>
      <c r="I142" s="328">
        <v>6.7235899999999997</v>
      </c>
      <c r="J142" s="328">
        <v>-14.545381000000001</v>
      </c>
      <c r="K142" s="328">
        <v>-13.721181</v>
      </c>
      <c r="L142" s="328">
        <v>1011.24</v>
      </c>
      <c r="M142" s="328">
        <v>128.499259</v>
      </c>
      <c r="N142" s="328">
        <v>18121.18</v>
      </c>
      <c r="O142" s="328">
        <v>18110.282859999999</v>
      </c>
      <c r="P142" s="328">
        <v>2072.5549999999998</v>
      </c>
      <c r="Q142" s="327" t="s">
        <v>469</v>
      </c>
      <c r="R142" s="327"/>
      <c r="S142" s="328">
        <v>15</v>
      </c>
      <c r="T142" s="328">
        <v>5</v>
      </c>
      <c r="U142" s="328">
        <v>0.7</v>
      </c>
      <c r="V142" s="328">
        <v>0.7</v>
      </c>
      <c r="W142" s="328">
        <v>0.7</v>
      </c>
      <c r="X142" s="328">
        <v>1700</v>
      </c>
      <c r="Y142" s="327" t="s">
        <v>470</v>
      </c>
      <c r="Z142" s="328">
        <v>0.85</v>
      </c>
      <c r="AA142" s="327" t="s">
        <v>471</v>
      </c>
      <c r="AB142" s="327" t="s">
        <v>472</v>
      </c>
      <c r="AC142" s="330">
        <v>220</v>
      </c>
    </row>
    <row r="143" spans="1:29">
      <c r="A143" s="331" t="s">
        <v>616</v>
      </c>
      <c r="B143" s="332">
        <v>3</v>
      </c>
      <c r="C143" s="332">
        <v>187</v>
      </c>
      <c r="D143" s="332" t="s">
        <v>419</v>
      </c>
      <c r="E143" s="333">
        <v>1.5</v>
      </c>
      <c r="F143" s="334">
        <v>45203.479861111111</v>
      </c>
      <c r="G143" s="333">
        <v>1</v>
      </c>
      <c r="H143" s="333">
        <v>51.374099999999999</v>
      </c>
      <c r="I143" s="333">
        <v>6.5372700000000004</v>
      </c>
      <c r="J143" s="333">
        <v>-14.539894</v>
      </c>
      <c r="K143" s="333">
        <v>-13.698931</v>
      </c>
      <c r="L143" s="333">
        <v>962.14800000000002</v>
      </c>
      <c r="M143" s="333">
        <v>109.000398</v>
      </c>
      <c r="N143" s="333">
        <v>17431.54</v>
      </c>
      <c r="O143" s="333">
        <v>17465.760849999999</v>
      </c>
      <c r="P143" s="333">
        <v>1999.521</v>
      </c>
      <c r="Q143" s="332" t="s">
        <v>542</v>
      </c>
      <c r="R143" s="332"/>
      <c r="S143" s="333">
        <v>15</v>
      </c>
      <c r="T143" s="333">
        <v>5</v>
      </c>
      <c r="U143" s="333">
        <v>0.7</v>
      </c>
      <c r="V143" s="333">
        <v>0.7</v>
      </c>
      <c r="W143" s="333">
        <v>0.7</v>
      </c>
      <c r="X143" s="333">
        <v>1700</v>
      </c>
      <c r="Y143" s="332" t="s">
        <v>470</v>
      </c>
      <c r="Z143" s="333">
        <v>0.85</v>
      </c>
      <c r="AA143" s="332" t="s">
        <v>471</v>
      </c>
      <c r="AB143" s="332" t="s">
        <v>472</v>
      </c>
      <c r="AC143" s="335">
        <v>220</v>
      </c>
    </row>
    <row r="144" spans="1:29">
      <c r="A144" s="326" t="s">
        <v>617</v>
      </c>
      <c r="B144" s="327">
        <v>3</v>
      </c>
      <c r="C144" s="327">
        <v>187</v>
      </c>
      <c r="D144" s="327" t="s">
        <v>419</v>
      </c>
      <c r="E144" s="328">
        <v>1.5</v>
      </c>
      <c r="F144" s="329">
        <v>45203.48333333333</v>
      </c>
      <c r="G144" s="328">
        <v>1</v>
      </c>
      <c r="H144" s="328">
        <v>51.370800000000003</v>
      </c>
      <c r="I144" s="328">
        <v>6.6603199999999996</v>
      </c>
      <c r="J144" s="328">
        <v>-14.571262000000001</v>
      </c>
      <c r="K144" s="328">
        <v>-13.736463000000001</v>
      </c>
      <c r="L144" s="328">
        <v>972.601</v>
      </c>
      <c r="M144" s="328">
        <v>144.49963099999999</v>
      </c>
      <c r="N144" s="328">
        <v>17473.73</v>
      </c>
      <c r="O144" s="328">
        <v>17465.760849999999</v>
      </c>
      <c r="P144" s="328">
        <v>1999.521</v>
      </c>
      <c r="Q144" s="327" t="s">
        <v>469</v>
      </c>
      <c r="R144" s="327"/>
      <c r="S144" s="328">
        <v>15</v>
      </c>
      <c r="T144" s="328">
        <v>5</v>
      </c>
      <c r="U144" s="328">
        <v>0.7</v>
      </c>
      <c r="V144" s="328">
        <v>0.7</v>
      </c>
      <c r="W144" s="328">
        <v>0.7</v>
      </c>
      <c r="X144" s="328">
        <v>1700</v>
      </c>
      <c r="Y144" s="327" t="s">
        <v>470</v>
      </c>
      <c r="Z144" s="328">
        <v>0.85</v>
      </c>
      <c r="AA144" s="327" t="s">
        <v>471</v>
      </c>
      <c r="AB144" s="327" t="s">
        <v>472</v>
      </c>
      <c r="AC144" s="330">
        <v>220</v>
      </c>
    </row>
    <row r="145" spans="1:29">
      <c r="A145" s="331" t="s">
        <v>618</v>
      </c>
      <c r="B145" s="332">
        <v>3</v>
      </c>
      <c r="C145" s="332">
        <v>187</v>
      </c>
      <c r="D145" s="332" t="s">
        <v>419</v>
      </c>
      <c r="E145" s="333">
        <v>1.5</v>
      </c>
      <c r="F145" s="334">
        <v>45203.486805555556</v>
      </c>
      <c r="G145" s="333">
        <v>1</v>
      </c>
      <c r="H145" s="333">
        <v>51.370800000000003</v>
      </c>
      <c r="I145" s="333">
        <v>6.4849899999999998</v>
      </c>
      <c r="J145" s="333">
        <v>-14.562250000000001</v>
      </c>
      <c r="K145" s="333">
        <v>-13.725968999999999</v>
      </c>
      <c r="L145" s="333">
        <v>970.64200000000005</v>
      </c>
      <c r="M145" s="333">
        <v>113.999959</v>
      </c>
      <c r="N145" s="333">
        <v>17460.93</v>
      </c>
      <c r="O145" s="333">
        <v>17465.760849999999</v>
      </c>
      <c r="P145" s="333">
        <v>1999.521</v>
      </c>
      <c r="Q145" s="332" t="s">
        <v>469</v>
      </c>
      <c r="R145" s="332"/>
      <c r="S145" s="333">
        <v>15</v>
      </c>
      <c r="T145" s="333">
        <v>5</v>
      </c>
      <c r="U145" s="333">
        <v>0.7</v>
      </c>
      <c r="V145" s="333">
        <v>0.7</v>
      </c>
      <c r="W145" s="333">
        <v>0.7</v>
      </c>
      <c r="X145" s="333">
        <v>1700</v>
      </c>
      <c r="Y145" s="332" t="s">
        <v>470</v>
      </c>
      <c r="Z145" s="333">
        <v>0.85</v>
      </c>
      <c r="AA145" s="332" t="s">
        <v>471</v>
      </c>
      <c r="AB145" s="332" t="s">
        <v>472</v>
      </c>
      <c r="AC145" s="335">
        <v>220</v>
      </c>
    </row>
    <row r="146" spans="1:29">
      <c r="A146" s="326" t="s">
        <v>619</v>
      </c>
      <c r="B146" s="327">
        <v>3</v>
      </c>
      <c r="C146" s="327">
        <v>187</v>
      </c>
      <c r="D146" s="327" t="s">
        <v>419</v>
      </c>
      <c r="E146" s="328">
        <v>1.5</v>
      </c>
      <c r="F146" s="329">
        <v>45203.490277777775</v>
      </c>
      <c r="G146" s="328">
        <v>1</v>
      </c>
      <c r="H146" s="328">
        <v>51.374099999999999</v>
      </c>
      <c r="I146" s="328">
        <v>6.5480099999999997</v>
      </c>
      <c r="J146" s="328">
        <v>-14.505844</v>
      </c>
      <c r="K146" s="328">
        <v>-13.669081</v>
      </c>
      <c r="L146" s="328">
        <v>958.94399999999996</v>
      </c>
      <c r="M146" s="328">
        <v>119.00065600000001</v>
      </c>
      <c r="N146" s="328">
        <v>17462.62</v>
      </c>
      <c r="O146" s="328">
        <v>17465.760849999999</v>
      </c>
      <c r="P146" s="328">
        <v>1999.521</v>
      </c>
      <c r="Q146" s="327" t="s">
        <v>469</v>
      </c>
      <c r="R146" s="327"/>
      <c r="S146" s="328">
        <v>15</v>
      </c>
      <c r="T146" s="328">
        <v>5</v>
      </c>
      <c r="U146" s="328">
        <v>0.7</v>
      </c>
      <c r="V146" s="328">
        <v>0.7</v>
      </c>
      <c r="W146" s="328">
        <v>0.7</v>
      </c>
      <c r="X146" s="328">
        <v>1700</v>
      </c>
      <c r="Y146" s="327" t="s">
        <v>470</v>
      </c>
      <c r="Z146" s="328">
        <v>0.85</v>
      </c>
      <c r="AA146" s="327" t="s">
        <v>471</v>
      </c>
      <c r="AB146" s="327" t="s">
        <v>472</v>
      </c>
      <c r="AC146" s="330">
        <v>220</v>
      </c>
    </row>
    <row r="147" spans="1:29">
      <c r="A147" s="331" t="s">
        <v>620</v>
      </c>
      <c r="B147" s="332">
        <v>4</v>
      </c>
      <c r="C147" s="332">
        <v>186</v>
      </c>
      <c r="D147" s="332" t="s">
        <v>420</v>
      </c>
      <c r="E147" s="333">
        <v>1.5</v>
      </c>
      <c r="F147" s="334">
        <v>45203.494444444441</v>
      </c>
      <c r="G147" s="333">
        <v>1</v>
      </c>
      <c r="H147" s="333">
        <v>51.370800000000003</v>
      </c>
      <c r="I147" s="333">
        <v>6.5721100000000003</v>
      </c>
      <c r="J147" s="333">
        <v>-14.590662999999999</v>
      </c>
      <c r="K147" s="333">
        <v>-13.765093999999999</v>
      </c>
      <c r="L147" s="333">
        <v>968.85900000000004</v>
      </c>
      <c r="M147" s="333">
        <v>124.99956899999999</v>
      </c>
      <c r="N147" s="333">
        <v>17472.91</v>
      </c>
      <c r="O147" s="333">
        <v>17424.394400000001</v>
      </c>
      <c r="P147" s="333">
        <v>1994.8340000000001</v>
      </c>
      <c r="Q147" s="332" t="s">
        <v>542</v>
      </c>
      <c r="R147" s="332"/>
      <c r="S147" s="333">
        <v>15</v>
      </c>
      <c r="T147" s="333">
        <v>5</v>
      </c>
      <c r="U147" s="333">
        <v>0.7</v>
      </c>
      <c r="V147" s="333">
        <v>0.7</v>
      </c>
      <c r="W147" s="333">
        <v>0.7</v>
      </c>
      <c r="X147" s="333">
        <v>1700</v>
      </c>
      <c r="Y147" s="332" t="s">
        <v>470</v>
      </c>
      <c r="Z147" s="333">
        <v>0.85</v>
      </c>
      <c r="AA147" s="332" t="s">
        <v>471</v>
      </c>
      <c r="AB147" s="332" t="s">
        <v>472</v>
      </c>
      <c r="AC147" s="335">
        <v>220</v>
      </c>
    </row>
    <row r="148" spans="1:29">
      <c r="A148" s="326" t="s">
        <v>621</v>
      </c>
      <c r="B148" s="327">
        <v>4</v>
      </c>
      <c r="C148" s="327">
        <v>186</v>
      </c>
      <c r="D148" s="327" t="s">
        <v>420</v>
      </c>
      <c r="E148" s="328">
        <v>1.5</v>
      </c>
      <c r="F148" s="329">
        <v>45203.497916666667</v>
      </c>
      <c r="G148" s="328">
        <v>1</v>
      </c>
      <c r="H148" s="328">
        <v>51.370800000000003</v>
      </c>
      <c r="I148" s="328">
        <v>6.5041000000000002</v>
      </c>
      <c r="J148" s="328">
        <v>-14.506631</v>
      </c>
      <c r="K148" s="328">
        <v>-13.664338000000001</v>
      </c>
      <c r="L148" s="328">
        <v>968.66600000000005</v>
      </c>
      <c r="M148" s="328">
        <v>117.000113</v>
      </c>
      <c r="N148" s="328">
        <v>17412.669999999998</v>
      </c>
      <c r="O148" s="328">
        <v>17424.394400000001</v>
      </c>
      <c r="P148" s="328">
        <v>1994.8340000000001</v>
      </c>
      <c r="Q148" s="327" t="s">
        <v>469</v>
      </c>
      <c r="R148" s="327"/>
      <c r="S148" s="328">
        <v>15</v>
      </c>
      <c r="T148" s="328">
        <v>5</v>
      </c>
      <c r="U148" s="328">
        <v>0.7</v>
      </c>
      <c r="V148" s="328">
        <v>0.7</v>
      </c>
      <c r="W148" s="328">
        <v>0.7</v>
      </c>
      <c r="X148" s="328">
        <v>1700</v>
      </c>
      <c r="Y148" s="327" t="s">
        <v>470</v>
      </c>
      <c r="Z148" s="328">
        <v>0.85</v>
      </c>
      <c r="AA148" s="327" t="s">
        <v>471</v>
      </c>
      <c r="AB148" s="327" t="s">
        <v>472</v>
      </c>
      <c r="AC148" s="330">
        <v>220</v>
      </c>
    </row>
    <row r="149" spans="1:29">
      <c r="A149" s="331" t="s">
        <v>622</v>
      </c>
      <c r="B149" s="332">
        <v>4</v>
      </c>
      <c r="C149" s="332">
        <v>186</v>
      </c>
      <c r="D149" s="332" t="s">
        <v>420</v>
      </c>
      <c r="E149" s="333">
        <v>1.5</v>
      </c>
      <c r="F149" s="334">
        <v>45203.502083333333</v>
      </c>
      <c r="G149" s="333">
        <v>1</v>
      </c>
      <c r="H149" s="333">
        <v>51.370800000000003</v>
      </c>
      <c r="I149" s="333">
        <v>6.5893499999999996</v>
      </c>
      <c r="J149" s="333">
        <v>-14.519731</v>
      </c>
      <c r="K149" s="333">
        <v>-13.673012999999999</v>
      </c>
      <c r="L149" s="333">
        <v>965.58799999999997</v>
      </c>
      <c r="M149" s="333">
        <v>112.499949</v>
      </c>
      <c r="N149" s="333">
        <v>17433.68</v>
      </c>
      <c r="O149" s="333">
        <v>17424.394400000001</v>
      </c>
      <c r="P149" s="333">
        <v>1994.8340000000001</v>
      </c>
      <c r="Q149" s="332" t="s">
        <v>469</v>
      </c>
      <c r="R149" s="332"/>
      <c r="S149" s="333">
        <v>15</v>
      </c>
      <c r="T149" s="333">
        <v>5</v>
      </c>
      <c r="U149" s="333">
        <v>0.7</v>
      </c>
      <c r="V149" s="333">
        <v>0.7</v>
      </c>
      <c r="W149" s="333">
        <v>0.7</v>
      </c>
      <c r="X149" s="333">
        <v>1700</v>
      </c>
      <c r="Y149" s="332" t="s">
        <v>470</v>
      </c>
      <c r="Z149" s="333">
        <v>0.85</v>
      </c>
      <c r="AA149" s="332" t="s">
        <v>471</v>
      </c>
      <c r="AB149" s="332" t="s">
        <v>472</v>
      </c>
      <c r="AC149" s="335">
        <v>220</v>
      </c>
    </row>
    <row r="150" spans="1:29">
      <c r="A150" s="326" t="s">
        <v>623</v>
      </c>
      <c r="B150" s="327">
        <v>4</v>
      </c>
      <c r="C150" s="327">
        <v>186</v>
      </c>
      <c r="D150" s="327" t="s">
        <v>420</v>
      </c>
      <c r="E150" s="328">
        <v>1.5</v>
      </c>
      <c r="F150" s="329">
        <v>45203.505555555559</v>
      </c>
      <c r="G150" s="328">
        <v>1</v>
      </c>
      <c r="H150" s="328">
        <v>51.370800000000003</v>
      </c>
      <c r="I150" s="328">
        <v>6.6091300000000004</v>
      </c>
      <c r="J150" s="328">
        <v>-14.589194000000001</v>
      </c>
      <c r="K150" s="328">
        <v>-13.763586999999999</v>
      </c>
      <c r="L150" s="328">
        <v>968.03899999999999</v>
      </c>
      <c r="M150" s="328">
        <v>120.498616</v>
      </c>
      <c r="N150" s="328">
        <v>17426.84</v>
      </c>
      <c r="O150" s="328">
        <v>17424.394400000001</v>
      </c>
      <c r="P150" s="328">
        <v>1994.8340000000001</v>
      </c>
      <c r="Q150" s="327" t="s">
        <v>469</v>
      </c>
      <c r="R150" s="327"/>
      <c r="S150" s="328">
        <v>15</v>
      </c>
      <c r="T150" s="328">
        <v>5</v>
      </c>
      <c r="U150" s="328">
        <v>0.7</v>
      </c>
      <c r="V150" s="328">
        <v>0.7</v>
      </c>
      <c r="W150" s="328">
        <v>0.7</v>
      </c>
      <c r="X150" s="328">
        <v>1700</v>
      </c>
      <c r="Y150" s="327" t="s">
        <v>470</v>
      </c>
      <c r="Z150" s="328">
        <v>0.85</v>
      </c>
      <c r="AA150" s="327" t="s">
        <v>471</v>
      </c>
      <c r="AB150" s="327" t="s">
        <v>472</v>
      </c>
      <c r="AC150" s="330">
        <v>220</v>
      </c>
    </row>
    <row r="151" spans="1:29">
      <c r="A151" s="331" t="s">
        <v>624</v>
      </c>
      <c r="B151" s="332">
        <v>5</v>
      </c>
      <c r="C151" s="332">
        <v>192</v>
      </c>
      <c r="D151" s="332" t="s">
        <v>421</v>
      </c>
      <c r="E151" s="333">
        <v>1.5</v>
      </c>
      <c r="F151" s="334">
        <v>45203.509027777778</v>
      </c>
      <c r="G151" s="333">
        <v>1</v>
      </c>
      <c r="H151" s="333">
        <v>51.3675</v>
      </c>
      <c r="I151" s="333">
        <v>6.5701000000000001</v>
      </c>
      <c r="J151" s="333">
        <v>-14.528231</v>
      </c>
      <c r="K151" s="333">
        <v>-13.686019</v>
      </c>
      <c r="L151" s="333">
        <v>954.25400000000002</v>
      </c>
      <c r="M151" s="333">
        <v>111.50143199999999</v>
      </c>
      <c r="N151" s="333">
        <v>17302.61</v>
      </c>
      <c r="O151" s="333">
        <v>17306.804840000001</v>
      </c>
      <c r="P151" s="333">
        <v>1981.509</v>
      </c>
      <c r="Q151" s="332" t="s">
        <v>469</v>
      </c>
      <c r="R151" s="332"/>
      <c r="S151" s="333">
        <v>15</v>
      </c>
      <c r="T151" s="333">
        <v>5</v>
      </c>
      <c r="U151" s="333">
        <v>0.7</v>
      </c>
      <c r="V151" s="333">
        <v>0.7</v>
      </c>
      <c r="W151" s="333">
        <v>0.7</v>
      </c>
      <c r="X151" s="333">
        <v>1700</v>
      </c>
      <c r="Y151" s="332" t="s">
        <v>470</v>
      </c>
      <c r="Z151" s="333">
        <v>0.85</v>
      </c>
      <c r="AA151" s="332" t="s">
        <v>471</v>
      </c>
      <c r="AB151" s="332" t="s">
        <v>472</v>
      </c>
      <c r="AC151" s="335">
        <v>220</v>
      </c>
    </row>
    <row r="152" spans="1:29">
      <c r="A152" s="326" t="s">
        <v>625</v>
      </c>
      <c r="B152" s="327">
        <v>5</v>
      </c>
      <c r="C152" s="327">
        <v>192</v>
      </c>
      <c r="D152" s="327" t="s">
        <v>421</v>
      </c>
      <c r="E152" s="328">
        <v>1.5</v>
      </c>
      <c r="F152" s="329">
        <v>45203.512499999997</v>
      </c>
      <c r="G152" s="328">
        <v>1</v>
      </c>
      <c r="H152" s="328">
        <v>51.3675</v>
      </c>
      <c r="I152" s="328">
        <v>6.5168699999999999</v>
      </c>
      <c r="J152" s="328">
        <v>-14.598381</v>
      </c>
      <c r="K152" s="328">
        <v>-13.758362999999999</v>
      </c>
      <c r="L152" s="328">
        <v>953.26099999999997</v>
      </c>
      <c r="M152" s="328">
        <v>106.000089</v>
      </c>
      <c r="N152" s="328">
        <v>17306.13</v>
      </c>
      <c r="O152" s="328">
        <v>17306.804840000001</v>
      </c>
      <c r="P152" s="328">
        <v>1981.509</v>
      </c>
      <c r="Q152" s="327" t="s">
        <v>469</v>
      </c>
      <c r="R152" s="327"/>
      <c r="S152" s="328">
        <v>15</v>
      </c>
      <c r="T152" s="328">
        <v>5</v>
      </c>
      <c r="U152" s="328">
        <v>0.7</v>
      </c>
      <c r="V152" s="328">
        <v>0.7</v>
      </c>
      <c r="W152" s="328">
        <v>0.7</v>
      </c>
      <c r="X152" s="328">
        <v>1700</v>
      </c>
      <c r="Y152" s="327" t="s">
        <v>470</v>
      </c>
      <c r="Z152" s="328">
        <v>0.85</v>
      </c>
      <c r="AA152" s="327" t="s">
        <v>471</v>
      </c>
      <c r="AB152" s="327" t="s">
        <v>472</v>
      </c>
      <c r="AC152" s="330">
        <v>220</v>
      </c>
    </row>
    <row r="153" spans="1:29">
      <c r="A153" s="331" t="s">
        <v>626</v>
      </c>
      <c r="B153" s="332">
        <v>5</v>
      </c>
      <c r="C153" s="332">
        <v>192</v>
      </c>
      <c r="D153" s="332" t="s">
        <v>421</v>
      </c>
      <c r="E153" s="333">
        <v>1.5</v>
      </c>
      <c r="F153" s="334">
        <v>45203.515972222223</v>
      </c>
      <c r="G153" s="333">
        <v>1</v>
      </c>
      <c r="H153" s="333">
        <v>51.370800000000003</v>
      </c>
      <c r="I153" s="333">
        <v>6.5038200000000002</v>
      </c>
      <c r="J153" s="333">
        <v>-14.309294</v>
      </c>
      <c r="K153" s="333">
        <v>-13.463906</v>
      </c>
      <c r="L153" s="333">
        <v>962.19600000000003</v>
      </c>
      <c r="M153" s="333">
        <v>113.000107</v>
      </c>
      <c r="N153" s="333">
        <v>17311.68</v>
      </c>
      <c r="O153" s="333">
        <v>17306.804840000001</v>
      </c>
      <c r="P153" s="333">
        <v>1981.509</v>
      </c>
      <c r="Q153" s="332" t="s">
        <v>469</v>
      </c>
      <c r="R153" s="332"/>
      <c r="S153" s="333">
        <v>15</v>
      </c>
      <c r="T153" s="333">
        <v>5</v>
      </c>
      <c r="U153" s="333">
        <v>0.7</v>
      </c>
      <c r="V153" s="333">
        <v>0.7</v>
      </c>
      <c r="W153" s="333">
        <v>0.7</v>
      </c>
      <c r="X153" s="333">
        <v>1700</v>
      </c>
      <c r="Y153" s="332" t="s">
        <v>470</v>
      </c>
      <c r="Z153" s="333">
        <v>0.85</v>
      </c>
      <c r="AA153" s="332" t="s">
        <v>471</v>
      </c>
      <c r="AB153" s="332" t="s">
        <v>472</v>
      </c>
      <c r="AC153" s="335">
        <v>220</v>
      </c>
    </row>
    <row r="154" spans="1:29">
      <c r="A154" s="326" t="s">
        <v>627</v>
      </c>
      <c r="B154" s="327">
        <v>6</v>
      </c>
      <c r="C154" s="327">
        <v>193</v>
      </c>
      <c r="D154" s="327" t="s">
        <v>422</v>
      </c>
      <c r="E154" s="328">
        <v>1.5</v>
      </c>
      <c r="F154" s="329">
        <v>45203.520138888889</v>
      </c>
      <c r="G154" s="328">
        <v>1</v>
      </c>
      <c r="H154" s="328">
        <v>51.3675</v>
      </c>
      <c r="I154" s="328">
        <v>6.4914500000000004</v>
      </c>
      <c r="J154" s="328">
        <v>-14.399305999999999</v>
      </c>
      <c r="K154" s="328">
        <v>-13.554869</v>
      </c>
      <c r="L154" s="328">
        <v>960.45500000000004</v>
      </c>
      <c r="M154" s="328">
        <v>116.00050299999999</v>
      </c>
      <c r="N154" s="328">
        <v>17280.810000000001</v>
      </c>
      <c r="O154" s="328">
        <v>0</v>
      </c>
      <c r="P154" s="328">
        <v>0</v>
      </c>
      <c r="Q154" s="327" t="s">
        <v>479</v>
      </c>
      <c r="R154" s="327"/>
      <c r="S154" s="328">
        <v>15</v>
      </c>
      <c r="T154" s="328">
        <v>5</v>
      </c>
      <c r="U154" s="328">
        <v>0.7</v>
      </c>
      <c r="V154" s="328">
        <v>0.7</v>
      </c>
      <c r="W154" s="328">
        <v>0.7</v>
      </c>
      <c r="X154" s="328">
        <v>1700</v>
      </c>
      <c r="Y154" s="327" t="s">
        <v>470</v>
      </c>
      <c r="Z154" s="328">
        <v>0.85</v>
      </c>
      <c r="AA154" s="327" t="s">
        <v>471</v>
      </c>
      <c r="AB154" s="327" t="s">
        <v>472</v>
      </c>
      <c r="AC154" s="330">
        <v>220</v>
      </c>
    </row>
    <row r="155" spans="1:29">
      <c r="A155" s="331" t="s">
        <v>628</v>
      </c>
      <c r="B155" s="332">
        <v>6</v>
      </c>
      <c r="C155" s="332">
        <v>193</v>
      </c>
      <c r="D155" s="332" t="s">
        <v>422</v>
      </c>
      <c r="E155" s="333">
        <v>1.5</v>
      </c>
      <c r="F155" s="334">
        <v>45203.523611111108</v>
      </c>
      <c r="G155" s="333">
        <v>1</v>
      </c>
      <c r="H155" s="333">
        <v>51.370800000000003</v>
      </c>
      <c r="I155" s="333">
        <v>6.4802400000000002</v>
      </c>
      <c r="J155" s="333">
        <v>-14.390769000000001</v>
      </c>
      <c r="K155" s="333">
        <v>-13.545218999999999</v>
      </c>
      <c r="L155" s="333">
        <v>972.23500000000001</v>
      </c>
      <c r="M155" s="333">
        <v>137.99999</v>
      </c>
      <c r="N155" s="333">
        <v>17766.830000000002</v>
      </c>
      <c r="O155" s="333">
        <v>0</v>
      </c>
      <c r="P155" s="333">
        <v>0</v>
      </c>
      <c r="Q155" s="332" t="s">
        <v>479</v>
      </c>
      <c r="R155" s="332"/>
      <c r="S155" s="333">
        <v>15</v>
      </c>
      <c r="T155" s="333">
        <v>5</v>
      </c>
      <c r="U155" s="333">
        <v>0.7</v>
      </c>
      <c r="V155" s="333">
        <v>0.7</v>
      </c>
      <c r="W155" s="333">
        <v>0.7</v>
      </c>
      <c r="X155" s="333">
        <v>1700</v>
      </c>
      <c r="Y155" s="332" t="s">
        <v>470</v>
      </c>
      <c r="Z155" s="333">
        <v>0.85</v>
      </c>
      <c r="AA155" s="332" t="s">
        <v>471</v>
      </c>
      <c r="AB155" s="332" t="s">
        <v>472</v>
      </c>
      <c r="AC155" s="335">
        <v>220</v>
      </c>
    </row>
    <row r="156" spans="1:29">
      <c r="A156" s="326" t="s">
        <v>629</v>
      </c>
      <c r="B156" s="327">
        <v>6</v>
      </c>
      <c r="C156" s="327">
        <v>193</v>
      </c>
      <c r="D156" s="327" t="s">
        <v>422</v>
      </c>
      <c r="E156" s="328">
        <v>1.5</v>
      </c>
      <c r="F156" s="329">
        <v>45203.527777777781</v>
      </c>
      <c r="G156" s="328">
        <v>1</v>
      </c>
      <c r="H156" s="328">
        <v>51.374099999999999</v>
      </c>
      <c r="I156" s="328">
        <v>6.5631199999999996</v>
      </c>
      <c r="J156" s="328">
        <v>-14.463881000000001</v>
      </c>
      <c r="K156" s="328">
        <v>-13.616894</v>
      </c>
      <c r="L156" s="328">
        <v>953.58</v>
      </c>
      <c r="M156" s="328">
        <v>113.000444</v>
      </c>
      <c r="N156" s="328">
        <v>17354.169999999998</v>
      </c>
      <c r="O156" s="328">
        <v>0</v>
      </c>
      <c r="P156" s="328">
        <v>0</v>
      </c>
      <c r="Q156" s="327" t="s">
        <v>479</v>
      </c>
      <c r="R156" s="327"/>
      <c r="S156" s="328">
        <v>15</v>
      </c>
      <c r="T156" s="328">
        <v>5</v>
      </c>
      <c r="U156" s="328">
        <v>0.7</v>
      </c>
      <c r="V156" s="328">
        <v>0.7</v>
      </c>
      <c r="W156" s="328">
        <v>0.7</v>
      </c>
      <c r="X156" s="328">
        <v>1700</v>
      </c>
      <c r="Y156" s="327" t="s">
        <v>470</v>
      </c>
      <c r="Z156" s="328">
        <v>0.85</v>
      </c>
      <c r="AA156" s="327" t="s">
        <v>471</v>
      </c>
      <c r="AB156" s="327" t="s">
        <v>472</v>
      </c>
      <c r="AC156" s="330">
        <v>220</v>
      </c>
    </row>
    <row r="157" spans="1:29">
      <c r="A157" s="331" t="s">
        <v>630</v>
      </c>
      <c r="B157" s="332">
        <v>6</v>
      </c>
      <c r="C157" s="332">
        <v>193</v>
      </c>
      <c r="D157" s="332" t="s">
        <v>422</v>
      </c>
      <c r="E157" s="333">
        <v>1.5</v>
      </c>
      <c r="F157" s="334">
        <v>45203.53125</v>
      </c>
      <c r="G157" s="333">
        <v>1</v>
      </c>
      <c r="H157" s="333">
        <v>51.377400000000002</v>
      </c>
      <c r="I157" s="333">
        <v>6.6218399999999997</v>
      </c>
      <c r="J157" s="333">
        <v>-14.473556</v>
      </c>
      <c r="K157" s="333">
        <v>-13.624874999999999</v>
      </c>
      <c r="L157" s="333">
        <v>960.02300000000002</v>
      </c>
      <c r="M157" s="333">
        <v>110.500007</v>
      </c>
      <c r="N157" s="333">
        <v>17286.14</v>
      </c>
      <c r="O157" s="333">
        <v>0</v>
      </c>
      <c r="P157" s="333">
        <v>0</v>
      </c>
      <c r="Q157" s="332" t="s">
        <v>479</v>
      </c>
      <c r="R157" s="332"/>
      <c r="S157" s="333">
        <v>15</v>
      </c>
      <c r="T157" s="333">
        <v>5</v>
      </c>
      <c r="U157" s="333">
        <v>0.7</v>
      </c>
      <c r="V157" s="333">
        <v>0.7</v>
      </c>
      <c r="W157" s="333">
        <v>0.7</v>
      </c>
      <c r="X157" s="333">
        <v>1700</v>
      </c>
      <c r="Y157" s="332" t="s">
        <v>470</v>
      </c>
      <c r="Z157" s="333">
        <v>0.85</v>
      </c>
      <c r="AA157" s="332" t="s">
        <v>471</v>
      </c>
      <c r="AB157" s="332" t="s">
        <v>472</v>
      </c>
      <c r="AC157" s="335">
        <v>220</v>
      </c>
    </row>
    <row r="158" spans="1:29">
      <c r="A158" s="326" t="s">
        <v>631</v>
      </c>
      <c r="B158" s="327">
        <v>6</v>
      </c>
      <c r="C158" s="327">
        <v>193</v>
      </c>
      <c r="D158" s="327" t="s">
        <v>422</v>
      </c>
      <c r="E158" s="328">
        <v>1.5</v>
      </c>
      <c r="F158" s="329">
        <v>45203.53402777778</v>
      </c>
      <c r="G158" s="328">
        <v>1</v>
      </c>
      <c r="H158" s="328">
        <v>51.374099999999999</v>
      </c>
      <c r="I158" s="328">
        <v>6.4608699999999999</v>
      </c>
      <c r="J158" s="328">
        <v>-14.57475</v>
      </c>
      <c r="K158" s="328">
        <v>-13.740887000000001</v>
      </c>
      <c r="L158" s="328">
        <v>955.97199999999998</v>
      </c>
      <c r="M158" s="328">
        <v>119.498771</v>
      </c>
      <c r="N158" s="328">
        <v>17333.13</v>
      </c>
      <c r="O158" s="328">
        <v>0</v>
      </c>
      <c r="P158" s="328">
        <v>0</v>
      </c>
      <c r="Q158" s="327" t="s">
        <v>479</v>
      </c>
      <c r="R158" s="327"/>
      <c r="S158" s="328">
        <v>15</v>
      </c>
      <c r="T158" s="328">
        <v>5</v>
      </c>
      <c r="U158" s="328">
        <v>0.7</v>
      </c>
      <c r="V158" s="328">
        <v>0.7</v>
      </c>
      <c r="W158" s="328">
        <v>0.7</v>
      </c>
      <c r="X158" s="328">
        <v>1700</v>
      </c>
      <c r="Y158" s="327" t="s">
        <v>470</v>
      </c>
      <c r="Z158" s="328">
        <v>0.85</v>
      </c>
      <c r="AA158" s="327" t="s">
        <v>471</v>
      </c>
      <c r="AB158" s="327" t="s">
        <v>472</v>
      </c>
      <c r="AC158" s="330">
        <v>220</v>
      </c>
    </row>
    <row r="159" spans="1:29">
      <c r="A159" s="331" t="s">
        <v>632</v>
      </c>
      <c r="B159" s="332">
        <v>6</v>
      </c>
      <c r="C159" s="332">
        <v>193</v>
      </c>
      <c r="D159" s="332" t="s">
        <v>422</v>
      </c>
      <c r="E159" s="333">
        <v>1.5</v>
      </c>
      <c r="F159" s="334">
        <v>45203.538194444445</v>
      </c>
      <c r="G159" s="333">
        <v>2</v>
      </c>
      <c r="H159" s="333">
        <v>51.370800000000003</v>
      </c>
      <c r="I159" s="333">
        <v>6.49261</v>
      </c>
      <c r="J159" s="333">
        <v>-14.487137000000001</v>
      </c>
      <c r="K159" s="333">
        <v>-13.638813000000001</v>
      </c>
      <c r="L159" s="333">
        <v>977.47699999999998</v>
      </c>
      <c r="M159" s="333">
        <v>115.00208000000001</v>
      </c>
      <c r="N159" s="333">
        <v>17429.009999999998</v>
      </c>
      <c r="O159" s="333">
        <v>17277.833589999998</v>
      </c>
      <c r="P159" s="333">
        <v>1978.2260000000001</v>
      </c>
      <c r="Q159" s="332" t="s">
        <v>542</v>
      </c>
      <c r="R159" s="332"/>
      <c r="S159" s="333">
        <v>15</v>
      </c>
      <c r="T159" s="333">
        <v>5</v>
      </c>
      <c r="U159" s="333">
        <v>0.7</v>
      </c>
      <c r="V159" s="333">
        <v>0.7</v>
      </c>
      <c r="W159" s="333">
        <v>0.7</v>
      </c>
      <c r="X159" s="333">
        <v>1700</v>
      </c>
      <c r="Y159" s="332" t="s">
        <v>470</v>
      </c>
      <c r="Z159" s="333">
        <v>0.85</v>
      </c>
      <c r="AA159" s="332" t="s">
        <v>471</v>
      </c>
      <c r="AB159" s="332" t="s">
        <v>472</v>
      </c>
      <c r="AC159" s="335">
        <v>220</v>
      </c>
    </row>
    <row r="160" spans="1:29">
      <c r="A160" s="326" t="s">
        <v>633</v>
      </c>
      <c r="B160" s="327">
        <v>6</v>
      </c>
      <c r="C160" s="327">
        <v>193</v>
      </c>
      <c r="D160" s="327" t="s">
        <v>422</v>
      </c>
      <c r="E160" s="328">
        <v>1.5</v>
      </c>
      <c r="F160" s="329">
        <v>45203.541666666664</v>
      </c>
      <c r="G160" s="328">
        <v>2</v>
      </c>
      <c r="H160" s="328">
        <v>51.3675</v>
      </c>
      <c r="I160" s="328">
        <v>6.4272900000000002</v>
      </c>
      <c r="J160" s="328">
        <v>-14.525688000000001</v>
      </c>
      <c r="K160" s="328">
        <v>-13.680013000000001</v>
      </c>
      <c r="L160" s="328">
        <v>965.39499999999998</v>
      </c>
      <c r="M160" s="328">
        <v>120.00121900000001</v>
      </c>
      <c r="N160" s="328">
        <v>17290.04</v>
      </c>
      <c r="O160" s="328">
        <v>17277.833589999998</v>
      </c>
      <c r="P160" s="328">
        <v>1978.2260000000001</v>
      </c>
      <c r="Q160" s="327" t="s">
        <v>469</v>
      </c>
      <c r="R160" s="327"/>
      <c r="S160" s="328">
        <v>15</v>
      </c>
      <c r="T160" s="328">
        <v>5</v>
      </c>
      <c r="U160" s="328">
        <v>0.7</v>
      </c>
      <c r="V160" s="328">
        <v>0.7</v>
      </c>
      <c r="W160" s="328">
        <v>0.7</v>
      </c>
      <c r="X160" s="328">
        <v>1700</v>
      </c>
      <c r="Y160" s="327" t="s">
        <v>470</v>
      </c>
      <c r="Z160" s="328">
        <v>0.85</v>
      </c>
      <c r="AA160" s="327" t="s">
        <v>471</v>
      </c>
      <c r="AB160" s="327" t="s">
        <v>472</v>
      </c>
      <c r="AC160" s="330">
        <v>220</v>
      </c>
    </row>
    <row r="161" spans="1:29">
      <c r="A161" s="331" t="s">
        <v>634</v>
      </c>
      <c r="B161" s="332">
        <v>6</v>
      </c>
      <c r="C161" s="332">
        <v>193</v>
      </c>
      <c r="D161" s="332" t="s">
        <v>422</v>
      </c>
      <c r="E161" s="333">
        <v>1.5</v>
      </c>
      <c r="F161" s="334">
        <v>45203.545138888891</v>
      </c>
      <c r="G161" s="333">
        <v>2</v>
      </c>
      <c r="H161" s="333">
        <v>51.370800000000003</v>
      </c>
      <c r="I161" s="333">
        <v>6.4647300000000003</v>
      </c>
      <c r="J161" s="333">
        <v>-14.550243999999999</v>
      </c>
      <c r="K161" s="333">
        <v>-13.701511999999999</v>
      </c>
      <c r="L161" s="333">
        <v>951.83100000000002</v>
      </c>
      <c r="M161" s="333">
        <v>124.000038</v>
      </c>
      <c r="N161" s="333">
        <v>17278.560000000001</v>
      </c>
      <c r="O161" s="333">
        <v>17277.833589999998</v>
      </c>
      <c r="P161" s="333">
        <v>1978.2260000000001</v>
      </c>
      <c r="Q161" s="332" t="s">
        <v>469</v>
      </c>
      <c r="R161" s="332"/>
      <c r="S161" s="333">
        <v>15</v>
      </c>
      <c r="T161" s="333">
        <v>5</v>
      </c>
      <c r="U161" s="333">
        <v>0.7</v>
      </c>
      <c r="V161" s="333">
        <v>0.7</v>
      </c>
      <c r="W161" s="333">
        <v>0.7</v>
      </c>
      <c r="X161" s="333">
        <v>1700</v>
      </c>
      <c r="Y161" s="332" t="s">
        <v>470</v>
      </c>
      <c r="Z161" s="333">
        <v>0.85</v>
      </c>
      <c r="AA161" s="332" t="s">
        <v>471</v>
      </c>
      <c r="AB161" s="332" t="s">
        <v>472</v>
      </c>
      <c r="AC161" s="335">
        <v>220</v>
      </c>
    </row>
    <row r="162" spans="1:29">
      <c r="A162" s="326" t="s">
        <v>635</v>
      </c>
      <c r="B162" s="327">
        <v>6</v>
      </c>
      <c r="C162" s="327">
        <v>193</v>
      </c>
      <c r="D162" s="327" t="s">
        <v>422</v>
      </c>
      <c r="E162" s="328">
        <v>1.5</v>
      </c>
      <c r="F162" s="329">
        <v>45203.548611111109</v>
      </c>
      <c r="G162" s="328">
        <v>2</v>
      </c>
      <c r="H162" s="328">
        <v>51.370800000000003</v>
      </c>
      <c r="I162" s="328">
        <v>6.4053800000000001</v>
      </c>
      <c r="J162" s="328">
        <v>-14.610219000000001</v>
      </c>
      <c r="K162" s="328">
        <v>-13.772325</v>
      </c>
      <c r="L162" s="328">
        <v>963.005</v>
      </c>
      <c r="M162" s="328">
        <v>114.99937199999999</v>
      </c>
      <c r="N162" s="328">
        <v>17264.900000000001</v>
      </c>
      <c r="O162" s="328">
        <v>17277.833589999998</v>
      </c>
      <c r="P162" s="328">
        <v>1978.2260000000001</v>
      </c>
      <c r="Q162" s="327" t="s">
        <v>469</v>
      </c>
      <c r="R162" s="327"/>
      <c r="S162" s="328">
        <v>15</v>
      </c>
      <c r="T162" s="328">
        <v>5</v>
      </c>
      <c r="U162" s="328">
        <v>0.7</v>
      </c>
      <c r="V162" s="328">
        <v>0.7</v>
      </c>
      <c r="W162" s="328">
        <v>0.7</v>
      </c>
      <c r="X162" s="328">
        <v>1700</v>
      </c>
      <c r="Y162" s="327" t="s">
        <v>470</v>
      </c>
      <c r="Z162" s="328">
        <v>0.85</v>
      </c>
      <c r="AA162" s="327" t="s">
        <v>471</v>
      </c>
      <c r="AB162" s="327" t="s">
        <v>472</v>
      </c>
      <c r="AC162" s="330">
        <v>220</v>
      </c>
    </row>
    <row r="163" spans="1:29">
      <c r="A163" s="331" t="s">
        <v>636</v>
      </c>
      <c r="B163" s="332">
        <v>7</v>
      </c>
      <c r="C163" s="332">
        <v>194</v>
      </c>
      <c r="D163" s="332" t="s">
        <v>423</v>
      </c>
      <c r="E163" s="333">
        <v>1.5</v>
      </c>
      <c r="F163" s="334">
        <v>45203.552777777775</v>
      </c>
      <c r="G163" s="333">
        <v>1</v>
      </c>
      <c r="H163" s="333">
        <v>51.374099999999999</v>
      </c>
      <c r="I163" s="333">
        <v>6.41561</v>
      </c>
      <c r="J163" s="333">
        <v>-14.605356</v>
      </c>
      <c r="K163" s="333">
        <v>-13.759287</v>
      </c>
      <c r="L163" s="333">
        <v>953.48800000000006</v>
      </c>
      <c r="M163" s="333">
        <v>123.50126400000001</v>
      </c>
      <c r="N163" s="333">
        <v>17265.87</v>
      </c>
      <c r="O163" s="333">
        <v>17255.51283</v>
      </c>
      <c r="P163" s="333">
        <v>1975.6969999999999</v>
      </c>
      <c r="Q163" s="332" t="s">
        <v>469</v>
      </c>
      <c r="R163" s="332"/>
      <c r="S163" s="333">
        <v>15</v>
      </c>
      <c r="T163" s="333">
        <v>5</v>
      </c>
      <c r="U163" s="333">
        <v>0.7</v>
      </c>
      <c r="V163" s="333">
        <v>0.7</v>
      </c>
      <c r="W163" s="333">
        <v>0.7</v>
      </c>
      <c r="X163" s="333">
        <v>1700</v>
      </c>
      <c r="Y163" s="332" t="s">
        <v>470</v>
      </c>
      <c r="Z163" s="333">
        <v>0.85</v>
      </c>
      <c r="AA163" s="332" t="s">
        <v>471</v>
      </c>
      <c r="AB163" s="332" t="s">
        <v>472</v>
      </c>
      <c r="AC163" s="335">
        <v>220</v>
      </c>
    </row>
    <row r="164" spans="1:29">
      <c r="A164" s="326" t="s">
        <v>637</v>
      </c>
      <c r="B164" s="327">
        <v>7</v>
      </c>
      <c r="C164" s="327">
        <v>194</v>
      </c>
      <c r="D164" s="327" t="s">
        <v>423</v>
      </c>
      <c r="E164" s="328">
        <v>1.5</v>
      </c>
      <c r="F164" s="329">
        <v>45203.556250000001</v>
      </c>
      <c r="G164" s="328">
        <v>1</v>
      </c>
      <c r="H164" s="328">
        <v>51.370800000000003</v>
      </c>
      <c r="I164" s="328">
        <v>6.3681299999999998</v>
      </c>
      <c r="J164" s="328">
        <v>-14.579819000000001</v>
      </c>
      <c r="K164" s="328">
        <v>-13.749406</v>
      </c>
      <c r="L164" s="328">
        <v>950.07899999999995</v>
      </c>
      <c r="M164" s="328">
        <v>119.500759</v>
      </c>
      <c r="N164" s="328">
        <v>17264.95</v>
      </c>
      <c r="O164" s="328">
        <v>17255.51283</v>
      </c>
      <c r="P164" s="328">
        <v>1975.6969999999999</v>
      </c>
      <c r="Q164" s="327" t="s">
        <v>469</v>
      </c>
      <c r="R164" s="327"/>
      <c r="S164" s="328">
        <v>15</v>
      </c>
      <c r="T164" s="328">
        <v>5</v>
      </c>
      <c r="U164" s="328">
        <v>0.7</v>
      </c>
      <c r="V164" s="328">
        <v>0.7</v>
      </c>
      <c r="W164" s="328">
        <v>0.7</v>
      </c>
      <c r="X164" s="328">
        <v>1700</v>
      </c>
      <c r="Y164" s="327" t="s">
        <v>470</v>
      </c>
      <c r="Z164" s="328">
        <v>0.85</v>
      </c>
      <c r="AA164" s="327" t="s">
        <v>471</v>
      </c>
      <c r="AB164" s="327" t="s">
        <v>472</v>
      </c>
      <c r="AC164" s="330">
        <v>220</v>
      </c>
    </row>
    <row r="165" spans="1:29">
      <c r="A165" s="331" t="s">
        <v>638</v>
      </c>
      <c r="B165" s="332">
        <v>7</v>
      </c>
      <c r="C165" s="332">
        <v>194</v>
      </c>
      <c r="D165" s="332" t="s">
        <v>423</v>
      </c>
      <c r="E165" s="333">
        <v>1.5</v>
      </c>
      <c r="F165" s="334">
        <v>45203.55972222222</v>
      </c>
      <c r="G165" s="333">
        <v>1</v>
      </c>
      <c r="H165" s="333">
        <v>51.370800000000003</v>
      </c>
      <c r="I165" s="333">
        <v>6.3709699999999998</v>
      </c>
      <c r="J165" s="333">
        <v>-14.577299999999999</v>
      </c>
      <c r="K165" s="333">
        <v>-13.733013</v>
      </c>
      <c r="L165" s="333">
        <v>953.75699999999995</v>
      </c>
      <c r="M165" s="333">
        <v>121.500494</v>
      </c>
      <c r="N165" s="333">
        <v>17235.72</v>
      </c>
      <c r="O165" s="333">
        <v>17255.51283</v>
      </c>
      <c r="P165" s="333">
        <v>1975.6969999999999</v>
      </c>
      <c r="Q165" s="332" t="s">
        <v>469</v>
      </c>
      <c r="R165" s="332"/>
      <c r="S165" s="333">
        <v>15</v>
      </c>
      <c r="T165" s="333">
        <v>5</v>
      </c>
      <c r="U165" s="333">
        <v>0.7</v>
      </c>
      <c r="V165" s="333">
        <v>0.7</v>
      </c>
      <c r="W165" s="333">
        <v>0.7</v>
      </c>
      <c r="X165" s="333">
        <v>1700</v>
      </c>
      <c r="Y165" s="332" t="s">
        <v>470</v>
      </c>
      <c r="Z165" s="333">
        <v>0.85</v>
      </c>
      <c r="AA165" s="332" t="s">
        <v>471</v>
      </c>
      <c r="AB165" s="332" t="s">
        <v>472</v>
      </c>
      <c r="AC165" s="335">
        <v>220</v>
      </c>
    </row>
    <row r="166" spans="1:29">
      <c r="A166" s="326" t="s">
        <v>639</v>
      </c>
      <c r="B166" s="327">
        <v>8</v>
      </c>
      <c r="C166" s="327">
        <v>195</v>
      </c>
      <c r="D166" s="327" t="s">
        <v>424</v>
      </c>
      <c r="E166" s="328">
        <v>1.5</v>
      </c>
      <c r="F166" s="329">
        <v>45203.563888888886</v>
      </c>
      <c r="G166" s="328">
        <v>1</v>
      </c>
      <c r="H166" s="328">
        <v>51.370800000000003</v>
      </c>
      <c r="I166" s="328">
        <v>6.3849299999999998</v>
      </c>
      <c r="J166" s="328">
        <v>-14.560619000000001</v>
      </c>
      <c r="K166" s="328">
        <v>-13.727444</v>
      </c>
      <c r="L166" s="328">
        <v>949.90499999999997</v>
      </c>
      <c r="M166" s="328">
        <v>114.502207</v>
      </c>
      <c r="N166" s="328">
        <v>17220.68</v>
      </c>
      <c r="O166" s="328">
        <v>0</v>
      </c>
      <c r="P166" s="328">
        <v>0</v>
      </c>
      <c r="Q166" s="327" t="s">
        <v>479</v>
      </c>
      <c r="R166" s="327"/>
      <c r="S166" s="328">
        <v>15</v>
      </c>
      <c r="T166" s="328">
        <v>5</v>
      </c>
      <c r="U166" s="328">
        <v>0.7</v>
      </c>
      <c r="V166" s="328">
        <v>0.7</v>
      </c>
      <c r="W166" s="328">
        <v>0.7</v>
      </c>
      <c r="X166" s="328">
        <v>1700</v>
      </c>
      <c r="Y166" s="327" t="s">
        <v>470</v>
      </c>
      <c r="Z166" s="328">
        <v>0.85</v>
      </c>
      <c r="AA166" s="327" t="s">
        <v>471</v>
      </c>
      <c r="AB166" s="327" t="s">
        <v>472</v>
      </c>
      <c r="AC166" s="330">
        <v>220</v>
      </c>
    </row>
    <row r="167" spans="1:29">
      <c r="A167" s="331" t="s">
        <v>640</v>
      </c>
      <c r="B167" s="332">
        <v>8</v>
      </c>
      <c r="C167" s="332">
        <v>195</v>
      </c>
      <c r="D167" s="332" t="s">
        <v>424</v>
      </c>
      <c r="E167" s="333">
        <v>1.5</v>
      </c>
      <c r="F167" s="334">
        <v>45203.567361111112</v>
      </c>
      <c r="G167" s="333">
        <v>1</v>
      </c>
      <c r="H167" s="333">
        <v>51.374099999999999</v>
      </c>
      <c r="I167" s="333">
        <v>6.2819599999999998</v>
      </c>
      <c r="J167" s="333">
        <v>-14.635469000000001</v>
      </c>
      <c r="K167" s="333">
        <v>-13.790706</v>
      </c>
      <c r="L167" s="333">
        <v>952.29499999999996</v>
      </c>
      <c r="M167" s="333">
        <v>114.00035699999999</v>
      </c>
      <c r="N167" s="333">
        <v>17262.88</v>
      </c>
      <c r="O167" s="333">
        <v>0</v>
      </c>
      <c r="P167" s="333">
        <v>0</v>
      </c>
      <c r="Q167" s="332" t="s">
        <v>479</v>
      </c>
      <c r="R167" s="332"/>
      <c r="S167" s="333">
        <v>15</v>
      </c>
      <c r="T167" s="333">
        <v>5</v>
      </c>
      <c r="U167" s="333">
        <v>0.7</v>
      </c>
      <c r="V167" s="333">
        <v>0.7</v>
      </c>
      <c r="W167" s="333">
        <v>0.7</v>
      </c>
      <c r="X167" s="333">
        <v>1700</v>
      </c>
      <c r="Y167" s="332" t="s">
        <v>470</v>
      </c>
      <c r="Z167" s="333">
        <v>0.85</v>
      </c>
      <c r="AA167" s="332" t="s">
        <v>471</v>
      </c>
      <c r="AB167" s="332" t="s">
        <v>472</v>
      </c>
      <c r="AC167" s="335">
        <v>220</v>
      </c>
    </row>
    <row r="168" spans="1:29">
      <c r="A168" s="326" t="s">
        <v>641</v>
      </c>
      <c r="B168" s="327">
        <v>8</v>
      </c>
      <c r="C168" s="327">
        <v>195</v>
      </c>
      <c r="D168" s="327" t="s">
        <v>424</v>
      </c>
      <c r="E168" s="328">
        <v>1.5</v>
      </c>
      <c r="F168" s="329">
        <v>45203.570833333331</v>
      </c>
      <c r="G168" s="328">
        <v>1</v>
      </c>
      <c r="H168" s="328">
        <v>51.3675</v>
      </c>
      <c r="I168" s="328">
        <v>6.3199100000000001</v>
      </c>
      <c r="J168" s="328">
        <v>-14.641969</v>
      </c>
      <c r="K168" s="328">
        <v>-13.799849999999999</v>
      </c>
      <c r="L168" s="328">
        <v>961.27099999999996</v>
      </c>
      <c r="M168" s="328">
        <v>117.501015</v>
      </c>
      <c r="N168" s="328">
        <v>17286.47</v>
      </c>
      <c r="O168" s="328">
        <v>0</v>
      </c>
      <c r="P168" s="328">
        <v>0</v>
      </c>
      <c r="Q168" s="327" t="s">
        <v>479</v>
      </c>
      <c r="R168" s="327"/>
      <c r="S168" s="328">
        <v>15</v>
      </c>
      <c r="T168" s="328">
        <v>5</v>
      </c>
      <c r="U168" s="328">
        <v>0.7</v>
      </c>
      <c r="V168" s="328">
        <v>0.7</v>
      </c>
      <c r="W168" s="328">
        <v>0.7</v>
      </c>
      <c r="X168" s="328">
        <v>1700</v>
      </c>
      <c r="Y168" s="327" t="s">
        <v>470</v>
      </c>
      <c r="Z168" s="328">
        <v>0.85</v>
      </c>
      <c r="AA168" s="327" t="s">
        <v>471</v>
      </c>
      <c r="AB168" s="327" t="s">
        <v>472</v>
      </c>
      <c r="AC168" s="330">
        <v>220</v>
      </c>
    </row>
    <row r="169" spans="1:29">
      <c r="A169" s="331" t="s">
        <v>642</v>
      </c>
      <c r="B169" s="332">
        <v>8</v>
      </c>
      <c r="C169" s="332">
        <v>195</v>
      </c>
      <c r="D169" s="332" t="s">
        <v>424</v>
      </c>
      <c r="E169" s="333">
        <v>1.5</v>
      </c>
      <c r="F169" s="334">
        <v>45203.574305555558</v>
      </c>
      <c r="G169" s="333">
        <v>1</v>
      </c>
      <c r="H169" s="333">
        <v>51.3675</v>
      </c>
      <c r="I169" s="333">
        <v>6.2803399999999998</v>
      </c>
      <c r="J169" s="333">
        <v>-14.644919</v>
      </c>
      <c r="K169" s="333">
        <v>-13.802505999999999</v>
      </c>
      <c r="L169" s="333">
        <v>959.08900000000006</v>
      </c>
      <c r="M169" s="333">
        <v>118.501412</v>
      </c>
      <c r="N169" s="333">
        <v>17251.64</v>
      </c>
      <c r="O169" s="333">
        <v>0</v>
      </c>
      <c r="P169" s="333">
        <v>0</v>
      </c>
      <c r="Q169" s="332" t="s">
        <v>479</v>
      </c>
      <c r="R169" s="332"/>
      <c r="S169" s="333">
        <v>15</v>
      </c>
      <c r="T169" s="333">
        <v>5</v>
      </c>
      <c r="U169" s="333">
        <v>0.7</v>
      </c>
      <c r="V169" s="333">
        <v>0.7</v>
      </c>
      <c r="W169" s="333">
        <v>0.7</v>
      </c>
      <c r="X169" s="333">
        <v>1700</v>
      </c>
      <c r="Y169" s="332" t="s">
        <v>470</v>
      </c>
      <c r="Z169" s="333">
        <v>0.85</v>
      </c>
      <c r="AA169" s="332" t="s">
        <v>471</v>
      </c>
      <c r="AB169" s="332" t="s">
        <v>472</v>
      </c>
      <c r="AC169" s="335">
        <v>220</v>
      </c>
    </row>
    <row r="170" spans="1:29">
      <c r="A170" s="326" t="s">
        <v>643</v>
      </c>
      <c r="B170" s="327">
        <v>8</v>
      </c>
      <c r="C170" s="327">
        <v>195</v>
      </c>
      <c r="D170" s="327" t="s">
        <v>424</v>
      </c>
      <c r="E170" s="328">
        <v>1.5</v>
      </c>
      <c r="F170" s="329">
        <v>45203.577777777777</v>
      </c>
      <c r="G170" s="328">
        <v>1</v>
      </c>
      <c r="H170" s="328">
        <v>51.3675</v>
      </c>
      <c r="I170" s="328">
        <v>6.37873</v>
      </c>
      <c r="J170" s="328">
        <v>-14.613431</v>
      </c>
      <c r="K170" s="328">
        <v>-13.784575</v>
      </c>
      <c r="L170" s="328">
        <v>946.98900000000003</v>
      </c>
      <c r="M170" s="328">
        <v>116.500007</v>
      </c>
      <c r="N170" s="328">
        <v>17220.87</v>
      </c>
      <c r="O170" s="328">
        <v>0</v>
      </c>
      <c r="P170" s="328">
        <v>0</v>
      </c>
      <c r="Q170" s="327" t="s">
        <v>479</v>
      </c>
      <c r="R170" s="327"/>
      <c r="S170" s="328">
        <v>15</v>
      </c>
      <c r="T170" s="328">
        <v>5</v>
      </c>
      <c r="U170" s="328">
        <v>0.7</v>
      </c>
      <c r="V170" s="328">
        <v>0.7</v>
      </c>
      <c r="W170" s="328">
        <v>0.7</v>
      </c>
      <c r="X170" s="328">
        <v>1700</v>
      </c>
      <c r="Y170" s="327" t="s">
        <v>470</v>
      </c>
      <c r="Z170" s="328">
        <v>0.85</v>
      </c>
      <c r="AA170" s="327" t="s">
        <v>471</v>
      </c>
      <c r="AB170" s="327" t="s">
        <v>472</v>
      </c>
      <c r="AC170" s="330">
        <v>220</v>
      </c>
    </row>
    <row r="171" spans="1:29">
      <c r="A171" s="331" t="s">
        <v>644</v>
      </c>
      <c r="B171" s="332">
        <v>8</v>
      </c>
      <c r="C171" s="332">
        <v>195</v>
      </c>
      <c r="D171" s="332" t="s">
        <v>424</v>
      </c>
      <c r="E171" s="333">
        <v>1.5</v>
      </c>
      <c r="F171" s="334">
        <v>45203.581250000003</v>
      </c>
      <c r="G171" s="333">
        <v>2</v>
      </c>
      <c r="H171" s="333">
        <v>51.3675</v>
      </c>
      <c r="I171" s="333">
        <v>6.3078500000000002</v>
      </c>
      <c r="J171" s="333">
        <v>-14.533163</v>
      </c>
      <c r="K171" s="333">
        <v>-13.683631</v>
      </c>
      <c r="L171" s="333">
        <v>955.38499999999999</v>
      </c>
      <c r="M171" s="333">
        <v>113.00024999999999</v>
      </c>
      <c r="N171" s="333">
        <v>17319.03</v>
      </c>
      <c r="O171" s="333">
        <v>0</v>
      </c>
      <c r="P171" s="333">
        <v>0</v>
      </c>
      <c r="Q171" s="332" t="s">
        <v>479</v>
      </c>
      <c r="R171" s="332"/>
      <c r="S171" s="333">
        <v>15</v>
      </c>
      <c r="T171" s="333">
        <v>5</v>
      </c>
      <c r="U171" s="333">
        <v>0.7</v>
      </c>
      <c r="V171" s="333">
        <v>0.7</v>
      </c>
      <c r="W171" s="333">
        <v>0.7</v>
      </c>
      <c r="X171" s="333">
        <v>1700</v>
      </c>
      <c r="Y171" s="332" t="s">
        <v>470</v>
      </c>
      <c r="Z171" s="333">
        <v>0.85</v>
      </c>
      <c r="AA171" s="332" t="s">
        <v>471</v>
      </c>
      <c r="AB171" s="332" t="s">
        <v>472</v>
      </c>
      <c r="AC171" s="335">
        <v>220</v>
      </c>
    </row>
    <row r="172" spans="1:29">
      <c r="A172" s="326" t="s">
        <v>645</v>
      </c>
      <c r="B172" s="327">
        <v>8</v>
      </c>
      <c r="C172" s="327">
        <v>195</v>
      </c>
      <c r="D172" s="327" t="s">
        <v>424</v>
      </c>
      <c r="E172" s="328">
        <v>1.5</v>
      </c>
      <c r="F172" s="329">
        <v>45203.584722222222</v>
      </c>
      <c r="G172" s="328">
        <v>2</v>
      </c>
      <c r="H172" s="328">
        <v>51.374099999999999</v>
      </c>
      <c r="I172" s="328">
        <v>6.3086099999999998</v>
      </c>
      <c r="J172" s="328">
        <v>-14.669694</v>
      </c>
      <c r="K172" s="328">
        <v>-13.830299999999999</v>
      </c>
      <c r="L172" s="328">
        <v>946.05200000000002</v>
      </c>
      <c r="M172" s="328">
        <v>126.00080199999999</v>
      </c>
      <c r="N172" s="328">
        <v>17239.79</v>
      </c>
      <c r="O172" s="328">
        <v>0</v>
      </c>
      <c r="P172" s="328">
        <v>0</v>
      </c>
      <c r="Q172" s="327" t="s">
        <v>479</v>
      </c>
      <c r="R172" s="327"/>
      <c r="S172" s="328">
        <v>15</v>
      </c>
      <c r="T172" s="328">
        <v>5</v>
      </c>
      <c r="U172" s="328">
        <v>0.7</v>
      </c>
      <c r="V172" s="328">
        <v>0.7</v>
      </c>
      <c r="W172" s="328">
        <v>0.7</v>
      </c>
      <c r="X172" s="328">
        <v>1700</v>
      </c>
      <c r="Y172" s="327" t="s">
        <v>470</v>
      </c>
      <c r="Z172" s="328">
        <v>0.85</v>
      </c>
      <c r="AA172" s="327" t="s">
        <v>471</v>
      </c>
      <c r="AB172" s="327" t="s">
        <v>472</v>
      </c>
      <c r="AC172" s="330">
        <v>220</v>
      </c>
    </row>
    <row r="173" spans="1:29">
      <c r="A173" s="331" t="s">
        <v>646</v>
      </c>
      <c r="B173" s="332">
        <v>8</v>
      </c>
      <c r="C173" s="332">
        <v>195</v>
      </c>
      <c r="D173" s="332" t="s">
        <v>424</v>
      </c>
      <c r="E173" s="333">
        <v>1.5</v>
      </c>
      <c r="F173" s="334">
        <v>45203.588194444441</v>
      </c>
      <c r="G173" s="333">
        <v>2</v>
      </c>
      <c r="H173" s="333">
        <v>51.364100000000001</v>
      </c>
      <c r="I173" s="333">
        <v>6.2018700000000004</v>
      </c>
      <c r="J173" s="333">
        <v>-14.645581</v>
      </c>
      <c r="K173" s="333">
        <v>-13.800444000000001</v>
      </c>
      <c r="L173" s="333">
        <v>959.20600000000002</v>
      </c>
      <c r="M173" s="333">
        <v>119.500067</v>
      </c>
      <c r="N173" s="333">
        <v>17330.25</v>
      </c>
      <c r="O173" s="333">
        <v>0</v>
      </c>
      <c r="P173" s="333">
        <v>0</v>
      </c>
      <c r="Q173" s="332" t="s">
        <v>479</v>
      </c>
      <c r="R173" s="332"/>
      <c r="S173" s="333">
        <v>15</v>
      </c>
      <c r="T173" s="333">
        <v>5</v>
      </c>
      <c r="U173" s="333">
        <v>0.7</v>
      </c>
      <c r="V173" s="333">
        <v>0.7</v>
      </c>
      <c r="W173" s="333">
        <v>0.7</v>
      </c>
      <c r="X173" s="333">
        <v>1700</v>
      </c>
      <c r="Y173" s="332" t="s">
        <v>470</v>
      </c>
      <c r="Z173" s="333">
        <v>0.85</v>
      </c>
      <c r="AA173" s="332" t="s">
        <v>471</v>
      </c>
      <c r="AB173" s="332" t="s">
        <v>472</v>
      </c>
      <c r="AC173" s="335">
        <v>220</v>
      </c>
    </row>
    <row r="174" spans="1:29">
      <c r="A174" s="326" t="s">
        <v>647</v>
      </c>
      <c r="B174" s="327">
        <v>8</v>
      </c>
      <c r="C174" s="327">
        <v>195</v>
      </c>
      <c r="D174" s="327" t="s">
        <v>424</v>
      </c>
      <c r="E174" s="328">
        <v>1.5</v>
      </c>
      <c r="F174" s="329">
        <v>45203.592361111114</v>
      </c>
      <c r="G174" s="328">
        <v>2</v>
      </c>
      <c r="H174" s="328">
        <v>51.370800000000003</v>
      </c>
      <c r="I174" s="328">
        <v>6.3048700000000002</v>
      </c>
      <c r="J174" s="328">
        <v>-14.612156000000001</v>
      </c>
      <c r="K174" s="328">
        <v>-13.781561999999999</v>
      </c>
      <c r="L174" s="328">
        <v>960.28800000000001</v>
      </c>
      <c r="M174" s="328">
        <v>117.00091500000001</v>
      </c>
      <c r="N174" s="328">
        <v>17252.439999999999</v>
      </c>
      <c r="O174" s="328">
        <v>0</v>
      </c>
      <c r="P174" s="328">
        <v>0</v>
      </c>
      <c r="Q174" s="327" t="s">
        <v>479</v>
      </c>
      <c r="R174" s="327"/>
      <c r="S174" s="328">
        <v>15</v>
      </c>
      <c r="T174" s="328">
        <v>5</v>
      </c>
      <c r="U174" s="328">
        <v>0.7</v>
      </c>
      <c r="V174" s="328">
        <v>0.7</v>
      </c>
      <c r="W174" s="328">
        <v>0.7</v>
      </c>
      <c r="X174" s="328">
        <v>1700</v>
      </c>
      <c r="Y174" s="327" t="s">
        <v>470</v>
      </c>
      <c r="Z174" s="328">
        <v>0.85</v>
      </c>
      <c r="AA174" s="327" t="s">
        <v>471</v>
      </c>
      <c r="AB174" s="327" t="s">
        <v>472</v>
      </c>
      <c r="AC174" s="330">
        <v>220</v>
      </c>
    </row>
    <row r="175" spans="1:29">
      <c r="A175" s="331" t="s">
        <v>648</v>
      </c>
      <c r="B175" s="332">
        <v>8</v>
      </c>
      <c r="C175" s="332">
        <v>195</v>
      </c>
      <c r="D175" s="332" t="s">
        <v>424</v>
      </c>
      <c r="E175" s="333">
        <v>1.5</v>
      </c>
      <c r="F175" s="334">
        <v>45203.595833333333</v>
      </c>
      <c r="G175" s="333">
        <v>2</v>
      </c>
      <c r="H175" s="333">
        <v>51.370800000000003</v>
      </c>
      <c r="I175" s="333">
        <v>6.2961400000000003</v>
      </c>
      <c r="J175" s="333">
        <v>-14.611719000000001</v>
      </c>
      <c r="K175" s="333">
        <v>-13.786769</v>
      </c>
      <c r="L175" s="333">
        <v>960.64300000000003</v>
      </c>
      <c r="M175" s="333">
        <v>130.49909500000001</v>
      </c>
      <c r="N175" s="333">
        <v>17283.23</v>
      </c>
      <c r="O175" s="333">
        <v>0</v>
      </c>
      <c r="P175" s="333">
        <v>0</v>
      </c>
      <c r="Q175" s="332" t="s">
        <v>479</v>
      </c>
      <c r="R175" s="332"/>
      <c r="S175" s="333">
        <v>15</v>
      </c>
      <c r="T175" s="333">
        <v>5</v>
      </c>
      <c r="U175" s="333">
        <v>0.7</v>
      </c>
      <c r="V175" s="333">
        <v>0.7</v>
      </c>
      <c r="W175" s="333">
        <v>0.7</v>
      </c>
      <c r="X175" s="333">
        <v>1700</v>
      </c>
      <c r="Y175" s="332" t="s">
        <v>470</v>
      </c>
      <c r="Z175" s="333">
        <v>0.85</v>
      </c>
      <c r="AA175" s="332" t="s">
        <v>471</v>
      </c>
      <c r="AB175" s="332" t="s">
        <v>472</v>
      </c>
      <c r="AC175" s="335">
        <v>220</v>
      </c>
    </row>
    <row r="176" spans="1:29">
      <c r="A176" s="326" t="s">
        <v>649</v>
      </c>
      <c r="B176" s="327">
        <v>9</v>
      </c>
      <c r="C176" s="327">
        <v>184</v>
      </c>
      <c r="D176" s="327" t="s">
        <v>425</v>
      </c>
      <c r="E176" s="328">
        <v>1.5</v>
      </c>
      <c r="F176" s="329">
        <v>45203.6</v>
      </c>
      <c r="G176" s="328">
        <v>1</v>
      </c>
      <c r="H176" s="328">
        <v>51.3675</v>
      </c>
      <c r="I176" s="328">
        <v>6.3664699999999996</v>
      </c>
      <c r="J176" s="328">
        <v>-14.562780999999999</v>
      </c>
      <c r="K176" s="328">
        <v>-13.712937999999999</v>
      </c>
      <c r="L176" s="328">
        <v>997.29</v>
      </c>
      <c r="M176" s="328">
        <v>126.99969400000001</v>
      </c>
      <c r="N176" s="328">
        <v>18020.89</v>
      </c>
      <c r="O176" s="328">
        <v>18029.65826</v>
      </c>
      <c r="P176" s="328">
        <v>2063.4189999999999</v>
      </c>
      <c r="Q176" s="327" t="s">
        <v>469</v>
      </c>
      <c r="R176" s="327"/>
      <c r="S176" s="328">
        <v>15</v>
      </c>
      <c r="T176" s="328">
        <v>5</v>
      </c>
      <c r="U176" s="328">
        <v>0.7</v>
      </c>
      <c r="V176" s="328">
        <v>0.7</v>
      </c>
      <c r="W176" s="328">
        <v>0.7</v>
      </c>
      <c r="X176" s="328">
        <v>1700</v>
      </c>
      <c r="Y176" s="327" t="s">
        <v>470</v>
      </c>
      <c r="Z176" s="328">
        <v>0.85</v>
      </c>
      <c r="AA176" s="327" t="s">
        <v>471</v>
      </c>
      <c r="AB176" s="327" t="s">
        <v>472</v>
      </c>
      <c r="AC176" s="330">
        <v>220</v>
      </c>
    </row>
    <row r="177" spans="1:29">
      <c r="A177" s="331" t="s">
        <v>650</v>
      </c>
      <c r="B177" s="332">
        <v>9</v>
      </c>
      <c r="C177" s="332">
        <v>184</v>
      </c>
      <c r="D177" s="332" t="s">
        <v>425</v>
      </c>
      <c r="E177" s="333">
        <v>1.5</v>
      </c>
      <c r="F177" s="334">
        <v>45203.603472222225</v>
      </c>
      <c r="G177" s="333">
        <v>1</v>
      </c>
      <c r="H177" s="333">
        <v>51.3675</v>
      </c>
      <c r="I177" s="333">
        <v>6.3214499999999996</v>
      </c>
      <c r="J177" s="333">
        <v>-14.609556</v>
      </c>
      <c r="K177" s="333">
        <v>-13.771231</v>
      </c>
      <c r="L177" s="333">
        <v>993.73199999999997</v>
      </c>
      <c r="M177" s="333">
        <v>124.99887099999999</v>
      </c>
      <c r="N177" s="333">
        <v>18023.330000000002</v>
      </c>
      <c r="O177" s="333">
        <v>18029.65826</v>
      </c>
      <c r="P177" s="333">
        <v>2063.4189999999999</v>
      </c>
      <c r="Q177" s="332" t="s">
        <v>469</v>
      </c>
      <c r="R177" s="332"/>
      <c r="S177" s="333">
        <v>15</v>
      </c>
      <c r="T177" s="333">
        <v>5</v>
      </c>
      <c r="U177" s="333">
        <v>0.7</v>
      </c>
      <c r="V177" s="333">
        <v>0.7</v>
      </c>
      <c r="W177" s="333">
        <v>0.7</v>
      </c>
      <c r="X177" s="333">
        <v>1700</v>
      </c>
      <c r="Y177" s="332" t="s">
        <v>470</v>
      </c>
      <c r="Z177" s="333">
        <v>0.85</v>
      </c>
      <c r="AA177" s="332" t="s">
        <v>471</v>
      </c>
      <c r="AB177" s="332" t="s">
        <v>472</v>
      </c>
      <c r="AC177" s="335">
        <v>220</v>
      </c>
    </row>
    <row r="178" spans="1:29">
      <c r="A178" s="326" t="s">
        <v>651</v>
      </c>
      <c r="B178" s="327">
        <v>9</v>
      </c>
      <c r="C178" s="327">
        <v>184</v>
      </c>
      <c r="D178" s="327" t="s">
        <v>425</v>
      </c>
      <c r="E178" s="328">
        <v>1.5</v>
      </c>
      <c r="F178" s="329">
        <v>45203.606944444444</v>
      </c>
      <c r="G178" s="328">
        <v>1</v>
      </c>
      <c r="H178" s="328">
        <v>51.374099999999999</v>
      </c>
      <c r="I178" s="328">
        <v>6.30145</v>
      </c>
      <c r="J178" s="328">
        <v>-14.633194</v>
      </c>
      <c r="K178" s="328">
        <v>-13.8027</v>
      </c>
      <c r="L178" s="328">
        <v>1004.37</v>
      </c>
      <c r="M178" s="328">
        <v>115.499218</v>
      </c>
      <c r="N178" s="328">
        <v>18044.75</v>
      </c>
      <c r="O178" s="328">
        <v>18029.65826</v>
      </c>
      <c r="P178" s="328">
        <v>2063.4189999999999</v>
      </c>
      <c r="Q178" s="327" t="s">
        <v>469</v>
      </c>
      <c r="R178" s="327"/>
      <c r="S178" s="328">
        <v>15</v>
      </c>
      <c r="T178" s="328">
        <v>5</v>
      </c>
      <c r="U178" s="328">
        <v>0.7</v>
      </c>
      <c r="V178" s="328">
        <v>0.7</v>
      </c>
      <c r="W178" s="328">
        <v>0.7</v>
      </c>
      <c r="X178" s="328">
        <v>1700</v>
      </c>
      <c r="Y178" s="327" t="s">
        <v>470</v>
      </c>
      <c r="Z178" s="328">
        <v>0.85</v>
      </c>
      <c r="AA178" s="327" t="s">
        <v>471</v>
      </c>
      <c r="AB178" s="327" t="s">
        <v>472</v>
      </c>
      <c r="AC178" s="330">
        <v>220</v>
      </c>
    </row>
    <row r="179" spans="1:29">
      <c r="A179" s="331" t="s">
        <v>652</v>
      </c>
      <c r="B179" s="332">
        <v>10</v>
      </c>
      <c r="C179" s="332">
        <v>185</v>
      </c>
      <c r="D179" s="332" t="s">
        <v>426</v>
      </c>
      <c r="E179" s="333">
        <v>1.5</v>
      </c>
      <c r="F179" s="334">
        <v>45203.611111111109</v>
      </c>
      <c r="G179" s="333">
        <v>1</v>
      </c>
      <c r="H179" s="333">
        <v>51.3675</v>
      </c>
      <c r="I179" s="333">
        <v>6.2396700000000003</v>
      </c>
      <c r="J179" s="333">
        <v>-14.490556</v>
      </c>
      <c r="K179" s="333">
        <v>-13.660069</v>
      </c>
      <c r="L179" s="333">
        <v>1009.37</v>
      </c>
      <c r="M179" s="333">
        <v>117.49918599999999</v>
      </c>
      <c r="N179" s="333">
        <v>18018.900000000001</v>
      </c>
      <c r="O179" s="333">
        <v>18018.941589999999</v>
      </c>
      <c r="P179" s="333">
        <v>2062.2049999999999</v>
      </c>
      <c r="Q179" s="332" t="s">
        <v>469</v>
      </c>
      <c r="R179" s="332"/>
      <c r="S179" s="333">
        <v>15</v>
      </c>
      <c r="T179" s="333">
        <v>5</v>
      </c>
      <c r="U179" s="333">
        <v>0.7</v>
      </c>
      <c r="V179" s="333">
        <v>0.7</v>
      </c>
      <c r="W179" s="333">
        <v>0.7</v>
      </c>
      <c r="X179" s="333">
        <v>1700</v>
      </c>
      <c r="Y179" s="332" t="s">
        <v>470</v>
      </c>
      <c r="Z179" s="333">
        <v>0.85</v>
      </c>
      <c r="AA179" s="332" t="s">
        <v>471</v>
      </c>
      <c r="AB179" s="332" t="s">
        <v>472</v>
      </c>
      <c r="AC179" s="335">
        <v>220</v>
      </c>
    </row>
    <row r="180" spans="1:29">
      <c r="A180" s="326" t="s">
        <v>653</v>
      </c>
      <c r="B180" s="327">
        <v>10</v>
      </c>
      <c r="C180" s="327">
        <v>185</v>
      </c>
      <c r="D180" s="327" t="s">
        <v>426</v>
      </c>
      <c r="E180" s="328">
        <v>1.5</v>
      </c>
      <c r="F180" s="329">
        <v>45203.614583333336</v>
      </c>
      <c r="G180" s="328">
        <v>1</v>
      </c>
      <c r="H180" s="328">
        <v>51.374099999999999</v>
      </c>
      <c r="I180" s="328">
        <v>6.2621700000000002</v>
      </c>
      <c r="J180" s="328">
        <v>-14.450405999999999</v>
      </c>
      <c r="K180" s="328">
        <v>-13.614205999999999</v>
      </c>
      <c r="L180" s="328">
        <v>1001.86</v>
      </c>
      <c r="M180" s="328">
        <v>115.001014</v>
      </c>
      <c r="N180" s="328">
        <v>18018.73</v>
      </c>
      <c r="O180" s="328">
        <v>18018.941589999999</v>
      </c>
      <c r="P180" s="328">
        <v>2062.2049999999999</v>
      </c>
      <c r="Q180" s="327" t="s">
        <v>469</v>
      </c>
      <c r="R180" s="327"/>
      <c r="S180" s="328">
        <v>15</v>
      </c>
      <c r="T180" s="328">
        <v>5</v>
      </c>
      <c r="U180" s="328">
        <v>0.7</v>
      </c>
      <c r="V180" s="328">
        <v>0.7</v>
      </c>
      <c r="W180" s="328">
        <v>0.7</v>
      </c>
      <c r="X180" s="328">
        <v>1700</v>
      </c>
      <c r="Y180" s="327" t="s">
        <v>470</v>
      </c>
      <c r="Z180" s="328">
        <v>0.85</v>
      </c>
      <c r="AA180" s="327" t="s">
        <v>471</v>
      </c>
      <c r="AB180" s="327" t="s">
        <v>472</v>
      </c>
      <c r="AC180" s="330">
        <v>220</v>
      </c>
    </row>
    <row r="181" spans="1:29">
      <c r="A181" s="331" t="s">
        <v>654</v>
      </c>
      <c r="B181" s="332">
        <v>10</v>
      </c>
      <c r="C181" s="332">
        <v>185</v>
      </c>
      <c r="D181" s="332" t="s">
        <v>426</v>
      </c>
      <c r="E181" s="333">
        <v>1.5</v>
      </c>
      <c r="F181" s="334">
        <v>45203.618055555555</v>
      </c>
      <c r="G181" s="333">
        <v>1</v>
      </c>
      <c r="H181" s="333">
        <v>51.370800000000003</v>
      </c>
      <c r="I181" s="333">
        <v>6.3203500000000004</v>
      </c>
      <c r="J181" s="333">
        <v>-14.496881</v>
      </c>
      <c r="K181" s="333">
        <v>-13.650518999999999</v>
      </c>
      <c r="L181" s="333">
        <v>1004.52</v>
      </c>
      <c r="M181" s="333">
        <v>110.499977</v>
      </c>
      <c r="N181" s="333">
        <v>17963.060000000001</v>
      </c>
      <c r="O181" s="333">
        <v>18018.941589999999</v>
      </c>
      <c r="P181" s="333">
        <v>2062.2049999999999</v>
      </c>
      <c r="Q181" s="332" t="s">
        <v>542</v>
      </c>
      <c r="R181" s="332"/>
      <c r="S181" s="333">
        <v>15</v>
      </c>
      <c r="T181" s="333">
        <v>5</v>
      </c>
      <c r="U181" s="333">
        <v>0.7</v>
      </c>
      <c r="V181" s="333">
        <v>0.7</v>
      </c>
      <c r="W181" s="333">
        <v>0.7</v>
      </c>
      <c r="X181" s="333">
        <v>1700</v>
      </c>
      <c r="Y181" s="332" t="s">
        <v>470</v>
      </c>
      <c r="Z181" s="333">
        <v>0.85</v>
      </c>
      <c r="AA181" s="332" t="s">
        <v>471</v>
      </c>
      <c r="AB181" s="332" t="s">
        <v>472</v>
      </c>
      <c r="AC181" s="335">
        <v>220</v>
      </c>
    </row>
    <row r="182" spans="1:29">
      <c r="A182" s="326" t="s">
        <v>655</v>
      </c>
      <c r="B182" s="327">
        <v>10</v>
      </c>
      <c r="C182" s="327">
        <v>185</v>
      </c>
      <c r="D182" s="327" t="s">
        <v>426</v>
      </c>
      <c r="E182" s="328">
        <v>1.5</v>
      </c>
      <c r="F182" s="329">
        <v>45203.621527777781</v>
      </c>
      <c r="G182" s="328">
        <v>1</v>
      </c>
      <c r="H182" s="328">
        <v>51.374099999999999</v>
      </c>
      <c r="I182" s="328">
        <v>6.3288200000000003</v>
      </c>
      <c r="J182" s="328">
        <v>-14.579644</v>
      </c>
      <c r="K182" s="328">
        <v>-13.745780999999999</v>
      </c>
      <c r="L182" s="328">
        <v>995.86</v>
      </c>
      <c r="M182" s="328">
        <v>116.001107</v>
      </c>
      <c r="N182" s="328">
        <v>18019.189999999999</v>
      </c>
      <c r="O182" s="328">
        <v>18018.941589999999</v>
      </c>
      <c r="P182" s="328">
        <v>2062.2049999999999</v>
      </c>
      <c r="Q182" s="327" t="s">
        <v>469</v>
      </c>
      <c r="R182" s="327"/>
      <c r="S182" s="328">
        <v>15</v>
      </c>
      <c r="T182" s="328">
        <v>5</v>
      </c>
      <c r="U182" s="328">
        <v>0.7</v>
      </c>
      <c r="V182" s="328">
        <v>0.7</v>
      </c>
      <c r="W182" s="328">
        <v>0.7</v>
      </c>
      <c r="X182" s="328">
        <v>1700</v>
      </c>
      <c r="Y182" s="327" t="s">
        <v>470</v>
      </c>
      <c r="Z182" s="328">
        <v>0.85</v>
      </c>
      <c r="AA182" s="327" t="s">
        <v>471</v>
      </c>
      <c r="AB182" s="327" t="s">
        <v>472</v>
      </c>
      <c r="AC182" s="330">
        <v>220</v>
      </c>
    </row>
    <row r="183" spans="1:29">
      <c r="A183" s="336" t="s">
        <v>656</v>
      </c>
      <c r="B183" s="337">
        <v>11</v>
      </c>
      <c r="C183" s="337"/>
      <c r="D183" s="337" t="s">
        <v>468</v>
      </c>
      <c r="E183" s="338">
        <v>1.5</v>
      </c>
      <c r="F183" s="339">
        <v>45203.625694444447</v>
      </c>
      <c r="G183" s="338">
        <v>1</v>
      </c>
      <c r="H183" s="338">
        <v>51.374099999999999</v>
      </c>
      <c r="I183" s="338">
        <v>6.1774399999999998</v>
      </c>
      <c r="J183" s="338">
        <v>-14.636531</v>
      </c>
      <c r="K183" s="338">
        <v>-13.798330999999999</v>
      </c>
      <c r="L183" s="338">
        <v>996.05</v>
      </c>
      <c r="M183" s="338">
        <v>117.999351</v>
      </c>
      <c r="N183" s="338">
        <v>18083.759999999998</v>
      </c>
      <c r="O183" s="338">
        <v>18064.843690000002</v>
      </c>
      <c r="P183" s="338">
        <v>2067.4059999999999</v>
      </c>
      <c r="Q183" s="337" t="s">
        <v>469</v>
      </c>
      <c r="R183" s="337"/>
      <c r="S183" s="338">
        <v>15</v>
      </c>
      <c r="T183" s="338">
        <v>5</v>
      </c>
      <c r="U183" s="338">
        <v>0.7</v>
      </c>
      <c r="V183" s="338">
        <v>0.7</v>
      </c>
      <c r="W183" s="338">
        <v>0.7</v>
      </c>
      <c r="X183" s="338">
        <v>1700</v>
      </c>
      <c r="Y183" s="337" t="s">
        <v>470</v>
      </c>
      <c r="Z183" s="338">
        <v>0.85</v>
      </c>
      <c r="AA183" s="337" t="s">
        <v>471</v>
      </c>
      <c r="AB183" s="337" t="s">
        <v>472</v>
      </c>
      <c r="AC183" s="340">
        <v>220</v>
      </c>
    </row>
    <row r="184" spans="1:29">
      <c r="A184" s="326" t="s">
        <v>657</v>
      </c>
      <c r="B184" s="327">
        <v>11</v>
      </c>
      <c r="C184" s="327"/>
      <c r="D184" s="327" t="s">
        <v>468</v>
      </c>
      <c r="E184" s="328">
        <v>1.5</v>
      </c>
      <c r="F184" s="329">
        <v>45203.629166666666</v>
      </c>
      <c r="G184" s="328">
        <v>1</v>
      </c>
      <c r="H184" s="328">
        <v>51.374099999999999</v>
      </c>
      <c r="I184" s="328">
        <v>6.1430300000000004</v>
      </c>
      <c r="J184" s="328">
        <v>-14.641594</v>
      </c>
      <c r="K184" s="328">
        <v>-13.8056</v>
      </c>
      <c r="L184" s="328">
        <v>1002.99</v>
      </c>
      <c r="M184" s="328">
        <v>125.999589</v>
      </c>
      <c r="N184" s="328">
        <v>18059.72</v>
      </c>
      <c r="O184" s="328">
        <v>18064.843690000002</v>
      </c>
      <c r="P184" s="328">
        <v>2067.4059999999999</v>
      </c>
      <c r="Q184" s="327" t="s">
        <v>469</v>
      </c>
      <c r="R184" s="327"/>
      <c r="S184" s="328">
        <v>15</v>
      </c>
      <c r="T184" s="328">
        <v>5</v>
      </c>
      <c r="U184" s="328">
        <v>0.7</v>
      </c>
      <c r="V184" s="328">
        <v>0.7</v>
      </c>
      <c r="W184" s="328">
        <v>0.7</v>
      </c>
      <c r="X184" s="328">
        <v>1700</v>
      </c>
      <c r="Y184" s="327" t="s">
        <v>470</v>
      </c>
      <c r="Z184" s="328">
        <v>0.85</v>
      </c>
      <c r="AA184" s="327" t="s">
        <v>471</v>
      </c>
      <c r="AB184" s="327" t="s">
        <v>472</v>
      </c>
      <c r="AC184" s="330">
        <v>220</v>
      </c>
    </row>
    <row r="185" spans="1:29">
      <c r="A185" s="331" t="s">
        <v>658</v>
      </c>
      <c r="B185" s="332">
        <v>11</v>
      </c>
      <c r="C185" s="332"/>
      <c r="D185" s="332" t="s">
        <v>468</v>
      </c>
      <c r="E185" s="333">
        <v>1.5</v>
      </c>
      <c r="F185" s="334">
        <v>45203.632638888892</v>
      </c>
      <c r="G185" s="333">
        <v>1</v>
      </c>
      <c r="H185" s="333">
        <v>51.364100000000001</v>
      </c>
      <c r="I185" s="333">
        <v>6.1173299999999999</v>
      </c>
      <c r="J185" s="333">
        <v>-14.633069000000001</v>
      </c>
      <c r="K185" s="333">
        <v>-13.799238000000001</v>
      </c>
      <c r="L185" s="333">
        <v>997.57299999999998</v>
      </c>
      <c r="M185" s="333">
        <v>118.998898</v>
      </c>
      <c r="N185" s="333">
        <v>18051.05</v>
      </c>
      <c r="O185" s="333">
        <v>18064.843690000002</v>
      </c>
      <c r="P185" s="333">
        <v>2067.4059999999999</v>
      </c>
      <c r="Q185" s="332" t="s">
        <v>469</v>
      </c>
      <c r="R185" s="332"/>
      <c r="S185" s="333">
        <v>15</v>
      </c>
      <c r="T185" s="333">
        <v>5</v>
      </c>
      <c r="U185" s="333">
        <v>0.7</v>
      </c>
      <c r="V185" s="333">
        <v>0.7</v>
      </c>
      <c r="W185" s="333">
        <v>0.7</v>
      </c>
      <c r="X185" s="333">
        <v>1700</v>
      </c>
      <c r="Y185" s="332" t="s">
        <v>470</v>
      </c>
      <c r="Z185" s="333">
        <v>0.85</v>
      </c>
      <c r="AA185" s="332" t="s">
        <v>471</v>
      </c>
      <c r="AB185" s="332" t="s">
        <v>472</v>
      </c>
      <c r="AC185" s="335">
        <v>220</v>
      </c>
    </row>
    <row r="186" spans="1:29">
      <c r="A186" s="326" t="s">
        <v>659</v>
      </c>
      <c r="B186" s="327">
        <v>12</v>
      </c>
      <c r="C186" s="327">
        <v>188</v>
      </c>
      <c r="D186" s="327" t="s">
        <v>419</v>
      </c>
      <c r="E186" s="328">
        <v>1.5</v>
      </c>
      <c r="F186" s="329">
        <v>45203.636805555558</v>
      </c>
      <c r="G186" s="328">
        <v>1</v>
      </c>
      <c r="H186" s="328">
        <v>51.377400000000002</v>
      </c>
      <c r="I186" s="328">
        <v>6.1856799999999996</v>
      </c>
      <c r="J186" s="328">
        <v>-14.662269</v>
      </c>
      <c r="K186" s="328">
        <v>-13.829062</v>
      </c>
      <c r="L186" s="328">
        <v>1001.89</v>
      </c>
      <c r="M186" s="328">
        <v>131.49947</v>
      </c>
      <c r="N186" s="328">
        <v>18243.310000000001</v>
      </c>
      <c r="O186" s="328">
        <v>18240.53428</v>
      </c>
      <c r="P186" s="328">
        <v>2087.4540000000002</v>
      </c>
      <c r="Q186" s="327" t="s">
        <v>469</v>
      </c>
      <c r="R186" s="327"/>
      <c r="S186" s="328">
        <v>15</v>
      </c>
      <c r="T186" s="328">
        <v>5</v>
      </c>
      <c r="U186" s="328">
        <v>0.7</v>
      </c>
      <c r="V186" s="328">
        <v>0.7</v>
      </c>
      <c r="W186" s="328">
        <v>0.7</v>
      </c>
      <c r="X186" s="328">
        <v>1700</v>
      </c>
      <c r="Y186" s="327" t="s">
        <v>470</v>
      </c>
      <c r="Z186" s="328">
        <v>0.85</v>
      </c>
      <c r="AA186" s="327" t="s">
        <v>471</v>
      </c>
      <c r="AB186" s="327" t="s">
        <v>472</v>
      </c>
      <c r="AC186" s="330">
        <v>220</v>
      </c>
    </row>
    <row r="187" spans="1:29">
      <c r="A187" s="331" t="s">
        <v>660</v>
      </c>
      <c r="B187" s="332">
        <v>12</v>
      </c>
      <c r="C187" s="332">
        <v>188</v>
      </c>
      <c r="D187" s="332" t="s">
        <v>419</v>
      </c>
      <c r="E187" s="333">
        <v>1.5</v>
      </c>
      <c r="F187" s="334">
        <v>45203.640277777777</v>
      </c>
      <c r="G187" s="333">
        <v>1</v>
      </c>
      <c r="H187" s="333">
        <v>51.3675</v>
      </c>
      <c r="I187" s="333">
        <v>6.2295100000000003</v>
      </c>
      <c r="J187" s="333">
        <v>-14.520868999999999</v>
      </c>
      <c r="K187" s="333">
        <v>-13.678305999999999</v>
      </c>
      <c r="L187" s="333">
        <v>1009.16</v>
      </c>
      <c r="M187" s="333">
        <v>114.499278</v>
      </c>
      <c r="N187" s="333">
        <v>18230.3</v>
      </c>
      <c r="O187" s="333">
        <v>18240.53428</v>
      </c>
      <c r="P187" s="333">
        <v>2087.4540000000002</v>
      </c>
      <c r="Q187" s="332" t="s">
        <v>469</v>
      </c>
      <c r="R187" s="332"/>
      <c r="S187" s="333">
        <v>15</v>
      </c>
      <c r="T187" s="333">
        <v>5</v>
      </c>
      <c r="U187" s="333">
        <v>0.7</v>
      </c>
      <c r="V187" s="333">
        <v>0.7</v>
      </c>
      <c r="W187" s="333">
        <v>0.7</v>
      </c>
      <c r="X187" s="333">
        <v>1700</v>
      </c>
      <c r="Y187" s="332" t="s">
        <v>470</v>
      </c>
      <c r="Z187" s="333">
        <v>0.85</v>
      </c>
      <c r="AA187" s="332" t="s">
        <v>471</v>
      </c>
      <c r="AB187" s="332" t="s">
        <v>472</v>
      </c>
      <c r="AC187" s="335">
        <v>220</v>
      </c>
    </row>
    <row r="188" spans="1:29">
      <c r="A188" s="326" t="s">
        <v>661</v>
      </c>
      <c r="B188" s="327">
        <v>12</v>
      </c>
      <c r="C188" s="327">
        <v>188</v>
      </c>
      <c r="D188" s="327" t="s">
        <v>419</v>
      </c>
      <c r="E188" s="328">
        <v>1.5</v>
      </c>
      <c r="F188" s="329">
        <v>45203.643750000003</v>
      </c>
      <c r="G188" s="328">
        <v>1</v>
      </c>
      <c r="H188" s="328">
        <v>51.374099999999999</v>
      </c>
      <c r="I188" s="328">
        <v>6.1955299999999998</v>
      </c>
      <c r="J188" s="328">
        <v>-14.571543999999999</v>
      </c>
      <c r="K188" s="328">
        <v>-13.724525</v>
      </c>
      <c r="L188" s="328">
        <v>1000.79</v>
      </c>
      <c r="M188" s="328">
        <v>124.001305</v>
      </c>
      <c r="N188" s="328">
        <v>18247.990000000002</v>
      </c>
      <c r="O188" s="328">
        <v>18240.53428</v>
      </c>
      <c r="P188" s="328">
        <v>2087.4540000000002</v>
      </c>
      <c r="Q188" s="327" t="s">
        <v>469</v>
      </c>
      <c r="R188" s="327"/>
      <c r="S188" s="328">
        <v>15</v>
      </c>
      <c r="T188" s="328">
        <v>5</v>
      </c>
      <c r="U188" s="328">
        <v>0.7</v>
      </c>
      <c r="V188" s="328">
        <v>0.7</v>
      </c>
      <c r="W188" s="328">
        <v>0.7</v>
      </c>
      <c r="X188" s="328">
        <v>1700</v>
      </c>
      <c r="Y188" s="327" t="s">
        <v>470</v>
      </c>
      <c r="Z188" s="328">
        <v>0.85</v>
      </c>
      <c r="AA188" s="327" t="s">
        <v>471</v>
      </c>
      <c r="AB188" s="327" t="s">
        <v>472</v>
      </c>
      <c r="AC188" s="330">
        <v>220</v>
      </c>
    </row>
    <row r="189" spans="1:29">
      <c r="A189" s="331" t="s">
        <v>662</v>
      </c>
      <c r="B189" s="332">
        <v>13</v>
      </c>
      <c r="C189" s="332">
        <v>189</v>
      </c>
      <c r="D189" s="332" t="s">
        <v>420</v>
      </c>
      <c r="E189" s="333">
        <v>1.5</v>
      </c>
      <c r="F189" s="334">
        <v>45203.647916666669</v>
      </c>
      <c r="G189" s="333">
        <v>1</v>
      </c>
      <c r="H189" s="333">
        <v>51.374099999999999</v>
      </c>
      <c r="I189" s="333">
        <v>6.3720600000000003</v>
      </c>
      <c r="J189" s="333">
        <v>-14.595537999999999</v>
      </c>
      <c r="K189" s="333">
        <v>-13.750087000000001</v>
      </c>
      <c r="L189" s="333">
        <v>1026.1199999999999</v>
      </c>
      <c r="M189" s="333">
        <v>124.499737</v>
      </c>
      <c r="N189" s="333">
        <v>18351.97</v>
      </c>
      <c r="O189" s="333">
        <v>18362.03558</v>
      </c>
      <c r="P189" s="333">
        <v>2101.3629999999998</v>
      </c>
      <c r="Q189" s="332" t="s">
        <v>469</v>
      </c>
      <c r="R189" s="332"/>
      <c r="S189" s="333">
        <v>15</v>
      </c>
      <c r="T189" s="333">
        <v>5</v>
      </c>
      <c r="U189" s="333">
        <v>0.7</v>
      </c>
      <c r="V189" s="333">
        <v>0.7</v>
      </c>
      <c r="W189" s="333">
        <v>0.7</v>
      </c>
      <c r="X189" s="333">
        <v>1700</v>
      </c>
      <c r="Y189" s="332" t="s">
        <v>470</v>
      </c>
      <c r="Z189" s="333">
        <v>0.85</v>
      </c>
      <c r="AA189" s="332" t="s">
        <v>471</v>
      </c>
      <c r="AB189" s="332" t="s">
        <v>472</v>
      </c>
      <c r="AC189" s="335">
        <v>220</v>
      </c>
    </row>
    <row r="190" spans="1:29">
      <c r="A190" s="326" t="s">
        <v>663</v>
      </c>
      <c r="B190" s="327">
        <v>13</v>
      </c>
      <c r="C190" s="327">
        <v>189</v>
      </c>
      <c r="D190" s="327" t="s">
        <v>420</v>
      </c>
      <c r="E190" s="328">
        <v>1.5</v>
      </c>
      <c r="F190" s="329">
        <v>45203.651388888888</v>
      </c>
      <c r="G190" s="328">
        <v>1</v>
      </c>
      <c r="H190" s="328">
        <v>51.370800000000003</v>
      </c>
      <c r="I190" s="328">
        <v>6.32395</v>
      </c>
      <c r="J190" s="328">
        <v>-14.656480999999999</v>
      </c>
      <c r="K190" s="328">
        <v>-13.813825</v>
      </c>
      <c r="L190" s="328">
        <v>1000.12</v>
      </c>
      <c r="M190" s="328">
        <v>120.499746</v>
      </c>
      <c r="N190" s="328">
        <v>18316.400000000001</v>
      </c>
      <c r="O190" s="328">
        <v>18362.03558</v>
      </c>
      <c r="P190" s="328">
        <v>2101.3629999999998</v>
      </c>
      <c r="Q190" s="327" t="s">
        <v>542</v>
      </c>
      <c r="R190" s="327"/>
      <c r="S190" s="328">
        <v>15</v>
      </c>
      <c r="T190" s="328">
        <v>5</v>
      </c>
      <c r="U190" s="328">
        <v>0.7</v>
      </c>
      <c r="V190" s="328">
        <v>0.7</v>
      </c>
      <c r="W190" s="328">
        <v>0.7</v>
      </c>
      <c r="X190" s="328">
        <v>1700</v>
      </c>
      <c r="Y190" s="327" t="s">
        <v>470</v>
      </c>
      <c r="Z190" s="328">
        <v>0.85</v>
      </c>
      <c r="AA190" s="327" t="s">
        <v>471</v>
      </c>
      <c r="AB190" s="327" t="s">
        <v>472</v>
      </c>
      <c r="AC190" s="330">
        <v>220</v>
      </c>
    </row>
    <row r="191" spans="1:29">
      <c r="A191" s="331" t="s">
        <v>664</v>
      </c>
      <c r="B191" s="332">
        <v>13</v>
      </c>
      <c r="C191" s="332">
        <v>189</v>
      </c>
      <c r="D191" s="332" t="s">
        <v>420</v>
      </c>
      <c r="E191" s="333">
        <v>1.5</v>
      </c>
      <c r="F191" s="334">
        <v>45203.655555555553</v>
      </c>
      <c r="G191" s="333">
        <v>1</v>
      </c>
      <c r="H191" s="333">
        <v>51.370800000000003</v>
      </c>
      <c r="I191" s="333">
        <v>6.3228600000000004</v>
      </c>
      <c r="J191" s="333">
        <v>-14.610393999999999</v>
      </c>
      <c r="K191" s="333">
        <v>-13.773350000000001</v>
      </c>
      <c r="L191" s="333">
        <v>1022.4</v>
      </c>
      <c r="M191" s="333">
        <v>125.99965400000001</v>
      </c>
      <c r="N191" s="333">
        <v>18391.54</v>
      </c>
      <c r="O191" s="333">
        <v>18362.03558</v>
      </c>
      <c r="P191" s="333">
        <v>2101.3629999999998</v>
      </c>
      <c r="Q191" s="332" t="s">
        <v>542</v>
      </c>
      <c r="R191" s="332"/>
      <c r="S191" s="333">
        <v>15</v>
      </c>
      <c r="T191" s="333">
        <v>5</v>
      </c>
      <c r="U191" s="333">
        <v>0.7</v>
      </c>
      <c r="V191" s="333">
        <v>0.7</v>
      </c>
      <c r="W191" s="333">
        <v>0.7</v>
      </c>
      <c r="X191" s="333">
        <v>1700</v>
      </c>
      <c r="Y191" s="332" t="s">
        <v>470</v>
      </c>
      <c r="Z191" s="333">
        <v>0.85</v>
      </c>
      <c r="AA191" s="332" t="s">
        <v>471</v>
      </c>
      <c r="AB191" s="332" t="s">
        <v>472</v>
      </c>
      <c r="AC191" s="335">
        <v>220</v>
      </c>
    </row>
    <row r="192" spans="1:29">
      <c r="A192" s="326" t="s">
        <v>665</v>
      </c>
      <c r="B192" s="327">
        <v>13</v>
      </c>
      <c r="C192" s="327">
        <v>189</v>
      </c>
      <c r="D192" s="327" t="s">
        <v>420</v>
      </c>
      <c r="E192" s="328">
        <v>1.5</v>
      </c>
      <c r="F192" s="329">
        <v>45203.65902777778</v>
      </c>
      <c r="G192" s="328">
        <v>1</v>
      </c>
      <c r="H192" s="328">
        <v>51.374099999999999</v>
      </c>
      <c r="I192" s="328">
        <v>6.18851</v>
      </c>
      <c r="J192" s="328">
        <v>-14.664249999999999</v>
      </c>
      <c r="K192" s="328">
        <v>-13.817468999999999</v>
      </c>
      <c r="L192" s="328">
        <v>1022.53</v>
      </c>
      <c r="M192" s="328">
        <v>116.99924900000001</v>
      </c>
      <c r="N192" s="328">
        <v>18368.61</v>
      </c>
      <c r="O192" s="328">
        <v>18362.03558</v>
      </c>
      <c r="P192" s="328">
        <v>2101.3629999999998</v>
      </c>
      <c r="Q192" s="327" t="s">
        <v>469</v>
      </c>
      <c r="R192" s="327"/>
      <c r="S192" s="328">
        <v>15</v>
      </c>
      <c r="T192" s="328">
        <v>5</v>
      </c>
      <c r="U192" s="328">
        <v>0.7</v>
      </c>
      <c r="V192" s="328">
        <v>0.7</v>
      </c>
      <c r="W192" s="328">
        <v>0.7</v>
      </c>
      <c r="X192" s="328">
        <v>1700</v>
      </c>
      <c r="Y192" s="327" t="s">
        <v>470</v>
      </c>
      <c r="Z192" s="328">
        <v>0.85</v>
      </c>
      <c r="AA192" s="327" t="s">
        <v>471</v>
      </c>
      <c r="AB192" s="327" t="s">
        <v>472</v>
      </c>
      <c r="AC192" s="330">
        <v>220</v>
      </c>
    </row>
    <row r="193" spans="1:29">
      <c r="A193" s="331" t="s">
        <v>666</v>
      </c>
      <c r="B193" s="332">
        <v>13</v>
      </c>
      <c r="C193" s="332">
        <v>189</v>
      </c>
      <c r="D193" s="332" t="s">
        <v>420</v>
      </c>
      <c r="E193" s="333">
        <v>1.5</v>
      </c>
      <c r="F193" s="334">
        <v>45203.662499999999</v>
      </c>
      <c r="G193" s="333">
        <v>1</v>
      </c>
      <c r="H193" s="333">
        <v>51.3675</v>
      </c>
      <c r="I193" s="333">
        <v>6.1284900000000002</v>
      </c>
      <c r="J193" s="333">
        <v>-14.635268999999999</v>
      </c>
      <c r="K193" s="333">
        <v>-13.78595</v>
      </c>
      <c r="L193" s="333">
        <v>1022.47</v>
      </c>
      <c r="M193" s="333">
        <v>118.499978</v>
      </c>
      <c r="N193" s="333">
        <v>18365.53</v>
      </c>
      <c r="O193" s="333">
        <v>18362.03558</v>
      </c>
      <c r="P193" s="333">
        <v>2101.3629999999998</v>
      </c>
      <c r="Q193" s="332" t="s">
        <v>469</v>
      </c>
      <c r="R193" s="332"/>
      <c r="S193" s="333">
        <v>15</v>
      </c>
      <c r="T193" s="333">
        <v>5</v>
      </c>
      <c r="U193" s="333">
        <v>0.7</v>
      </c>
      <c r="V193" s="333">
        <v>0.7</v>
      </c>
      <c r="W193" s="333">
        <v>0.7</v>
      </c>
      <c r="X193" s="333">
        <v>1700</v>
      </c>
      <c r="Y193" s="332" t="s">
        <v>470</v>
      </c>
      <c r="Z193" s="333">
        <v>0.85</v>
      </c>
      <c r="AA193" s="332" t="s">
        <v>471</v>
      </c>
      <c r="AB193" s="332" t="s">
        <v>472</v>
      </c>
      <c r="AC193" s="335">
        <v>220</v>
      </c>
    </row>
    <row r="194" spans="1:29">
      <c r="A194" s="326" t="s">
        <v>667</v>
      </c>
      <c r="B194" s="327">
        <v>14</v>
      </c>
      <c r="C194" s="327">
        <v>200</v>
      </c>
      <c r="D194" s="327" t="s">
        <v>421</v>
      </c>
      <c r="E194" s="328">
        <v>1.5</v>
      </c>
      <c r="F194" s="329">
        <v>45203.666666666664</v>
      </c>
      <c r="G194" s="328">
        <v>1</v>
      </c>
      <c r="H194" s="328">
        <v>51.374099999999999</v>
      </c>
      <c r="I194" s="328">
        <v>6.1393399999999998</v>
      </c>
      <c r="J194" s="328">
        <v>-14.707775</v>
      </c>
      <c r="K194" s="328">
        <v>-13.880856</v>
      </c>
      <c r="L194" s="328">
        <v>974.31299999999999</v>
      </c>
      <c r="M194" s="328">
        <v>118.499503</v>
      </c>
      <c r="N194" s="328">
        <v>17625.7</v>
      </c>
      <c r="O194" s="328">
        <v>17634.17265</v>
      </c>
      <c r="P194" s="328">
        <v>2018.605</v>
      </c>
      <c r="Q194" s="327" t="s">
        <v>469</v>
      </c>
      <c r="R194" s="327"/>
      <c r="S194" s="328">
        <v>15</v>
      </c>
      <c r="T194" s="328">
        <v>5</v>
      </c>
      <c r="U194" s="328">
        <v>0.7</v>
      </c>
      <c r="V194" s="328">
        <v>0.7</v>
      </c>
      <c r="W194" s="328">
        <v>0.7</v>
      </c>
      <c r="X194" s="328">
        <v>1700</v>
      </c>
      <c r="Y194" s="327" t="s">
        <v>470</v>
      </c>
      <c r="Z194" s="328">
        <v>0.85</v>
      </c>
      <c r="AA194" s="327" t="s">
        <v>471</v>
      </c>
      <c r="AB194" s="327" t="s">
        <v>472</v>
      </c>
      <c r="AC194" s="330">
        <v>220</v>
      </c>
    </row>
    <row r="195" spans="1:29">
      <c r="A195" s="331" t="s">
        <v>668</v>
      </c>
      <c r="B195" s="332">
        <v>14</v>
      </c>
      <c r="C195" s="332">
        <v>200</v>
      </c>
      <c r="D195" s="332" t="s">
        <v>421</v>
      </c>
      <c r="E195" s="333">
        <v>1.5</v>
      </c>
      <c r="F195" s="334">
        <v>45203.670138888891</v>
      </c>
      <c r="G195" s="333">
        <v>1</v>
      </c>
      <c r="H195" s="333">
        <v>51.374099999999999</v>
      </c>
      <c r="I195" s="333">
        <v>6.2328599999999996</v>
      </c>
      <c r="J195" s="333">
        <v>-14.695537</v>
      </c>
      <c r="K195" s="333">
        <v>-13.8467</v>
      </c>
      <c r="L195" s="333">
        <v>972.92499999999995</v>
      </c>
      <c r="M195" s="333">
        <v>126.999459</v>
      </c>
      <c r="N195" s="333">
        <v>17643.18</v>
      </c>
      <c r="O195" s="333">
        <v>17634.17265</v>
      </c>
      <c r="P195" s="333">
        <v>2018.605</v>
      </c>
      <c r="Q195" s="332" t="s">
        <v>469</v>
      </c>
      <c r="R195" s="332"/>
      <c r="S195" s="333">
        <v>15</v>
      </c>
      <c r="T195" s="333">
        <v>5</v>
      </c>
      <c r="U195" s="333">
        <v>0.7</v>
      </c>
      <c r="V195" s="333">
        <v>0.7</v>
      </c>
      <c r="W195" s="333">
        <v>0.7</v>
      </c>
      <c r="X195" s="333">
        <v>1700</v>
      </c>
      <c r="Y195" s="332" t="s">
        <v>470</v>
      </c>
      <c r="Z195" s="333">
        <v>0.85</v>
      </c>
      <c r="AA195" s="332" t="s">
        <v>471</v>
      </c>
      <c r="AB195" s="332" t="s">
        <v>472</v>
      </c>
      <c r="AC195" s="335">
        <v>220</v>
      </c>
    </row>
    <row r="196" spans="1:29">
      <c r="A196" s="326" t="s">
        <v>669</v>
      </c>
      <c r="B196" s="327">
        <v>14</v>
      </c>
      <c r="C196" s="327">
        <v>200</v>
      </c>
      <c r="D196" s="327" t="s">
        <v>421</v>
      </c>
      <c r="E196" s="328">
        <v>1.5</v>
      </c>
      <c r="F196" s="329">
        <v>45203.673611111109</v>
      </c>
      <c r="G196" s="328">
        <v>1</v>
      </c>
      <c r="H196" s="328">
        <v>51.3675</v>
      </c>
      <c r="I196" s="328">
        <v>6.2155300000000002</v>
      </c>
      <c r="J196" s="328">
        <v>-14.641119</v>
      </c>
      <c r="K196" s="328">
        <v>-13.807143999999999</v>
      </c>
      <c r="L196" s="328">
        <v>985.149</v>
      </c>
      <c r="M196" s="328">
        <v>123.999866</v>
      </c>
      <c r="N196" s="328">
        <v>17665.97</v>
      </c>
      <c r="O196" s="328">
        <v>17634.17265</v>
      </c>
      <c r="P196" s="328">
        <v>2018.605</v>
      </c>
      <c r="Q196" s="327" t="s">
        <v>542</v>
      </c>
      <c r="R196" s="327"/>
      <c r="S196" s="328">
        <v>15</v>
      </c>
      <c r="T196" s="328">
        <v>5</v>
      </c>
      <c r="U196" s="328">
        <v>0.7</v>
      </c>
      <c r="V196" s="328">
        <v>0.7</v>
      </c>
      <c r="W196" s="328">
        <v>0.7</v>
      </c>
      <c r="X196" s="328">
        <v>1700</v>
      </c>
      <c r="Y196" s="327" t="s">
        <v>470</v>
      </c>
      <c r="Z196" s="328">
        <v>0.85</v>
      </c>
      <c r="AA196" s="327" t="s">
        <v>471</v>
      </c>
      <c r="AB196" s="327" t="s">
        <v>472</v>
      </c>
      <c r="AC196" s="330">
        <v>220</v>
      </c>
    </row>
    <row r="197" spans="1:29">
      <c r="A197" s="331" t="s">
        <v>670</v>
      </c>
      <c r="B197" s="332">
        <v>14</v>
      </c>
      <c r="C197" s="332">
        <v>200</v>
      </c>
      <c r="D197" s="332" t="s">
        <v>421</v>
      </c>
      <c r="E197" s="333">
        <v>1.5</v>
      </c>
      <c r="F197" s="334">
        <v>45203.677083333336</v>
      </c>
      <c r="G197" s="333">
        <v>1</v>
      </c>
      <c r="H197" s="333">
        <v>51.3675</v>
      </c>
      <c r="I197" s="333">
        <v>6.2363200000000001</v>
      </c>
      <c r="J197" s="333">
        <v>-14.591780999999999</v>
      </c>
      <c r="K197" s="333">
        <v>-13.750756000000001</v>
      </c>
      <c r="L197" s="333">
        <v>973.40700000000004</v>
      </c>
      <c r="M197" s="333">
        <v>124.499623</v>
      </c>
      <c r="N197" s="333">
        <v>17633.64</v>
      </c>
      <c r="O197" s="333">
        <v>17634.17265</v>
      </c>
      <c r="P197" s="333">
        <v>2018.605</v>
      </c>
      <c r="Q197" s="332" t="s">
        <v>469</v>
      </c>
      <c r="R197" s="332"/>
      <c r="S197" s="333">
        <v>15</v>
      </c>
      <c r="T197" s="333">
        <v>5</v>
      </c>
      <c r="U197" s="333">
        <v>0.7</v>
      </c>
      <c r="V197" s="333">
        <v>0.7</v>
      </c>
      <c r="W197" s="333">
        <v>0.7</v>
      </c>
      <c r="X197" s="333">
        <v>1700</v>
      </c>
      <c r="Y197" s="332" t="s">
        <v>470</v>
      </c>
      <c r="Z197" s="333">
        <v>0.85</v>
      </c>
      <c r="AA197" s="332" t="s">
        <v>471</v>
      </c>
      <c r="AB197" s="332" t="s">
        <v>472</v>
      </c>
      <c r="AC197" s="335">
        <v>220</v>
      </c>
    </row>
    <row r="198" spans="1:29">
      <c r="A198" s="326" t="s">
        <v>671</v>
      </c>
      <c r="B198" s="327">
        <v>15</v>
      </c>
      <c r="C198" s="327">
        <v>195</v>
      </c>
      <c r="D198" s="327" t="s">
        <v>424</v>
      </c>
      <c r="E198" s="328">
        <v>1.5</v>
      </c>
      <c r="F198" s="329">
        <v>45203.681250000001</v>
      </c>
      <c r="G198" s="328">
        <v>1</v>
      </c>
      <c r="H198" s="328">
        <v>51.370800000000003</v>
      </c>
      <c r="I198" s="328">
        <v>6.1634500000000001</v>
      </c>
      <c r="J198" s="328">
        <v>-14.606968999999999</v>
      </c>
      <c r="K198" s="328">
        <v>-13.770244</v>
      </c>
      <c r="L198" s="328">
        <v>951.31600000000003</v>
      </c>
      <c r="M198" s="328">
        <v>121.501086</v>
      </c>
      <c r="N198" s="328">
        <v>17316.560000000001</v>
      </c>
      <c r="O198" s="328">
        <v>17267.149089999999</v>
      </c>
      <c r="P198" s="328">
        <v>1977.0160000000001</v>
      </c>
      <c r="Q198" s="327" t="s">
        <v>542</v>
      </c>
      <c r="R198" s="327"/>
      <c r="S198" s="328">
        <v>15</v>
      </c>
      <c r="T198" s="328">
        <v>5</v>
      </c>
      <c r="U198" s="328">
        <v>0.7</v>
      </c>
      <c r="V198" s="328">
        <v>0.7</v>
      </c>
      <c r="W198" s="328">
        <v>0.7</v>
      </c>
      <c r="X198" s="328">
        <v>1700</v>
      </c>
      <c r="Y198" s="327" t="s">
        <v>470</v>
      </c>
      <c r="Z198" s="328">
        <v>0.85</v>
      </c>
      <c r="AA198" s="327" t="s">
        <v>471</v>
      </c>
      <c r="AB198" s="327" t="s">
        <v>472</v>
      </c>
      <c r="AC198" s="330">
        <v>220</v>
      </c>
    </row>
    <row r="199" spans="1:29">
      <c r="A199" s="331" t="s">
        <v>672</v>
      </c>
      <c r="B199" s="332">
        <v>15</v>
      </c>
      <c r="C199" s="332">
        <v>195</v>
      </c>
      <c r="D199" s="332" t="s">
        <v>424</v>
      </c>
      <c r="E199" s="333">
        <v>1.5</v>
      </c>
      <c r="F199" s="334">
        <v>45203.68472222222</v>
      </c>
      <c r="G199" s="333">
        <v>1</v>
      </c>
      <c r="H199" s="333">
        <v>51.370800000000003</v>
      </c>
      <c r="I199" s="333">
        <v>6.1319499999999998</v>
      </c>
      <c r="J199" s="333">
        <v>-14.551349999999999</v>
      </c>
      <c r="K199" s="333">
        <v>-13.715280999999999</v>
      </c>
      <c r="L199" s="333">
        <v>941.75099999999998</v>
      </c>
      <c r="M199" s="333">
        <v>119.00133700000001</v>
      </c>
      <c r="N199" s="333">
        <v>17199.02</v>
      </c>
      <c r="O199" s="333">
        <v>17267.149089999999</v>
      </c>
      <c r="P199" s="333">
        <v>1977.0160000000001</v>
      </c>
      <c r="Q199" s="332" t="s">
        <v>542</v>
      </c>
      <c r="R199" s="332"/>
      <c r="S199" s="333">
        <v>15</v>
      </c>
      <c r="T199" s="333">
        <v>5</v>
      </c>
      <c r="U199" s="333">
        <v>0.7</v>
      </c>
      <c r="V199" s="333">
        <v>0.7</v>
      </c>
      <c r="W199" s="333">
        <v>0.7</v>
      </c>
      <c r="X199" s="333">
        <v>1700</v>
      </c>
      <c r="Y199" s="332" t="s">
        <v>470</v>
      </c>
      <c r="Z199" s="333">
        <v>0.85</v>
      </c>
      <c r="AA199" s="332" t="s">
        <v>471</v>
      </c>
      <c r="AB199" s="332" t="s">
        <v>472</v>
      </c>
      <c r="AC199" s="335">
        <v>220</v>
      </c>
    </row>
    <row r="200" spans="1:29">
      <c r="A200" s="326" t="s">
        <v>673</v>
      </c>
      <c r="B200" s="327">
        <v>15</v>
      </c>
      <c r="C200" s="327">
        <v>195</v>
      </c>
      <c r="D200" s="327" t="s">
        <v>424</v>
      </c>
      <c r="E200" s="328">
        <v>1.5</v>
      </c>
      <c r="F200" s="329">
        <v>45203.688194444447</v>
      </c>
      <c r="G200" s="328">
        <v>1</v>
      </c>
      <c r="H200" s="328">
        <v>51.3675</v>
      </c>
      <c r="I200" s="328">
        <v>5.9469599999999998</v>
      </c>
      <c r="J200" s="328">
        <v>-14.702569</v>
      </c>
      <c r="K200" s="328">
        <v>-13.857988000000001</v>
      </c>
      <c r="L200" s="328">
        <v>945.96</v>
      </c>
      <c r="M200" s="328">
        <v>125.000004</v>
      </c>
      <c r="N200" s="328">
        <v>17253.11</v>
      </c>
      <c r="O200" s="328">
        <v>17267.149089999999</v>
      </c>
      <c r="P200" s="328">
        <v>1977.0160000000001</v>
      </c>
      <c r="Q200" s="327" t="s">
        <v>469</v>
      </c>
      <c r="R200" s="327"/>
      <c r="S200" s="328">
        <v>15</v>
      </c>
      <c r="T200" s="328">
        <v>5</v>
      </c>
      <c r="U200" s="328">
        <v>0.7</v>
      </c>
      <c r="V200" s="328">
        <v>0.7</v>
      </c>
      <c r="W200" s="328">
        <v>0.7</v>
      </c>
      <c r="X200" s="328">
        <v>1700</v>
      </c>
      <c r="Y200" s="327" t="s">
        <v>470</v>
      </c>
      <c r="Z200" s="328">
        <v>0.85</v>
      </c>
      <c r="AA200" s="327" t="s">
        <v>471</v>
      </c>
      <c r="AB200" s="327" t="s">
        <v>472</v>
      </c>
      <c r="AC200" s="330">
        <v>220</v>
      </c>
    </row>
    <row r="201" spans="1:29">
      <c r="A201" s="331" t="s">
        <v>674</v>
      </c>
      <c r="B201" s="332">
        <v>15</v>
      </c>
      <c r="C201" s="332">
        <v>195</v>
      </c>
      <c r="D201" s="332" t="s">
        <v>424</v>
      </c>
      <c r="E201" s="333">
        <v>1.5</v>
      </c>
      <c r="F201" s="334">
        <v>45203.692361111112</v>
      </c>
      <c r="G201" s="333">
        <v>1</v>
      </c>
      <c r="H201" s="333">
        <v>51.370800000000003</v>
      </c>
      <c r="I201" s="333">
        <v>5.9235499999999996</v>
      </c>
      <c r="J201" s="333">
        <v>-14.534700000000001</v>
      </c>
      <c r="K201" s="333">
        <v>-13.696856</v>
      </c>
      <c r="L201" s="333">
        <v>954.93</v>
      </c>
      <c r="M201" s="333">
        <v>109.999821</v>
      </c>
      <c r="N201" s="333">
        <v>17272.939999999999</v>
      </c>
      <c r="O201" s="333">
        <v>17267.149089999999</v>
      </c>
      <c r="P201" s="333">
        <v>1977.0160000000001</v>
      </c>
      <c r="Q201" s="332" t="s">
        <v>469</v>
      </c>
      <c r="R201" s="332"/>
      <c r="S201" s="333">
        <v>15</v>
      </c>
      <c r="T201" s="333">
        <v>5</v>
      </c>
      <c r="U201" s="333">
        <v>0.7</v>
      </c>
      <c r="V201" s="333">
        <v>0.7</v>
      </c>
      <c r="W201" s="333">
        <v>0.7</v>
      </c>
      <c r="X201" s="333">
        <v>1700</v>
      </c>
      <c r="Y201" s="332" t="s">
        <v>470</v>
      </c>
      <c r="Z201" s="333">
        <v>0.85</v>
      </c>
      <c r="AA201" s="332" t="s">
        <v>471</v>
      </c>
      <c r="AB201" s="332" t="s">
        <v>472</v>
      </c>
      <c r="AC201" s="335">
        <v>220</v>
      </c>
    </row>
    <row r="202" spans="1:29">
      <c r="A202" s="326" t="s">
        <v>675</v>
      </c>
      <c r="B202" s="327">
        <v>15</v>
      </c>
      <c r="C202" s="327">
        <v>195</v>
      </c>
      <c r="D202" s="327" t="s">
        <v>424</v>
      </c>
      <c r="E202" s="328">
        <v>1.5</v>
      </c>
      <c r="F202" s="329">
        <v>45203.695833333331</v>
      </c>
      <c r="G202" s="328">
        <v>1</v>
      </c>
      <c r="H202" s="328">
        <v>51.370800000000003</v>
      </c>
      <c r="I202" s="328">
        <v>6.0481999999999996</v>
      </c>
      <c r="J202" s="328">
        <v>-14.682162</v>
      </c>
      <c r="K202" s="328">
        <v>-13.833213000000001</v>
      </c>
      <c r="L202" s="328">
        <v>962.77</v>
      </c>
      <c r="M202" s="328">
        <v>112.499572</v>
      </c>
      <c r="N202" s="328">
        <v>17275.400000000001</v>
      </c>
      <c r="O202" s="328">
        <v>17267.149089999999</v>
      </c>
      <c r="P202" s="328">
        <v>1977.0160000000001</v>
      </c>
      <c r="Q202" s="327" t="s">
        <v>469</v>
      </c>
      <c r="R202" s="327"/>
      <c r="S202" s="328">
        <v>15</v>
      </c>
      <c r="T202" s="328">
        <v>5</v>
      </c>
      <c r="U202" s="328">
        <v>0.7</v>
      </c>
      <c r="V202" s="328">
        <v>0.7</v>
      </c>
      <c r="W202" s="328">
        <v>0.7</v>
      </c>
      <c r="X202" s="328">
        <v>1700</v>
      </c>
      <c r="Y202" s="327" t="s">
        <v>470</v>
      </c>
      <c r="Z202" s="328">
        <v>0.85</v>
      </c>
      <c r="AA202" s="327" t="s">
        <v>471</v>
      </c>
      <c r="AB202" s="327" t="s">
        <v>472</v>
      </c>
      <c r="AC202" s="330">
        <v>220</v>
      </c>
    </row>
    <row r="203" spans="1:29">
      <c r="A203" s="331" t="s">
        <v>676</v>
      </c>
      <c r="B203" s="332">
        <v>16</v>
      </c>
      <c r="C203" s="332">
        <v>201</v>
      </c>
      <c r="D203" s="332" t="s">
        <v>422</v>
      </c>
      <c r="E203" s="333">
        <v>1.5</v>
      </c>
      <c r="F203" s="334">
        <v>45203.699305555558</v>
      </c>
      <c r="G203" s="333">
        <v>1</v>
      </c>
      <c r="H203" s="333">
        <v>51.370800000000003</v>
      </c>
      <c r="I203" s="333">
        <v>6.0529299999999999</v>
      </c>
      <c r="J203" s="333">
        <v>-14.581130999999999</v>
      </c>
      <c r="K203" s="333">
        <v>-13.736663</v>
      </c>
      <c r="L203" s="333">
        <v>989.49400000000003</v>
      </c>
      <c r="M203" s="333">
        <v>121.99993000000001</v>
      </c>
      <c r="N203" s="333">
        <v>17654.82</v>
      </c>
      <c r="O203" s="333">
        <v>17637.722290000002</v>
      </c>
      <c r="P203" s="333">
        <v>2019.0070000000001</v>
      </c>
      <c r="Q203" s="332" t="s">
        <v>469</v>
      </c>
      <c r="R203" s="332"/>
      <c r="S203" s="333">
        <v>15</v>
      </c>
      <c r="T203" s="333">
        <v>5</v>
      </c>
      <c r="U203" s="333">
        <v>0.7</v>
      </c>
      <c r="V203" s="333">
        <v>0.7</v>
      </c>
      <c r="W203" s="333">
        <v>0.7</v>
      </c>
      <c r="X203" s="333">
        <v>1700</v>
      </c>
      <c r="Y203" s="332" t="s">
        <v>470</v>
      </c>
      <c r="Z203" s="333">
        <v>0.85</v>
      </c>
      <c r="AA203" s="332" t="s">
        <v>471</v>
      </c>
      <c r="AB203" s="332" t="s">
        <v>472</v>
      </c>
      <c r="AC203" s="335">
        <v>220</v>
      </c>
    </row>
    <row r="204" spans="1:29">
      <c r="A204" s="326" t="s">
        <v>677</v>
      </c>
      <c r="B204" s="327">
        <v>16</v>
      </c>
      <c r="C204" s="327">
        <v>201</v>
      </c>
      <c r="D204" s="327" t="s">
        <v>422</v>
      </c>
      <c r="E204" s="328">
        <v>1.5</v>
      </c>
      <c r="F204" s="329">
        <v>45203.702777777777</v>
      </c>
      <c r="G204" s="328">
        <v>1</v>
      </c>
      <c r="H204" s="328">
        <v>51.3675</v>
      </c>
      <c r="I204" s="328">
        <v>6.0483200000000004</v>
      </c>
      <c r="J204" s="328">
        <v>-14.653905999999999</v>
      </c>
      <c r="K204" s="328">
        <v>-13.812362</v>
      </c>
      <c r="L204" s="328">
        <v>976.322</v>
      </c>
      <c r="M204" s="328">
        <v>116.999679</v>
      </c>
      <c r="N204" s="328">
        <v>17628.150000000001</v>
      </c>
      <c r="O204" s="328">
        <v>17637.722290000002</v>
      </c>
      <c r="P204" s="328">
        <v>2019.0070000000001</v>
      </c>
      <c r="Q204" s="327" t="s">
        <v>469</v>
      </c>
      <c r="R204" s="327"/>
      <c r="S204" s="328">
        <v>15</v>
      </c>
      <c r="T204" s="328">
        <v>5</v>
      </c>
      <c r="U204" s="328">
        <v>0.7</v>
      </c>
      <c r="V204" s="328">
        <v>0.7</v>
      </c>
      <c r="W204" s="328">
        <v>0.7</v>
      </c>
      <c r="X204" s="328">
        <v>1700</v>
      </c>
      <c r="Y204" s="327" t="s">
        <v>470</v>
      </c>
      <c r="Z204" s="328">
        <v>0.85</v>
      </c>
      <c r="AA204" s="327" t="s">
        <v>471</v>
      </c>
      <c r="AB204" s="327" t="s">
        <v>472</v>
      </c>
      <c r="AC204" s="330">
        <v>220</v>
      </c>
    </row>
    <row r="205" spans="1:29">
      <c r="A205" s="331" t="s">
        <v>678</v>
      </c>
      <c r="B205" s="332">
        <v>16</v>
      </c>
      <c r="C205" s="332">
        <v>201</v>
      </c>
      <c r="D205" s="332" t="s">
        <v>422</v>
      </c>
      <c r="E205" s="333">
        <v>1.5</v>
      </c>
      <c r="F205" s="334">
        <v>45203.706944444442</v>
      </c>
      <c r="G205" s="333">
        <v>1</v>
      </c>
      <c r="H205" s="333">
        <v>51.370800000000003</v>
      </c>
      <c r="I205" s="333">
        <v>6.0362799999999996</v>
      </c>
      <c r="J205" s="333">
        <v>-14.626988000000001</v>
      </c>
      <c r="K205" s="333">
        <v>-13.784969</v>
      </c>
      <c r="L205" s="333">
        <v>988.34400000000005</v>
      </c>
      <c r="M205" s="333">
        <v>121.000529</v>
      </c>
      <c r="N205" s="333">
        <v>17630.189999999999</v>
      </c>
      <c r="O205" s="333">
        <v>17637.722290000002</v>
      </c>
      <c r="P205" s="333">
        <v>2019.0070000000001</v>
      </c>
      <c r="Q205" s="332" t="s">
        <v>469</v>
      </c>
      <c r="R205" s="332"/>
      <c r="S205" s="333">
        <v>15</v>
      </c>
      <c r="T205" s="333">
        <v>5</v>
      </c>
      <c r="U205" s="333">
        <v>0.7</v>
      </c>
      <c r="V205" s="333">
        <v>0.7</v>
      </c>
      <c r="W205" s="333">
        <v>0.7</v>
      </c>
      <c r="X205" s="333">
        <v>1700</v>
      </c>
      <c r="Y205" s="332" t="s">
        <v>470</v>
      </c>
      <c r="Z205" s="333">
        <v>0.85</v>
      </c>
      <c r="AA205" s="332" t="s">
        <v>471</v>
      </c>
      <c r="AB205" s="332" t="s">
        <v>472</v>
      </c>
      <c r="AC205" s="335">
        <v>220</v>
      </c>
    </row>
    <row r="206" spans="1:29">
      <c r="A206" s="326" t="s">
        <v>679</v>
      </c>
      <c r="B206" s="327">
        <v>17</v>
      </c>
      <c r="C206" s="327">
        <v>190</v>
      </c>
      <c r="D206" s="327" t="s">
        <v>423</v>
      </c>
      <c r="E206" s="328">
        <v>1.5</v>
      </c>
      <c r="F206" s="329">
        <v>45203.710416666669</v>
      </c>
      <c r="G206" s="328">
        <v>1</v>
      </c>
      <c r="H206" s="328">
        <v>51.3675</v>
      </c>
      <c r="I206" s="328">
        <v>6.0855699999999997</v>
      </c>
      <c r="J206" s="328">
        <v>-14.69575</v>
      </c>
      <c r="K206" s="328">
        <v>-13.846500000000001</v>
      </c>
      <c r="L206" s="328">
        <v>960.37699999999995</v>
      </c>
      <c r="M206" s="328">
        <v>122.499154</v>
      </c>
      <c r="N206" s="328">
        <v>17648.310000000001</v>
      </c>
      <c r="O206" s="328">
        <v>17637.97753</v>
      </c>
      <c r="P206" s="328">
        <v>2019.0360000000001</v>
      </c>
      <c r="Q206" s="327" t="s">
        <v>469</v>
      </c>
      <c r="R206" s="327"/>
      <c r="S206" s="328">
        <v>15</v>
      </c>
      <c r="T206" s="328">
        <v>5</v>
      </c>
      <c r="U206" s="328">
        <v>0.7</v>
      </c>
      <c r="V206" s="328">
        <v>0.7</v>
      </c>
      <c r="W206" s="328">
        <v>0.7</v>
      </c>
      <c r="X206" s="328">
        <v>1700</v>
      </c>
      <c r="Y206" s="327" t="s">
        <v>470</v>
      </c>
      <c r="Z206" s="328">
        <v>0.85</v>
      </c>
      <c r="AA206" s="327" t="s">
        <v>471</v>
      </c>
      <c r="AB206" s="327" t="s">
        <v>472</v>
      </c>
      <c r="AC206" s="330">
        <v>220</v>
      </c>
    </row>
    <row r="207" spans="1:29">
      <c r="A207" s="331" t="s">
        <v>680</v>
      </c>
      <c r="B207" s="332">
        <v>17</v>
      </c>
      <c r="C207" s="332">
        <v>190</v>
      </c>
      <c r="D207" s="332" t="s">
        <v>423</v>
      </c>
      <c r="E207" s="333">
        <v>1.5</v>
      </c>
      <c r="F207" s="334">
        <v>45203.714583333334</v>
      </c>
      <c r="G207" s="333">
        <v>1</v>
      </c>
      <c r="H207" s="333">
        <v>51.364100000000001</v>
      </c>
      <c r="I207" s="333">
        <v>6.0339</v>
      </c>
      <c r="J207" s="333">
        <v>-14.652613000000001</v>
      </c>
      <c r="K207" s="333">
        <v>-13.811006000000001</v>
      </c>
      <c r="L207" s="333">
        <v>975.12900000000002</v>
      </c>
      <c r="M207" s="333">
        <v>118.999273</v>
      </c>
      <c r="N207" s="333">
        <v>17640.060000000001</v>
      </c>
      <c r="O207" s="333">
        <v>17637.97753</v>
      </c>
      <c r="P207" s="333">
        <v>2019.0360000000001</v>
      </c>
      <c r="Q207" s="332" t="s">
        <v>469</v>
      </c>
      <c r="R207" s="332"/>
      <c r="S207" s="333">
        <v>15</v>
      </c>
      <c r="T207" s="333">
        <v>5</v>
      </c>
      <c r="U207" s="333">
        <v>0.7</v>
      </c>
      <c r="V207" s="333">
        <v>0.7</v>
      </c>
      <c r="W207" s="333">
        <v>0.7</v>
      </c>
      <c r="X207" s="333">
        <v>1700</v>
      </c>
      <c r="Y207" s="332" t="s">
        <v>470</v>
      </c>
      <c r="Z207" s="333">
        <v>0.85</v>
      </c>
      <c r="AA207" s="332" t="s">
        <v>471</v>
      </c>
      <c r="AB207" s="332" t="s">
        <v>472</v>
      </c>
      <c r="AC207" s="335">
        <v>220</v>
      </c>
    </row>
    <row r="208" spans="1:29">
      <c r="A208" s="326" t="s">
        <v>681</v>
      </c>
      <c r="B208" s="327">
        <v>17</v>
      </c>
      <c r="C208" s="327">
        <v>190</v>
      </c>
      <c r="D208" s="327" t="s">
        <v>423</v>
      </c>
      <c r="E208" s="328">
        <v>1.5</v>
      </c>
      <c r="F208" s="329">
        <v>45203.718055555553</v>
      </c>
      <c r="G208" s="328">
        <v>1</v>
      </c>
      <c r="H208" s="328">
        <v>51.3675</v>
      </c>
      <c r="I208" s="328">
        <v>6.0727700000000002</v>
      </c>
      <c r="J208" s="328">
        <v>-14.724387999999999</v>
      </c>
      <c r="K208" s="328">
        <v>-13.882149999999999</v>
      </c>
      <c r="L208" s="328">
        <v>968.399</v>
      </c>
      <c r="M208" s="328">
        <v>118.499888</v>
      </c>
      <c r="N208" s="328">
        <v>17625.55</v>
      </c>
      <c r="O208" s="328">
        <v>17637.97753</v>
      </c>
      <c r="P208" s="328">
        <v>2019.0360000000001</v>
      </c>
      <c r="Q208" s="327" t="s">
        <v>469</v>
      </c>
      <c r="R208" s="327"/>
      <c r="S208" s="328">
        <v>15</v>
      </c>
      <c r="T208" s="328">
        <v>5</v>
      </c>
      <c r="U208" s="328">
        <v>0.7</v>
      </c>
      <c r="V208" s="328">
        <v>0.7</v>
      </c>
      <c r="W208" s="328">
        <v>0.7</v>
      </c>
      <c r="X208" s="328">
        <v>1700</v>
      </c>
      <c r="Y208" s="327" t="s">
        <v>470</v>
      </c>
      <c r="Z208" s="328">
        <v>0.85</v>
      </c>
      <c r="AA208" s="327" t="s">
        <v>471</v>
      </c>
      <c r="AB208" s="327" t="s">
        <v>472</v>
      </c>
      <c r="AC208" s="330">
        <v>220</v>
      </c>
    </row>
    <row r="209" spans="1:29">
      <c r="A209" s="331" t="s">
        <v>682</v>
      </c>
      <c r="B209" s="332">
        <v>18</v>
      </c>
      <c r="C209" s="332">
        <v>191</v>
      </c>
      <c r="D209" s="332" t="s">
        <v>425</v>
      </c>
      <c r="E209" s="333">
        <v>1.5</v>
      </c>
      <c r="F209" s="334">
        <v>45203.72152777778</v>
      </c>
      <c r="G209" s="333">
        <v>1</v>
      </c>
      <c r="H209" s="333">
        <v>51.370800000000003</v>
      </c>
      <c r="I209" s="333">
        <v>6.0280399999999998</v>
      </c>
      <c r="J209" s="333">
        <v>-14.692562000000001</v>
      </c>
      <c r="K209" s="333">
        <v>-13.850894</v>
      </c>
      <c r="L209" s="333">
        <v>989.78200000000004</v>
      </c>
      <c r="M209" s="333">
        <v>117.49879</v>
      </c>
      <c r="N209" s="333">
        <v>17857.7</v>
      </c>
      <c r="O209" s="333">
        <v>17846.780879999998</v>
      </c>
      <c r="P209" s="333">
        <v>2042.6969999999999</v>
      </c>
      <c r="Q209" s="332" t="s">
        <v>469</v>
      </c>
      <c r="R209" s="332"/>
      <c r="S209" s="333">
        <v>15</v>
      </c>
      <c r="T209" s="333">
        <v>5</v>
      </c>
      <c r="U209" s="333">
        <v>0.7</v>
      </c>
      <c r="V209" s="333">
        <v>0.7</v>
      </c>
      <c r="W209" s="333">
        <v>0.7</v>
      </c>
      <c r="X209" s="333">
        <v>1700</v>
      </c>
      <c r="Y209" s="332" t="s">
        <v>470</v>
      </c>
      <c r="Z209" s="333">
        <v>0.85</v>
      </c>
      <c r="AA209" s="332" t="s">
        <v>471</v>
      </c>
      <c r="AB209" s="332" t="s">
        <v>472</v>
      </c>
      <c r="AC209" s="335">
        <v>220</v>
      </c>
    </row>
    <row r="210" spans="1:29">
      <c r="A210" s="326" t="s">
        <v>683</v>
      </c>
      <c r="B210" s="327">
        <v>18</v>
      </c>
      <c r="C210" s="327">
        <v>191</v>
      </c>
      <c r="D210" s="327" t="s">
        <v>425</v>
      </c>
      <c r="E210" s="328">
        <v>1.5</v>
      </c>
      <c r="F210" s="329">
        <v>45203.725694444445</v>
      </c>
      <c r="G210" s="328">
        <v>1</v>
      </c>
      <c r="H210" s="328">
        <v>51.3675</v>
      </c>
      <c r="I210" s="328">
        <v>5.9874000000000001</v>
      </c>
      <c r="J210" s="328">
        <v>-14.676913000000001</v>
      </c>
      <c r="K210" s="328">
        <v>-13.827419000000001</v>
      </c>
      <c r="L210" s="328">
        <v>987.23500000000001</v>
      </c>
      <c r="M210" s="328">
        <v>120</v>
      </c>
      <c r="N210" s="328">
        <v>17846.21</v>
      </c>
      <c r="O210" s="328">
        <v>17846.780879999998</v>
      </c>
      <c r="P210" s="328">
        <v>2042.6969999999999</v>
      </c>
      <c r="Q210" s="327" t="s">
        <v>469</v>
      </c>
      <c r="R210" s="327"/>
      <c r="S210" s="328">
        <v>15</v>
      </c>
      <c r="T210" s="328">
        <v>5</v>
      </c>
      <c r="U210" s="328">
        <v>0.7</v>
      </c>
      <c r="V210" s="328">
        <v>0.7</v>
      </c>
      <c r="W210" s="328">
        <v>0.7</v>
      </c>
      <c r="X210" s="328">
        <v>1700</v>
      </c>
      <c r="Y210" s="327" t="s">
        <v>470</v>
      </c>
      <c r="Z210" s="328">
        <v>0.85</v>
      </c>
      <c r="AA210" s="327" t="s">
        <v>471</v>
      </c>
      <c r="AB210" s="327" t="s">
        <v>472</v>
      </c>
      <c r="AC210" s="330">
        <v>220</v>
      </c>
    </row>
    <row r="211" spans="1:29">
      <c r="A211" s="331" t="s">
        <v>684</v>
      </c>
      <c r="B211" s="332">
        <v>18</v>
      </c>
      <c r="C211" s="332">
        <v>191</v>
      </c>
      <c r="D211" s="332" t="s">
        <v>425</v>
      </c>
      <c r="E211" s="333">
        <v>1.5</v>
      </c>
      <c r="F211" s="334">
        <v>45203.729166666664</v>
      </c>
      <c r="G211" s="333">
        <v>1</v>
      </c>
      <c r="H211" s="333">
        <v>51.3675</v>
      </c>
      <c r="I211" s="333">
        <v>5.9832799999999997</v>
      </c>
      <c r="J211" s="333">
        <v>-14.698093999999999</v>
      </c>
      <c r="K211" s="333">
        <v>-13.855962999999999</v>
      </c>
      <c r="L211" s="333">
        <v>993.22299999999996</v>
      </c>
      <c r="M211" s="333">
        <v>118.00026699999999</v>
      </c>
      <c r="N211" s="333">
        <v>17836.439999999999</v>
      </c>
      <c r="O211" s="333">
        <v>17846.780879999998</v>
      </c>
      <c r="P211" s="333">
        <v>2042.6969999999999</v>
      </c>
      <c r="Q211" s="332" t="s">
        <v>469</v>
      </c>
      <c r="R211" s="332"/>
      <c r="S211" s="333">
        <v>15</v>
      </c>
      <c r="T211" s="333">
        <v>5</v>
      </c>
      <c r="U211" s="333">
        <v>0.7</v>
      </c>
      <c r="V211" s="333">
        <v>0.7</v>
      </c>
      <c r="W211" s="333">
        <v>0.7</v>
      </c>
      <c r="X211" s="333">
        <v>1700</v>
      </c>
      <c r="Y211" s="332" t="s">
        <v>470</v>
      </c>
      <c r="Z211" s="333">
        <v>0.85</v>
      </c>
      <c r="AA211" s="332" t="s">
        <v>471</v>
      </c>
      <c r="AB211" s="332" t="s">
        <v>472</v>
      </c>
      <c r="AC211" s="335">
        <v>220</v>
      </c>
    </row>
    <row r="212" spans="1:29">
      <c r="A212" s="336" t="s">
        <v>685</v>
      </c>
      <c r="B212" s="337">
        <v>19</v>
      </c>
      <c r="C212" s="337"/>
      <c r="D212" s="337" t="s">
        <v>468</v>
      </c>
      <c r="E212" s="338">
        <v>1.5</v>
      </c>
      <c r="F212" s="339">
        <v>45203.732638888891</v>
      </c>
      <c r="G212" s="338">
        <v>1</v>
      </c>
      <c r="H212" s="338">
        <v>51.3675</v>
      </c>
      <c r="I212" s="338">
        <v>5.9189499999999997</v>
      </c>
      <c r="J212" s="338">
        <v>-14.767856</v>
      </c>
      <c r="K212" s="338">
        <v>-13.921462999999999</v>
      </c>
      <c r="L212" s="338">
        <v>1003.85</v>
      </c>
      <c r="M212" s="338">
        <v>125.000021</v>
      </c>
      <c r="N212" s="338">
        <v>18083.349999999999</v>
      </c>
      <c r="O212" s="338">
        <v>18051.520499999999</v>
      </c>
      <c r="P212" s="338">
        <v>2065.8969999999999</v>
      </c>
      <c r="Q212" s="337" t="s">
        <v>542</v>
      </c>
      <c r="R212" s="337"/>
      <c r="S212" s="338">
        <v>15</v>
      </c>
      <c r="T212" s="338">
        <v>5</v>
      </c>
      <c r="U212" s="338">
        <v>0.7</v>
      </c>
      <c r="V212" s="338">
        <v>0.7</v>
      </c>
      <c r="W212" s="338">
        <v>0.7</v>
      </c>
      <c r="X212" s="338">
        <v>1700</v>
      </c>
      <c r="Y212" s="337" t="s">
        <v>470</v>
      </c>
      <c r="Z212" s="338">
        <v>0.85</v>
      </c>
      <c r="AA212" s="337" t="s">
        <v>471</v>
      </c>
      <c r="AB212" s="337" t="s">
        <v>472</v>
      </c>
      <c r="AC212" s="340">
        <v>220</v>
      </c>
    </row>
    <row r="213" spans="1:29">
      <c r="A213" s="331" t="s">
        <v>686</v>
      </c>
      <c r="B213" s="332">
        <v>19</v>
      </c>
      <c r="C213" s="332"/>
      <c r="D213" s="332" t="s">
        <v>468</v>
      </c>
      <c r="E213" s="333">
        <v>1.5</v>
      </c>
      <c r="F213" s="334">
        <v>45203.736805555556</v>
      </c>
      <c r="G213" s="333">
        <v>1</v>
      </c>
      <c r="H213" s="333">
        <v>51.370800000000003</v>
      </c>
      <c r="I213" s="333">
        <v>5.8988199999999997</v>
      </c>
      <c r="J213" s="333">
        <v>-14.754631</v>
      </c>
      <c r="K213" s="333">
        <v>-13.907106000000001</v>
      </c>
      <c r="L213" s="333">
        <v>1002.37</v>
      </c>
      <c r="M213" s="333">
        <v>126.49989100000001</v>
      </c>
      <c r="N213" s="333">
        <v>18058.02</v>
      </c>
      <c r="O213" s="333">
        <v>18051.520499999999</v>
      </c>
      <c r="P213" s="333">
        <v>2065.8969999999999</v>
      </c>
      <c r="Q213" s="332" t="s">
        <v>469</v>
      </c>
      <c r="R213" s="332"/>
      <c r="S213" s="333">
        <v>15</v>
      </c>
      <c r="T213" s="333">
        <v>5</v>
      </c>
      <c r="U213" s="333">
        <v>0.7</v>
      </c>
      <c r="V213" s="333">
        <v>0.7</v>
      </c>
      <c r="W213" s="333">
        <v>0.7</v>
      </c>
      <c r="X213" s="333">
        <v>1700</v>
      </c>
      <c r="Y213" s="332" t="s">
        <v>470</v>
      </c>
      <c r="Z213" s="333">
        <v>0.85</v>
      </c>
      <c r="AA213" s="332" t="s">
        <v>471</v>
      </c>
      <c r="AB213" s="332" t="s">
        <v>472</v>
      </c>
      <c r="AC213" s="335">
        <v>220</v>
      </c>
    </row>
    <row r="214" spans="1:29">
      <c r="A214" s="326" t="s">
        <v>687</v>
      </c>
      <c r="B214" s="327">
        <v>19</v>
      </c>
      <c r="C214" s="327"/>
      <c r="D214" s="327" t="s">
        <v>468</v>
      </c>
      <c r="E214" s="328">
        <v>1.5</v>
      </c>
      <c r="F214" s="329">
        <v>45203.740277777775</v>
      </c>
      <c r="G214" s="328">
        <v>1</v>
      </c>
      <c r="H214" s="328">
        <v>51.3675</v>
      </c>
      <c r="I214" s="328">
        <v>5.8895900000000001</v>
      </c>
      <c r="J214" s="328">
        <v>-14.703631</v>
      </c>
      <c r="K214" s="328">
        <v>-13.872725000000001</v>
      </c>
      <c r="L214" s="328">
        <v>1000.9</v>
      </c>
      <c r="M214" s="328">
        <v>122.99997</v>
      </c>
      <c r="N214" s="328">
        <v>18043.98</v>
      </c>
      <c r="O214" s="328">
        <v>18051.520499999999</v>
      </c>
      <c r="P214" s="328">
        <v>2065.8969999999999</v>
      </c>
      <c r="Q214" s="327" t="s">
        <v>469</v>
      </c>
      <c r="R214" s="327"/>
      <c r="S214" s="328">
        <v>15</v>
      </c>
      <c r="T214" s="328">
        <v>5</v>
      </c>
      <c r="U214" s="328">
        <v>0.7</v>
      </c>
      <c r="V214" s="328">
        <v>0.7</v>
      </c>
      <c r="W214" s="328">
        <v>0.7</v>
      </c>
      <c r="X214" s="328">
        <v>1700</v>
      </c>
      <c r="Y214" s="327" t="s">
        <v>470</v>
      </c>
      <c r="Z214" s="328">
        <v>0.85</v>
      </c>
      <c r="AA214" s="327" t="s">
        <v>471</v>
      </c>
      <c r="AB214" s="327" t="s">
        <v>472</v>
      </c>
      <c r="AC214" s="330">
        <v>220</v>
      </c>
    </row>
    <row r="215" spans="1:29">
      <c r="A215" s="331" t="s">
        <v>688</v>
      </c>
      <c r="B215" s="332">
        <v>19</v>
      </c>
      <c r="C215" s="332"/>
      <c r="D215" s="332" t="s">
        <v>468</v>
      </c>
      <c r="E215" s="333">
        <v>1.5</v>
      </c>
      <c r="F215" s="334">
        <v>45203.743750000001</v>
      </c>
      <c r="G215" s="333">
        <v>1</v>
      </c>
      <c r="H215" s="333">
        <v>51.374099999999999</v>
      </c>
      <c r="I215" s="333">
        <v>5.9531400000000003</v>
      </c>
      <c r="J215" s="333">
        <v>-14.780806</v>
      </c>
      <c r="K215" s="333">
        <v>-13.952631</v>
      </c>
      <c r="L215" s="333">
        <v>999.49</v>
      </c>
      <c r="M215" s="333">
        <v>128.49945099999999</v>
      </c>
      <c r="N215" s="333">
        <v>18052.57</v>
      </c>
      <c r="O215" s="333">
        <v>18051.520499999999</v>
      </c>
      <c r="P215" s="333">
        <v>2065.8969999999999</v>
      </c>
      <c r="Q215" s="332" t="s">
        <v>469</v>
      </c>
      <c r="R215" s="332"/>
      <c r="S215" s="333">
        <v>15</v>
      </c>
      <c r="T215" s="333">
        <v>5</v>
      </c>
      <c r="U215" s="333">
        <v>0.7</v>
      </c>
      <c r="V215" s="333">
        <v>0.7</v>
      </c>
      <c r="W215" s="333">
        <v>0.7</v>
      </c>
      <c r="X215" s="333">
        <v>1700</v>
      </c>
      <c r="Y215" s="332" t="s">
        <v>470</v>
      </c>
      <c r="Z215" s="333">
        <v>0.85</v>
      </c>
      <c r="AA215" s="332" t="s">
        <v>471</v>
      </c>
      <c r="AB215" s="332" t="s">
        <v>472</v>
      </c>
      <c r="AC215" s="335">
        <v>220</v>
      </c>
    </row>
    <row r="216" spans="1:29">
      <c r="A216" s="326" t="s">
        <v>689</v>
      </c>
      <c r="B216" s="327">
        <v>25</v>
      </c>
      <c r="C216" s="327"/>
      <c r="D216" s="327" t="s">
        <v>426</v>
      </c>
      <c r="E216" s="328">
        <v>1.5</v>
      </c>
      <c r="F216" s="341"/>
      <c r="G216" s="328">
        <v>1</v>
      </c>
      <c r="H216" s="328">
        <v>0</v>
      </c>
      <c r="I216" s="328">
        <v>0</v>
      </c>
      <c r="J216" s="328">
        <v>0</v>
      </c>
      <c r="K216" s="328">
        <v>0</v>
      </c>
      <c r="L216" s="328">
        <v>0</v>
      </c>
      <c r="M216" s="328">
        <v>0</v>
      </c>
      <c r="N216" s="328">
        <v>0</v>
      </c>
      <c r="O216" s="328">
        <v>0</v>
      </c>
      <c r="P216" s="328">
        <v>0</v>
      </c>
      <c r="Q216" s="327" t="s">
        <v>503</v>
      </c>
      <c r="R216" s="327"/>
      <c r="S216" s="328">
        <v>15</v>
      </c>
      <c r="T216" s="328">
        <v>5</v>
      </c>
      <c r="U216" s="328">
        <v>0.7</v>
      </c>
      <c r="V216" s="328">
        <v>0.7</v>
      </c>
      <c r="W216" s="328">
        <v>0.7</v>
      </c>
      <c r="X216" s="328">
        <v>1700</v>
      </c>
      <c r="Y216" s="327"/>
      <c r="Z216" s="327"/>
      <c r="AA216" s="327" t="s">
        <v>471</v>
      </c>
      <c r="AB216" s="327" t="s">
        <v>472</v>
      </c>
      <c r="AC216" s="330">
        <v>220</v>
      </c>
    </row>
    <row r="217" spans="1:29">
      <c r="A217" s="324"/>
      <c r="B217" s="324"/>
      <c r="C217" s="324"/>
      <c r="D217" s="324"/>
      <c r="E217" s="324"/>
      <c r="F217" s="325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</row>
    <row r="218" spans="1:29">
      <c r="A218" s="307" t="s">
        <v>466</v>
      </c>
      <c r="B218" s="308" t="s">
        <v>467</v>
      </c>
      <c r="C218" s="308" t="s">
        <v>588</v>
      </c>
      <c r="D218" s="308" t="s">
        <v>468</v>
      </c>
      <c r="E218" s="309">
        <v>1</v>
      </c>
      <c r="F218" s="310">
        <v>45218.415972222225</v>
      </c>
      <c r="G218" s="309">
        <v>1</v>
      </c>
      <c r="H218" s="309">
        <v>51.370800000000003</v>
      </c>
      <c r="I218" s="309">
        <v>13.404999999999999</v>
      </c>
      <c r="J218" s="309">
        <v>-13.9543</v>
      </c>
      <c r="K218" s="309">
        <v>-13.109813000000001</v>
      </c>
      <c r="L218" s="309">
        <v>919.24099999999999</v>
      </c>
      <c r="M218" s="309">
        <v>95.499830000000003</v>
      </c>
      <c r="N218" s="309">
        <v>11919.36</v>
      </c>
      <c r="O218" s="309">
        <v>11919.356830000001</v>
      </c>
      <c r="P218" s="309">
        <v>2056.5479999999998</v>
      </c>
      <c r="Q218" s="308" t="s">
        <v>469</v>
      </c>
      <c r="R218" s="308"/>
      <c r="S218" s="309">
        <v>15</v>
      </c>
      <c r="T218" s="309">
        <v>5</v>
      </c>
      <c r="U218" s="309">
        <v>0.7</v>
      </c>
      <c r="V218" s="309">
        <v>0.7</v>
      </c>
      <c r="W218" s="309">
        <v>0.7</v>
      </c>
      <c r="X218" s="309">
        <v>1700</v>
      </c>
      <c r="Y218" s="308" t="s">
        <v>470</v>
      </c>
      <c r="Z218" s="309">
        <v>0.85</v>
      </c>
      <c r="AA218" s="308" t="s">
        <v>471</v>
      </c>
      <c r="AB218" s="308" t="s">
        <v>472</v>
      </c>
      <c r="AC218" s="311">
        <v>220</v>
      </c>
    </row>
    <row r="219" spans="1:29">
      <c r="A219" s="326" t="s">
        <v>473</v>
      </c>
      <c r="B219" s="327" t="s">
        <v>467</v>
      </c>
      <c r="C219" s="327" t="s">
        <v>588</v>
      </c>
      <c r="D219" s="327" t="s">
        <v>468</v>
      </c>
      <c r="E219" s="328">
        <v>1</v>
      </c>
      <c r="F219" s="329">
        <v>45218.418749999997</v>
      </c>
      <c r="G219" s="328">
        <v>1</v>
      </c>
      <c r="H219" s="328">
        <v>51.370800000000003</v>
      </c>
      <c r="I219" s="328">
        <v>13.6678</v>
      </c>
      <c r="J219" s="328">
        <v>-14.369856</v>
      </c>
      <c r="K219" s="328">
        <v>-13.530156</v>
      </c>
      <c r="L219" s="328">
        <v>916.404</v>
      </c>
      <c r="M219" s="328">
        <v>98.000067999999999</v>
      </c>
      <c r="N219" s="328">
        <v>11905.14</v>
      </c>
      <c r="O219" s="328">
        <v>11905.140149999999</v>
      </c>
      <c r="P219" s="328">
        <v>2054.1309999999999</v>
      </c>
      <c r="Q219" s="327" t="s">
        <v>469</v>
      </c>
      <c r="R219" s="327"/>
      <c r="S219" s="328">
        <v>15</v>
      </c>
      <c r="T219" s="328">
        <v>5</v>
      </c>
      <c r="U219" s="328">
        <v>0.7</v>
      </c>
      <c r="V219" s="328">
        <v>0.7</v>
      </c>
      <c r="W219" s="328">
        <v>0.7</v>
      </c>
      <c r="X219" s="328">
        <v>1700</v>
      </c>
      <c r="Y219" s="327" t="s">
        <v>470</v>
      </c>
      <c r="Z219" s="328">
        <v>0.85</v>
      </c>
      <c r="AA219" s="327" t="s">
        <v>471</v>
      </c>
      <c r="AB219" s="327" t="s">
        <v>472</v>
      </c>
      <c r="AC219" s="330">
        <v>220</v>
      </c>
    </row>
    <row r="220" spans="1:29">
      <c r="A220" s="331" t="s">
        <v>474</v>
      </c>
      <c r="B220" s="332" t="s">
        <v>467</v>
      </c>
      <c r="C220" s="332" t="s">
        <v>588</v>
      </c>
      <c r="D220" s="332" t="s">
        <v>468</v>
      </c>
      <c r="E220" s="333">
        <v>1</v>
      </c>
      <c r="F220" s="334">
        <v>45218.422222222223</v>
      </c>
      <c r="G220" s="333">
        <v>1</v>
      </c>
      <c r="H220" s="333">
        <v>51.3675</v>
      </c>
      <c r="I220" s="333">
        <v>12.0115</v>
      </c>
      <c r="J220" s="333">
        <v>-14.456856</v>
      </c>
      <c r="K220" s="333">
        <v>-13.607830999999999</v>
      </c>
      <c r="L220" s="333">
        <v>927.82500000000005</v>
      </c>
      <c r="M220" s="333">
        <v>95.501727000000002</v>
      </c>
      <c r="N220" s="333">
        <v>11951.55</v>
      </c>
      <c r="O220" s="333">
        <v>11951.546350000001</v>
      </c>
      <c r="P220" s="333">
        <v>2062.0189999999998</v>
      </c>
      <c r="Q220" s="332" t="s">
        <v>469</v>
      </c>
      <c r="R220" s="332"/>
      <c r="S220" s="333">
        <v>15</v>
      </c>
      <c r="T220" s="333">
        <v>5</v>
      </c>
      <c r="U220" s="333">
        <v>0.7</v>
      </c>
      <c r="V220" s="333">
        <v>0.7</v>
      </c>
      <c r="W220" s="333">
        <v>0.7</v>
      </c>
      <c r="X220" s="333">
        <v>1700</v>
      </c>
      <c r="Y220" s="332" t="s">
        <v>470</v>
      </c>
      <c r="Z220" s="333">
        <v>0.85</v>
      </c>
      <c r="AA220" s="332" t="s">
        <v>471</v>
      </c>
      <c r="AB220" s="332" t="s">
        <v>472</v>
      </c>
      <c r="AC220" s="335">
        <v>220</v>
      </c>
    </row>
    <row r="221" spans="1:29">
      <c r="A221" s="326" t="s">
        <v>475</v>
      </c>
      <c r="B221" s="327" t="s">
        <v>467</v>
      </c>
      <c r="C221" s="327" t="s">
        <v>588</v>
      </c>
      <c r="D221" s="327" t="s">
        <v>468</v>
      </c>
      <c r="E221" s="328">
        <v>1</v>
      </c>
      <c r="F221" s="329">
        <v>45218.425000000003</v>
      </c>
      <c r="G221" s="328">
        <v>1</v>
      </c>
      <c r="H221" s="328">
        <v>51.370800000000003</v>
      </c>
      <c r="I221" s="328">
        <v>10.5405</v>
      </c>
      <c r="J221" s="328">
        <v>-14.585050000000001</v>
      </c>
      <c r="K221" s="328">
        <v>-13.749725</v>
      </c>
      <c r="L221" s="328">
        <v>919.79300000000001</v>
      </c>
      <c r="M221" s="328">
        <v>98.000067000000001</v>
      </c>
      <c r="N221" s="328">
        <v>11948.05</v>
      </c>
      <c r="O221" s="328">
        <v>11948.04628</v>
      </c>
      <c r="P221" s="328">
        <v>2061.424</v>
      </c>
      <c r="Q221" s="327" t="s">
        <v>469</v>
      </c>
      <c r="R221" s="327"/>
      <c r="S221" s="328">
        <v>15</v>
      </c>
      <c r="T221" s="328">
        <v>5</v>
      </c>
      <c r="U221" s="328">
        <v>0.7</v>
      </c>
      <c r="V221" s="328">
        <v>0.7</v>
      </c>
      <c r="W221" s="328">
        <v>0.7</v>
      </c>
      <c r="X221" s="328">
        <v>1700</v>
      </c>
      <c r="Y221" s="327" t="s">
        <v>470</v>
      </c>
      <c r="Z221" s="328">
        <v>0.85</v>
      </c>
      <c r="AA221" s="327" t="s">
        <v>471</v>
      </c>
      <c r="AB221" s="327" t="s">
        <v>472</v>
      </c>
      <c r="AC221" s="330">
        <v>220</v>
      </c>
    </row>
    <row r="222" spans="1:29">
      <c r="A222" s="331" t="s">
        <v>476</v>
      </c>
      <c r="B222" s="332" t="s">
        <v>467</v>
      </c>
      <c r="C222" s="332" t="s">
        <v>588</v>
      </c>
      <c r="D222" s="332" t="s">
        <v>468</v>
      </c>
      <c r="E222" s="333">
        <v>1</v>
      </c>
      <c r="F222" s="334">
        <v>45218.428472222222</v>
      </c>
      <c r="G222" s="333">
        <v>1</v>
      </c>
      <c r="H222" s="333">
        <v>51.370800000000003</v>
      </c>
      <c r="I222" s="333">
        <v>9.6664100000000008</v>
      </c>
      <c r="J222" s="333">
        <v>-14.734631</v>
      </c>
      <c r="K222" s="333">
        <v>-13.894644</v>
      </c>
      <c r="L222" s="333">
        <v>921.89700000000005</v>
      </c>
      <c r="M222" s="333">
        <v>105.499788</v>
      </c>
      <c r="N222" s="333">
        <v>11998.92</v>
      </c>
      <c r="O222" s="333">
        <v>11998.919599999999</v>
      </c>
      <c r="P222" s="333">
        <v>2070.0709999999999</v>
      </c>
      <c r="Q222" s="332" t="s">
        <v>469</v>
      </c>
      <c r="R222" s="332"/>
      <c r="S222" s="333">
        <v>15</v>
      </c>
      <c r="T222" s="333">
        <v>5</v>
      </c>
      <c r="U222" s="333">
        <v>0.7</v>
      </c>
      <c r="V222" s="333">
        <v>0.7</v>
      </c>
      <c r="W222" s="333">
        <v>0.7</v>
      </c>
      <c r="X222" s="333">
        <v>1700</v>
      </c>
      <c r="Y222" s="332" t="s">
        <v>470</v>
      </c>
      <c r="Z222" s="333">
        <v>0.85</v>
      </c>
      <c r="AA222" s="332" t="s">
        <v>471</v>
      </c>
      <c r="AB222" s="332" t="s">
        <v>472</v>
      </c>
      <c r="AC222" s="335">
        <v>220</v>
      </c>
    </row>
    <row r="223" spans="1:29">
      <c r="A223" s="326" t="s">
        <v>589</v>
      </c>
      <c r="B223" s="327" t="s">
        <v>467</v>
      </c>
      <c r="C223" s="327" t="s">
        <v>588</v>
      </c>
      <c r="D223" s="327" t="s">
        <v>468</v>
      </c>
      <c r="E223" s="328">
        <v>1</v>
      </c>
      <c r="F223" s="329">
        <v>45218.434027777781</v>
      </c>
      <c r="G223" s="328">
        <v>1</v>
      </c>
      <c r="H223" s="328">
        <v>51.374099999999999</v>
      </c>
      <c r="I223" s="328">
        <v>8.5542400000000001</v>
      </c>
      <c r="J223" s="328">
        <v>-14.734556</v>
      </c>
      <c r="K223" s="328">
        <v>-13.906931</v>
      </c>
      <c r="L223" s="328">
        <v>912.10699999999997</v>
      </c>
      <c r="M223" s="328">
        <v>103.499968</v>
      </c>
      <c r="N223" s="328">
        <v>11963.62</v>
      </c>
      <c r="O223" s="328">
        <v>11963.61536</v>
      </c>
      <c r="P223" s="328">
        <v>2064.0700000000002</v>
      </c>
      <c r="Q223" s="327" t="s">
        <v>469</v>
      </c>
      <c r="R223" s="327"/>
      <c r="S223" s="328">
        <v>15</v>
      </c>
      <c r="T223" s="328">
        <v>5</v>
      </c>
      <c r="U223" s="328">
        <v>0.7</v>
      </c>
      <c r="V223" s="328">
        <v>0.7</v>
      </c>
      <c r="W223" s="328">
        <v>0.7</v>
      </c>
      <c r="X223" s="328">
        <v>1700</v>
      </c>
      <c r="Y223" s="327" t="s">
        <v>470</v>
      </c>
      <c r="Z223" s="328">
        <v>0.85</v>
      </c>
      <c r="AA223" s="327" t="s">
        <v>471</v>
      </c>
      <c r="AB223" s="327" t="s">
        <v>472</v>
      </c>
      <c r="AC223" s="330">
        <v>220</v>
      </c>
    </row>
    <row r="224" spans="1:29">
      <c r="A224" s="331" t="s">
        <v>497</v>
      </c>
      <c r="B224" s="332" t="s">
        <v>467</v>
      </c>
      <c r="C224" s="332" t="s">
        <v>588</v>
      </c>
      <c r="D224" s="332" t="s">
        <v>468</v>
      </c>
      <c r="E224" s="333">
        <v>1</v>
      </c>
      <c r="F224" s="334">
        <v>45218.436805555553</v>
      </c>
      <c r="G224" s="333">
        <v>1</v>
      </c>
      <c r="H224" s="333">
        <v>51.3675</v>
      </c>
      <c r="I224" s="333">
        <v>7.7308000000000003</v>
      </c>
      <c r="J224" s="333">
        <v>-14.822206</v>
      </c>
      <c r="K224" s="333">
        <v>-13.974005999999999</v>
      </c>
      <c r="L224" s="333">
        <v>927.18</v>
      </c>
      <c r="M224" s="333">
        <v>96.001099999999994</v>
      </c>
      <c r="N224" s="333">
        <v>11961.29</v>
      </c>
      <c r="O224" s="333">
        <v>11961.286679999999</v>
      </c>
      <c r="P224" s="333">
        <v>2063.674</v>
      </c>
      <c r="Q224" s="332" t="s">
        <v>469</v>
      </c>
      <c r="R224" s="332"/>
      <c r="S224" s="333">
        <v>15</v>
      </c>
      <c r="T224" s="333">
        <v>5</v>
      </c>
      <c r="U224" s="333">
        <v>0.7</v>
      </c>
      <c r="V224" s="333">
        <v>0.7</v>
      </c>
      <c r="W224" s="333">
        <v>0.7</v>
      </c>
      <c r="X224" s="333">
        <v>1700</v>
      </c>
      <c r="Y224" s="332" t="s">
        <v>470</v>
      </c>
      <c r="Z224" s="333">
        <v>0.85</v>
      </c>
      <c r="AA224" s="332" t="s">
        <v>471</v>
      </c>
      <c r="AB224" s="332" t="s">
        <v>472</v>
      </c>
      <c r="AC224" s="335">
        <v>220</v>
      </c>
    </row>
    <row r="225" spans="1:29">
      <c r="A225" s="326" t="s">
        <v>504</v>
      </c>
      <c r="B225" s="327" t="s">
        <v>478</v>
      </c>
      <c r="C225" s="327" t="s">
        <v>430</v>
      </c>
      <c r="D225" s="327" t="s">
        <v>468</v>
      </c>
      <c r="E225" s="328">
        <v>1.2</v>
      </c>
      <c r="F225" s="329">
        <v>45218.449305555558</v>
      </c>
      <c r="G225" s="328">
        <v>1</v>
      </c>
      <c r="H225" s="328">
        <v>51.3675</v>
      </c>
      <c r="I225" s="328">
        <v>7.81548</v>
      </c>
      <c r="J225" s="328">
        <v>-14.921613000000001</v>
      </c>
      <c r="K225" s="328">
        <v>-14.097619</v>
      </c>
      <c r="L225" s="328">
        <v>986.35599999999999</v>
      </c>
      <c r="M225" s="328">
        <v>111.49962499999999</v>
      </c>
      <c r="N225" s="328">
        <v>14400.41</v>
      </c>
      <c r="O225" s="328">
        <v>14426.418470000001</v>
      </c>
      <c r="P225" s="328">
        <v>2073.3290000000002</v>
      </c>
      <c r="Q225" s="327" t="s">
        <v>542</v>
      </c>
      <c r="R225" s="327"/>
      <c r="S225" s="328">
        <v>15</v>
      </c>
      <c r="T225" s="328">
        <v>5</v>
      </c>
      <c r="U225" s="328">
        <v>0.7</v>
      </c>
      <c r="V225" s="328">
        <v>0.7</v>
      </c>
      <c r="W225" s="328">
        <v>0.7</v>
      </c>
      <c r="X225" s="328">
        <v>1700</v>
      </c>
      <c r="Y225" s="327" t="s">
        <v>470</v>
      </c>
      <c r="Z225" s="328">
        <v>0.85</v>
      </c>
      <c r="AA225" s="327" t="s">
        <v>471</v>
      </c>
      <c r="AB225" s="327" t="s">
        <v>472</v>
      </c>
      <c r="AC225" s="330">
        <v>220</v>
      </c>
    </row>
    <row r="226" spans="1:29">
      <c r="A226" s="331" t="s">
        <v>505</v>
      </c>
      <c r="B226" s="332" t="s">
        <v>478</v>
      </c>
      <c r="C226" s="332" t="s">
        <v>430</v>
      </c>
      <c r="D226" s="332" t="s">
        <v>468</v>
      </c>
      <c r="E226" s="333">
        <v>1.2</v>
      </c>
      <c r="F226" s="334">
        <v>45218.452777777777</v>
      </c>
      <c r="G226" s="333">
        <v>1</v>
      </c>
      <c r="H226" s="333">
        <v>51.374099999999999</v>
      </c>
      <c r="I226" s="333">
        <v>7.2789000000000001</v>
      </c>
      <c r="J226" s="333">
        <v>-14.799787999999999</v>
      </c>
      <c r="K226" s="333">
        <v>-13.961363</v>
      </c>
      <c r="L226" s="333">
        <v>966.47900000000004</v>
      </c>
      <c r="M226" s="333">
        <v>99.999600000000001</v>
      </c>
      <c r="N226" s="333">
        <v>14416.27</v>
      </c>
      <c r="O226" s="333">
        <v>14426.418470000001</v>
      </c>
      <c r="P226" s="333">
        <v>2073.3290000000002</v>
      </c>
      <c r="Q226" s="332" t="s">
        <v>469</v>
      </c>
      <c r="R226" s="332"/>
      <c r="S226" s="333">
        <v>15</v>
      </c>
      <c r="T226" s="333">
        <v>5</v>
      </c>
      <c r="U226" s="333">
        <v>0.7</v>
      </c>
      <c r="V226" s="333">
        <v>0.7</v>
      </c>
      <c r="W226" s="333">
        <v>0.7</v>
      </c>
      <c r="X226" s="333">
        <v>1700</v>
      </c>
      <c r="Y226" s="332" t="s">
        <v>470</v>
      </c>
      <c r="Z226" s="333">
        <v>0.85</v>
      </c>
      <c r="AA226" s="332" t="s">
        <v>471</v>
      </c>
      <c r="AB226" s="332" t="s">
        <v>472</v>
      </c>
      <c r="AC226" s="335">
        <v>220</v>
      </c>
    </row>
    <row r="227" spans="1:29">
      <c r="A227" s="326" t="s">
        <v>506</v>
      </c>
      <c r="B227" s="327" t="s">
        <v>478</v>
      </c>
      <c r="C227" s="327" t="s">
        <v>430</v>
      </c>
      <c r="D227" s="327" t="s">
        <v>468</v>
      </c>
      <c r="E227" s="328">
        <v>1.2</v>
      </c>
      <c r="F227" s="329">
        <v>45218.456250000003</v>
      </c>
      <c r="G227" s="328">
        <v>1</v>
      </c>
      <c r="H227" s="328">
        <v>51.374099999999999</v>
      </c>
      <c r="I227" s="328">
        <v>7.09659</v>
      </c>
      <c r="J227" s="328">
        <v>-14.936781</v>
      </c>
      <c r="K227" s="328">
        <v>-14.093961999999999</v>
      </c>
      <c r="L227" s="328">
        <v>979.02700000000004</v>
      </c>
      <c r="M227" s="328">
        <v>105.500951</v>
      </c>
      <c r="N227" s="328">
        <v>14435.72</v>
      </c>
      <c r="O227" s="328">
        <v>14426.418470000001</v>
      </c>
      <c r="P227" s="328">
        <v>2073.3290000000002</v>
      </c>
      <c r="Q227" s="327" t="s">
        <v>469</v>
      </c>
      <c r="R227" s="327"/>
      <c r="S227" s="328">
        <v>15</v>
      </c>
      <c r="T227" s="328">
        <v>5</v>
      </c>
      <c r="U227" s="328">
        <v>0.7</v>
      </c>
      <c r="V227" s="328">
        <v>0.7</v>
      </c>
      <c r="W227" s="328">
        <v>0.7</v>
      </c>
      <c r="X227" s="328">
        <v>1700</v>
      </c>
      <c r="Y227" s="327" t="s">
        <v>470</v>
      </c>
      <c r="Z227" s="328">
        <v>0.85</v>
      </c>
      <c r="AA227" s="327" t="s">
        <v>471</v>
      </c>
      <c r="AB227" s="327" t="s">
        <v>472</v>
      </c>
      <c r="AC227" s="330">
        <v>220</v>
      </c>
    </row>
    <row r="228" spans="1:29">
      <c r="A228" s="331" t="s">
        <v>507</v>
      </c>
      <c r="B228" s="332" t="s">
        <v>478</v>
      </c>
      <c r="C228" s="332" t="s">
        <v>430</v>
      </c>
      <c r="D228" s="332" t="s">
        <v>468</v>
      </c>
      <c r="E228" s="333">
        <v>1.2</v>
      </c>
      <c r="F228" s="334">
        <v>45218.459722222222</v>
      </c>
      <c r="G228" s="333">
        <v>1</v>
      </c>
      <c r="H228" s="333">
        <v>51.3675</v>
      </c>
      <c r="I228" s="333">
        <v>6.9270800000000001</v>
      </c>
      <c r="J228" s="333">
        <v>-14.941681000000001</v>
      </c>
      <c r="K228" s="333">
        <v>-14.102681</v>
      </c>
      <c r="L228" s="333">
        <v>985.62300000000005</v>
      </c>
      <c r="M228" s="333">
        <v>105.99946799999999</v>
      </c>
      <c r="N228" s="333">
        <v>14446.77</v>
      </c>
      <c r="O228" s="333">
        <v>14426.418470000001</v>
      </c>
      <c r="P228" s="333">
        <v>2073.3290000000002</v>
      </c>
      <c r="Q228" s="332" t="s">
        <v>542</v>
      </c>
      <c r="R228" s="332"/>
      <c r="S228" s="333">
        <v>15</v>
      </c>
      <c r="T228" s="333">
        <v>5</v>
      </c>
      <c r="U228" s="333">
        <v>0.7</v>
      </c>
      <c r="V228" s="333">
        <v>0.7</v>
      </c>
      <c r="W228" s="333">
        <v>0.7</v>
      </c>
      <c r="X228" s="333">
        <v>1700</v>
      </c>
      <c r="Y228" s="332" t="s">
        <v>470</v>
      </c>
      <c r="Z228" s="333">
        <v>0.85</v>
      </c>
      <c r="AA228" s="332" t="s">
        <v>471</v>
      </c>
      <c r="AB228" s="332" t="s">
        <v>472</v>
      </c>
      <c r="AC228" s="335">
        <v>220</v>
      </c>
    </row>
    <row r="229" spans="1:29">
      <c r="A229" s="326" t="s">
        <v>508</v>
      </c>
      <c r="B229" s="327" t="s">
        <v>478</v>
      </c>
      <c r="C229" s="327" t="s">
        <v>430</v>
      </c>
      <c r="D229" s="327" t="s">
        <v>468</v>
      </c>
      <c r="E229" s="328">
        <v>1.2</v>
      </c>
      <c r="F229" s="329">
        <v>45218.463194444441</v>
      </c>
      <c r="G229" s="328">
        <v>1</v>
      </c>
      <c r="H229" s="328">
        <v>51.370800000000003</v>
      </c>
      <c r="I229" s="328">
        <v>6.8921400000000004</v>
      </c>
      <c r="J229" s="328">
        <v>-14.845337000000001</v>
      </c>
      <c r="K229" s="328">
        <v>-14.000844000000001</v>
      </c>
      <c r="L229" s="328">
        <v>987.154</v>
      </c>
      <c r="M229" s="328">
        <v>97.999789000000007</v>
      </c>
      <c r="N229" s="328">
        <v>14427.27</v>
      </c>
      <c r="O229" s="328">
        <v>14426.418470000001</v>
      </c>
      <c r="P229" s="328">
        <v>2073.3290000000002</v>
      </c>
      <c r="Q229" s="327" t="s">
        <v>469</v>
      </c>
      <c r="R229" s="327"/>
      <c r="S229" s="328">
        <v>15</v>
      </c>
      <c r="T229" s="328">
        <v>5</v>
      </c>
      <c r="U229" s="328">
        <v>0.7</v>
      </c>
      <c r="V229" s="328">
        <v>0.7</v>
      </c>
      <c r="W229" s="328">
        <v>0.7</v>
      </c>
      <c r="X229" s="328">
        <v>1700</v>
      </c>
      <c r="Y229" s="327" t="s">
        <v>470</v>
      </c>
      <c r="Z229" s="328">
        <v>0.85</v>
      </c>
      <c r="AA229" s="327" t="s">
        <v>471</v>
      </c>
      <c r="AB229" s="327" t="s">
        <v>472</v>
      </c>
      <c r="AC229" s="330">
        <v>220</v>
      </c>
    </row>
    <row r="230" spans="1:29">
      <c r="A230" s="331" t="s">
        <v>514</v>
      </c>
      <c r="B230" s="332" t="s">
        <v>490</v>
      </c>
      <c r="C230" s="332" t="s">
        <v>430</v>
      </c>
      <c r="D230" s="332" t="s">
        <v>468</v>
      </c>
      <c r="E230" s="333">
        <v>1.5</v>
      </c>
      <c r="F230" s="334">
        <v>45218.46597222222</v>
      </c>
      <c r="G230" s="333">
        <v>1</v>
      </c>
      <c r="H230" s="333">
        <v>51.370800000000003</v>
      </c>
      <c r="I230" s="333">
        <v>6.7763999999999998</v>
      </c>
      <c r="J230" s="333">
        <v>-15.034138</v>
      </c>
      <c r="K230" s="333">
        <v>-14.204744</v>
      </c>
      <c r="L230" s="333">
        <v>1002.93</v>
      </c>
      <c r="M230" s="333">
        <v>116.999821</v>
      </c>
      <c r="N230" s="333">
        <v>18065.990000000002</v>
      </c>
      <c r="O230" s="333">
        <v>18057.863109999998</v>
      </c>
      <c r="P230" s="333">
        <v>2073.3290000000002</v>
      </c>
      <c r="Q230" s="332" t="s">
        <v>469</v>
      </c>
      <c r="R230" s="332"/>
      <c r="S230" s="333">
        <v>15</v>
      </c>
      <c r="T230" s="333">
        <v>5</v>
      </c>
      <c r="U230" s="333">
        <v>0.7</v>
      </c>
      <c r="V230" s="333">
        <v>0.7</v>
      </c>
      <c r="W230" s="333">
        <v>0.7</v>
      </c>
      <c r="X230" s="333">
        <v>1700</v>
      </c>
      <c r="Y230" s="332" t="s">
        <v>470</v>
      </c>
      <c r="Z230" s="333">
        <v>0.85</v>
      </c>
      <c r="AA230" s="332" t="s">
        <v>471</v>
      </c>
      <c r="AB230" s="332" t="s">
        <v>472</v>
      </c>
      <c r="AC230" s="335">
        <v>220</v>
      </c>
    </row>
    <row r="231" spans="1:29">
      <c r="A231" s="326" t="s">
        <v>515</v>
      </c>
      <c r="B231" s="327" t="s">
        <v>490</v>
      </c>
      <c r="C231" s="327" t="s">
        <v>430</v>
      </c>
      <c r="D231" s="327" t="s">
        <v>468</v>
      </c>
      <c r="E231" s="328">
        <v>1.5</v>
      </c>
      <c r="F231" s="329">
        <v>45218.470138888886</v>
      </c>
      <c r="G231" s="328">
        <v>1</v>
      </c>
      <c r="H231" s="328">
        <v>51.364100000000001</v>
      </c>
      <c r="I231" s="328">
        <v>6.7540300000000002</v>
      </c>
      <c r="J231" s="328">
        <v>-15.007180999999999</v>
      </c>
      <c r="K231" s="328">
        <v>-14.165725</v>
      </c>
      <c r="L231" s="328">
        <v>1014.05</v>
      </c>
      <c r="M231" s="328">
        <v>117.99834199999999</v>
      </c>
      <c r="N231" s="328">
        <v>18049.330000000002</v>
      </c>
      <c r="O231" s="328">
        <v>18057.863109999998</v>
      </c>
      <c r="P231" s="328">
        <v>2073.3290000000002</v>
      </c>
      <c r="Q231" s="327" t="s">
        <v>469</v>
      </c>
      <c r="R231" s="327"/>
      <c r="S231" s="328">
        <v>15</v>
      </c>
      <c r="T231" s="328">
        <v>5</v>
      </c>
      <c r="U231" s="328">
        <v>0.7</v>
      </c>
      <c r="V231" s="328">
        <v>0.7</v>
      </c>
      <c r="W231" s="328">
        <v>0.7</v>
      </c>
      <c r="X231" s="328">
        <v>1700</v>
      </c>
      <c r="Y231" s="327" t="s">
        <v>470</v>
      </c>
      <c r="Z231" s="328">
        <v>0.85</v>
      </c>
      <c r="AA231" s="327" t="s">
        <v>471</v>
      </c>
      <c r="AB231" s="327" t="s">
        <v>472</v>
      </c>
      <c r="AC231" s="330">
        <v>220</v>
      </c>
    </row>
    <row r="232" spans="1:29">
      <c r="A232" s="331" t="s">
        <v>516</v>
      </c>
      <c r="B232" s="332" t="s">
        <v>490</v>
      </c>
      <c r="C232" s="332" t="s">
        <v>430</v>
      </c>
      <c r="D232" s="332" t="s">
        <v>468</v>
      </c>
      <c r="E232" s="333">
        <v>1.5</v>
      </c>
      <c r="F232" s="334">
        <v>45218.473611111112</v>
      </c>
      <c r="G232" s="333">
        <v>1</v>
      </c>
      <c r="H232" s="333">
        <v>51.3675</v>
      </c>
      <c r="I232" s="333">
        <v>6.6692</v>
      </c>
      <c r="J232" s="333">
        <v>-15.045381000000001</v>
      </c>
      <c r="K232" s="333">
        <v>-14.200469</v>
      </c>
      <c r="L232" s="333">
        <v>998.4</v>
      </c>
      <c r="M232" s="333">
        <v>119.498796</v>
      </c>
      <c r="N232" s="333">
        <v>18058.27</v>
      </c>
      <c r="O232" s="333">
        <v>18057.863109999998</v>
      </c>
      <c r="P232" s="333">
        <v>2073.3290000000002</v>
      </c>
      <c r="Q232" s="332" t="s">
        <v>469</v>
      </c>
      <c r="R232" s="332"/>
      <c r="S232" s="333">
        <v>15</v>
      </c>
      <c r="T232" s="333">
        <v>5</v>
      </c>
      <c r="U232" s="333">
        <v>0.7</v>
      </c>
      <c r="V232" s="333">
        <v>0.7</v>
      </c>
      <c r="W232" s="333">
        <v>0.7</v>
      </c>
      <c r="X232" s="333">
        <v>1700</v>
      </c>
      <c r="Y232" s="332" t="s">
        <v>470</v>
      </c>
      <c r="Z232" s="333">
        <v>0.85</v>
      </c>
      <c r="AA232" s="332" t="s">
        <v>471</v>
      </c>
      <c r="AB232" s="332" t="s">
        <v>472</v>
      </c>
      <c r="AC232" s="335">
        <v>220</v>
      </c>
    </row>
    <row r="233" spans="1:29">
      <c r="A233" s="326" t="s">
        <v>524</v>
      </c>
      <c r="B233" s="327" t="s">
        <v>494</v>
      </c>
      <c r="C233" s="327" t="s">
        <v>430</v>
      </c>
      <c r="D233" s="327" t="s">
        <v>468</v>
      </c>
      <c r="E233" s="328">
        <v>1.8</v>
      </c>
      <c r="F233" s="329">
        <v>45218.477083333331</v>
      </c>
      <c r="G233" s="328">
        <v>1</v>
      </c>
      <c r="H233" s="328">
        <v>51.3675</v>
      </c>
      <c r="I233" s="328">
        <v>6.6796100000000003</v>
      </c>
      <c r="J233" s="328">
        <v>-15.092788000000001</v>
      </c>
      <c r="K233" s="328">
        <v>-14.252675</v>
      </c>
      <c r="L233" s="328">
        <v>1026.42</v>
      </c>
      <c r="M233" s="328">
        <v>131.49973900000001</v>
      </c>
      <c r="N233" s="328">
        <v>21667.67</v>
      </c>
      <c r="O233" s="328">
        <v>21653.252090000002</v>
      </c>
      <c r="P233" s="328">
        <v>2073.3290000000002</v>
      </c>
      <c r="Q233" s="327" t="s">
        <v>469</v>
      </c>
      <c r="R233" s="327"/>
      <c r="S233" s="328">
        <v>15</v>
      </c>
      <c r="T233" s="328">
        <v>5</v>
      </c>
      <c r="U233" s="328">
        <v>0.7</v>
      </c>
      <c r="V233" s="328">
        <v>0.7</v>
      </c>
      <c r="W233" s="328">
        <v>0.7</v>
      </c>
      <c r="X233" s="328">
        <v>1700</v>
      </c>
      <c r="Y233" s="327" t="s">
        <v>470</v>
      </c>
      <c r="Z233" s="328">
        <v>0.85</v>
      </c>
      <c r="AA233" s="327" t="s">
        <v>471</v>
      </c>
      <c r="AB233" s="327" t="s">
        <v>472</v>
      </c>
      <c r="AC233" s="330">
        <v>220</v>
      </c>
    </row>
    <row r="234" spans="1:29">
      <c r="A234" s="331" t="s">
        <v>690</v>
      </c>
      <c r="B234" s="332" t="s">
        <v>494</v>
      </c>
      <c r="C234" s="332" t="s">
        <v>430</v>
      </c>
      <c r="D234" s="332" t="s">
        <v>468</v>
      </c>
      <c r="E234" s="333">
        <v>1.8</v>
      </c>
      <c r="F234" s="334">
        <v>45218.480555555558</v>
      </c>
      <c r="G234" s="333">
        <v>1</v>
      </c>
      <c r="H234" s="333">
        <v>51.3675</v>
      </c>
      <c r="I234" s="333">
        <v>6.69468</v>
      </c>
      <c r="J234" s="333">
        <v>-15.167319000000001</v>
      </c>
      <c r="K234" s="333">
        <v>-14.326406</v>
      </c>
      <c r="L234" s="333">
        <v>1010.31</v>
      </c>
      <c r="M234" s="333">
        <v>133.500055</v>
      </c>
      <c r="N234" s="333">
        <v>21658.38</v>
      </c>
      <c r="O234" s="333">
        <v>21653.252090000002</v>
      </c>
      <c r="P234" s="333">
        <v>2073.3290000000002</v>
      </c>
      <c r="Q234" s="332" t="s">
        <v>469</v>
      </c>
      <c r="R234" s="332"/>
      <c r="S234" s="333">
        <v>15</v>
      </c>
      <c r="T234" s="333">
        <v>5</v>
      </c>
      <c r="U234" s="333">
        <v>0.7</v>
      </c>
      <c r="V234" s="333">
        <v>0.7</v>
      </c>
      <c r="W234" s="333">
        <v>0.7</v>
      </c>
      <c r="X234" s="333">
        <v>1700</v>
      </c>
      <c r="Y234" s="332" t="s">
        <v>470</v>
      </c>
      <c r="Z234" s="333">
        <v>0.85</v>
      </c>
      <c r="AA234" s="332" t="s">
        <v>471</v>
      </c>
      <c r="AB234" s="332" t="s">
        <v>472</v>
      </c>
      <c r="AC234" s="335">
        <v>220</v>
      </c>
    </row>
    <row r="235" spans="1:29">
      <c r="A235" s="326" t="s">
        <v>691</v>
      </c>
      <c r="B235" s="327" t="s">
        <v>494</v>
      </c>
      <c r="C235" s="327" t="s">
        <v>430</v>
      </c>
      <c r="D235" s="327" t="s">
        <v>468</v>
      </c>
      <c r="E235" s="328">
        <v>1.8</v>
      </c>
      <c r="F235" s="329">
        <v>45218.484722222223</v>
      </c>
      <c r="G235" s="328">
        <v>1</v>
      </c>
      <c r="H235" s="328">
        <v>51.370800000000003</v>
      </c>
      <c r="I235" s="328">
        <v>6.6077300000000001</v>
      </c>
      <c r="J235" s="328">
        <v>-15.054356</v>
      </c>
      <c r="K235" s="328">
        <v>-14.215156</v>
      </c>
      <c r="L235" s="328">
        <v>1011.51</v>
      </c>
      <c r="M235" s="328">
        <v>126.498665</v>
      </c>
      <c r="N235" s="328">
        <v>21633.71</v>
      </c>
      <c r="O235" s="328">
        <v>21653.252090000002</v>
      </c>
      <c r="P235" s="328">
        <v>2073.3290000000002</v>
      </c>
      <c r="Q235" s="327" t="s">
        <v>469</v>
      </c>
      <c r="R235" s="327"/>
      <c r="S235" s="328">
        <v>15</v>
      </c>
      <c r="T235" s="328">
        <v>5</v>
      </c>
      <c r="U235" s="328">
        <v>0.7</v>
      </c>
      <c r="V235" s="328">
        <v>0.7</v>
      </c>
      <c r="W235" s="328">
        <v>0.7</v>
      </c>
      <c r="X235" s="328">
        <v>1700</v>
      </c>
      <c r="Y235" s="327" t="s">
        <v>470</v>
      </c>
      <c r="Z235" s="328">
        <v>0.85</v>
      </c>
      <c r="AA235" s="327" t="s">
        <v>471</v>
      </c>
      <c r="AB235" s="327" t="s">
        <v>472</v>
      </c>
      <c r="AC235" s="330">
        <v>220</v>
      </c>
    </row>
    <row r="236" spans="1:29">
      <c r="A236" s="336" t="s">
        <v>591</v>
      </c>
      <c r="B236" s="337">
        <v>2</v>
      </c>
      <c r="C236" s="337" t="s">
        <v>430</v>
      </c>
      <c r="D236" s="337" t="s">
        <v>468</v>
      </c>
      <c r="E236" s="338">
        <v>1.5</v>
      </c>
      <c r="F236" s="339">
        <v>45218.488194444442</v>
      </c>
      <c r="G236" s="338">
        <v>1</v>
      </c>
      <c r="H236" s="338">
        <v>51.370800000000003</v>
      </c>
      <c r="I236" s="338">
        <v>6.5366200000000001</v>
      </c>
      <c r="J236" s="338">
        <v>-15.100350000000001</v>
      </c>
      <c r="K236" s="338">
        <v>-14.256031</v>
      </c>
      <c r="L236" s="338">
        <v>1008.41</v>
      </c>
      <c r="M236" s="338">
        <v>123.000693</v>
      </c>
      <c r="N236" s="338">
        <v>18042.95</v>
      </c>
      <c r="O236" s="338">
        <v>18030.539540000002</v>
      </c>
      <c r="P236" s="338">
        <v>2070.2089999999998</v>
      </c>
      <c r="Q236" s="337" t="s">
        <v>469</v>
      </c>
      <c r="R236" s="337"/>
      <c r="S236" s="338">
        <v>15</v>
      </c>
      <c r="T236" s="338">
        <v>5</v>
      </c>
      <c r="U236" s="338">
        <v>0.7</v>
      </c>
      <c r="V236" s="338">
        <v>0.7</v>
      </c>
      <c r="W236" s="338">
        <v>0.7</v>
      </c>
      <c r="X236" s="338">
        <v>1700</v>
      </c>
      <c r="Y236" s="337" t="s">
        <v>470</v>
      </c>
      <c r="Z236" s="338">
        <v>0.85</v>
      </c>
      <c r="AA236" s="337" t="s">
        <v>471</v>
      </c>
      <c r="AB236" s="337" t="s">
        <v>472</v>
      </c>
      <c r="AC236" s="340">
        <v>220</v>
      </c>
    </row>
    <row r="237" spans="1:29">
      <c r="A237" s="326" t="s">
        <v>692</v>
      </c>
      <c r="B237" s="327">
        <v>2</v>
      </c>
      <c r="C237" s="327" t="s">
        <v>430</v>
      </c>
      <c r="D237" s="327" t="s">
        <v>468</v>
      </c>
      <c r="E237" s="328">
        <v>1.5</v>
      </c>
      <c r="F237" s="329">
        <v>45218.491666666669</v>
      </c>
      <c r="G237" s="328">
        <v>1</v>
      </c>
      <c r="H237" s="328">
        <v>51.370800000000003</v>
      </c>
      <c r="I237" s="328">
        <v>6.5566800000000001</v>
      </c>
      <c r="J237" s="328">
        <v>-15.153874999999999</v>
      </c>
      <c r="K237" s="328">
        <v>-14.316750000000001</v>
      </c>
      <c r="L237" s="328">
        <v>1005.95</v>
      </c>
      <c r="M237" s="328">
        <v>137.000302</v>
      </c>
      <c r="N237" s="328">
        <v>18080.38</v>
      </c>
      <c r="O237" s="328">
        <v>18030.539540000002</v>
      </c>
      <c r="P237" s="328">
        <v>2070.2089999999998</v>
      </c>
      <c r="Q237" s="327" t="s">
        <v>542</v>
      </c>
      <c r="R237" s="327"/>
      <c r="S237" s="328">
        <v>15</v>
      </c>
      <c r="T237" s="328">
        <v>5</v>
      </c>
      <c r="U237" s="328">
        <v>0.7</v>
      </c>
      <c r="V237" s="328">
        <v>0.7</v>
      </c>
      <c r="W237" s="328">
        <v>0.7</v>
      </c>
      <c r="X237" s="328">
        <v>1700</v>
      </c>
      <c r="Y237" s="327" t="s">
        <v>470</v>
      </c>
      <c r="Z237" s="328">
        <v>0.85</v>
      </c>
      <c r="AA237" s="327" t="s">
        <v>471</v>
      </c>
      <c r="AB237" s="327" t="s">
        <v>472</v>
      </c>
      <c r="AC237" s="330">
        <v>220</v>
      </c>
    </row>
    <row r="238" spans="1:29">
      <c r="A238" s="331" t="s">
        <v>693</v>
      </c>
      <c r="B238" s="332">
        <v>2</v>
      </c>
      <c r="C238" s="332" t="s">
        <v>430</v>
      </c>
      <c r="D238" s="332" t="s">
        <v>468</v>
      </c>
      <c r="E238" s="333">
        <v>1.5</v>
      </c>
      <c r="F238" s="334">
        <v>45218.495833333334</v>
      </c>
      <c r="G238" s="333">
        <v>1</v>
      </c>
      <c r="H238" s="333">
        <v>51.374099999999999</v>
      </c>
      <c r="I238" s="333">
        <v>6.6176300000000001</v>
      </c>
      <c r="J238" s="333">
        <v>-15.025138</v>
      </c>
      <c r="K238" s="333">
        <v>-14.189037000000001</v>
      </c>
      <c r="L238" s="333">
        <v>1007.83</v>
      </c>
      <c r="M238" s="333">
        <v>110.498458</v>
      </c>
      <c r="N238" s="333">
        <v>18016.349999999999</v>
      </c>
      <c r="O238" s="333">
        <v>18030.539540000002</v>
      </c>
      <c r="P238" s="333">
        <v>2070.2089999999998</v>
      </c>
      <c r="Q238" s="332" t="s">
        <v>469</v>
      </c>
      <c r="R238" s="332"/>
      <c r="S238" s="333">
        <v>15</v>
      </c>
      <c r="T238" s="333">
        <v>5</v>
      </c>
      <c r="U238" s="333">
        <v>0.7</v>
      </c>
      <c r="V238" s="333">
        <v>0.7</v>
      </c>
      <c r="W238" s="333">
        <v>0.7</v>
      </c>
      <c r="X238" s="333">
        <v>1700</v>
      </c>
      <c r="Y238" s="332" t="s">
        <v>470</v>
      </c>
      <c r="Z238" s="333">
        <v>0.85</v>
      </c>
      <c r="AA238" s="332" t="s">
        <v>471</v>
      </c>
      <c r="AB238" s="332" t="s">
        <v>472</v>
      </c>
      <c r="AC238" s="335">
        <v>220</v>
      </c>
    </row>
    <row r="239" spans="1:29">
      <c r="A239" s="326" t="s">
        <v>694</v>
      </c>
      <c r="B239" s="327">
        <v>2</v>
      </c>
      <c r="C239" s="327" t="s">
        <v>430</v>
      </c>
      <c r="D239" s="327" t="s">
        <v>468</v>
      </c>
      <c r="E239" s="328">
        <v>1.5</v>
      </c>
      <c r="F239" s="329">
        <v>45218.499305555553</v>
      </c>
      <c r="G239" s="328">
        <v>1</v>
      </c>
      <c r="H239" s="328">
        <v>51.370800000000003</v>
      </c>
      <c r="I239" s="328">
        <v>6.6277400000000002</v>
      </c>
      <c r="J239" s="328">
        <v>-15.007312000000001</v>
      </c>
      <c r="K239" s="328">
        <v>-14.173925000000001</v>
      </c>
      <c r="L239" s="328">
        <v>1003.89</v>
      </c>
      <c r="M239" s="328">
        <v>117.499489</v>
      </c>
      <c r="N239" s="328">
        <v>18032.32</v>
      </c>
      <c r="O239" s="328">
        <v>18030.539540000002</v>
      </c>
      <c r="P239" s="328">
        <v>2070.2089999999998</v>
      </c>
      <c r="Q239" s="327" t="s">
        <v>469</v>
      </c>
      <c r="R239" s="327"/>
      <c r="S239" s="328">
        <v>15</v>
      </c>
      <c r="T239" s="328">
        <v>5</v>
      </c>
      <c r="U239" s="328">
        <v>0.7</v>
      </c>
      <c r="V239" s="328">
        <v>0.7</v>
      </c>
      <c r="W239" s="328">
        <v>0.7</v>
      </c>
      <c r="X239" s="328">
        <v>1700</v>
      </c>
      <c r="Y239" s="327" t="s">
        <v>470</v>
      </c>
      <c r="Z239" s="328">
        <v>0.85</v>
      </c>
      <c r="AA239" s="327" t="s">
        <v>471</v>
      </c>
      <c r="AB239" s="327" t="s">
        <v>472</v>
      </c>
      <c r="AC239" s="330">
        <v>220</v>
      </c>
    </row>
    <row r="240" spans="1:29">
      <c r="A240" s="331" t="s">
        <v>592</v>
      </c>
      <c r="B240" s="332">
        <v>3</v>
      </c>
      <c r="C240" s="332">
        <v>235</v>
      </c>
      <c r="D240" s="332" t="s">
        <v>419</v>
      </c>
      <c r="E240" s="333">
        <v>1.5</v>
      </c>
      <c r="F240" s="334">
        <v>45218.50277777778</v>
      </c>
      <c r="G240" s="333">
        <v>1</v>
      </c>
      <c r="H240" s="333">
        <v>51.3675</v>
      </c>
      <c r="I240" s="333">
        <v>6.5613599999999996</v>
      </c>
      <c r="J240" s="333">
        <v>-15.160299999999999</v>
      </c>
      <c r="K240" s="333">
        <v>-14.330125000000001</v>
      </c>
      <c r="L240" s="333">
        <v>1004.17</v>
      </c>
      <c r="M240" s="333">
        <v>133.499044</v>
      </c>
      <c r="N240" s="333">
        <v>18084.349999999999</v>
      </c>
      <c r="O240" s="333">
        <v>18075.54955</v>
      </c>
      <c r="P240" s="333">
        <v>2075.3690000000001</v>
      </c>
      <c r="Q240" s="332" t="s">
        <v>469</v>
      </c>
      <c r="R240" s="332"/>
      <c r="S240" s="333">
        <v>15</v>
      </c>
      <c r="T240" s="333">
        <v>5</v>
      </c>
      <c r="U240" s="333">
        <v>0.7</v>
      </c>
      <c r="V240" s="333">
        <v>0.7</v>
      </c>
      <c r="W240" s="333">
        <v>0.7</v>
      </c>
      <c r="X240" s="333">
        <v>1700</v>
      </c>
      <c r="Y240" s="332" t="s">
        <v>470</v>
      </c>
      <c r="Z240" s="333">
        <v>0.85</v>
      </c>
      <c r="AA240" s="332" t="s">
        <v>471</v>
      </c>
      <c r="AB240" s="332" t="s">
        <v>472</v>
      </c>
      <c r="AC240" s="335">
        <v>220</v>
      </c>
    </row>
    <row r="241" spans="1:29">
      <c r="A241" s="326" t="s">
        <v>695</v>
      </c>
      <c r="B241" s="327">
        <v>3</v>
      </c>
      <c r="C241" s="327">
        <v>235</v>
      </c>
      <c r="D241" s="327" t="s">
        <v>419</v>
      </c>
      <c r="E241" s="328">
        <v>1.5</v>
      </c>
      <c r="F241" s="329">
        <v>45218.506944444445</v>
      </c>
      <c r="G241" s="328">
        <v>1</v>
      </c>
      <c r="H241" s="328">
        <v>51.3675</v>
      </c>
      <c r="I241" s="328">
        <v>6.5731400000000004</v>
      </c>
      <c r="J241" s="328">
        <v>-15.056725</v>
      </c>
      <c r="K241" s="328">
        <v>-14.233136999999999</v>
      </c>
      <c r="L241" s="328">
        <v>1001.97</v>
      </c>
      <c r="M241" s="328">
        <v>118.99999800000001</v>
      </c>
      <c r="N241" s="328">
        <v>18082.87</v>
      </c>
      <c r="O241" s="328">
        <v>18075.54955</v>
      </c>
      <c r="P241" s="328">
        <v>2075.3690000000001</v>
      </c>
      <c r="Q241" s="327" t="s">
        <v>469</v>
      </c>
      <c r="R241" s="327"/>
      <c r="S241" s="328">
        <v>15</v>
      </c>
      <c r="T241" s="328">
        <v>5</v>
      </c>
      <c r="U241" s="328">
        <v>0.7</v>
      </c>
      <c r="V241" s="328">
        <v>0.7</v>
      </c>
      <c r="W241" s="328">
        <v>0.7</v>
      </c>
      <c r="X241" s="328">
        <v>1700</v>
      </c>
      <c r="Y241" s="327" t="s">
        <v>470</v>
      </c>
      <c r="Z241" s="328">
        <v>0.85</v>
      </c>
      <c r="AA241" s="327" t="s">
        <v>471</v>
      </c>
      <c r="AB241" s="327" t="s">
        <v>472</v>
      </c>
      <c r="AC241" s="330">
        <v>220</v>
      </c>
    </row>
    <row r="242" spans="1:29">
      <c r="A242" s="331" t="s">
        <v>696</v>
      </c>
      <c r="B242" s="332">
        <v>3</v>
      </c>
      <c r="C242" s="332">
        <v>235</v>
      </c>
      <c r="D242" s="332" t="s">
        <v>419</v>
      </c>
      <c r="E242" s="333">
        <v>1.5</v>
      </c>
      <c r="F242" s="334">
        <v>45218.510416666664</v>
      </c>
      <c r="G242" s="333">
        <v>1</v>
      </c>
      <c r="H242" s="333">
        <v>51.370800000000003</v>
      </c>
      <c r="I242" s="333">
        <v>6.6049699999999998</v>
      </c>
      <c r="J242" s="333">
        <v>-15.097899999999999</v>
      </c>
      <c r="K242" s="333">
        <v>-14.258381</v>
      </c>
      <c r="L242" s="333">
        <v>1003.89</v>
      </c>
      <c r="M242" s="333">
        <v>120.99948999999999</v>
      </c>
      <c r="N242" s="333">
        <v>18059.419999999998</v>
      </c>
      <c r="O242" s="333">
        <v>18075.54955</v>
      </c>
      <c r="P242" s="333">
        <v>2075.3690000000001</v>
      </c>
      <c r="Q242" s="332" t="s">
        <v>469</v>
      </c>
      <c r="R242" s="332"/>
      <c r="S242" s="333">
        <v>15</v>
      </c>
      <c r="T242" s="333">
        <v>5</v>
      </c>
      <c r="U242" s="333">
        <v>0.7</v>
      </c>
      <c r="V242" s="333">
        <v>0.7</v>
      </c>
      <c r="W242" s="333">
        <v>0.7</v>
      </c>
      <c r="X242" s="333">
        <v>1700</v>
      </c>
      <c r="Y242" s="332" t="s">
        <v>470</v>
      </c>
      <c r="Z242" s="333">
        <v>0.85</v>
      </c>
      <c r="AA242" s="332" t="s">
        <v>471</v>
      </c>
      <c r="AB242" s="332" t="s">
        <v>472</v>
      </c>
      <c r="AC242" s="335">
        <v>220</v>
      </c>
    </row>
    <row r="243" spans="1:29">
      <c r="A243" s="326" t="s">
        <v>593</v>
      </c>
      <c r="B243" s="327">
        <v>4</v>
      </c>
      <c r="C243" s="327">
        <v>236</v>
      </c>
      <c r="D243" s="327" t="s">
        <v>420</v>
      </c>
      <c r="E243" s="328">
        <v>1.5</v>
      </c>
      <c r="F243" s="329">
        <v>45218.51458333333</v>
      </c>
      <c r="G243" s="328">
        <v>1</v>
      </c>
      <c r="H243" s="328">
        <v>51.370800000000003</v>
      </c>
      <c r="I243" s="328">
        <v>6.64405</v>
      </c>
      <c r="J243" s="328">
        <v>-15.005962</v>
      </c>
      <c r="K243" s="328">
        <v>-14.159231</v>
      </c>
      <c r="L243" s="328">
        <v>995.45399999999995</v>
      </c>
      <c r="M243" s="328">
        <v>125.999064</v>
      </c>
      <c r="N243" s="328">
        <v>17857.97</v>
      </c>
      <c r="O243" s="328">
        <v>17863.02751</v>
      </c>
      <c r="P243" s="328">
        <v>2051.0810000000001</v>
      </c>
      <c r="Q243" s="327" t="s">
        <v>469</v>
      </c>
      <c r="R243" s="327"/>
      <c r="S243" s="328">
        <v>15</v>
      </c>
      <c r="T243" s="328">
        <v>5</v>
      </c>
      <c r="U243" s="328">
        <v>0.7</v>
      </c>
      <c r="V243" s="328">
        <v>0.7</v>
      </c>
      <c r="W243" s="328">
        <v>0.7</v>
      </c>
      <c r="X243" s="328">
        <v>1700</v>
      </c>
      <c r="Y243" s="327" t="s">
        <v>470</v>
      </c>
      <c r="Z243" s="328">
        <v>0.85</v>
      </c>
      <c r="AA243" s="327" t="s">
        <v>471</v>
      </c>
      <c r="AB243" s="327" t="s">
        <v>472</v>
      </c>
      <c r="AC243" s="330">
        <v>220</v>
      </c>
    </row>
    <row r="244" spans="1:29">
      <c r="A244" s="331" t="s">
        <v>697</v>
      </c>
      <c r="B244" s="332">
        <v>4</v>
      </c>
      <c r="C244" s="332">
        <v>236</v>
      </c>
      <c r="D244" s="332" t="s">
        <v>420</v>
      </c>
      <c r="E244" s="333">
        <v>1.5</v>
      </c>
      <c r="F244" s="334">
        <v>45218.518055555556</v>
      </c>
      <c r="G244" s="333">
        <v>1</v>
      </c>
      <c r="H244" s="333">
        <v>51.374099999999999</v>
      </c>
      <c r="I244" s="333">
        <v>6.6496300000000002</v>
      </c>
      <c r="J244" s="333">
        <v>-14.922606</v>
      </c>
      <c r="K244" s="333">
        <v>-14.090725000000001</v>
      </c>
      <c r="L244" s="333">
        <v>1000.23</v>
      </c>
      <c r="M244" s="333">
        <v>112.49889899999999</v>
      </c>
      <c r="N244" s="333">
        <v>17858.48</v>
      </c>
      <c r="O244" s="333">
        <v>17863.02751</v>
      </c>
      <c r="P244" s="333">
        <v>2051.0810000000001</v>
      </c>
      <c r="Q244" s="332" t="s">
        <v>469</v>
      </c>
      <c r="R244" s="332"/>
      <c r="S244" s="333">
        <v>15</v>
      </c>
      <c r="T244" s="333">
        <v>5</v>
      </c>
      <c r="U244" s="333">
        <v>0.7</v>
      </c>
      <c r="V244" s="333">
        <v>0.7</v>
      </c>
      <c r="W244" s="333">
        <v>0.7</v>
      </c>
      <c r="X244" s="333">
        <v>1700</v>
      </c>
      <c r="Y244" s="332" t="s">
        <v>470</v>
      </c>
      <c r="Z244" s="333">
        <v>0.85</v>
      </c>
      <c r="AA244" s="332" t="s">
        <v>471</v>
      </c>
      <c r="AB244" s="332" t="s">
        <v>472</v>
      </c>
      <c r="AC244" s="335">
        <v>220</v>
      </c>
    </row>
    <row r="245" spans="1:29">
      <c r="A245" s="326" t="s">
        <v>698</v>
      </c>
      <c r="B245" s="327">
        <v>4</v>
      </c>
      <c r="C245" s="327">
        <v>236</v>
      </c>
      <c r="D245" s="327" t="s">
        <v>420</v>
      </c>
      <c r="E245" s="328">
        <v>1.5</v>
      </c>
      <c r="F245" s="329">
        <v>45218.521527777775</v>
      </c>
      <c r="G245" s="328">
        <v>1</v>
      </c>
      <c r="H245" s="328">
        <v>51.3675</v>
      </c>
      <c r="I245" s="328">
        <v>6.6055299999999999</v>
      </c>
      <c r="J245" s="328">
        <v>-15.055406</v>
      </c>
      <c r="K245" s="328">
        <v>-14.220936999999999</v>
      </c>
      <c r="L245" s="328">
        <v>993.11599999999999</v>
      </c>
      <c r="M245" s="328">
        <v>118.50142</v>
      </c>
      <c r="N245" s="328">
        <v>17872.63</v>
      </c>
      <c r="O245" s="328">
        <v>17863.02751</v>
      </c>
      <c r="P245" s="328">
        <v>2051.0810000000001</v>
      </c>
      <c r="Q245" s="327" t="s">
        <v>469</v>
      </c>
      <c r="R245" s="327"/>
      <c r="S245" s="328">
        <v>15</v>
      </c>
      <c r="T245" s="328">
        <v>5</v>
      </c>
      <c r="U245" s="328">
        <v>0.7</v>
      </c>
      <c r="V245" s="328">
        <v>0.7</v>
      </c>
      <c r="W245" s="328">
        <v>0.7</v>
      </c>
      <c r="X245" s="328">
        <v>1700</v>
      </c>
      <c r="Y245" s="327" t="s">
        <v>470</v>
      </c>
      <c r="Z245" s="328">
        <v>0.85</v>
      </c>
      <c r="AA245" s="327" t="s">
        <v>471</v>
      </c>
      <c r="AB245" s="327" t="s">
        <v>472</v>
      </c>
      <c r="AC245" s="330">
        <v>220</v>
      </c>
    </row>
    <row r="246" spans="1:29">
      <c r="A246" s="331" t="s">
        <v>595</v>
      </c>
      <c r="B246" s="332">
        <v>5</v>
      </c>
      <c r="C246" s="332">
        <v>246</v>
      </c>
      <c r="D246" s="332" t="s">
        <v>421</v>
      </c>
      <c r="E246" s="333">
        <v>1.5</v>
      </c>
      <c r="F246" s="334">
        <v>45218.525694444441</v>
      </c>
      <c r="G246" s="333">
        <v>1</v>
      </c>
      <c r="H246" s="333">
        <v>51.370800000000003</v>
      </c>
      <c r="I246" s="333">
        <v>6.5380900000000004</v>
      </c>
      <c r="J246" s="333">
        <v>-15.087731</v>
      </c>
      <c r="K246" s="333">
        <v>-14.256112999999999</v>
      </c>
      <c r="L246" s="333">
        <v>978.95399999999995</v>
      </c>
      <c r="M246" s="333">
        <v>121.000741</v>
      </c>
      <c r="N246" s="333">
        <v>17848.86</v>
      </c>
      <c r="O246" s="333">
        <v>17840.042979999998</v>
      </c>
      <c r="P246" s="333">
        <v>2048.4560000000001</v>
      </c>
      <c r="Q246" s="332" t="s">
        <v>469</v>
      </c>
      <c r="R246" s="332"/>
      <c r="S246" s="333">
        <v>15</v>
      </c>
      <c r="T246" s="333">
        <v>5</v>
      </c>
      <c r="U246" s="333">
        <v>0.7</v>
      </c>
      <c r="V246" s="333">
        <v>0.7</v>
      </c>
      <c r="W246" s="333">
        <v>0.7</v>
      </c>
      <c r="X246" s="333">
        <v>1700</v>
      </c>
      <c r="Y246" s="332" t="s">
        <v>470</v>
      </c>
      <c r="Z246" s="333">
        <v>0.85</v>
      </c>
      <c r="AA246" s="332" t="s">
        <v>471</v>
      </c>
      <c r="AB246" s="332" t="s">
        <v>472</v>
      </c>
      <c r="AC246" s="335">
        <v>220</v>
      </c>
    </row>
    <row r="247" spans="1:29">
      <c r="A247" s="326" t="s">
        <v>699</v>
      </c>
      <c r="B247" s="327">
        <v>5</v>
      </c>
      <c r="C247" s="327">
        <v>246</v>
      </c>
      <c r="D247" s="327" t="s">
        <v>421</v>
      </c>
      <c r="E247" s="328">
        <v>1.5</v>
      </c>
      <c r="F247" s="329">
        <v>45218.529166666667</v>
      </c>
      <c r="G247" s="328">
        <v>1</v>
      </c>
      <c r="H247" s="328">
        <v>51.374099999999999</v>
      </c>
      <c r="I247" s="328">
        <v>6.58338</v>
      </c>
      <c r="J247" s="328">
        <v>-15.012587</v>
      </c>
      <c r="K247" s="328">
        <v>-14.177775</v>
      </c>
      <c r="L247" s="328">
        <v>996.10900000000004</v>
      </c>
      <c r="M247" s="328">
        <v>116.49927</v>
      </c>
      <c r="N247" s="328">
        <v>17825.189999999999</v>
      </c>
      <c r="O247" s="328">
        <v>17840.042979999998</v>
      </c>
      <c r="P247" s="328">
        <v>2048.4560000000001</v>
      </c>
      <c r="Q247" s="327" t="s">
        <v>469</v>
      </c>
      <c r="R247" s="327"/>
      <c r="S247" s="328">
        <v>15</v>
      </c>
      <c r="T247" s="328">
        <v>5</v>
      </c>
      <c r="U247" s="328">
        <v>0.7</v>
      </c>
      <c r="V247" s="328">
        <v>0.7</v>
      </c>
      <c r="W247" s="328">
        <v>0.7</v>
      </c>
      <c r="X247" s="328">
        <v>1700</v>
      </c>
      <c r="Y247" s="327" t="s">
        <v>470</v>
      </c>
      <c r="Z247" s="328">
        <v>0.85</v>
      </c>
      <c r="AA247" s="327" t="s">
        <v>471</v>
      </c>
      <c r="AB247" s="327" t="s">
        <v>472</v>
      </c>
      <c r="AC247" s="330">
        <v>220</v>
      </c>
    </row>
    <row r="248" spans="1:29">
      <c r="A248" s="331" t="s">
        <v>700</v>
      </c>
      <c r="B248" s="332">
        <v>5</v>
      </c>
      <c r="C248" s="332">
        <v>246</v>
      </c>
      <c r="D248" s="332" t="s">
        <v>421</v>
      </c>
      <c r="E248" s="333">
        <v>1.5</v>
      </c>
      <c r="F248" s="334">
        <v>45218.532638888886</v>
      </c>
      <c r="G248" s="333">
        <v>1</v>
      </c>
      <c r="H248" s="333">
        <v>51.374099999999999</v>
      </c>
      <c r="I248" s="333">
        <v>6.5309799999999996</v>
      </c>
      <c r="J248" s="333">
        <v>-14.898375</v>
      </c>
      <c r="K248" s="333">
        <v>-14.061081</v>
      </c>
      <c r="L248" s="333">
        <v>991.95399999999995</v>
      </c>
      <c r="M248" s="333">
        <v>108.99875299999999</v>
      </c>
      <c r="N248" s="333">
        <v>17846.080000000002</v>
      </c>
      <c r="O248" s="333">
        <v>17840.042979999998</v>
      </c>
      <c r="P248" s="333">
        <v>2048.4560000000001</v>
      </c>
      <c r="Q248" s="332" t="s">
        <v>469</v>
      </c>
      <c r="R248" s="332"/>
      <c r="S248" s="333">
        <v>15</v>
      </c>
      <c r="T248" s="333">
        <v>5</v>
      </c>
      <c r="U248" s="333">
        <v>0.7</v>
      </c>
      <c r="V248" s="333">
        <v>0.7</v>
      </c>
      <c r="W248" s="333">
        <v>0.7</v>
      </c>
      <c r="X248" s="333">
        <v>1700</v>
      </c>
      <c r="Y248" s="332" t="s">
        <v>470</v>
      </c>
      <c r="Z248" s="333">
        <v>0.85</v>
      </c>
      <c r="AA248" s="332" t="s">
        <v>471</v>
      </c>
      <c r="AB248" s="332" t="s">
        <v>472</v>
      </c>
      <c r="AC248" s="335">
        <v>220</v>
      </c>
    </row>
    <row r="249" spans="1:29">
      <c r="A249" s="326" t="s">
        <v>597</v>
      </c>
      <c r="B249" s="327">
        <v>6</v>
      </c>
      <c r="C249" s="327">
        <v>247</v>
      </c>
      <c r="D249" s="327" t="s">
        <v>422</v>
      </c>
      <c r="E249" s="328">
        <v>1.5</v>
      </c>
      <c r="F249" s="329">
        <v>45218.536805555559</v>
      </c>
      <c r="G249" s="328">
        <v>1</v>
      </c>
      <c r="H249" s="328">
        <v>51.377400000000002</v>
      </c>
      <c r="I249" s="328">
        <v>6.5355299999999996</v>
      </c>
      <c r="J249" s="328">
        <v>-15.101850000000001</v>
      </c>
      <c r="K249" s="328">
        <v>-14.260130999999999</v>
      </c>
      <c r="L249" s="328">
        <v>1017.68</v>
      </c>
      <c r="M249" s="328">
        <v>102.49969299999999</v>
      </c>
      <c r="N249" s="328">
        <v>17994.54</v>
      </c>
      <c r="O249" s="328">
        <v>18034.77189</v>
      </c>
      <c r="P249" s="328">
        <v>2070.692</v>
      </c>
      <c r="Q249" s="327" t="s">
        <v>542</v>
      </c>
      <c r="R249" s="327"/>
      <c r="S249" s="328">
        <v>15</v>
      </c>
      <c r="T249" s="328">
        <v>5</v>
      </c>
      <c r="U249" s="328">
        <v>0.7</v>
      </c>
      <c r="V249" s="328">
        <v>0.7</v>
      </c>
      <c r="W249" s="328">
        <v>0.7</v>
      </c>
      <c r="X249" s="328">
        <v>1700</v>
      </c>
      <c r="Y249" s="327" t="s">
        <v>470</v>
      </c>
      <c r="Z249" s="328">
        <v>0.85</v>
      </c>
      <c r="AA249" s="327" t="s">
        <v>471</v>
      </c>
      <c r="AB249" s="327" t="s">
        <v>472</v>
      </c>
      <c r="AC249" s="330">
        <v>220</v>
      </c>
    </row>
    <row r="250" spans="1:29">
      <c r="A250" s="331" t="s">
        <v>701</v>
      </c>
      <c r="B250" s="332">
        <v>6</v>
      </c>
      <c r="C250" s="332">
        <v>247</v>
      </c>
      <c r="D250" s="332" t="s">
        <v>422</v>
      </c>
      <c r="E250" s="333">
        <v>1.5</v>
      </c>
      <c r="F250" s="334">
        <v>45218.539583333331</v>
      </c>
      <c r="G250" s="333">
        <v>1</v>
      </c>
      <c r="H250" s="333">
        <v>51.370800000000003</v>
      </c>
      <c r="I250" s="333">
        <v>6.5696199999999996</v>
      </c>
      <c r="J250" s="333">
        <v>-15.143406000000001</v>
      </c>
      <c r="K250" s="333">
        <v>-14.310886999999999</v>
      </c>
      <c r="L250" s="333">
        <v>1010.31</v>
      </c>
      <c r="M250" s="333">
        <v>114.000962</v>
      </c>
      <c r="N250" s="333">
        <v>18028.37</v>
      </c>
      <c r="O250" s="333">
        <v>18034.77189</v>
      </c>
      <c r="P250" s="333">
        <v>2070.692</v>
      </c>
      <c r="Q250" s="332" t="s">
        <v>469</v>
      </c>
      <c r="R250" s="332"/>
      <c r="S250" s="333">
        <v>15</v>
      </c>
      <c r="T250" s="333">
        <v>5</v>
      </c>
      <c r="U250" s="333">
        <v>0.7</v>
      </c>
      <c r="V250" s="333">
        <v>0.7</v>
      </c>
      <c r="W250" s="333">
        <v>0.7</v>
      </c>
      <c r="X250" s="333">
        <v>1700</v>
      </c>
      <c r="Y250" s="332" t="s">
        <v>470</v>
      </c>
      <c r="Z250" s="333">
        <v>0.85</v>
      </c>
      <c r="AA250" s="332" t="s">
        <v>471</v>
      </c>
      <c r="AB250" s="332" t="s">
        <v>472</v>
      </c>
      <c r="AC250" s="335">
        <v>220</v>
      </c>
    </row>
    <row r="251" spans="1:29">
      <c r="A251" s="326" t="s">
        <v>702</v>
      </c>
      <c r="B251" s="327">
        <v>6</v>
      </c>
      <c r="C251" s="327">
        <v>247</v>
      </c>
      <c r="D251" s="327" t="s">
        <v>422</v>
      </c>
      <c r="E251" s="328">
        <v>1.5</v>
      </c>
      <c r="F251" s="329">
        <v>45218.543055555558</v>
      </c>
      <c r="G251" s="328">
        <v>1</v>
      </c>
      <c r="H251" s="328">
        <v>51.3675</v>
      </c>
      <c r="I251" s="328">
        <v>6.66845</v>
      </c>
      <c r="J251" s="328">
        <v>-15.192356</v>
      </c>
      <c r="K251" s="328">
        <v>-14.357761999999999</v>
      </c>
      <c r="L251" s="328">
        <v>996.625</v>
      </c>
      <c r="M251" s="328">
        <v>119.499988</v>
      </c>
      <c r="N251" s="328">
        <v>17990.78</v>
      </c>
      <c r="O251" s="328">
        <v>18034.77189</v>
      </c>
      <c r="P251" s="328">
        <v>2070.692</v>
      </c>
      <c r="Q251" s="327" t="s">
        <v>542</v>
      </c>
      <c r="R251" s="327"/>
      <c r="S251" s="328">
        <v>15</v>
      </c>
      <c r="T251" s="328">
        <v>5</v>
      </c>
      <c r="U251" s="328">
        <v>0.7</v>
      </c>
      <c r="V251" s="328">
        <v>0.7</v>
      </c>
      <c r="W251" s="328">
        <v>0.7</v>
      </c>
      <c r="X251" s="328">
        <v>1700</v>
      </c>
      <c r="Y251" s="327" t="s">
        <v>470</v>
      </c>
      <c r="Z251" s="328">
        <v>0.85</v>
      </c>
      <c r="AA251" s="327" t="s">
        <v>471</v>
      </c>
      <c r="AB251" s="327" t="s">
        <v>472</v>
      </c>
      <c r="AC251" s="330">
        <v>220</v>
      </c>
    </row>
    <row r="252" spans="1:29">
      <c r="A252" s="331" t="s">
        <v>703</v>
      </c>
      <c r="B252" s="332">
        <v>6</v>
      </c>
      <c r="C252" s="332">
        <v>247</v>
      </c>
      <c r="D252" s="332" t="s">
        <v>422</v>
      </c>
      <c r="E252" s="333">
        <v>1.5</v>
      </c>
      <c r="F252" s="334">
        <v>45218.547222222223</v>
      </c>
      <c r="G252" s="333">
        <v>1</v>
      </c>
      <c r="H252" s="333">
        <v>51.370800000000003</v>
      </c>
      <c r="I252" s="333">
        <v>6.7094399999999998</v>
      </c>
      <c r="J252" s="333">
        <v>-15.170318999999999</v>
      </c>
      <c r="K252" s="333">
        <v>-14.345480999999999</v>
      </c>
      <c r="L252" s="333">
        <v>993.77499999999998</v>
      </c>
      <c r="M252" s="333">
        <v>123.501524</v>
      </c>
      <c r="N252" s="333">
        <v>18032.45</v>
      </c>
      <c r="O252" s="333">
        <v>18034.77189</v>
      </c>
      <c r="P252" s="333">
        <v>2070.692</v>
      </c>
      <c r="Q252" s="332" t="s">
        <v>469</v>
      </c>
      <c r="R252" s="332"/>
      <c r="S252" s="333">
        <v>15</v>
      </c>
      <c r="T252" s="333">
        <v>5</v>
      </c>
      <c r="U252" s="333">
        <v>0.7</v>
      </c>
      <c r="V252" s="333">
        <v>0.7</v>
      </c>
      <c r="W252" s="333">
        <v>0.7</v>
      </c>
      <c r="X252" s="333">
        <v>1700</v>
      </c>
      <c r="Y252" s="332" t="s">
        <v>470</v>
      </c>
      <c r="Z252" s="333">
        <v>0.85</v>
      </c>
      <c r="AA252" s="332" t="s">
        <v>471</v>
      </c>
      <c r="AB252" s="332" t="s">
        <v>472</v>
      </c>
      <c r="AC252" s="335">
        <v>220</v>
      </c>
    </row>
    <row r="253" spans="1:29">
      <c r="A253" s="326" t="s">
        <v>704</v>
      </c>
      <c r="B253" s="327">
        <v>6</v>
      </c>
      <c r="C253" s="327">
        <v>247</v>
      </c>
      <c r="D253" s="327" t="s">
        <v>422</v>
      </c>
      <c r="E253" s="328">
        <v>1.5</v>
      </c>
      <c r="F253" s="329">
        <v>45218.550694444442</v>
      </c>
      <c r="G253" s="328">
        <v>1</v>
      </c>
      <c r="H253" s="328">
        <v>51.370800000000003</v>
      </c>
      <c r="I253" s="328">
        <v>6.6867200000000002</v>
      </c>
      <c r="J253" s="328">
        <v>-15.180294</v>
      </c>
      <c r="K253" s="328">
        <v>-14.341481</v>
      </c>
      <c r="L253" s="328">
        <v>998.93499999999995</v>
      </c>
      <c r="M253" s="328">
        <v>136.00093200000001</v>
      </c>
      <c r="N253" s="328">
        <v>18043.490000000002</v>
      </c>
      <c r="O253" s="328">
        <v>18034.77189</v>
      </c>
      <c r="P253" s="328">
        <v>2070.692</v>
      </c>
      <c r="Q253" s="327" t="s">
        <v>469</v>
      </c>
      <c r="R253" s="327"/>
      <c r="S253" s="328">
        <v>15</v>
      </c>
      <c r="T253" s="328">
        <v>5</v>
      </c>
      <c r="U253" s="328">
        <v>0.7</v>
      </c>
      <c r="V253" s="328">
        <v>0.7</v>
      </c>
      <c r="W253" s="328">
        <v>0.7</v>
      </c>
      <c r="X253" s="328">
        <v>1700</v>
      </c>
      <c r="Y253" s="327" t="s">
        <v>470</v>
      </c>
      <c r="Z253" s="328">
        <v>0.85</v>
      </c>
      <c r="AA253" s="327" t="s">
        <v>471</v>
      </c>
      <c r="AB253" s="327" t="s">
        <v>472</v>
      </c>
      <c r="AC253" s="330">
        <v>220</v>
      </c>
    </row>
    <row r="254" spans="1:29">
      <c r="A254" s="331" t="s">
        <v>599</v>
      </c>
      <c r="B254" s="332">
        <v>7</v>
      </c>
      <c r="C254" s="332">
        <v>257</v>
      </c>
      <c r="D254" s="332" t="s">
        <v>423</v>
      </c>
      <c r="E254" s="333">
        <v>1.5</v>
      </c>
      <c r="F254" s="334">
        <v>45218.554861111108</v>
      </c>
      <c r="G254" s="333">
        <v>1</v>
      </c>
      <c r="H254" s="333">
        <v>51.377400000000002</v>
      </c>
      <c r="I254" s="333">
        <v>6.5868000000000002</v>
      </c>
      <c r="J254" s="333">
        <v>-15.202669</v>
      </c>
      <c r="K254" s="333">
        <v>-14.362181</v>
      </c>
      <c r="L254" s="333">
        <v>1006.18</v>
      </c>
      <c r="M254" s="333">
        <v>122.000709</v>
      </c>
      <c r="N254" s="333">
        <v>18013.349999999999</v>
      </c>
      <c r="O254" s="333">
        <v>18006.996950000001</v>
      </c>
      <c r="P254" s="333">
        <v>2067.5210000000002</v>
      </c>
      <c r="Q254" s="332" t="s">
        <v>469</v>
      </c>
      <c r="R254" s="332"/>
      <c r="S254" s="333">
        <v>15</v>
      </c>
      <c r="T254" s="333">
        <v>5</v>
      </c>
      <c r="U254" s="333">
        <v>0.7</v>
      </c>
      <c r="V254" s="333">
        <v>0.7</v>
      </c>
      <c r="W254" s="333">
        <v>0.7</v>
      </c>
      <c r="X254" s="333">
        <v>1700</v>
      </c>
      <c r="Y254" s="332" t="s">
        <v>470</v>
      </c>
      <c r="Z254" s="333">
        <v>0.85</v>
      </c>
      <c r="AA254" s="332" t="s">
        <v>471</v>
      </c>
      <c r="AB254" s="332" t="s">
        <v>472</v>
      </c>
      <c r="AC254" s="335">
        <v>220</v>
      </c>
    </row>
    <row r="255" spans="1:29">
      <c r="A255" s="326" t="s">
        <v>705</v>
      </c>
      <c r="B255" s="327">
        <v>7</v>
      </c>
      <c r="C255" s="327">
        <v>257</v>
      </c>
      <c r="D255" s="327" t="s">
        <v>423</v>
      </c>
      <c r="E255" s="328">
        <v>1.5</v>
      </c>
      <c r="F255" s="329">
        <v>45218.558333333334</v>
      </c>
      <c r="G255" s="328">
        <v>1</v>
      </c>
      <c r="H255" s="328">
        <v>51.374099999999999</v>
      </c>
      <c r="I255" s="328">
        <v>6.5842499999999999</v>
      </c>
      <c r="J255" s="328">
        <v>-15.252700000000001</v>
      </c>
      <c r="K255" s="328">
        <v>-14.423686999999999</v>
      </c>
      <c r="L255" s="328">
        <v>990.976</v>
      </c>
      <c r="M255" s="328">
        <v>122.50032899999999</v>
      </c>
      <c r="N255" s="328">
        <v>17990.8</v>
      </c>
      <c r="O255" s="328">
        <v>18006.996950000001</v>
      </c>
      <c r="P255" s="328">
        <v>2067.5210000000002</v>
      </c>
      <c r="Q255" s="327" t="s">
        <v>469</v>
      </c>
      <c r="R255" s="327"/>
      <c r="S255" s="328">
        <v>15</v>
      </c>
      <c r="T255" s="328">
        <v>5</v>
      </c>
      <c r="U255" s="328">
        <v>0.7</v>
      </c>
      <c r="V255" s="328">
        <v>0.7</v>
      </c>
      <c r="W255" s="328">
        <v>0.7</v>
      </c>
      <c r="X255" s="328">
        <v>1700</v>
      </c>
      <c r="Y255" s="327" t="s">
        <v>470</v>
      </c>
      <c r="Z255" s="328">
        <v>0.85</v>
      </c>
      <c r="AA255" s="327" t="s">
        <v>471</v>
      </c>
      <c r="AB255" s="327" t="s">
        <v>472</v>
      </c>
      <c r="AC255" s="330">
        <v>220</v>
      </c>
    </row>
    <row r="256" spans="1:29">
      <c r="A256" s="331" t="s">
        <v>706</v>
      </c>
      <c r="B256" s="332">
        <v>7</v>
      </c>
      <c r="C256" s="332">
        <v>257</v>
      </c>
      <c r="D256" s="332" t="s">
        <v>423</v>
      </c>
      <c r="E256" s="333">
        <v>1.5</v>
      </c>
      <c r="F256" s="334">
        <v>45218.561805555553</v>
      </c>
      <c r="G256" s="333">
        <v>1</v>
      </c>
      <c r="H256" s="333">
        <v>51.370800000000003</v>
      </c>
      <c r="I256" s="333">
        <v>6.5658700000000003</v>
      </c>
      <c r="J256" s="333">
        <v>-15.227994000000001</v>
      </c>
      <c r="K256" s="333">
        <v>-14.385069</v>
      </c>
      <c r="L256" s="333">
        <v>996.51</v>
      </c>
      <c r="M256" s="333">
        <v>123.50077400000001</v>
      </c>
      <c r="N256" s="333">
        <v>18016.84</v>
      </c>
      <c r="O256" s="333">
        <v>18006.996950000001</v>
      </c>
      <c r="P256" s="333">
        <v>2067.5210000000002</v>
      </c>
      <c r="Q256" s="332" t="s">
        <v>469</v>
      </c>
      <c r="R256" s="332"/>
      <c r="S256" s="333">
        <v>15</v>
      </c>
      <c r="T256" s="333">
        <v>5</v>
      </c>
      <c r="U256" s="333">
        <v>0.7</v>
      </c>
      <c r="V256" s="333">
        <v>0.7</v>
      </c>
      <c r="W256" s="333">
        <v>0.7</v>
      </c>
      <c r="X256" s="333">
        <v>1700</v>
      </c>
      <c r="Y256" s="332" t="s">
        <v>470</v>
      </c>
      <c r="Z256" s="333">
        <v>0.85</v>
      </c>
      <c r="AA256" s="332" t="s">
        <v>471</v>
      </c>
      <c r="AB256" s="332" t="s">
        <v>472</v>
      </c>
      <c r="AC256" s="335">
        <v>220</v>
      </c>
    </row>
    <row r="257" spans="1:29">
      <c r="A257" s="326" t="s">
        <v>600</v>
      </c>
      <c r="B257" s="327">
        <v>8</v>
      </c>
      <c r="C257" s="327">
        <v>258</v>
      </c>
      <c r="D257" s="327" t="s">
        <v>424</v>
      </c>
      <c r="E257" s="328">
        <v>1.5</v>
      </c>
      <c r="F257" s="329">
        <v>45218.565972222219</v>
      </c>
      <c r="G257" s="328">
        <v>1</v>
      </c>
      <c r="H257" s="328">
        <v>51.377400000000002</v>
      </c>
      <c r="I257" s="328">
        <v>6.5785799999999997</v>
      </c>
      <c r="J257" s="328">
        <v>-15.288969</v>
      </c>
      <c r="K257" s="328">
        <v>-14.443493999999999</v>
      </c>
      <c r="L257" s="328">
        <v>1000.21</v>
      </c>
      <c r="M257" s="328">
        <v>126.000023</v>
      </c>
      <c r="N257" s="328">
        <v>18038.560000000001</v>
      </c>
      <c r="O257" s="328">
        <v>18051.127629999999</v>
      </c>
      <c r="P257" s="328">
        <v>2072.56</v>
      </c>
      <c r="Q257" s="327" t="s">
        <v>469</v>
      </c>
      <c r="R257" s="327"/>
      <c r="S257" s="328">
        <v>15</v>
      </c>
      <c r="T257" s="328">
        <v>5</v>
      </c>
      <c r="U257" s="328">
        <v>0.7</v>
      </c>
      <c r="V257" s="328">
        <v>0.7</v>
      </c>
      <c r="W257" s="328">
        <v>0.7</v>
      </c>
      <c r="X257" s="328">
        <v>1700</v>
      </c>
      <c r="Y257" s="327" t="s">
        <v>470</v>
      </c>
      <c r="Z257" s="328">
        <v>0.85</v>
      </c>
      <c r="AA257" s="327" t="s">
        <v>471</v>
      </c>
      <c r="AB257" s="327" t="s">
        <v>472</v>
      </c>
      <c r="AC257" s="330">
        <v>220</v>
      </c>
    </row>
    <row r="258" spans="1:29">
      <c r="A258" s="331" t="s">
        <v>707</v>
      </c>
      <c r="B258" s="332">
        <v>8</v>
      </c>
      <c r="C258" s="332">
        <v>258</v>
      </c>
      <c r="D258" s="332" t="s">
        <v>424</v>
      </c>
      <c r="E258" s="333">
        <v>1.5</v>
      </c>
      <c r="F258" s="334">
        <v>45218.569444444445</v>
      </c>
      <c r="G258" s="333">
        <v>1</v>
      </c>
      <c r="H258" s="333">
        <v>51.374099999999999</v>
      </c>
      <c r="I258" s="333">
        <v>6.5742000000000003</v>
      </c>
      <c r="J258" s="333">
        <v>-15.166306000000001</v>
      </c>
      <c r="K258" s="333">
        <v>-14.337481</v>
      </c>
      <c r="L258" s="333">
        <v>995.94899999999996</v>
      </c>
      <c r="M258" s="333">
        <v>123.499613</v>
      </c>
      <c r="N258" s="333">
        <v>18057.599999999999</v>
      </c>
      <c r="O258" s="333">
        <v>18051.127629999999</v>
      </c>
      <c r="P258" s="333">
        <v>2072.56</v>
      </c>
      <c r="Q258" s="332" t="s">
        <v>469</v>
      </c>
      <c r="R258" s="332"/>
      <c r="S258" s="333">
        <v>15</v>
      </c>
      <c r="T258" s="333">
        <v>5</v>
      </c>
      <c r="U258" s="333">
        <v>0.7</v>
      </c>
      <c r="V258" s="333">
        <v>0.7</v>
      </c>
      <c r="W258" s="333">
        <v>0.7</v>
      </c>
      <c r="X258" s="333">
        <v>1700</v>
      </c>
      <c r="Y258" s="332" t="s">
        <v>470</v>
      </c>
      <c r="Z258" s="333">
        <v>0.85</v>
      </c>
      <c r="AA258" s="332" t="s">
        <v>471</v>
      </c>
      <c r="AB258" s="332" t="s">
        <v>472</v>
      </c>
      <c r="AC258" s="335">
        <v>220</v>
      </c>
    </row>
    <row r="259" spans="1:29">
      <c r="A259" s="326" t="s">
        <v>708</v>
      </c>
      <c r="B259" s="327">
        <v>8</v>
      </c>
      <c r="C259" s="327">
        <v>258</v>
      </c>
      <c r="D259" s="327" t="s">
        <v>424</v>
      </c>
      <c r="E259" s="328">
        <v>1.5</v>
      </c>
      <c r="F259" s="329">
        <v>45218.572916666664</v>
      </c>
      <c r="G259" s="328">
        <v>1</v>
      </c>
      <c r="H259" s="328">
        <v>51.370800000000003</v>
      </c>
      <c r="I259" s="328">
        <v>6.6305800000000001</v>
      </c>
      <c r="J259" s="328">
        <v>-15.264324999999999</v>
      </c>
      <c r="K259" s="328">
        <v>-14.427319000000001</v>
      </c>
      <c r="L259" s="328">
        <v>996.39</v>
      </c>
      <c r="M259" s="328">
        <v>133.99823599999999</v>
      </c>
      <c r="N259" s="328">
        <v>18057.22</v>
      </c>
      <c r="O259" s="328">
        <v>18051.127629999999</v>
      </c>
      <c r="P259" s="328">
        <v>2072.56</v>
      </c>
      <c r="Q259" s="327" t="s">
        <v>469</v>
      </c>
      <c r="R259" s="327"/>
      <c r="S259" s="328">
        <v>15</v>
      </c>
      <c r="T259" s="328">
        <v>5</v>
      </c>
      <c r="U259" s="328">
        <v>0.7</v>
      </c>
      <c r="V259" s="328">
        <v>0.7</v>
      </c>
      <c r="W259" s="328">
        <v>0.7</v>
      </c>
      <c r="X259" s="328">
        <v>1700</v>
      </c>
      <c r="Y259" s="327" t="s">
        <v>470</v>
      </c>
      <c r="Z259" s="328">
        <v>0.85</v>
      </c>
      <c r="AA259" s="327" t="s">
        <v>471</v>
      </c>
      <c r="AB259" s="327" t="s">
        <v>472</v>
      </c>
      <c r="AC259" s="330">
        <v>220</v>
      </c>
    </row>
    <row r="260" spans="1:29">
      <c r="A260" s="331" t="s">
        <v>601</v>
      </c>
      <c r="B260" s="332">
        <v>9</v>
      </c>
      <c r="C260" s="332">
        <v>268</v>
      </c>
      <c r="D260" s="332" t="s">
        <v>425</v>
      </c>
      <c r="E260" s="333">
        <v>1.5</v>
      </c>
      <c r="F260" s="334">
        <v>45218.577777777777</v>
      </c>
      <c r="G260" s="333">
        <v>1</v>
      </c>
      <c r="H260" s="333">
        <v>51.377400000000002</v>
      </c>
      <c r="I260" s="333">
        <v>6.5311500000000002</v>
      </c>
      <c r="J260" s="333">
        <v>-15.190588</v>
      </c>
      <c r="K260" s="333">
        <v>-14.342706</v>
      </c>
      <c r="L260" s="333">
        <v>1011.92</v>
      </c>
      <c r="M260" s="333">
        <v>112.999529</v>
      </c>
      <c r="N260" s="333">
        <v>18281.04</v>
      </c>
      <c r="O260" s="333">
        <v>18288.486649999999</v>
      </c>
      <c r="P260" s="333">
        <v>2099.9270000000001</v>
      </c>
      <c r="Q260" s="332" t="s">
        <v>469</v>
      </c>
      <c r="R260" s="332"/>
      <c r="S260" s="333">
        <v>15</v>
      </c>
      <c r="T260" s="333">
        <v>5</v>
      </c>
      <c r="U260" s="333">
        <v>0.7</v>
      </c>
      <c r="V260" s="333">
        <v>0.7</v>
      </c>
      <c r="W260" s="333">
        <v>0.7</v>
      </c>
      <c r="X260" s="333">
        <v>1700</v>
      </c>
      <c r="Y260" s="332" t="s">
        <v>470</v>
      </c>
      <c r="Z260" s="333">
        <v>0.85</v>
      </c>
      <c r="AA260" s="332" t="s">
        <v>471</v>
      </c>
      <c r="AB260" s="332" t="s">
        <v>472</v>
      </c>
      <c r="AC260" s="335">
        <v>220</v>
      </c>
    </row>
    <row r="261" spans="1:29">
      <c r="A261" s="326" t="s">
        <v>709</v>
      </c>
      <c r="B261" s="327">
        <v>9</v>
      </c>
      <c r="C261" s="327">
        <v>268</v>
      </c>
      <c r="D261" s="327" t="s">
        <v>425</v>
      </c>
      <c r="E261" s="328">
        <v>1.5</v>
      </c>
      <c r="F261" s="329">
        <v>45218.581250000003</v>
      </c>
      <c r="G261" s="328">
        <v>1</v>
      </c>
      <c r="H261" s="328">
        <v>51.370800000000003</v>
      </c>
      <c r="I261" s="328">
        <v>6.5102900000000004</v>
      </c>
      <c r="J261" s="328">
        <v>-15.15935</v>
      </c>
      <c r="K261" s="328">
        <v>-14.333613</v>
      </c>
      <c r="L261" s="328">
        <v>1009.73</v>
      </c>
      <c r="M261" s="328">
        <v>119.998985</v>
      </c>
      <c r="N261" s="328">
        <v>18285.36</v>
      </c>
      <c r="O261" s="328">
        <v>18288.486649999999</v>
      </c>
      <c r="P261" s="328">
        <v>2099.9270000000001</v>
      </c>
      <c r="Q261" s="327" t="s">
        <v>469</v>
      </c>
      <c r="R261" s="327"/>
      <c r="S261" s="328">
        <v>15</v>
      </c>
      <c r="T261" s="328">
        <v>5</v>
      </c>
      <c r="U261" s="328">
        <v>0.7</v>
      </c>
      <c r="V261" s="328">
        <v>0.7</v>
      </c>
      <c r="W261" s="328">
        <v>0.7</v>
      </c>
      <c r="X261" s="328">
        <v>1700</v>
      </c>
      <c r="Y261" s="327" t="s">
        <v>470</v>
      </c>
      <c r="Z261" s="328">
        <v>0.85</v>
      </c>
      <c r="AA261" s="327" t="s">
        <v>471</v>
      </c>
      <c r="AB261" s="327" t="s">
        <v>472</v>
      </c>
      <c r="AC261" s="330">
        <v>220</v>
      </c>
    </row>
    <row r="262" spans="1:29">
      <c r="A262" s="331" t="s">
        <v>710</v>
      </c>
      <c r="B262" s="332">
        <v>9</v>
      </c>
      <c r="C262" s="332">
        <v>268</v>
      </c>
      <c r="D262" s="332" t="s">
        <v>425</v>
      </c>
      <c r="E262" s="333">
        <v>1.5</v>
      </c>
      <c r="F262" s="334">
        <v>45218.584722222222</v>
      </c>
      <c r="G262" s="333">
        <v>1</v>
      </c>
      <c r="H262" s="333">
        <v>51.370800000000003</v>
      </c>
      <c r="I262" s="333">
        <v>6.4396399999999998</v>
      </c>
      <c r="J262" s="333">
        <v>-15.156475</v>
      </c>
      <c r="K262" s="333">
        <v>-14.313981</v>
      </c>
      <c r="L262" s="333">
        <v>999.03499999999997</v>
      </c>
      <c r="M262" s="333">
        <v>116.500677</v>
      </c>
      <c r="N262" s="333">
        <v>18299.05</v>
      </c>
      <c r="O262" s="333">
        <v>18288.486649999999</v>
      </c>
      <c r="P262" s="333">
        <v>2099.9270000000001</v>
      </c>
      <c r="Q262" s="332" t="s">
        <v>469</v>
      </c>
      <c r="R262" s="332"/>
      <c r="S262" s="333">
        <v>15</v>
      </c>
      <c r="T262" s="333">
        <v>5</v>
      </c>
      <c r="U262" s="333">
        <v>0.7</v>
      </c>
      <c r="V262" s="333">
        <v>0.7</v>
      </c>
      <c r="W262" s="333">
        <v>0.7</v>
      </c>
      <c r="X262" s="333">
        <v>1700</v>
      </c>
      <c r="Y262" s="332" t="s">
        <v>470</v>
      </c>
      <c r="Z262" s="333">
        <v>0.85</v>
      </c>
      <c r="AA262" s="332" t="s">
        <v>471</v>
      </c>
      <c r="AB262" s="332" t="s">
        <v>472</v>
      </c>
      <c r="AC262" s="335">
        <v>220</v>
      </c>
    </row>
    <row r="263" spans="1:29">
      <c r="A263" s="326" t="s">
        <v>602</v>
      </c>
      <c r="B263" s="327">
        <v>10</v>
      </c>
      <c r="C263" s="327">
        <v>269</v>
      </c>
      <c r="D263" s="327" t="s">
        <v>426</v>
      </c>
      <c r="E263" s="328">
        <v>1.5</v>
      </c>
      <c r="F263" s="329">
        <v>45218.588194444441</v>
      </c>
      <c r="G263" s="328">
        <v>1</v>
      </c>
      <c r="H263" s="328">
        <v>51.370800000000003</v>
      </c>
      <c r="I263" s="328">
        <v>6.3650000000000002</v>
      </c>
      <c r="J263" s="328">
        <v>-15.274274999999999</v>
      </c>
      <c r="K263" s="328">
        <v>-14.434775</v>
      </c>
      <c r="L263" s="328">
        <v>994.33500000000004</v>
      </c>
      <c r="M263" s="328">
        <v>124.501435</v>
      </c>
      <c r="N263" s="328">
        <v>18117.87</v>
      </c>
      <c r="O263" s="328">
        <v>18105.001489999999</v>
      </c>
      <c r="P263" s="328">
        <v>2078.7649999999999</v>
      </c>
      <c r="Q263" s="327" t="s">
        <v>469</v>
      </c>
      <c r="R263" s="327"/>
      <c r="S263" s="328">
        <v>15</v>
      </c>
      <c r="T263" s="328">
        <v>5</v>
      </c>
      <c r="U263" s="328">
        <v>0.7</v>
      </c>
      <c r="V263" s="328">
        <v>0.7</v>
      </c>
      <c r="W263" s="328">
        <v>0.7</v>
      </c>
      <c r="X263" s="328">
        <v>1700</v>
      </c>
      <c r="Y263" s="327" t="s">
        <v>470</v>
      </c>
      <c r="Z263" s="328">
        <v>0.85</v>
      </c>
      <c r="AA263" s="327" t="s">
        <v>471</v>
      </c>
      <c r="AB263" s="327" t="s">
        <v>472</v>
      </c>
      <c r="AC263" s="330">
        <v>220</v>
      </c>
    </row>
    <row r="264" spans="1:29">
      <c r="A264" s="331" t="s">
        <v>711</v>
      </c>
      <c r="B264" s="332">
        <v>10</v>
      </c>
      <c r="C264" s="332">
        <v>269</v>
      </c>
      <c r="D264" s="332" t="s">
        <v>426</v>
      </c>
      <c r="E264" s="333">
        <v>1.5</v>
      </c>
      <c r="F264" s="334">
        <v>45218.592361111114</v>
      </c>
      <c r="G264" s="333">
        <v>1</v>
      </c>
      <c r="H264" s="333">
        <v>51.374099999999999</v>
      </c>
      <c r="I264" s="333">
        <v>6.3671600000000002</v>
      </c>
      <c r="J264" s="333">
        <v>-15.194281</v>
      </c>
      <c r="K264" s="333">
        <v>-14.375169</v>
      </c>
      <c r="L264" s="333">
        <v>1000.91</v>
      </c>
      <c r="M264" s="333">
        <v>103.998006</v>
      </c>
      <c r="N264" s="333">
        <v>18111.28</v>
      </c>
      <c r="O264" s="333">
        <v>18105.001489999999</v>
      </c>
      <c r="P264" s="333">
        <v>2078.7649999999999</v>
      </c>
      <c r="Q264" s="332" t="s">
        <v>469</v>
      </c>
      <c r="R264" s="332"/>
      <c r="S264" s="333">
        <v>15</v>
      </c>
      <c r="T264" s="333">
        <v>5</v>
      </c>
      <c r="U264" s="333">
        <v>0.7</v>
      </c>
      <c r="V264" s="333">
        <v>0.7</v>
      </c>
      <c r="W264" s="333">
        <v>0.7</v>
      </c>
      <c r="X264" s="333">
        <v>1700</v>
      </c>
      <c r="Y264" s="332" t="s">
        <v>470</v>
      </c>
      <c r="Z264" s="333">
        <v>0.85</v>
      </c>
      <c r="AA264" s="332" t="s">
        <v>471</v>
      </c>
      <c r="AB264" s="332" t="s">
        <v>472</v>
      </c>
      <c r="AC264" s="335">
        <v>220</v>
      </c>
    </row>
    <row r="265" spans="1:29">
      <c r="A265" s="326" t="s">
        <v>712</v>
      </c>
      <c r="B265" s="327">
        <v>10</v>
      </c>
      <c r="C265" s="327">
        <v>269</v>
      </c>
      <c r="D265" s="327" t="s">
        <v>426</v>
      </c>
      <c r="E265" s="328">
        <v>1.5</v>
      </c>
      <c r="F265" s="329">
        <v>45218.595833333333</v>
      </c>
      <c r="G265" s="328">
        <v>1</v>
      </c>
      <c r="H265" s="328">
        <v>51.3675</v>
      </c>
      <c r="I265" s="328">
        <v>6.4165900000000002</v>
      </c>
      <c r="J265" s="328">
        <v>-15.290444000000001</v>
      </c>
      <c r="K265" s="328">
        <v>-14.440443999999999</v>
      </c>
      <c r="L265" s="328">
        <v>1000.61</v>
      </c>
      <c r="M265" s="328">
        <v>120.501409</v>
      </c>
      <c r="N265" s="328">
        <v>18180.05</v>
      </c>
      <c r="O265" s="328">
        <v>18105.001489999999</v>
      </c>
      <c r="P265" s="328">
        <v>2078.7649999999999</v>
      </c>
      <c r="Q265" s="327" t="s">
        <v>542</v>
      </c>
      <c r="R265" s="327"/>
      <c r="S265" s="328">
        <v>15</v>
      </c>
      <c r="T265" s="328">
        <v>5</v>
      </c>
      <c r="U265" s="328">
        <v>0.7</v>
      </c>
      <c r="V265" s="328">
        <v>0.7</v>
      </c>
      <c r="W265" s="328">
        <v>0.7</v>
      </c>
      <c r="X265" s="328">
        <v>1700</v>
      </c>
      <c r="Y265" s="327" t="s">
        <v>470</v>
      </c>
      <c r="Z265" s="328">
        <v>0.85</v>
      </c>
      <c r="AA265" s="327" t="s">
        <v>471</v>
      </c>
      <c r="AB265" s="327" t="s">
        <v>472</v>
      </c>
      <c r="AC265" s="330">
        <v>220</v>
      </c>
    </row>
    <row r="266" spans="1:29">
      <c r="A266" s="331" t="s">
        <v>713</v>
      </c>
      <c r="B266" s="332">
        <v>10</v>
      </c>
      <c r="C266" s="332">
        <v>269</v>
      </c>
      <c r="D266" s="332" t="s">
        <v>426</v>
      </c>
      <c r="E266" s="333">
        <v>1.5</v>
      </c>
      <c r="F266" s="334">
        <v>45218.599305555559</v>
      </c>
      <c r="G266" s="333">
        <v>1</v>
      </c>
      <c r="H266" s="333">
        <v>51.374099999999999</v>
      </c>
      <c r="I266" s="333">
        <v>6.70221</v>
      </c>
      <c r="J266" s="333">
        <v>-15.166862999999999</v>
      </c>
      <c r="K266" s="333">
        <v>-14.320824999999999</v>
      </c>
      <c r="L266" s="333">
        <v>1019.81</v>
      </c>
      <c r="M266" s="333">
        <v>116.99963200000001</v>
      </c>
      <c r="N266" s="333">
        <v>18085.86</v>
      </c>
      <c r="O266" s="333">
        <v>18105.001489999999</v>
      </c>
      <c r="P266" s="333">
        <v>2078.7649999999999</v>
      </c>
      <c r="Q266" s="332" t="s">
        <v>469</v>
      </c>
      <c r="R266" s="332"/>
      <c r="S266" s="333">
        <v>15</v>
      </c>
      <c r="T266" s="333">
        <v>5</v>
      </c>
      <c r="U266" s="333">
        <v>0.7</v>
      </c>
      <c r="V266" s="333">
        <v>0.7</v>
      </c>
      <c r="W266" s="333">
        <v>0.7</v>
      </c>
      <c r="X266" s="333">
        <v>1700</v>
      </c>
      <c r="Y266" s="332" t="s">
        <v>470</v>
      </c>
      <c r="Z266" s="333">
        <v>0.85</v>
      </c>
      <c r="AA266" s="332" t="s">
        <v>471</v>
      </c>
      <c r="AB266" s="332" t="s">
        <v>472</v>
      </c>
      <c r="AC266" s="335">
        <v>220</v>
      </c>
    </row>
    <row r="267" spans="1:29">
      <c r="A267" s="336" t="s">
        <v>714</v>
      </c>
      <c r="B267" s="337">
        <v>11</v>
      </c>
      <c r="C267" s="337" t="s">
        <v>430</v>
      </c>
      <c r="D267" s="337" t="s">
        <v>468</v>
      </c>
      <c r="E267" s="338">
        <v>1.5</v>
      </c>
      <c r="F267" s="339">
        <v>45218.602777777778</v>
      </c>
      <c r="G267" s="338">
        <v>1</v>
      </c>
      <c r="H267" s="338">
        <v>51.370800000000003</v>
      </c>
      <c r="I267" s="338">
        <v>6.5562800000000001</v>
      </c>
      <c r="J267" s="338">
        <v>-15.23405</v>
      </c>
      <c r="K267" s="338">
        <v>-14.392162000000001</v>
      </c>
      <c r="L267" s="338">
        <v>1011.23</v>
      </c>
      <c r="M267" s="338">
        <v>125.999621</v>
      </c>
      <c r="N267" s="338">
        <v>18054.16</v>
      </c>
      <c r="O267" s="338">
        <v>0</v>
      </c>
      <c r="P267" s="338">
        <v>0</v>
      </c>
      <c r="Q267" s="337" t="s">
        <v>479</v>
      </c>
      <c r="R267" s="337"/>
      <c r="S267" s="338">
        <v>15</v>
      </c>
      <c r="T267" s="338">
        <v>5</v>
      </c>
      <c r="U267" s="338">
        <v>0.7</v>
      </c>
      <c r="V267" s="338">
        <v>0.7</v>
      </c>
      <c r="W267" s="338">
        <v>0.7</v>
      </c>
      <c r="X267" s="338">
        <v>1700</v>
      </c>
      <c r="Y267" s="337" t="s">
        <v>470</v>
      </c>
      <c r="Z267" s="338">
        <v>0.85</v>
      </c>
      <c r="AA267" s="337" t="s">
        <v>471</v>
      </c>
      <c r="AB267" s="337" t="s">
        <v>472</v>
      </c>
      <c r="AC267" s="340">
        <v>220</v>
      </c>
    </row>
    <row r="268" spans="1:29">
      <c r="A268" s="331" t="s">
        <v>715</v>
      </c>
      <c r="B268" s="332">
        <v>11</v>
      </c>
      <c r="C268" s="332" t="s">
        <v>430</v>
      </c>
      <c r="D268" s="332" t="s">
        <v>468</v>
      </c>
      <c r="E268" s="333">
        <v>1.5</v>
      </c>
      <c r="F268" s="334">
        <v>45218.606944444444</v>
      </c>
      <c r="G268" s="333">
        <v>1</v>
      </c>
      <c r="H268" s="333">
        <v>51.3675</v>
      </c>
      <c r="I268" s="333">
        <v>6.34619</v>
      </c>
      <c r="J268" s="333">
        <v>-15.329406000000001</v>
      </c>
      <c r="K268" s="333">
        <v>-14.497643999999999</v>
      </c>
      <c r="L268" s="333">
        <v>1000.83</v>
      </c>
      <c r="M268" s="333">
        <v>126.49951900000001</v>
      </c>
      <c r="N268" s="333">
        <v>18083.98</v>
      </c>
      <c r="O268" s="333">
        <v>0</v>
      </c>
      <c r="P268" s="333">
        <v>0</v>
      </c>
      <c r="Q268" s="332" t="s">
        <v>479</v>
      </c>
      <c r="R268" s="332"/>
      <c r="S268" s="333">
        <v>15</v>
      </c>
      <c r="T268" s="333">
        <v>5</v>
      </c>
      <c r="U268" s="333">
        <v>0.7</v>
      </c>
      <c r="V268" s="333">
        <v>0.7</v>
      </c>
      <c r="W268" s="333">
        <v>0.7</v>
      </c>
      <c r="X268" s="333">
        <v>1700</v>
      </c>
      <c r="Y268" s="332" t="s">
        <v>470</v>
      </c>
      <c r="Z268" s="333">
        <v>0.85</v>
      </c>
      <c r="AA268" s="332" t="s">
        <v>471</v>
      </c>
      <c r="AB268" s="332" t="s">
        <v>472</v>
      </c>
      <c r="AC268" s="335">
        <v>220</v>
      </c>
    </row>
    <row r="269" spans="1:29">
      <c r="A269" s="326" t="s">
        <v>716</v>
      </c>
      <c r="B269" s="327">
        <v>11</v>
      </c>
      <c r="C269" s="327" t="s">
        <v>430</v>
      </c>
      <c r="D269" s="327" t="s">
        <v>468</v>
      </c>
      <c r="E269" s="328">
        <v>1.5</v>
      </c>
      <c r="F269" s="329">
        <v>45218.61041666667</v>
      </c>
      <c r="G269" s="328">
        <v>1</v>
      </c>
      <c r="H269" s="328">
        <v>51.3675</v>
      </c>
      <c r="I269" s="328">
        <v>6.24308</v>
      </c>
      <c r="J269" s="328">
        <v>-15.322887</v>
      </c>
      <c r="K269" s="328">
        <v>-14.490206000000001</v>
      </c>
      <c r="L269" s="328">
        <v>999.56100000000004</v>
      </c>
      <c r="M269" s="328">
        <v>122.499681</v>
      </c>
      <c r="N269" s="328">
        <v>18127.95</v>
      </c>
      <c r="O269" s="328">
        <v>0</v>
      </c>
      <c r="P269" s="328">
        <v>0</v>
      </c>
      <c r="Q269" s="327" t="s">
        <v>479</v>
      </c>
      <c r="R269" s="327"/>
      <c r="S269" s="328">
        <v>15</v>
      </c>
      <c r="T269" s="328">
        <v>5</v>
      </c>
      <c r="U269" s="328">
        <v>0.7</v>
      </c>
      <c r="V269" s="328">
        <v>0.7</v>
      </c>
      <c r="W269" s="328">
        <v>0.7</v>
      </c>
      <c r="X269" s="328">
        <v>1700</v>
      </c>
      <c r="Y269" s="327" t="s">
        <v>470</v>
      </c>
      <c r="Z269" s="328">
        <v>0.85</v>
      </c>
      <c r="AA269" s="327" t="s">
        <v>471</v>
      </c>
      <c r="AB269" s="327" t="s">
        <v>472</v>
      </c>
      <c r="AC269" s="330">
        <v>220</v>
      </c>
    </row>
    <row r="270" spans="1:29">
      <c r="A270" s="331" t="s">
        <v>717</v>
      </c>
      <c r="B270" s="332">
        <v>11</v>
      </c>
      <c r="C270" s="332" t="s">
        <v>430</v>
      </c>
      <c r="D270" s="332" t="s">
        <v>468</v>
      </c>
      <c r="E270" s="333">
        <v>1.5</v>
      </c>
      <c r="F270" s="334">
        <v>45218.613888888889</v>
      </c>
      <c r="G270" s="333">
        <v>1</v>
      </c>
      <c r="H270" s="333">
        <v>51.377400000000002</v>
      </c>
      <c r="I270" s="333">
        <v>6.0792400000000004</v>
      </c>
      <c r="J270" s="333">
        <v>-15.228161999999999</v>
      </c>
      <c r="K270" s="333">
        <v>-14.390981</v>
      </c>
      <c r="L270" s="333">
        <v>984.12699999999995</v>
      </c>
      <c r="M270" s="333">
        <v>121.49992399999999</v>
      </c>
      <c r="N270" s="333">
        <v>17990</v>
      </c>
      <c r="O270" s="333">
        <v>0</v>
      </c>
      <c r="P270" s="333">
        <v>0</v>
      </c>
      <c r="Q270" s="332" t="s">
        <v>479</v>
      </c>
      <c r="R270" s="332"/>
      <c r="S270" s="333">
        <v>15</v>
      </c>
      <c r="T270" s="333">
        <v>5</v>
      </c>
      <c r="U270" s="333">
        <v>0.7</v>
      </c>
      <c r="V270" s="333">
        <v>0.7</v>
      </c>
      <c r="W270" s="333">
        <v>0.7</v>
      </c>
      <c r="X270" s="333">
        <v>1700</v>
      </c>
      <c r="Y270" s="332" t="s">
        <v>470</v>
      </c>
      <c r="Z270" s="333">
        <v>0.85</v>
      </c>
      <c r="AA270" s="332" t="s">
        <v>471</v>
      </c>
      <c r="AB270" s="332" t="s">
        <v>472</v>
      </c>
      <c r="AC270" s="335">
        <v>220</v>
      </c>
    </row>
    <row r="271" spans="1:29">
      <c r="A271" s="326" t="s">
        <v>718</v>
      </c>
      <c r="B271" s="327">
        <v>11</v>
      </c>
      <c r="C271" s="327" t="s">
        <v>430</v>
      </c>
      <c r="D271" s="327" t="s">
        <v>468</v>
      </c>
      <c r="E271" s="328">
        <v>1.5</v>
      </c>
      <c r="F271" s="329">
        <v>45218.617361111108</v>
      </c>
      <c r="G271" s="328">
        <v>1</v>
      </c>
      <c r="H271" s="328">
        <v>51.370800000000003</v>
      </c>
      <c r="I271" s="328">
        <v>6.2222499999999998</v>
      </c>
      <c r="J271" s="328">
        <v>-15.269031</v>
      </c>
      <c r="K271" s="328">
        <v>-14.427225</v>
      </c>
      <c r="L271" s="328">
        <v>995.846</v>
      </c>
      <c r="M271" s="328">
        <v>118.00061100000001</v>
      </c>
      <c r="N271" s="328">
        <v>18042.830000000002</v>
      </c>
      <c r="O271" s="328">
        <v>0</v>
      </c>
      <c r="P271" s="328">
        <v>0</v>
      </c>
      <c r="Q271" s="327" t="s">
        <v>479</v>
      </c>
      <c r="R271" s="327"/>
      <c r="S271" s="328">
        <v>15</v>
      </c>
      <c r="T271" s="328">
        <v>5</v>
      </c>
      <c r="U271" s="328">
        <v>0.7</v>
      </c>
      <c r="V271" s="328">
        <v>0.7</v>
      </c>
      <c r="W271" s="328">
        <v>0.7</v>
      </c>
      <c r="X271" s="328">
        <v>1700</v>
      </c>
      <c r="Y271" s="327" t="s">
        <v>470</v>
      </c>
      <c r="Z271" s="328">
        <v>0.85</v>
      </c>
      <c r="AA271" s="327" t="s">
        <v>471</v>
      </c>
      <c r="AB271" s="327" t="s">
        <v>472</v>
      </c>
      <c r="AC271" s="330">
        <v>220</v>
      </c>
    </row>
    <row r="272" spans="1:29">
      <c r="A272" s="331" t="s">
        <v>719</v>
      </c>
      <c r="B272" s="332">
        <v>11</v>
      </c>
      <c r="C272" s="332" t="s">
        <v>430</v>
      </c>
      <c r="D272" s="332" t="s">
        <v>468</v>
      </c>
      <c r="E272" s="333">
        <v>1.5</v>
      </c>
      <c r="F272" s="334">
        <v>45218.620833333334</v>
      </c>
      <c r="G272" s="333">
        <v>2</v>
      </c>
      <c r="H272" s="333">
        <v>51.374099999999999</v>
      </c>
      <c r="I272" s="333">
        <v>6.3445999999999998</v>
      </c>
      <c r="J272" s="333">
        <v>-15.404500000000001</v>
      </c>
      <c r="K272" s="333">
        <v>-14.575175</v>
      </c>
      <c r="L272" s="333">
        <v>999.60699999999997</v>
      </c>
      <c r="M272" s="333">
        <v>124.500518</v>
      </c>
      <c r="N272" s="333">
        <v>18099.41</v>
      </c>
      <c r="O272" s="333">
        <v>0</v>
      </c>
      <c r="P272" s="333">
        <v>0</v>
      </c>
      <c r="Q272" s="332" t="s">
        <v>479</v>
      </c>
      <c r="R272" s="332"/>
      <c r="S272" s="333">
        <v>15</v>
      </c>
      <c r="T272" s="333">
        <v>5</v>
      </c>
      <c r="U272" s="333">
        <v>0.7</v>
      </c>
      <c r="V272" s="333">
        <v>0.7</v>
      </c>
      <c r="W272" s="333">
        <v>0.7</v>
      </c>
      <c r="X272" s="333">
        <v>1700</v>
      </c>
      <c r="Y272" s="332" t="s">
        <v>470</v>
      </c>
      <c r="Z272" s="333">
        <v>0.85</v>
      </c>
      <c r="AA272" s="332" t="s">
        <v>471</v>
      </c>
      <c r="AB272" s="332" t="s">
        <v>472</v>
      </c>
      <c r="AC272" s="335">
        <v>220</v>
      </c>
    </row>
    <row r="273" spans="1:29">
      <c r="A273" s="326" t="s">
        <v>720</v>
      </c>
      <c r="B273" s="327">
        <v>11</v>
      </c>
      <c r="C273" s="327" t="s">
        <v>430</v>
      </c>
      <c r="D273" s="327" t="s">
        <v>468</v>
      </c>
      <c r="E273" s="328">
        <v>1.5</v>
      </c>
      <c r="F273" s="329">
        <v>45218.624305555553</v>
      </c>
      <c r="G273" s="328">
        <v>2</v>
      </c>
      <c r="H273" s="328">
        <v>51.370800000000003</v>
      </c>
      <c r="I273" s="328">
        <v>6.2930400000000004</v>
      </c>
      <c r="J273" s="328">
        <v>-15.296894</v>
      </c>
      <c r="K273" s="328">
        <v>-14.450469</v>
      </c>
      <c r="L273" s="328">
        <v>1002.08</v>
      </c>
      <c r="M273" s="328">
        <v>114.001181</v>
      </c>
      <c r="N273" s="328">
        <v>18128.650000000001</v>
      </c>
      <c r="O273" s="328">
        <v>0</v>
      </c>
      <c r="P273" s="328">
        <v>0</v>
      </c>
      <c r="Q273" s="327" t="s">
        <v>479</v>
      </c>
      <c r="R273" s="327"/>
      <c r="S273" s="328">
        <v>15</v>
      </c>
      <c r="T273" s="328">
        <v>5</v>
      </c>
      <c r="U273" s="328">
        <v>0.7</v>
      </c>
      <c r="V273" s="328">
        <v>0.7</v>
      </c>
      <c r="W273" s="328">
        <v>0.7</v>
      </c>
      <c r="X273" s="328">
        <v>1700</v>
      </c>
      <c r="Y273" s="327" t="s">
        <v>470</v>
      </c>
      <c r="Z273" s="328">
        <v>0.85</v>
      </c>
      <c r="AA273" s="327" t="s">
        <v>471</v>
      </c>
      <c r="AB273" s="327" t="s">
        <v>472</v>
      </c>
      <c r="AC273" s="330">
        <v>220</v>
      </c>
    </row>
    <row r="274" spans="1:29">
      <c r="A274" s="331" t="s">
        <v>721</v>
      </c>
      <c r="B274" s="332">
        <v>11</v>
      </c>
      <c r="C274" s="332" t="s">
        <v>430</v>
      </c>
      <c r="D274" s="332" t="s">
        <v>468</v>
      </c>
      <c r="E274" s="333">
        <v>1.5</v>
      </c>
      <c r="F274" s="334">
        <v>45218.62777777778</v>
      </c>
      <c r="G274" s="333">
        <v>2</v>
      </c>
      <c r="H274" s="333">
        <v>51.374099999999999</v>
      </c>
      <c r="I274" s="333">
        <v>6.0531800000000002</v>
      </c>
      <c r="J274" s="333">
        <v>-15.257244</v>
      </c>
      <c r="K274" s="333">
        <v>-14.414137</v>
      </c>
      <c r="L274" s="333">
        <v>996.74699999999996</v>
      </c>
      <c r="M274" s="333">
        <v>141.499236</v>
      </c>
      <c r="N274" s="333">
        <v>17825.5</v>
      </c>
      <c r="O274" s="333">
        <v>0</v>
      </c>
      <c r="P274" s="333">
        <v>0</v>
      </c>
      <c r="Q274" s="332" t="s">
        <v>479</v>
      </c>
      <c r="R274" s="332"/>
      <c r="S274" s="333">
        <v>15</v>
      </c>
      <c r="T274" s="333">
        <v>5</v>
      </c>
      <c r="U274" s="333">
        <v>0.7</v>
      </c>
      <c r="V274" s="333">
        <v>0.7</v>
      </c>
      <c r="W274" s="333">
        <v>0.7</v>
      </c>
      <c r="X274" s="333">
        <v>1700</v>
      </c>
      <c r="Y274" s="332" t="s">
        <v>470</v>
      </c>
      <c r="Z274" s="333">
        <v>0.85</v>
      </c>
      <c r="AA274" s="332" t="s">
        <v>471</v>
      </c>
      <c r="AB274" s="332" t="s">
        <v>472</v>
      </c>
      <c r="AC274" s="335">
        <v>220</v>
      </c>
    </row>
    <row r="275" spans="1:29">
      <c r="A275" s="326" t="s">
        <v>722</v>
      </c>
      <c r="B275" s="327">
        <v>11</v>
      </c>
      <c r="C275" s="327" t="s">
        <v>430</v>
      </c>
      <c r="D275" s="327" t="s">
        <v>468</v>
      </c>
      <c r="E275" s="328">
        <v>1.5</v>
      </c>
      <c r="F275" s="329">
        <v>45218.631944444445</v>
      </c>
      <c r="G275" s="328">
        <v>2</v>
      </c>
      <c r="H275" s="328">
        <v>51.370800000000003</v>
      </c>
      <c r="I275" s="328">
        <v>6.1784800000000004</v>
      </c>
      <c r="J275" s="328">
        <v>-15.289244</v>
      </c>
      <c r="K275" s="328">
        <v>-14.448994000000001</v>
      </c>
      <c r="L275" s="328">
        <v>996.77499999999998</v>
      </c>
      <c r="M275" s="328">
        <v>125.49991900000001</v>
      </c>
      <c r="N275" s="328">
        <v>18091.900000000001</v>
      </c>
      <c r="O275" s="328">
        <v>0</v>
      </c>
      <c r="P275" s="328">
        <v>0</v>
      </c>
      <c r="Q275" s="327" t="s">
        <v>479</v>
      </c>
      <c r="R275" s="327"/>
      <c r="S275" s="328">
        <v>15</v>
      </c>
      <c r="T275" s="328">
        <v>5</v>
      </c>
      <c r="U275" s="328">
        <v>0.7</v>
      </c>
      <c r="V275" s="328">
        <v>0.7</v>
      </c>
      <c r="W275" s="328">
        <v>0.7</v>
      </c>
      <c r="X275" s="328">
        <v>1700</v>
      </c>
      <c r="Y275" s="327" t="s">
        <v>470</v>
      </c>
      <c r="Z275" s="328">
        <v>0.85</v>
      </c>
      <c r="AA275" s="327" t="s">
        <v>471</v>
      </c>
      <c r="AB275" s="327" t="s">
        <v>472</v>
      </c>
      <c r="AC275" s="330">
        <v>220</v>
      </c>
    </row>
    <row r="276" spans="1:29">
      <c r="A276" s="331" t="s">
        <v>723</v>
      </c>
      <c r="B276" s="332">
        <v>11</v>
      </c>
      <c r="C276" s="332" t="s">
        <v>430</v>
      </c>
      <c r="D276" s="332" t="s">
        <v>468</v>
      </c>
      <c r="E276" s="333">
        <v>1.5</v>
      </c>
      <c r="F276" s="334">
        <v>45218.635416666664</v>
      </c>
      <c r="G276" s="333">
        <v>2</v>
      </c>
      <c r="H276" s="333">
        <v>51.370800000000003</v>
      </c>
      <c r="I276" s="333">
        <v>6.2309700000000001</v>
      </c>
      <c r="J276" s="333">
        <v>-15.309231</v>
      </c>
      <c r="K276" s="333">
        <v>-14.471418999999999</v>
      </c>
      <c r="L276" s="333">
        <v>1003.05</v>
      </c>
      <c r="M276" s="333">
        <v>119.998887</v>
      </c>
      <c r="N276" s="333">
        <v>17936.43</v>
      </c>
      <c r="O276" s="333">
        <v>0</v>
      </c>
      <c r="P276" s="333">
        <v>0</v>
      </c>
      <c r="Q276" s="332" t="s">
        <v>479</v>
      </c>
      <c r="R276" s="332"/>
      <c r="S276" s="333">
        <v>15</v>
      </c>
      <c r="T276" s="333">
        <v>5</v>
      </c>
      <c r="U276" s="333">
        <v>0.7</v>
      </c>
      <c r="V276" s="333">
        <v>0.7</v>
      </c>
      <c r="W276" s="333">
        <v>0.7</v>
      </c>
      <c r="X276" s="333">
        <v>1700</v>
      </c>
      <c r="Y276" s="332" t="s">
        <v>470</v>
      </c>
      <c r="Z276" s="333">
        <v>0.85</v>
      </c>
      <c r="AA276" s="332" t="s">
        <v>471</v>
      </c>
      <c r="AB276" s="332" t="s">
        <v>472</v>
      </c>
      <c r="AC276" s="335">
        <v>220</v>
      </c>
    </row>
    <row r="277" spans="1:29">
      <c r="A277" s="326" t="s">
        <v>613</v>
      </c>
      <c r="B277" s="327">
        <v>12</v>
      </c>
      <c r="C277" s="327">
        <v>290</v>
      </c>
      <c r="D277" s="327" t="s">
        <v>419</v>
      </c>
      <c r="E277" s="328">
        <v>1.5</v>
      </c>
      <c r="F277" s="329">
        <v>45218.63958333333</v>
      </c>
      <c r="G277" s="328">
        <v>1</v>
      </c>
      <c r="H277" s="328">
        <v>51.370800000000003</v>
      </c>
      <c r="I277" s="328">
        <v>6.4036</v>
      </c>
      <c r="J277" s="328">
        <v>-15.330781</v>
      </c>
      <c r="K277" s="328">
        <v>-14.481825000000001</v>
      </c>
      <c r="L277" s="328">
        <v>1006.25</v>
      </c>
      <c r="M277" s="328">
        <v>131.99934200000001</v>
      </c>
      <c r="N277" s="328">
        <v>18176.669999999998</v>
      </c>
      <c r="O277" s="328">
        <v>18132.146479999999</v>
      </c>
      <c r="P277" s="328">
        <v>2081.8960000000002</v>
      </c>
      <c r="Q277" s="327" t="s">
        <v>542</v>
      </c>
      <c r="R277" s="327"/>
      <c r="S277" s="328">
        <v>15</v>
      </c>
      <c r="T277" s="328">
        <v>5</v>
      </c>
      <c r="U277" s="328">
        <v>0.7</v>
      </c>
      <c r="V277" s="328">
        <v>0.7</v>
      </c>
      <c r="W277" s="328">
        <v>0.7</v>
      </c>
      <c r="X277" s="328">
        <v>1700</v>
      </c>
      <c r="Y277" s="327" t="s">
        <v>470</v>
      </c>
      <c r="Z277" s="328">
        <v>0.85</v>
      </c>
      <c r="AA277" s="327" t="s">
        <v>471</v>
      </c>
      <c r="AB277" s="327" t="s">
        <v>472</v>
      </c>
      <c r="AC277" s="330">
        <v>220</v>
      </c>
    </row>
    <row r="278" spans="1:29">
      <c r="A278" s="331" t="s">
        <v>614</v>
      </c>
      <c r="B278" s="332">
        <v>12</v>
      </c>
      <c r="C278" s="332">
        <v>290</v>
      </c>
      <c r="D278" s="332" t="s">
        <v>419</v>
      </c>
      <c r="E278" s="333">
        <v>1.5</v>
      </c>
      <c r="F278" s="334">
        <v>45218.643055555556</v>
      </c>
      <c r="G278" s="333">
        <v>1</v>
      </c>
      <c r="H278" s="333">
        <v>51.374099999999999</v>
      </c>
      <c r="I278" s="333">
        <v>6.4351599999999998</v>
      </c>
      <c r="J278" s="333">
        <v>-15.2507</v>
      </c>
      <c r="K278" s="333">
        <v>-14.401206</v>
      </c>
      <c r="L278" s="333">
        <v>1004.7</v>
      </c>
      <c r="M278" s="333">
        <v>113.49969</v>
      </c>
      <c r="N278" s="333">
        <v>18136.95</v>
      </c>
      <c r="O278" s="333">
        <v>18132.146479999999</v>
      </c>
      <c r="P278" s="333">
        <v>2081.8960000000002</v>
      </c>
      <c r="Q278" s="332" t="s">
        <v>469</v>
      </c>
      <c r="R278" s="332"/>
      <c r="S278" s="333">
        <v>15</v>
      </c>
      <c r="T278" s="333">
        <v>5</v>
      </c>
      <c r="U278" s="333">
        <v>0.7</v>
      </c>
      <c r="V278" s="333">
        <v>0.7</v>
      </c>
      <c r="W278" s="333">
        <v>0.7</v>
      </c>
      <c r="X278" s="333">
        <v>1700</v>
      </c>
      <c r="Y278" s="332" t="s">
        <v>470</v>
      </c>
      <c r="Z278" s="333">
        <v>0.85</v>
      </c>
      <c r="AA278" s="332" t="s">
        <v>471</v>
      </c>
      <c r="AB278" s="332" t="s">
        <v>472</v>
      </c>
      <c r="AC278" s="335">
        <v>220</v>
      </c>
    </row>
    <row r="279" spans="1:29">
      <c r="A279" s="326" t="s">
        <v>615</v>
      </c>
      <c r="B279" s="327">
        <v>12</v>
      </c>
      <c r="C279" s="327">
        <v>290</v>
      </c>
      <c r="D279" s="327" t="s">
        <v>419</v>
      </c>
      <c r="E279" s="328">
        <v>1.5</v>
      </c>
      <c r="F279" s="329">
        <v>45218.646527777775</v>
      </c>
      <c r="G279" s="328">
        <v>1</v>
      </c>
      <c r="H279" s="328">
        <v>51.370800000000003</v>
      </c>
      <c r="I279" s="328">
        <v>6.4068699999999996</v>
      </c>
      <c r="J279" s="328">
        <v>-15.298213000000001</v>
      </c>
      <c r="K279" s="328">
        <v>-14.465119</v>
      </c>
      <c r="L279" s="328">
        <v>1005.16</v>
      </c>
      <c r="M279" s="328">
        <v>124.998287</v>
      </c>
      <c r="N279" s="328">
        <v>18141.45</v>
      </c>
      <c r="O279" s="328">
        <v>18132.146479999999</v>
      </c>
      <c r="P279" s="328">
        <v>2081.8960000000002</v>
      </c>
      <c r="Q279" s="327" t="s">
        <v>469</v>
      </c>
      <c r="R279" s="327"/>
      <c r="S279" s="328">
        <v>15</v>
      </c>
      <c r="T279" s="328">
        <v>5</v>
      </c>
      <c r="U279" s="328">
        <v>0.7</v>
      </c>
      <c r="V279" s="328">
        <v>0.7</v>
      </c>
      <c r="W279" s="328">
        <v>0.7</v>
      </c>
      <c r="X279" s="328">
        <v>1700</v>
      </c>
      <c r="Y279" s="327" t="s">
        <v>470</v>
      </c>
      <c r="Z279" s="328">
        <v>0.85</v>
      </c>
      <c r="AA279" s="327" t="s">
        <v>471</v>
      </c>
      <c r="AB279" s="327" t="s">
        <v>472</v>
      </c>
      <c r="AC279" s="330">
        <v>220</v>
      </c>
    </row>
    <row r="280" spans="1:29">
      <c r="A280" s="331" t="s">
        <v>724</v>
      </c>
      <c r="B280" s="332">
        <v>12</v>
      </c>
      <c r="C280" s="332">
        <v>290</v>
      </c>
      <c r="D280" s="332" t="s">
        <v>419</v>
      </c>
      <c r="E280" s="333">
        <v>1.5</v>
      </c>
      <c r="F280" s="334">
        <v>45218.650694444441</v>
      </c>
      <c r="G280" s="333">
        <v>1</v>
      </c>
      <c r="H280" s="333">
        <v>51.370800000000003</v>
      </c>
      <c r="I280" s="333">
        <v>6.3513500000000001</v>
      </c>
      <c r="J280" s="333">
        <v>-15.231719</v>
      </c>
      <c r="K280" s="333">
        <v>-14.382949999999999</v>
      </c>
      <c r="L280" s="333">
        <v>1012.6</v>
      </c>
      <c r="M280" s="333">
        <v>123.000911</v>
      </c>
      <c r="N280" s="333">
        <v>18118.04</v>
      </c>
      <c r="O280" s="333">
        <v>18132.146479999999</v>
      </c>
      <c r="P280" s="333">
        <v>2081.8960000000002</v>
      </c>
      <c r="Q280" s="332" t="s">
        <v>469</v>
      </c>
      <c r="R280" s="332"/>
      <c r="S280" s="333">
        <v>15</v>
      </c>
      <c r="T280" s="333">
        <v>5</v>
      </c>
      <c r="U280" s="333">
        <v>0.7</v>
      </c>
      <c r="V280" s="333">
        <v>0.7</v>
      </c>
      <c r="W280" s="333">
        <v>0.7</v>
      </c>
      <c r="X280" s="333">
        <v>1700</v>
      </c>
      <c r="Y280" s="332" t="s">
        <v>470</v>
      </c>
      <c r="Z280" s="333">
        <v>0.85</v>
      </c>
      <c r="AA280" s="332" t="s">
        <v>471</v>
      </c>
      <c r="AB280" s="332" t="s">
        <v>472</v>
      </c>
      <c r="AC280" s="335">
        <v>220</v>
      </c>
    </row>
    <row r="281" spans="1:29">
      <c r="A281" s="326" t="s">
        <v>616</v>
      </c>
      <c r="B281" s="327">
        <v>13</v>
      </c>
      <c r="C281" s="327">
        <v>291</v>
      </c>
      <c r="D281" s="327" t="s">
        <v>420</v>
      </c>
      <c r="E281" s="328">
        <v>1.5</v>
      </c>
      <c r="F281" s="329">
        <v>45218.654861111114</v>
      </c>
      <c r="G281" s="328">
        <v>1</v>
      </c>
      <c r="H281" s="328">
        <v>51.370800000000003</v>
      </c>
      <c r="I281" s="328">
        <v>6.34823</v>
      </c>
      <c r="J281" s="328">
        <v>-15.298875000000001</v>
      </c>
      <c r="K281" s="328">
        <v>-14.457050000000001</v>
      </c>
      <c r="L281" s="328">
        <v>997.48099999999999</v>
      </c>
      <c r="M281" s="328">
        <v>127.499053</v>
      </c>
      <c r="N281" s="328">
        <v>18126.82</v>
      </c>
      <c r="O281" s="328">
        <v>18117.800520000001</v>
      </c>
      <c r="P281" s="328">
        <v>2080.2420000000002</v>
      </c>
      <c r="Q281" s="327" t="s">
        <v>469</v>
      </c>
      <c r="R281" s="327"/>
      <c r="S281" s="328">
        <v>15</v>
      </c>
      <c r="T281" s="328">
        <v>5</v>
      </c>
      <c r="U281" s="328">
        <v>0.7</v>
      </c>
      <c r="V281" s="328">
        <v>0.7</v>
      </c>
      <c r="W281" s="328">
        <v>0.7</v>
      </c>
      <c r="X281" s="328">
        <v>1700</v>
      </c>
      <c r="Y281" s="327" t="s">
        <v>470</v>
      </c>
      <c r="Z281" s="328">
        <v>0.85</v>
      </c>
      <c r="AA281" s="327" t="s">
        <v>471</v>
      </c>
      <c r="AB281" s="327" t="s">
        <v>472</v>
      </c>
      <c r="AC281" s="330">
        <v>220</v>
      </c>
    </row>
    <row r="282" spans="1:29">
      <c r="A282" s="331" t="s">
        <v>617</v>
      </c>
      <c r="B282" s="332">
        <v>13</v>
      </c>
      <c r="C282" s="332">
        <v>291</v>
      </c>
      <c r="D282" s="332" t="s">
        <v>420</v>
      </c>
      <c r="E282" s="333">
        <v>1.5</v>
      </c>
      <c r="F282" s="334">
        <v>45218.658333333333</v>
      </c>
      <c r="G282" s="333">
        <v>1</v>
      </c>
      <c r="H282" s="333">
        <v>51.3675</v>
      </c>
      <c r="I282" s="333">
        <v>6.3073499999999996</v>
      </c>
      <c r="J282" s="333">
        <v>-15.247888</v>
      </c>
      <c r="K282" s="333">
        <v>-14.401087</v>
      </c>
      <c r="L282" s="333">
        <v>1004.91</v>
      </c>
      <c r="M282" s="333">
        <v>123.998604</v>
      </c>
      <c r="N282" s="333">
        <v>18113.150000000001</v>
      </c>
      <c r="O282" s="333">
        <v>18117.800520000001</v>
      </c>
      <c r="P282" s="333">
        <v>2080.2420000000002</v>
      </c>
      <c r="Q282" s="332" t="s">
        <v>469</v>
      </c>
      <c r="R282" s="332"/>
      <c r="S282" s="333">
        <v>15</v>
      </c>
      <c r="T282" s="333">
        <v>5</v>
      </c>
      <c r="U282" s="333">
        <v>0.7</v>
      </c>
      <c r="V282" s="333">
        <v>0.7</v>
      </c>
      <c r="W282" s="333">
        <v>0.7</v>
      </c>
      <c r="X282" s="333">
        <v>1700</v>
      </c>
      <c r="Y282" s="332" t="s">
        <v>470</v>
      </c>
      <c r="Z282" s="333">
        <v>0.85</v>
      </c>
      <c r="AA282" s="332" t="s">
        <v>471</v>
      </c>
      <c r="AB282" s="332" t="s">
        <v>472</v>
      </c>
      <c r="AC282" s="335">
        <v>220</v>
      </c>
    </row>
    <row r="283" spans="1:29">
      <c r="A283" s="326" t="s">
        <v>618</v>
      </c>
      <c r="B283" s="327">
        <v>13</v>
      </c>
      <c r="C283" s="327">
        <v>291</v>
      </c>
      <c r="D283" s="327" t="s">
        <v>420</v>
      </c>
      <c r="E283" s="328">
        <v>1.5</v>
      </c>
      <c r="F283" s="329">
        <v>45218.661805555559</v>
      </c>
      <c r="G283" s="328">
        <v>1</v>
      </c>
      <c r="H283" s="328">
        <v>51.3675</v>
      </c>
      <c r="I283" s="328">
        <v>6.2979099999999999</v>
      </c>
      <c r="J283" s="328">
        <v>-15.275062</v>
      </c>
      <c r="K283" s="328">
        <v>-14.439431000000001</v>
      </c>
      <c r="L283" s="328">
        <v>1002.12</v>
      </c>
      <c r="M283" s="328">
        <v>127.999314</v>
      </c>
      <c r="N283" s="328">
        <v>18079.14</v>
      </c>
      <c r="O283" s="328">
        <v>18117.800520000001</v>
      </c>
      <c r="P283" s="328">
        <v>2080.2420000000002</v>
      </c>
      <c r="Q283" s="327" t="s">
        <v>542</v>
      </c>
      <c r="R283" s="327"/>
      <c r="S283" s="328">
        <v>15</v>
      </c>
      <c r="T283" s="328">
        <v>5</v>
      </c>
      <c r="U283" s="328">
        <v>0.7</v>
      </c>
      <c r="V283" s="328">
        <v>0.7</v>
      </c>
      <c r="W283" s="328">
        <v>0.7</v>
      </c>
      <c r="X283" s="328">
        <v>1700</v>
      </c>
      <c r="Y283" s="327" t="s">
        <v>470</v>
      </c>
      <c r="Z283" s="328">
        <v>0.85</v>
      </c>
      <c r="AA283" s="327" t="s">
        <v>471</v>
      </c>
      <c r="AB283" s="327" t="s">
        <v>472</v>
      </c>
      <c r="AC283" s="330">
        <v>220</v>
      </c>
    </row>
    <row r="284" spans="1:29">
      <c r="A284" s="331" t="s">
        <v>619</v>
      </c>
      <c r="B284" s="332">
        <v>13</v>
      </c>
      <c r="C284" s="332">
        <v>291</v>
      </c>
      <c r="D284" s="332" t="s">
        <v>420</v>
      </c>
      <c r="E284" s="333">
        <v>1.5</v>
      </c>
      <c r="F284" s="334">
        <v>45218.665277777778</v>
      </c>
      <c r="G284" s="333">
        <v>1</v>
      </c>
      <c r="H284" s="333">
        <v>51.3675</v>
      </c>
      <c r="I284" s="333">
        <v>6.2458</v>
      </c>
      <c r="J284" s="333">
        <v>-15.210494000000001</v>
      </c>
      <c r="K284" s="333">
        <v>-14.367081000000001</v>
      </c>
      <c r="L284" s="333">
        <v>1004.65</v>
      </c>
      <c r="M284" s="333">
        <v>122.999718</v>
      </c>
      <c r="N284" s="333">
        <v>18113.43</v>
      </c>
      <c r="O284" s="333">
        <v>18117.800520000001</v>
      </c>
      <c r="P284" s="333">
        <v>2080.2420000000002</v>
      </c>
      <c r="Q284" s="332" t="s">
        <v>469</v>
      </c>
      <c r="R284" s="332"/>
      <c r="S284" s="333">
        <v>15</v>
      </c>
      <c r="T284" s="333">
        <v>5</v>
      </c>
      <c r="U284" s="333">
        <v>0.7</v>
      </c>
      <c r="V284" s="333">
        <v>0.7</v>
      </c>
      <c r="W284" s="333">
        <v>0.7</v>
      </c>
      <c r="X284" s="333">
        <v>1700</v>
      </c>
      <c r="Y284" s="332" t="s">
        <v>470</v>
      </c>
      <c r="Z284" s="333">
        <v>0.85</v>
      </c>
      <c r="AA284" s="332" t="s">
        <v>471</v>
      </c>
      <c r="AB284" s="332" t="s">
        <v>472</v>
      </c>
      <c r="AC284" s="335">
        <v>220</v>
      </c>
    </row>
    <row r="285" spans="1:29">
      <c r="A285" s="326" t="s">
        <v>620</v>
      </c>
      <c r="B285" s="327">
        <v>14</v>
      </c>
      <c r="C285" s="327">
        <v>279</v>
      </c>
      <c r="D285" s="327" t="s">
        <v>421</v>
      </c>
      <c r="E285" s="328">
        <v>1.5</v>
      </c>
      <c r="F285" s="329">
        <v>45218.669444444444</v>
      </c>
      <c r="G285" s="328">
        <v>1</v>
      </c>
      <c r="H285" s="328">
        <v>51.370800000000003</v>
      </c>
      <c r="I285" s="328">
        <v>6.2139600000000002</v>
      </c>
      <c r="J285" s="328">
        <v>-15.204606</v>
      </c>
      <c r="K285" s="328">
        <v>-14.363469</v>
      </c>
      <c r="L285" s="328">
        <v>992.04499999999996</v>
      </c>
      <c r="M285" s="328">
        <v>121.498471</v>
      </c>
      <c r="N285" s="328">
        <v>17852.09</v>
      </c>
      <c r="O285" s="328">
        <v>17868.197690000001</v>
      </c>
      <c r="P285" s="328">
        <v>2051.6709999999998</v>
      </c>
      <c r="Q285" s="327" t="s">
        <v>469</v>
      </c>
      <c r="R285" s="327"/>
      <c r="S285" s="328">
        <v>15</v>
      </c>
      <c r="T285" s="328">
        <v>5</v>
      </c>
      <c r="U285" s="328">
        <v>0.7</v>
      </c>
      <c r="V285" s="328">
        <v>0.7</v>
      </c>
      <c r="W285" s="328">
        <v>0.7</v>
      </c>
      <c r="X285" s="328">
        <v>1700</v>
      </c>
      <c r="Y285" s="327" t="s">
        <v>470</v>
      </c>
      <c r="Z285" s="328">
        <v>0.85</v>
      </c>
      <c r="AA285" s="327" t="s">
        <v>471</v>
      </c>
      <c r="AB285" s="327" t="s">
        <v>472</v>
      </c>
      <c r="AC285" s="330">
        <v>220</v>
      </c>
    </row>
    <row r="286" spans="1:29">
      <c r="A286" s="331" t="s">
        <v>621</v>
      </c>
      <c r="B286" s="332">
        <v>14</v>
      </c>
      <c r="C286" s="332">
        <v>279</v>
      </c>
      <c r="D286" s="332" t="s">
        <v>421</v>
      </c>
      <c r="E286" s="333">
        <v>1.5</v>
      </c>
      <c r="F286" s="334">
        <v>45218.67291666667</v>
      </c>
      <c r="G286" s="333">
        <v>1</v>
      </c>
      <c r="H286" s="333">
        <v>51.370800000000003</v>
      </c>
      <c r="I286" s="333">
        <v>6.3447399999999998</v>
      </c>
      <c r="J286" s="333">
        <v>-15.258969</v>
      </c>
      <c r="K286" s="333">
        <v>-14.4206</v>
      </c>
      <c r="L286" s="333">
        <v>989.71299999999997</v>
      </c>
      <c r="M286" s="333">
        <v>121.998442</v>
      </c>
      <c r="N286" s="333">
        <v>17872.490000000002</v>
      </c>
      <c r="O286" s="333">
        <v>17868.197690000001</v>
      </c>
      <c r="P286" s="333">
        <v>2051.6709999999998</v>
      </c>
      <c r="Q286" s="332" t="s">
        <v>469</v>
      </c>
      <c r="R286" s="332"/>
      <c r="S286" s="333">
        <v>15</v>
      </c>
      <c r="T286" s="333">
        <v>5</v>
      </c>
      <c r="U286" s="333">
        <v>0.7</v>
      </c>
      <c r="V286" s="333">
        <v>0.7</v>
      </c>
      <c r="W286" s="333">
        <v>0.7</v>
      </c>
      <c r="X286" s="333">
        <v>1700</v>
      </c>
      <c r="Y286" s="332" t="s">
        <v>470</v>
      </c>
      <c r="Z286" s="333">
        <v>0.85</v>
      </c>
      <c r="AA286" s="332" t="s">
        <v>471</v>
      </c>
      <c r="AB286" s="332" t="s">
        <v>472</v>
      </c>
      <c r="AC286" s="335">
        <v>220</v>
      </c>
    </row>
    <row r="287" spans="1:29">
      <c r="A287" s="326" t="s">
        <v>622</v>
      </c>
      <c r="B287" s="327">
        <v>14</v>
      </c>
      <c r="C287" s="327">
        <v>279</v>
      </c>
      <c r="D287" s="327" t="s">
        <v>421</v>
      </c>
      <c r="E287" s="328">
        <v>1.5</v>
      </c>
      <c r="F287" s="329">
        <v>45218.676388888889</v>
      </c>
      <c r="G287" s="328">
        <v>1</v>
      </c>
      <c r="H287" s="328">
        <v>51.377400000000002</v>
      </c>
      <c r="I287" s="328">
        <v>6.3361200000000002</v>
      </c>
      <c r="J287" s="328">
        <v>-15.2629</v>
      </c>
      <c r="K287" s="328">
        <v>-14.457750000000001</v>
      </c>
      <c r="L287" s="328">
        <v>989.19399999999996</v>
      </c>
      <c r="M287" s="328">
        <v>111.498938</v>
      </c>
      <c r="N287" s="328">
        <v>17880.009999999998</v>
      </c>
      <c r="O287" s="328">
        <v>17868.197690000001</v>
      </c>
      <c r="P287" s="328">
        <v>2051.6709999999998</v>
      </c>
      <c r="Q287" s="327" t="s">
        <v>469</v>
      </c>
      <c r="R287" s="327"/>
      <c r="S287" s="328">
        <v>15</v>
      </c>
      <c r="T287" s="328">
        <v>5</v>
      </c>
      <c r="U287" s="328">
        <v>0.7</v>
      </c>
      <c r="V287" s="328">
        <v>0.7</v>
      </c>
      <c r="W287" s="328">
        <v>0.7</v>
      </c>
      <c r="X287" s="328">
        <v>1700</v>
      </c>
      <c r="Y287" s="327" t="s">
        <v>470</v>
      </c>
      <c r="Z287" s="328">
        <v>0.85</v>
      </c>
      <c r="AA287" s="327" t="s">
        <v>471</v>
      </c>
      <c r="AB287" s="327" t="s">
        <v>472</v>
      </c>
      <c r="AC287" s="330">
        <v>220</v>
      </c>
    </row>
    <row r="288" spans="1:29">
      <c r="A288" s="331" t="s">
        <v>624</v>
      </c>
      <c r="B288" s="332">
        <v>15</v>
      </c>
      <c r="C288" s="332">
        <v>280</v>
      </c>
      <c r="D288" s="332" t="s">
        <v>422</v>
      </c>
      <c r="E288" s="333">
        <v>1.5</v>
      </c>
      <c r="F288" s="334">
        <v>45218.680555555555</v>
      </c>
      <c r="G288" s="333">
        <v>1</v>
      </c>
      <c r="H288" s="333">
        <v>51.3675</v>
      </c>
      <c r="I288" s="333">
        <v>6.28024</v>
      </c>
      <c r="J288" s="333">
        <v>-15.167180999999999</v>
      </c>
      <c r="K288" s="333">
        <v>-14.320819</v>
      </c>
      <c r="L288" s="333">
        <v>985.99900000000002</v>
      </c>
      <c r="M288" s="333">
        <v>120.00091500000001</v>
      </c>
      <c r="N288" s="333">
        <v>17877.439999999999</v>
      </c>
      <c r="O288" s="333">
        <v>17883.948219999998</v>
      </c>
      <c r="P288" s="333">
        <v>2053.4699999999998</v>
      </c>
      <c r="Q288" s="332" t="s">
        <v>469</v>
      </c>
      <c r="R288" s="332"/>
      <c r="S288" s="333">
        <v>15</v>
      </c>
      <c r="T288" s="333">
        <v>5</v>
      </c>
      <c r="U288" s="333">
        <v>0.7</v>
      </c>
      <c r="V288" s="333">
        <v>0.7</v>
      </c>
      <c r="W288" s="333">
        <v>0.7</v>
      </c>
      <c r="X288" s="333">
        <v>1700</v>
      </c>
      <c r="Y288" s="332" t="s">
        <v>470</v>
      </c>
      <c r="Z288" s="333">
        <v>0.85</v>
      </c>
      <c r="AA288" s="332" t="s">
        <v>471</v>
      </c>
      <c r="AB288" s="332" t="s">
        <v>472</v>
      </c>
      <c r="AC288" s="335">
        <v>220</v>
      </c>
    </row>
    <row r="289" spans="1:29">
      <c r="A289" s="326" t="s">
        <v>625</v>
      </c>
      <c r="B289" s="327">
        <v>15</v>
      </c>
      <c r="C289" s="327">
        <v>280</v>
      </c>
      <c r="D289" s="327" t="s">
        <v>422</v>
      </c>
      <c r="E289" s="328">
        <v>1.5</v>
      </c>
      <c r="F289" s="329">
        <v>45218.684027777781</v>
      </c>
      <c r="G289" s="328">
        <v>1</v>
      </c>
      <c r="H289" s="328">
        <v>51.374099999999999</v>
      </c>
      <c r="I289" s="328">
        <v>6.2491300000000001</v>
      </c>
      <c r="J289" s="328">
        <v>-15.276481</v>
      </c>
      <c r="K289" s="328">
        <v>-14.427687000000001</v>
      </c>
      <c r="L289" s="328">
        <v>978.56700000000001</v>
      </c>
      <c r="M289" s="328">
        <v>117.500163</v>
      </c>
      <c r="N289" s="328">
        <v>17882.13</v>
      </c>
      <c r="O289" s="328">
        <v>17883.948219999998</v>
      </c>
      <c r="P289" s="328">
        <v>2053.4699999999998</v>
      </c>
      <c r="Q289" s="327" t="s">
        <v>469</v>
      </c>
      <c r="R289" s="327"/>
      <c r="S289" s="328">
        <v>15</v>
      </c>
      <c r="T289" s="328">
        <v>5</v>
      </c>
      <c r="U289" s="328">
        <v>0.7</v>
      </c>
      <c r="V289" s="328">
        <v>0.7</v>
      </c>
      <c r="W289" s="328">
        <v>0.7</v>
      </c>
      <c r="X289" s="328">
        <v>1700</v>
      </c>
      <c r="Y289" s="327" t="s">
        <v>470</v>
      </c>
      <c r="Z289" s="328">
        <v>0.85</v>
      </c>
      <c r="AA289" s="327" t="s">
        <v>471</v>
      </c>
      <c r="AB289" s="327" t="s">
        <v>472</v>
      </c>
      <c r="AC289" s="330">
        <v>220</v>
      </c>
    </row>
    <row r="290" spans="1:29">
      <c r="A290" s="331" t="s">
        <v>626</v>
      </c>
      <c r="B290" s="332">
        <v>15</v>
      </c>
      <c r="C290" s="332">
        <v>280</v>
      </c>
      <c r="D290" s="332" t="s">
        <v>422</v>
      </c>
      <c r="E290" s="333">
        <v>1.5</v>
      </c>
      <c r="F290" s="334">
        <v>45218.6875</v>
      </c>
      <c r="G290" s="333">
        <v>1</v>
      </c>
      <c r="H290" s="333">
        <v>51.370800000000003</v>
      </c>
      <c r="I290" s="333">
        <v>6.2616300000000003</v>
      </c>
      <c r="J290" s="333">
        <v>-15.342494</v>
      </c>
      <c r="K290" s="333">
        <v>-14.496644</v>
      </c>
      <c r="L290" s="333">
        <v>1003.8</v>
      </c>
      <c r="M290" s="333">
        <v>122.00061100000001</v>
      </c>
      <c r="N290" s="333">
        <v>17892.27</v>
      </c>
      <c r="O290" s="333">
        <v>17883.948219999998</v>
      </c>
      <c r="P290" s="333">
        <v>2053.4699999999998</v>
      </c>
      <c r="Q290" s="332" t="s">
        <v>469</v>
      </c>
      <c r="R290" s="332"/>
      <c r="S290" s="333">
        <v>15</v>
      </c>
      <c r="T290" s="333">
        <v>5</v>
      </c>
      <c r="U290" s="333">
        <v>0.7</v>
      </c>
      <c r="V290" s="333">
        <v>0.7</v>
      </c>
      <c r="W290" s="333">
        <v>0.7</v>
      </c>
      <c r="X290" s="333">
        <v>1700</v>
      </c>
      <c r="Y290" s="332" t="s">
        <v>470</v>
      </c>
      <c r="Z290" s="333">
        <v>0.85</v>
      </c>
      <c r="AA290" s="332" t="s">
        <v>471</v>
      </c>
      <c r="AB290" s="332" t="s">
        <v>472</v>
      </c>
      <c r="AC290" s="335">
        <v>220</v>
      </c>
    </row>
    <row r="291" spans="1:29">
      <c r="A291" s="326" t="s">
        <v>627</v>
      </c>
      <c r="B291" s="327">
        <v>16</v>
      </c>
      <c r="C291" s="327">
        <v>202</v>
      </c>
      <c r="D291" s="327" t="s">
        <v>423</v>
      </c>
      <c r="E291" s="328">
        <v>1.5</v>
      </c>
      <c r="F291" s="329">
        <v>45218.691666666666</v>
      </c>
      <c r="G291" s="328">
        <v>1</v>
      </c>
      <c r="H291" s="328">
        <v>51.370800000000003</v>
      </c>
      <c r="I291" s="328">
        <v>6.2471800000000002</v>
      </c>
      <c r="J291" s="328">
        <v>-15.367756</v>
      </c>
      <c r="K291" s="328">
        <v>-14.538812</v>
      </c>
      <c r="L291" s="328">
        <v>968.41</v>
      </c>
      <c r="M291" s="328">
        <v>123.997891</v>
      </c>
      <c r="N291" s="328">
        <v>17615</v>
      </c>
      <c r="O291" s="328">
        <v>17622.734199999999</v>
      </c>
      <c r="P291" s="328">
        <v>2023.643</v>
      </c>
      <c r="Q291" s="327" t="s">
        <v>469</v>
      </c>
      <c r="R291" s="327"/>
      <c r="S291" s="328">
        <v>15</v>
      </c>
      <c r="T291" s="328">
        <v>5</v>
      </c>
      <c r="U291" s="328">
        <v>0.7</v>
      </c>
      <c r="V291" s="328">
        <v>0.7</v>
      </c>
      <c r="W291" s="328">
        <v>0.7</v>
      </c>
      <c r="X291" s="328">
        <v>1700</v>
      </c>
      <c r="Y291" s="327" t="s">
        <v>470</v>
      </c>
      <c r="Z291" s="328">
        <v>0.85</v>
      </c>
      <c r="AA291" s="327" t="s">
        <v>471</v>
      </c>
      <c r="AB291" s="327" t="s">
        <v>472</v>
      </c>
      <c r="AC291" s="330">
        <v>220</v>
      </c>
    </row>
    <row r="292" spans="1:29">
      <c r="A292" s="331" t="s">
        <v>628</v>
      </c>
      <c r="B292" s="332">
        <v>16</v>
      </c>
      <c r="C292" s="332">
        <v>202</v>
      </c>
      <c r="D292" s="332" t="s">
        <v>423</v>
      </c>
      <c r="E292" s="333">
        <v>1.5</v>
      </c>
      <c r="F292" s="334">
        <v>45218.695138888892</v>
      </c>
      <c r="G292" s="333">
        <v>1</v>
      </c>
      <c r="H292" s="333">
        <v>51.370800000000003</v>
      </c>
      <c r="I292" s="333">
        <v>6.2315100000000001</v>
      </c>
      <c r="J292" s="333">
        <v>-15.272925000000001</v>
      </c>
      <c r="K292" s="333">
        <v>-14.451449999999999</v>
      </c>
      <c r="L292" s="333">
        <v>976.12400000000002</v>
      </c>
      <c r="M292" s="333">
        <v>121.49976700000001</v>
      </c>
      <c r="N292" s="333">
        <v>17630.07</v>
      </c>
      <c r="O292" s="333">
        <v>17622.734199999999</v>
      </c>
      <c r="P292" s="333">
        <v>2023.643</v>
      </c>
      <c r="Q292" s="332" t="s">
        <v>469</v>
      </c>
      <c r="R292" s="332"/>
      <c r="S292" s="333">
        <v>15</v>
      </c>
      <c r="T292" s="333">
        <v>5</v>
      </c>
      <c r="U292" s="333">
        <v>0.7</v>
      </c>
      <c r="V292" s="333">
        <v>0.7</v>
      </c>
      <c r="W292" s="333">
        <v>0.7</v>
      </c>
      <c r="X292" s="333">
        <v>1700</v>
      </c>
      <c r="Y292" s="332" t="s">
        <v>470</v>
      </c>
      <c r="Z292" s="333">
        <v>0.85</v>
      </c>
      <c r="AA292" s="332" t="s">
        <v>471</v>
      </c>
      <c r="AB292" s="332" t="s">
        <v>472</v>
      </c>
      <c r="AC292" s="335">
        <v>220</v>
      </c>
    </row>
    <row r="293" spans="1:29">
      <c r="A293" s="326" t="s">
        <v>629</v>
      </c>
      <c r="B293" s="327">
        <v>16</v>
      </c>
      <c r="C293" s="327">
        <v>202</v>
      </c>
      <c r="D293" s="327" t="s">
        <v>423</v>
      </c>
      <c r="E293" s="328">
        <v>1.5</v>
      </c>
      <c r="F293" s="329">
        <v>45218.698611111111</v>
      </c>
      <c r="G293" s="328">
        <v>1</v>
      </c>
      <c r="H293" s="328">
        <v>51.370800000000003</v>
      </c>
      <c r="I293" s="328">
        <v>6.22384</v>
      </c>
      <c r="J293" s="328">
        <v>-15.285762</v>
      </c>
      <c r="K293" s="328">
        <v>-14.468681</v>
      </c>
      <c r="L293" s="328">
        <v>975.34500000000003</v>
      </c>
      <c r="M293" s="328">
        <v>124.501319</v>
      </c>
      <c r="N293" s="328">
        <v>17623.13</v>
      </c>
      <c r="O293" s="328">
        <v>17622.734199999999</v>
      </c>
      <c r="P293" s="328">
        <v>2023.643</v>
      </c>
      <c r="Q293" s="327" t="s">
        <v>469</v>
      </c>
      <c r="R293" s="327"/>
      <c r="S293" s="328">
        <v>15</v>
      </c>
      <c r="T293" s="328">
        <v>5</v>
      </c>
      <c r="U293" s="328">
        <v>0.7</v>
      </c>
      <c r="V293" s="328">
        <v>0.7</v>
      </c>
      <c r="W293" s="328">
        <v>0.7</v>
      </c>
      <c r="X293" s="328">
        <v>1700</v>
      </c>
      <c r="Y293" s="327" t="s">
        <v>470</v>
      </c>
      <c r="Z293" s="328">
        <v>0.85</v>
      </c>
      <c r="AA293" s="327" t="s">
        <v>471</v>
      </c>
      <c r="AB293" s="327" t="s">
        <v>472</v>
      </c>
      <c r="AC293" s="330">
        <v>220</v>
      </c>
    </row>
    <row r="294" spans="1:29">
      <c r="A294" s="331" t="s">
        <v>636</v>
      </c>
      <c r="B294" s="332">
        <v>17</v>
      </c>
      <c r="C294" s="332">
        <v>203</v>
      </c>
      <c r="D294" s="332" t="s">
        <v>424</v>
      </c>
      <c r="E294" s="333">
        <v>1.5</v>
      </c>
      <c r="F294" s="334">
        <v>45218.702777777777</v>
      </c>
      <c r="G294" s="333">
        <v>1</v>
      </c>
      <c r="H294" s="333">
        <v>51.3675</v>
      </c>
      <c r="I294" s="333">
        <v>6.2084299999999999</v>
      </c>
      <c r="J294" s="333">
        <v>-15.428725</v>
      </c>
      <c r="K294" s="333">
        <v>-14.609987</v>
      </c>
      <c r="L294" s="333">
        <v>984.68200000000002</v>
      </c>
      <c r="M294" s="333">
        <v>129.50042300000001</v>
      </c>
      <c r="N294" s="333">
        <v>17791.29</v>
      </c>
      <c r="O294" s="333">
        <v>17782.94989</v>
      </c>
      <c r="P294" s="333">
        <v>2041.9369999999999</v>
      </c>
      <c r="Q294" s="332" t="s">
        <v>469</v>
      </c>
      <c r="R294" s="332"/>
      <c r="S294" s="333">
        <v>15</v>
      </c>
      <c r="T294" s="333">
        <v>5</v>
      </c>
      <c r="U294" s="333">
        <v>0.7</v>
      </c>
      <c r="V294" s="333">
        <v>0.7</v>
      </c>
      <c r="W294" s="333">
        <v>0.7</v>
      </c>
      <c r="X294" s="333">
        <v>1700</v>
      </c>
      <c r="Y294" s="332" t="s">
        <v>470</v>
      </c>
      <c r="Z294" s="333">
        <v>0.85</v>
      </c>
      <c r="AA294" s="332" t="s">
        <v>471</v>
      </c>
      <c r="AB294" s="332" t="s">
        <v>472</v>
      </c>
      <c r="AC294" s="335">
        <v>220</v>
      </c>
    </row>
    <row r="295" spans="1:29">
      <c r="A295" s="326" t="s">
        <v>637</v>
      </c>
      <c r="B295" s="327">
        <v>17</v>
      </c>
      <c r="C295" s="327">
        <v>203</v>
      </c>
      <c r="D295" s="327" t="s">
        <v>424</v>
      </c>
      <c r="E295" s="328">
        <v>1.5</v>
      </c>
      <c r="F295" s="329">
        <v>45218.706944444442</v>
      </c>
      <c r="G295" s="328">
        <v>1</v>
      </c>
      <c r="H295" s="328">
        <v>51.3675</v>
      </c>
      <c r="I295" s="328">
        <v>6.2437100000000001</v>
      </c>
      <c r="J295" s="328">
        <v>-15.312386999999999</v>
      </c>
      <c r="K295" s="328">
        <v>-14.467006</v>
      </c>
      <c r="L295" s="328">
        <v>979.37900000000002</v>
      </c>
      <c r="M295" s="328">
        <v>120.99894999999999</v>
      </c>
      <c r="N295" s="328">
        <v>17767.93</v>
      </c>
      <c r="O295" s="328">
        <v>17782.94989</v>
      </c>
      <c r="P295" s="328">
        <v>2041.9369999999999</v>
      </c>
      <c r="Q295" s="327" t="s">
        <v>469</v>
      </c>
      <c r="R295" s="327"/>
      <c r="S295" s="328">
        <v>15</v>
      </c>
      <c r="T295" s="328">
        <v>5</v>
      </c>
      <c r="U295" s="328">
        <v>0.7</v>
      </c>
      <c r="V295" s="328">
        <v>0.7</v>
      </c>
      <c r="W295" s="328">
        <v>0.7</v>
      </c>
      <c r="X295" s="328">
        <v>1700</v>
      </c>
      <c r="Y295" s="327" t="s">
        <v>470</v>
      </c>
      <c r="Z295" s="328">
        <v>0.85</v>
      </c>
      <c r="AA295" s="327" t="s">
        <v>471</v>
      </c>
      <c r="AB295" s="327" t="s">
        <v>472</v>
      </c>
      <c r="AC295" s="330">
        <v>220</v>
      </c>
    </row>
    <row r="296" spans="1:29">
      <c r="A296" s="331" t="s">
        <v>638</v>
      </c>
      <c r="B296" s="332">
        <v>17</v>
      </c>
      <c r="C296" s="332">
        <v>203</v>
      </c>
      <c r="D296" s="332" t="s">
        <v>424</v>
      </c>
      <c r="E296" s="333">
        <v>1.5</v>
      </c>
      <c r="F296" s="334">
        <v>45218.710416666669</v>
      </c>
      <c r="G296" s="333">
        <v>1</v>
      </c>
      <c r="H296" s="333">
        <v>51.370800000000003</v>
      </c>
      <c r="I296" s="333">
        <v>6.2143199999999998</v>
      </c>
      <c r="J296" s="333">
        <v>-15.290037999999999</v>
      </c>
      <c r="K296" s="333">
        <v>-14.467000000000001</v>
      </c>
      <c r="L296" s="333">
        <v>979.78899999999999</v>
      </c>
      <c r="M296" s="333">
        <v>122.00045299999999</v>
      </c>
      <c r="N296" s="333">
        <v>17789.63</v>
      </c>
      <c r="O296" s="333">
        <v>17782.94989</v>
      </c>
      <c r="P296" s="333">
        <v>2041.9369999999999</v>
      </c>
      <c r="Q296" s="332" t="s">
        <v>469</v>
      </c>
      <c r="R296" s="332"/>
      <c r="S296" s="333">
        <v>15</v>
      </c>
      <c r="T296" s="333">
        <v>5</v>
      </c>
      <c r="U296" s="333">
        <v>0.7</v>
      </c>
      <c r="V296" s="333">
        <v>0.7</v>
      </c>
      <c r="W296" s="333">
        <v>0.7</v>
      </c>
      <c r="X296" s="333">
        <v>1700</v>
      </c>
      <c r="Y296" s="332" t="s">
        <v>470</v>
      </c>
      <c r="Z296" s="333">
        <v>0.85</v>
      </c>
      <c r="AA296" s="332" t="s">
        <v>471</v>
      </c>
      <c r="AB296" s="332" t="s">
        <v>472</v>
      </c>
      <c r="AC296" s="335">
        <v>220</v>
      </c>
    </row>
    <row r="297" spans="1:29">
      <c r="A297" s="326" t="s">
        <v>639</v>
      </c>
      <c r="B297" s="327">
        <v>18</v>
      </c>
      <c r="C297" s="327">
        <v>213</v>
      </c>
      <c r="D297" s="327" t="s">
        <v>425</v>
      </c>
      <c r="E297" s="328">
        <v>1.5</v>
      </c>
      <c r="F297" s="329">
        <v>45218.713888888888</v>
      </c>
      <c r="G297" s="328">
        <v>1</v>
      </c>
      <c r="H297" s="328">
        <v>51.370800000000003</v>
      </c>
      <c r="I297" s="328">
        <v>6.2288399999999999</v>
      </c>
      <c r="J297" s="328">
        <v>-15.388469000000001</v>
      </c>
      <c r="K297" s="328">
        <v>-14.544994000000001</v>
      </c>
      <c r="L297" s="328">
        <v>983.61900000000003</v>
      </c>
      <c r="M297" s="328">
        <v>123.501378</v>
      </c>
      <c r="N297" s="328">
        <v>17596.23</v>
      </c>
      <c r="O297" s="328">
        <v>17613.523710000001</v>
      </c>
      <c r="P297" s="328">
        <v>2022.5909999999999</v>
      </c>
      <c r="Q297" s="327" t="s">
        <v>469</v>
      </c>
      <c r="R297" s="327"/>
      <c r="S297" s="328">
        <v>15</v>
      </c>
      <c r="T297" s="328">
        <v>5</v>
      </c>
      <c r="U297" s="328">
        <v>0.7</v>
      </c>
      <c r="V297" s="328">
        <v>0.7</v>
      </c>
      <c r="W297" s="328">
        <v>0.7</v>
      </c>
      <c r="X297" s="328">
        <v>1700</v>
      </c>
      <c r="Y297" s="327" t="s">
        <v>470</v>
      </c>
      <c r="Z297" s="328">
        <v>0.85</v>
      </c>
      <c r="AA297" s="327" t="s">
        <v>471</v>
      </c>
      <c r="AB297" s="327" t="s">
        <v>472</v>
      </c>
      <c r="AC297" s="330">
        <v>220</v>
      </c>
    </row>
    <row r="298" spans="1:29">
      <c r="A298" s="331" t="s">
        <v>640</v>
      </c>
      <c r="B298" s="332">
        <v>18</v>
      </c>
      <c r="C298" s="332">
        <v>213</v>
      </c>
      <c r="D298" s="332" t="s">
        <v>425</v>
      </c>
      <c r="E298" s="333">
        <v>1.5</v>
      </c>
      <c r="F298" s="334">
        <v>45218.718055555553</v>
      </c>
      <c r="G298" s="333">
        <v>1</v>
      </c>
      <c r="H298" s="333">
        <v>51.374099999999999</v>
      </c>
      <c r="I298" s="333">
        <v>6.0979999999999999</v>
      </c>
      <c r="J298" s="333">
        <v>-15.190106</v>
      </c>
      <c r="K298" s="333">
        <v>-14.354637</v>
      </c>
      <c r="L298" s="333">
        <v>988.88800000000003</v>
      </c>
      <c r="M298" s="333">
        <v>124.99975499999999</v>
      </c>
      <c r="N298" s="333">
        <v>17615.64</v>
      </c>
      <c r="O298" s="333">
        <v>17613.523710000001</v>
      </c>
      <c r="P298" s="333">
        <v>2022.5909999999999</v>
      </c>
      <c r="Q298" s="332" t="s">
        <v>469</v>
      </c>
      <c r="R298" s="332"/>
      <c r="S298" s="333">
        <v>15</v>
      </c>
      <c r="T298" s="333">
        <v>5</v>
      </c>
      <c r="U298" s="333">
        <v>0.7</v>
      </c>
      <c r="V298" s="333">
        <v>0.7</v>
      </c>
      <c r="W298" s="333">
        <v>0.7</v>
      </c>
      <c r="X298" s="333">
        <v>1700</v>
      </c>
      <c r="Y298" s="332" t="s">
        <v>470</v>
      </c>
      <c r="Z298" s="333">
        <v>0.85</v>
      </c>
      <c r="AA298" s="332" t="s">
        <v>471</v>
      </c>
      <c r="AB298" s="332" t="s">
        <v>472</v>
      </c>
      <c r="AC298" s="335">
        <v>220</v>
      </c>
    </row>
    <row r="299" spans="1:29">
      <c r="A299" s="326" t="s">
        <v>641</v>
      </c>
      <c r="B299" s="327">
        <v>18</v>
      </c>
      <c r="C299" s="327">
        <v>213</v>
      </c>
      <c r="D299" s="327" t="s">
        <v>425</v>
      </c>
      <c r="E299" s="328">
        <v>1.5</v>
      </c>
      <c r="F299" s="329">
        <v>45218.72152777778</v>
      </c>
      <c r="G299" s="328">
        <v>1</v>
      </c>
      <c r="H299" s="328">
        <v>51.370800000000003</v>
      </c>
      <c r="I299" s="328">
        <v>6.0457400000000003</v>
      </c>
      <c r="J299" s="328">
        <v>-15.298531000000001</v>
      </c>
      <c r="K299" s="328">
        <v>-14.457644</v>
      </c>
      <c r="L299" s="328">
        <v>970.83</v>
      </c>
      <c r="M299" s="328">
        <v>113.99833</v>
      </c>
      <c r="N299" s="328">
        <v>17628.7</v>
      </c>
      <c r="O299" s="328">
        <v>17613.523710000001</v>
      </c>
      <c r="P299" s="328">
        <v>2022.5909999999999</v>
      </c>
      <c r="Q299" s="327" t="s">
        <v>469</v>
      </c>
      <c r="R299" s="327"/>
      <c r="S299" s="328">
        <v>15</v>
      </c>
      <c r="T299" s="328">
        <v>5</v>
      </c>
      <c r="U299" s="328">
        <v>0.7</v>
      </c>
      <c r="V299" s="328">
        <v>0.7</v>
      </c>
      <c r="W299" s="328">
        <v>0.7</v>
      </c>
      <c r="X299" s="328">
        <v>1700</v>
      </c>
      <c r="Y299" s="327" t="s">
        <v>470</v>
      </c>
      <c r="Z299" s="328">
        <v>0.85</v>
      </c>
      <c r="AA299" s="327" t="s">
        <v>471</v>
      </c>
      <c r="AB299" s="327" t="s">
        <v>472</v>
      </c>
      <c r="AC299" s="330">
        <v>220</v>
      </c>
    </row>
    <row r="300" spans="1:29">
      <c r="A300" s="331" t="s">
        <v>649</v>
      </c>
      <c r="B300" s="332">
        <v>19</v>
      </c>
      <c r="C300" s="332">
        <v>214</v>
      </c>
      <c r="D300" s="332" t="s">
        <v>426</v>
      </c>
      <c r="E300" s="333">
        <v>1.5</v>
      </c>
      <c r="F300" s="334">
        <v>45218.725694444445</v>
      </c>
      <c r="G300" s="333">
        <v>1</v>
      </c>
      <c r="H300" s="333">
        <v>51.3675</v>
      </c>
      <c r="I300" s="333">
        <v>6.0455899999999998</v>
      </c>
      <c r="J300" s="333">
        <v>-15.34355</v>
      </c>
      <c r="K300" s="333">
        <v>-14.499193999999999</v>
      </c>
      <c r="L300" s="333">
        <v>985.10400000000004</v>
      </c>
      <c r="M300" s="333">
        <v>113.000111</v>
      </c>
      <c r="N300" s="333">
        <v>17619.14</v>
      </c>
      <c r="O300" s="333">
        <v>17625.714629999999</v>
      </c>
      <c r="P300" s="333">
        <v>2023.9829999999999</v>
      </c>
      <c r="Q300" s="332" t="s">
        <v>469</v>
      </c>
      <c r="R300" s="332"/>
      <c r="S300" s="333">
        <v>15</v>
      </c>
      <c r="T300" s="333">
        <v>5</v>
      </c>
      <c r="U300" s="333">
        <v>0.7</v>
      </c>
      <c r="V300" s="333">
        <v>0.7</v>
      </c>
      <c r="W300" s="333">
        <v>0.7</v>
      </c>
      <c r="X300" s="333">
        <v>1700</v>
      </c>
      <c r="Y300" s="332" t="s">
        <v>470</v>
      </c>
      <c r="Z300" s="333">
        <v>0.85</v>
      </c>
      <c r="AA300" s="332" t="s">
        <v>471</v>
      </c>
      <c r="AB300" s="332" t="s">
        <v>472</v>
      </c>
      <c r="AC300" s="335">
        <v>220</v>
      </c>
    </row>
    <row r="301" spans="1:29">
      <c r="A301" s="326" t="s">
        <v>650</v>
      </c>
      <c r="B301" s="327">
        <v>19</v>
      </c>
      <c r="C301" s="327">
        <v>214</v>
      </c>
      <c r="D301" s="327" t="s">
        <v>426</v>
      </c>
      <c r="E301" s="328">
        <v>1.5</v>
      </c>
      <c r="F301" s="329">
        <v>45218.729166666664</v>
      </c>
      <c r="G301" s="328">
        <v>1</v>
      </c>
      <c r="H301" s="328">
        <v>51.370800000000003</v>
      </c>
      <c r="I301" s="328">
        <v>6.1331300000000004</v>
      </c>
      <c r="J301" s="328">
        <v>-15.377794</v>
      </c>
      <c r="K301" s="328">
        <v>-14.539331000000001</v>
      </c>
      <c r="L301" s="328">
        <v>980.92600000000004</v>
      </c>
      <c r="M301" s="328">
        <v>126.500832</v>
      </c>
      <c r="N301" s="328">
        <v>17614.97</v>
      </c>
      <c r="O301" s="328">
        <v>17625.714629999999</v>
      </c>
      <c r="P301" s="328">
        <v>2023.9829999999999</v>
      </c>
      <c r="Q301" s="327" t="s">
        <v>469</v>
      </c>
      <c r="R301" s="327"/>
      <c r="S301" s="328">
        <v>15</v>
      </c>
      <c r="T301" s="328">
        <v>5</v>
      </c>
      <c r="U301" s="328">
        <v>0.7</v>
      </c>
      <c r="V301" s="328">
        <v>0.7</v>
      </c>
      <c r="W301" s="328">
        <v>0.7</v>
      </c>
      <c r="X301" s="328">
        <v>1700</v>
      </c>
      <c r="Y301" s="327" t="s">
        <v>470</v>
      </c>
      <c r="Z301" s="328">
        <v>0.85</v>
      </c>
      <c r="AA301" s="327" t="s">
        <v>471</v>
      </c>
      <c r="AB301" s="327" t="s">
        <v>472</v>
      </c>
      <c r="AC301" s="330">
        <v>220</v>
      </c>
    </row>
    <row r="302" spans="1:29">
      <c r="A302" s="331" t="s">
        <v>651</v>
      </c>
      <c r="B302" s="332">
        <v>19</v>
      </c>
      <c r="C302" s="332">
        <v>214</v>
      </c>
      <c r="D302" s="332" t="s">
        <v>426</v>
      </c>
      <c r="E302" s="333">
        <v>1.5</v>
      </c>
      <c r="F302" s="334">
        <v>45218.732638888891</v>
      </c>
      <c r="G302" s="333">
        <v>1</v>
      </c>
      <c r="H302" s="333">
        <v>51.377400000000002</v>
      </c>
      <c r="I302" s="333">
        <v>6.0653300000000003</v>
      </c>
      <c r="J302" s="333">
        <v>-15.416805999999999</v>
      </c>
      <c r="K302" s="333">
        <v>-14.571088</v>
      </c>
      <c r="L302" s="333">
        <v>968.42499999999995</v>
      </c>
      <c r="M302" s="333">
        <v>120.999371</v>
      </c>
      <c r="N302" s="333">
        <v>17661.61</v>
      </c>
      <c r="O302" s="333">
        <v>17625.714629999999</v>
      </c>
      <c r="P302" s="333">
        <v>2023.9829999999999</v>
      </c>
      <c r="Q302" s="332" t="s">
        <v>542</v>
      </c>
      <c r="R302" s="332"/>
      <c r="S302" s="333">
        <v>15</v>
      </c>
      <c r="T302" s="333">
        <v>5</v>
      </c>
      <c r="U302" s="333">
        <v>0.7</v>
      </c>
      <c r="V302" s="333">
        <v>0.7</v>
      </c>
      <c r="W302" s="333">
        <v>0.7</v>
      </c>
      <c r="X302" s="333">
        <v>1700</v>
      </c>
      <c r="Y302" s="332" t="s">
        <v>470</v>
      </c>
      <c r="Z302" s="333">
        <v>0.85</v>
      </c>
      <c r="AA302" s="332" t="s">
        <v>471</v>
      </c>
      <c r="AB302" s="332" t="s">
        <v>472</v>
      </c>
      <c r="AC302" s="335">
        <v>220</v>
      </c>
    </row>
    <row r="303" spans="1:29">
      <c r="A303" s="326" t="s">
        <v>725</v>
      </c>
      <c r="B303" s="327">
        <v>19</v>
      </c>
      <c r="C303" s="327">
        <v>214</v>
      </c>
      <c r="D303" s="327" t="s">
        <v>426</v>
      </c>
      <c r="E303" s="328">
        <v>1.5</v>
      </c>
      <c r="F303" s="329">
        <v>45218.736111111109</v>
      </c>
      <c r="G303" s="328">
        <v>1</v>
      </c>
      <c r="H303" s="328">
        <v>51.377400000000002</v>
      </c>
      <c r="I303" s="328">
        <v>6.1062500000000002</v>
      </c>
      <c r="J303" s="328">
        <v>-15.390044</v>
      </c>
      <c r="K303" s="328">
        <v>-14.554525</v>
      </c>
      <c r="L303" s="328">
        <v>973.72799999999995</v>
      </c>
      <c r="M303" s="328">
        <v>118.00092600000001</v>
      </c>
      <c r="N303" s="328">
        <v>17643.04</v>
      </c>
      <c r="O303" s="328">
        <v>17625.714629999999</v>
      </c>
      <c r="P303" s="328">
        <v>2023.9829999999999</v>
      </c>
      <c r="Q303" s="327" t="s">
        <v>469</v>
      </c>
      <c r="R303" s="327"/>
      <c r="S303" s="328">
        <v>15</v>
      </c>
      <c r="T303" s="328">
        <v>5</v>
      </c>
      <c r="U303" s="328">
        <v>0.7</v>
      </c>
      <c r="V303" s="328">
        <v>0.7</v>
      </c>
      <c r="W303" s="328">
        <v>0.7</v>
      </c>
      <c r="X303" s="328">
        <v>1700</v>
      </c>
      <c r="Y303" s="327" t="s">
        <v>470</v>
      </c>
      <c r="Z303" s="328">
        <v>0.85</v>
      </c>
      <c r="AA303" s="327" t="s">
        <v>471</v>
      </c>
      <c r="AB303" s="327" t="s">
        <v>472</v>
      </c>
      <c r="AC303" s="330">
        <v>220</v>
      </c>
    </row>
    <row r="304" spans="1:29">
      <c r="A304" s="331" t="s">
        <v>652</v>
      </c>
      <c r="B304" s="332">
        <v>20</v>
      </c>
      <c r="C304" s="332" t="s">
        <v>430</v>
      </c>
      <c r="D304" s="332" t="s">
        <v>468</v>
      </c>
      <c r="E304" s="333">
        <v>1.5</v>
      </c>
      <c r="F304" s="334">
        <v>45218.740277777775</v>
      </c>
      <c r="G304" s="333">
        <v>1</v>
      </c>
      <c r="H304" s="333">
        <v>51.3675</v>
      </c>
      <c r="I304" s="333">
        <v>6.0535399999999999</v>
      </c>
      <c r="J304" s="333">
        <v>-15.353656000000001</v>
      </c>
      <c r="K304" s="333">
        <v>-14.504731</v>
      </c>
      <c r="L304" s="333">
        <v>1002.12</v>
      </c>
      <c r="M304" s="333">
        <v>125.001012</v>
      </c>
      <c r="N304" s="333">
        <v>18169.599999999999</v>
      </c>
      <c r="O304" s="333">
        <v>0</v>
      </c>
      <c r="P304" s="333">
        <v>0</v>
      </c>
      <c r="Q304" s="332" t="s">
        <v>479</v>
      </c>
      <c r="R304" s="332"/>
      <c r="S304" s="333">
        <v>15</v>
      </c>
      <c r="T304" s="333">
        <v>5</v>
      </c>
      <c r="U304" s="333">
        <v>0.7</v>
      </c>
      <c r="V304" s="333">
        <v>0.7</v>
      </c>
      <c r="W304" s="333">
        <v>0.7</v>
      </c>
      <c r="X304" s="333">
        <v>1700</v>
      </c>
      <c r="Y304" s="332" t="s">
        <v>470</v>
      </c>
      <c r="Z304" s="333">
        <v>0.85</v>
      </c>
      <c r="AA304" s="332" t="s">
        <v>471</v>
      </c>
      <c r="AB304" s="332" t="s">
        <v>472</v>
      </c>
      <c r="AC304" s="335">
        <v>220</v>
      </c>
    </row>
    <row r="305" spans="1:29">
      <c r="A305" s="326" t="s">
        <v>653</v>
      </c>
      <c r="B305" s="327">
        <v>20</v>
      </c>
      <c r="C305" s="327" t="s">
        <v>430</v>
      </c>
      <c r="D305" s="327" t="s">
        <v>468</v>
      </c>
      <c r="E305" s="328">
        <v>1.5</v>
      </c>
      <c r="F305" s="329">
        <v>45218.743750000001</v>
      </c>
      <c r="G305" s="328">
        <v>1</v>
      </c>
      <c r="H305" s="328">
        <v>51.370800000000003</v>
      </c>
      <c r="I305" s="328">
        <v>6.0183200000000001</v>
      </c>
      <c r="J305" s="328">
        <v>-15.451438</v>
      </c>
      <c r="K305" s="328">
        <v>-14.615256</v>
      </c>
      <c r="L305" s="328">
        <v>1007.25</v>
      </c>
      <c r="M305" s="328">
        <v>128.50006500000001</v>
      </c>
      <c r="N305" s="328">
        <v>18068.810000000001</v>
      </c>
      <c r="O305" s="328">
        <v>0</v>
      </c>
      <c r="P305" s="328">
        <v>0</v>
      </c>
      <c r="Q305" s="327" t="s">
        <v>479</v>
      </c>
      <c r="R305" s="327"/>
      <c r="S305" s="328">
        <v>15</v>
      </c>
      <c r="T305" s="328">
        <v>5</v>
      </c>
      <c r="U305" s="328">
        <v>0.7</v>
      </c>
      <c r="V305" s="328">
        <v>0.7</v>
      </c>
      <c r="W305" s="328">
        <v>0.7</v>
      </c>
      <c r="X305" s="328">
        <v>1700</v>
      </c>
      <c r="Y305" s="327" t="s">
        <v>470</v>
      </c>
      <c r="Z305" s="328">
        <v>0.85</v>
      </c>
      <c r="AA305" s="327" t="s">
        <v>471</v>
      </c>
      <c r="AB305" s="327" t="s">
        <v>472</v>
      </c>
      <c r="AC305" s="330">
        <v>220</v>
      </c>
    </row>
    <row r="306" spans="1:29">
      <c r="A306" s="331" t="s">
        <v>654</v>
      </c>
      <c r="B306" s="332">
        <v>20</v>
      </c>
      <c r="C306" s="332" t="s">
        <v>430</v>
      </c>
      <c r="D306" s="332" t="s">
        <v>468</v>
      </c>
      <c r="E306" s="333">
        <v>1.5</v>
      </c>
      <c r="F306" s="334">
        <v>45218.74722222222</v>
      </c>
      <c r="G306" s="333">
        <v>1</v>
      </c>
      <c r="H306" s="333">
        <v>51.370800000000003</v>
      </c>
      <c r="I306" s="333">
        <v>6.0485800000000003</v>
      </c>
      <c r="J306" s="333">
        <v>-15.504394</v>
      </c>
      <c r="K306" s="333">
        <v>-14.657931</v>
      </c>
      <c r="L306" s="333">
        <v>989.11300000000006</v>
      </c>
      <c r="M306" s="333">
        <v>131.50036399999999</v>
      </c>
      <c r="N306" s="333">
        <v>18209.7</v>
      </c>
      <c r="O306" s="333">
        <v>0</v>
      </c>
      <c r="P306" s="333">
        <v>0</v>
      </c>
      <c r="Q306" s="332" t="s">
        <v>479</v>
      </c>
      <c r="R306" s="332"/>
      <c r="S306" s="333">
        <v>15</v>
      </c>
      <c r="T306" s="333">
        <v>5</v>
      </c>
      <c r="U306" s="333">
        <v>0.7</v>
      </c>
      <c r="V306" s="333">
        <v>0.7</v>
      </c>
      <c r="W306" s="333">
        <v>0.7</v>
      </c>
      <c r="X306" s="333">
        <v>1700</v>
      </c>
      <c r="Y306" s="332" t="s">
        <v>470</v>
      </c>
      <c r="Z306" s="333">
        <v>0.85</v>
      </c>
      <c r="AA306" s="332" t="s">
        <v>471</v>
      </c>
      <c r="AB306" s="332" t="s">
        <v>472</v>
      </c>
      <c r="AC306" s="335">
        <v>220</v>
      </c>
    </row>
    <row r="307" spans="1:29">
      <c r="A307" s="326" t="s">
        <v>655</v>
      </c>
      <c r="B307" s="327">
        <v>20</v>
      </c>
      <c r="C307" s="327" t="s">
        <v>430</v>
      </c>
      <c r="D307" s="327" t="s">
        <v>468</v>
      </c>
      <c r="E307" s="328">
        <v>1.5</v>
      </c>
      <c r="F307" s="329">
        <v>45218.751388888886</v>
      </c>
      <c r="G307" s="328">
        <v>1</v>
      </c>
      <c r="H307" s="328">
        <v>51.374099999999999</v>
      </c>
      <c r="I307" s="328">
        <v>6.2188100000000004</v>
      </c>
      <c r="J307" s="328">
        <v>-15.480362</v>
      </c>
      <c r="K307" s="328">
        <v>-14.646319</v>
      </c>
      <c r="L307" s="328">
        <v>1009.99</v>
      </c>
      <c r="M307" s="328">
        <v>121.001032</v>
      </c>
      <c r="N307" s="328">
        <v>18053.060000000001</v>
      </c>
      <c r="O307" s="328">
        <v>0</v>
      </c>
      <c r="P307" s="328">
        <v>0</v>
      </c>
      <c r="Q307" s="327" t="s">
        <v>479</v>
      </c>
      <c r="R307" s="327"/>
      <c r="S307" s="328">
        <v>15</v>
      </c>
      <c r="T307" s="328">
        <v>5</v>
      </c>
      <c r="U307" s="328">
        <v>0.7</v>
      </c>
      <c r="V307" s="328">
        <v>0.7</v>
      </c>
      <c r="W307" s="328">
        <v>0.7</v>
      </c>
      <c r="X307" s="328">
        <v>1700</v>
      </c>
      <c r="Y307" s="327" t="s">
        <v>470</v>
      </c>
      <c r="Z307" s="328">
        <v>0.85</v>
      </c>
      <c r="AA307" s="327" t="s">
        <v>471</v>
      </c>
      <c r="AB307" s="327" t="s">
        <v>472</v>
      </c>
      <c r="AC307" s="330">
        <v>220</v>
      </c>
    </row>
    <row r="308" spans="1:29">
      <c r="A308" s="331" t="s">
        <v>726</v>
      </c>
      <c r="B308" s="332">
        <v>20</v>
      </c>
      <c r="C308" s="332" t="s">
        <v>430</v>
      </c>
      <c r="D308" s="332" t="s">
        <v>468</v>
      </c>
      <c r="E308" s="333">
        <v>1.5</v>
      </c>
      <c r="F308" s="334">
        <v>45218.754861111112</v>
      </c>
      <c r="G308" s="333">
        <v>1</v>
      </c>
      <c r="H308" s="333">
        <v>51.370800000000003</v>
      </c>
      <c r="I308" s="333">
        <v>6.1850899999999998</v>
      </c>
      <c r="J308" s="333">
        <v>-15.453369</v>
      </c>
      <c r="K308" s="333">
        <v>-14.6068</v>
      </c>
      <c r="L308" s="333">
        <v>1002.43</v>
      </c>
      <c r="M308" s="333">
        <v>123.999247</v>
      </c>
      <c r="N308" s="333">
        <v>18003.73</v>
      </c>
      <c r="O308" s="333">
        <v>0</v>
      </c>
      <c r="P308" s="333">
        <v>0</v>
      </c>
      <c r="Q308" s="332" t="s">
        <v>479</v>
      </c>
      <c r="R308" s="332"/>
      <c r="S308" s="333">
        <v>15</v>
      </c>
      <c r="T308" s="333">
        <v>5</v>
      </c>
      <c r="U308" s="333">
        <v>0.7</v>
      </c>
      <c r="V308" s="333">
        <v>0.7</v>
      </c>
      <c r="W308" s="333">
        <v>0.7</v>
      </c>
      <c r="X308" s="333">
        <v>1700</v>
      </c>
      <c r="Y308" s="332" t="s">
        <v>470</v>
      </c>
      <c r="Z308" s="333">
        <v>0.85</v>
      </c>
      <c r="AA308" s="332" t="s">
        <v>471</v>
      </c>
      <c r="AB308" s="332" t="s">
        <v>472</v>
      </c>
      <c r="AC308" s="335">
        <v>220</v>
      </c>
    </row>
    <row r="309" spans="1:29">
      <c r="A309" s="336" t="s">
        <v>727</v>
      </c>
      <c r="B309" s="337">
        <v>20</v>
      </c>
      <c r="C309" s="337" t="s">
        <v>430</v>
      </c>
      <c r="D309" s="337" t="s">
        <v>468</v>
      </c>
      <c r="E309" s="338">
        <v>1.5</v>
      </c>
      <c r="F309" s="339">
        <v>45218.758333333331</v>
      </c>
      <c r="G309" s="338">
        <v>2</v>
      </c>
      <c r="H309" s="338">
        <v>51.370800000000003</v>
      </c>
      <c r="I309" s="338">
        <v>6.1422999999999996</v>
      </c>
      <c r="J309" s="338">
        <v>-15.377000000000001</v>
      </c>
      <c r="K309" s="338">
        <v>-14.545586999999999</v>
      </c>
      <c r="L309" s="338">
        <v>996.16499999999996</v>
      </c>
      <c r="M309" s="338">
        <v>104.501515</v>
      </c>
      <c r="N309" s="338">
        <v>18001.86</v>
      </c>
      <c r="O309" s="338">
        <v>18004.349180000001</v>
      </c>
      <c r="P309" s="338">
        <v>2067.2179999999998</v>
      </c>
      <c r="Q309" s="337" t="s">
        <v>469</v>
      </c>
      <c r="R309" s="337"/>
      <c r="S309" s="338">
        <v>15</v>
      </c>
      <c r="T309" s="338">
        <v>5</v>
      </c>
      <c r="U309" s="338">
        <v>0.7</v>
      </c>
      <c r="V309" s="338">
        <v>0.7</v>
      </c>
      <c r="W309" s="338">
        <v>0.7</v>
      </c>
      <c r="X309" s="338">
        <v>1700</v>
      </c>
      <c r="Y309" s="337" t="s">
        <v>470</v>
      </c>
      <c r="Z309" s="338">
        <v>0.85</v>
      </c>
      <c r="AA309" s="337" t="s">
        <v>471</v>
      </c>
      <c r="AB309" s="337" t="s">
        <v>472</v>
      </c>
      <c r="AC309" s="340">
        <v>220</v>
      </c>
    </row>
    <row r="310" spans="1:29">
      <c r="A310" s="331" t="s">
        <v>728</v>
      </c>
      <c r="B310" s="332">
        <v>20</v>
      </c>
      <c r="C310" s="332" t="s">
        <v>430</v>
      </c>
      <c r="D310" s="332" t="s">
        <v>468</v>
      </c>
      <c r="E310" s="333">
        <v>1.5</v>
      </c>
      <c r="F310" s="334">
        <v>45218.761805555558</v>
      </c>
      <c r="G310" s="333">
        <v>2</v>
      </c>
      <c r="H310" s="333">
        <v>51.3675</v>
      </c>
      <c r="I310" s="333">
        <v>6.2302799999999996</v>
      </c>
      <c r="J310" s="333">
        <v>-15.427581</v>
      </c>
      <c r="K310" s="333">
        <v>-14.598687999999999</v>
      </c>
      <c r="L310" s="333">
        <v>1000.1</v>
      </c>
      <c r="M310" s="333">
        <v>116.49846599999999</v>
      </c>
      <c r="N310" s="333">
        <v>17992.96</v>
      </c>
      <c r="O310" s="333">
        <v>18004.349180000001</v>
      </c>
      <c r="P310" s="333">
        <v>2067.2179999999998</v>
      </c>
      <c r="Q310" s="332" t="s">
        <v>469</v>
      </c>
      <c r="R310" s="332"/>
      <c r="S310" s="333">
        <v>15</v>
      </c>
      <c r="T310" s="333">
        <v>5</v>
      </c>
      <c r="U310" s="333">
        <v>0.7</v>
      </c>
      <c r="V310" s="333">
        <v>0.7</v>
      </c>
      <c r="W310" s="333">
        <v>0.7</v>
      </c>
      <c r="X310" s="333">
        <v>1700</v>
      </c>
      <c r="Y310" s="332" t="s">
        <v>470</v>
      </c>
      <c r="Z310" s="333">
        <v>0.85</v>
      </c>
      <c r="AA310" s="332" t="s">
        <v>471</v>
      </c>
      <c r="AB310" s="332" t="s">
        <v>472</v>
      </c>
      <c r="AC310" s="335">
        <v>220</v>
      </c>
    </row>
    <row r="311" spans="1:29">
      <c r="A311" s="326" t="s">
        <v>729</v>
      </c>
      <c r="B311" s="327">
        <v>20</v>
      </c>
      <c r="C311" s="327" t="s">
        <v>430</v>
      </c>
      <c r="D311" s="327" t="s">
        <v>468</v>
      </c>
      <c r="E311" s="328">
        <v>1.5</v>
      </c>
      <c r="F311" s="329">
        <v>45218.765277777777</v>
      </c>
      <c r="G311" s="328">
        <v>2</v>
      </c>
      <c r="H311" s="328">
        <v>51.374099999999999</v>
      </c>
      <c r="I311" s="328">
        <v>6.1388999999999996</v>
      </c>
      <c r="J311" s="328">
        <v>-15.496712</v>
      </c>
      <c r="K311" s="328">
        <v>-14.653638000000001</v>
      </c>
      <c r="L311" s="328">
        <v>1003.42</v>
      </c>
      <c r="M311" s="328">
        <v>132.500257</v>
      </c>
      <c r="N311" s="328">
        <v>18018.23</v>
      </c>
      <c r="O311" s="328">
        <v>18004.349180000001</v>
      </c>
      <c r="P311" s="328">
        <v>2067.2179999999998</v>
      </c>
      <c r="Q311" s="327" t="s">
        <v>469</v>
      </c>
      <c r="R311" s="327"/>
      <c r="S311" s="328">
        <v>15</v>
      </c>
      <c r="T311" s="328">
        <v>5</v>
      </c>
      <c r="U311" s="328">
        <v>0.7</v>
      </c>
      <c r="V311" s="328">
        <v>0.7</v>
      </c>
      <c r="W311" s="328">
        <v>0.7</v>
      </c>
      <c r="X311" s="328">
        <v>1700</v>
      </c>
      <c r="Y311" s="327" t="s">
        <v>470</v>
      </c>
      <c r="Z311" s="328">
        <v>0.85</v>
      </c>
      <c r="AA311" s="327" t="s">
        <v>471</v>
      </c>
      <c r="AB311" s="327" t="s">
        <v>472</v>
      </c>
      <c r="AC311" s="330">
        <v>220</v>
      </c>
    </row>
    <row r="312" spans="1:29">
      <c r="A312" s="324"/>
      <c r="B312" s="324"/>
      <c r="C312" s="324"/>
      <c r="D312" s="324"/>
      <c r="E312" s="324"/>
      <c r="F312" s="325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  <c r="AB312" s="324"/>
      <c r="AC312" s="324"/>
    </row>
    <row r="313" spans="1:29">
      <c r="A313" s="307" t="s">
        <v>466</v>
      </c>
      <c r="B313" s="308" t="s">
        <v>467</v>
      </c>
      <c r="C313" s="308" t="s">
        <v>588</v>
      </c>
      <c r="D313" s="308" t="s">
        <v>468</v>
      </c>
      <c r="E313" s="309">
        <v>1</v>
      </c>
      <c r="F313" s="310">
        <v>45219.418749999997</v>
      </c>
      <c r="G313" s="309">
        <v>1</v>
      </c>
      <c r="H313" s="309">
        <v>51.364100000000001</v>
      </c>
      <c r="I313" s="309">
        <v>8.6631300000000007</v>
      </c>
      <c r="J313" s="309">
        <v>-14.888406</v>
      </c>
      <c r="K313" s="309">
        <v>-14.045662999999999</v>
      </c>
      <c r="L313" s="309">
        <v>912.61500000000001</v>
      </c>
      <c r="M313" s="309">
        <v>100.998372</v>
      </c>
      <c r="N313" s="309">
        <v>12022.45</v>
      </c>
      <c r="O313" s="309">
        <v>12022.45369</v>
      </c>
      <c r="P313" s="309">
        <v>2076.2399999999998</v>
      </c>
      <c r="Q313" s="308" t="s">
        <v>469</v>
      </c>
      <c r="R313" s="308"/>
      <c r="S313" s="309">
        <v>15</v>
      </c>
      <c r="T313" s="309">
        <v>5</v>
      </c>
      <c r="U313" s="309">
        <v>0.7</v>
      </c>
      <c r="V313" s="309">
        <v>0.7</v>
      </c>
      <c r="W313" s="309">
        <v>0.7</v>
      </c>
      <c r="X313" s="309">
        <v>1700</v>
      </c>
      <c r="Y313" s="308" t="s">
        <v>470</v>
      </c>
      <c r="Z313" s="309">
        <v>0.85</v>
      </c>
      <c r="AA313" s="308" t="s">
        <v>471</v>
      </c>
      <c r="AB313" s="308" t="s">
        <v>472</v>
      </c>
      <c r="AC313" s="311">
        <v>220</v>
      </c>
    </row>
    <row r="314" spans="1:29">
      <c r="A314" s="326" t="s">
        <v>473</v>
      </c>
      <c r="B314" s="327" t="s">
        <v>467</v>
      </c>
      <c r="C314" s="327" t="s">
        <v>588</v>
      </c>
      <c r="D314" s="327" t="s">
        <v>468</v>
      </c>
      <c r="E314" s="328">
        <v>1</v>
      </c>
      <c r="F314" s="329">
        <v>45219.421527777777</v>
      </c>
      <c r="G314" s="328">
        <v>1</v>
      </c>
      <c r="H314" s="328">
        <v>51.3675</v>
      </c>
      <c r="I314" s="328">
        <v>8.1054499999999994</v>
      </c>
      <c r="J314" s="328">
        <v>-15.079893999999999</v>
      </c>
      <c r="K314" s="328">
        <v>-14.234624999999999</v>
      </c>
      <c r="L314" s="328">
        <v>903.44</v>
      </c>
      <c r="M314" s="328">
        <v>98.000763000000006</v>
      </c>
      <c r="N314" s="328">
        <v>12011.19</v>
      </c>
      <c r="O314" s="328">
        <v>12011.19152</v>
      </c>
      <c r="P314" s="328">
        <v>2074.3110000000001</v>
      </c>
      <c r="Q314" s="327" t="s">
        <v>469</v>
      </c>
      <c r="R314" s="327"/>
      <c r="S314" s="328">
        <v>15</v>
      </c>
      <c r="T314" s="328">
        <v>5</v>
      </c>
      <c r="U314" s="328">
        <v>0.7</v>
      </c>
      <c r="V314" s="328">
        <v>0.7</v>
      </c>
      <c r="W314" s="328">
        <v>0.7</v>
      </c>
      <c r="X314" s="328">
        <v>1700</v>
      </c>
      <c r="Y314" s="327" t="s">
        <v>470</v>
      </c>
      <c r="Z314" s="328">
        <v>0.85</v>
      </c>
      <c r="AA314" s="327" t="s">
        <v>471</v>
      </c>
      <c r="AB314" s="327" t="s">
        <v>472</v>
      </c>
      <c r="AC314" s="330">
        <v>220</v>
      </c>
    </row>
    <row r="315" spans="1:29">
      <c r="A315" s="331" t="s">
        <v>474</v>
      </c>
      <c r="B315" s="332" t="s">
        <v>467</v>
      </c>
      <c r="C315" s="332" t="s">
        <v>588</v>
      </c>
      <c r="D315" s="332" t="s">
        <v>468</v>
      </c>
      <c r="E315" s="333">
        <v>1</v>
      </c>
      <c r="F315" s="334">
        <v>45219.425000000003</v>
      </c>
      <c r="G315" s="333">
        <v>1</v>
      </c>
      <c r="H315" s="333">
        <v>51.364100000000001</v>
      </c>
      <c r="I315" s="333">
        <v>7.4161799999999998</v>
      </c>
      <c r="J315" s="333">
        <v>-15.371525</v>
      </c>
      <c r="K315" s="333">
        <v>-14.531262999999999</v>
      </c>
      <c r="L315" s="333">
        <v>912.50199999999995</v>
      </c>
      <c r="M315" s="333">
        <v>114.499859</v>
      </c>
      <c r="N315" s="333">
        <v>12017.34</v>
      </c>
      <c r="O315" s="333">
        <v>12017.33807</v>
      </c>
      <c r="P315" s="333">
        <v>2075.364</v>
      </c>
      <c r="Q315" s="332" t="s">
        <v>469</v>
      </c>
      <c r="R315" s="332"/>
      <c r="S315" s="333">
        <v>15</v>
      </c>
      <c r="T315" s="333">
        <v>5</v>
      </c>
      <c r="U315" s="333">
        <v>0.7</v>
      </c>
      <c r="V315" s="333">
        <v>0.7</v>
      </c>
      <c r="W315" s="333">
        <v>0.7</v>
      </c>
      <c r="X315" s="333">
        <v>1700</v>
      </c>
      <c r="Y315" s="332" t="s">
        <v>470</v>
      </c>
      <c r="Z315" s="333">
        <v>0.85</v>
      </c>
      <c r="AA315" s="332" t="s">
        <v>471</v>
      </c>
      <c r="AB315" s="332" t="s">
        <v>472</v>
      </c>
      <c r="AC315" s="335">
        <v>220</v>
      </c>
    </row>
    <row r="316" spans="1:29">
      <c r="A316" s="326" t="s">
        <v>475</v>
      </c>
      <c r="B316" s="327" t="s">
        <v>467</v>
      </c>
      <c r="C316" s="327" t="s">
        <v>588</v>
      </c>
      <c r="D316" s="327" t="s">
        <v>468</v>
      </c>
      <c r="E316" s="328">
        <v>1</v>
      </c>
      <c r="F316" s="329">
        <v>45219.427777777775</v>
      </c>
      <c r="G316" s="328">
        <v>1</v>
      </c>
      <c r="H316" s="328">
        <v>51.364100000000001</v>
      </c>
      <c r="I316" s="328">
        <v>7.0277599999999998</v>
      </c>
      <c r="J316" s="328">
        <v>-15.332131</v>
      </c>
      <c r="K316" s="328">
        <v>-14.482725</v>
      </c>
      <c r="L316" s="328">
        <v>914.18700000000001</v>
      </c>
      <c r="M316" s="328">
        <v>104.500379</v>
      </c>
      <c r="N316" s="328">
        <v>12051.52</v>
      </c>
      <c r="O316" s="328">
        <v>12051.52174</v>
      </c>
      <c r="P316" s="328">
        <v>2081.2190000000001</v>
      </c>
      <c r="Q316" s="327" t="s">
        <v>469</v>
      </c>
      <c r="R316" s="327"/>
      <c r="S316" s="328">
        <v>15</v>
      </c>
      <c r="T316" s="328">
        <v>5</v>
      </c>
      <c r="U316" s="328">
        <v>0.7</v>
      </c>
      <c r="V316" s="328">
        <v>0.7</v>
      </c>
      <c r="W316" s="328">
        <v>0.7</v>
      </c>
      <c r="X316" s="328">
        <v>1700</v>
      </c>
      <c r="Y316" s="327" t="s">
        <v>470</v>
      </c>
      <c r="Z316" s="328">
        <v>0.85</v>
      </c>
      <c r="AA316" s="327" t="s">
        <v>471</v>
      </c>
      <c r="AB316" s="327" t="s">
        <v>472</v>
      </c>
      <c r="AC316" s="330">
        <v>220</v>
      </c>
    </row>
    <row r="317" spans="1:29">
      <c r="A317" s="331" t="s">
        <v>730</v>
      </c>
      <c r="B317" s="332" t="s">
        <v>478</v>
      </c>
      <c r="C317" s="332" t="s">
        <v>433</v>
      </c>
      <c r="D317" s="332" t="s">
        <v>468</v>
      </c>
      <c r="E317" s="333">
        <v>1.2</v>
      </c>
      <c r="F317" s="334">
        <v>45219.435416666667</v>
      </c>
      <c r="G317" s="333">
        <v>1</v>
      </c>
      <c r="H317" s="333">
        <v>51.370800000000003</v>
      </c>
      <c r="I317" s="333">
        <v>6.9656099999999999</v>
      </c>
      <c r="J317" s="333">
        <v>-15.499506</v>
      </c>
      <c r="K317" s="333">
        <v>-14.658200000000001</v>
      </c>
      <c r="L317" s="333">
        <v>991.96299999999997</v>
      </c>
      <c r="M317" s="333">
        <v>112.499337</v>
      </c>
      <c r="N317" s="333">
        <v>14504.26</v>
      </c>
      <c r="O317" s="333">
        <v>14513.136420000001</v>
      </c>
      <c r="P317" s="333">
        <v>2073.5169999999998</v>
      </c>
      <c r="Q317" s="332" t="s">
        <v>469</v>
      </c>
      <c r="R317" s="332"/>
      <c r="S317" s="333">
        <v>15</v>
      </c>
      <c r="T317" s="333">
        <v>5</v>
      </c>
      <c r="U317" s="333">
        <v>0.7</v>
      </c>
      <c r="V317" s="333">
        <v>0.7</v>
      </c>
      <c r="W317" s="333">
        <v>0.7</v>
      </c>
      <c r="X317" s="333">
        <v>1700</v>
      </c>
      <c r="Y317" s="332" t="s">
        <v>470</v>
      </c>
      <c r="Z317" s="333">
        <v>0.85</v>
      </c>
      <c r="AA317" s="332" t="s">
        <v>471</v>
      </c>
      <c r="AB317" s="332" t="s">
        <v>472</v>
      </c>
      <c r="AC317" s="335">
        <v>220</v>
      </c>
    </row>
    <row r="318" spans="1:29">
      <c r="A318" s="326" t="s">
        <v>731</v>
      </c>
      <c r="B318" s="327" t="s">
        <v>478</v>
      </c>
      <c r="C318" s="327" t="s">
        <v>433</v>
      </c>
      <c r="D318" s="327" t="s">
        <v>468</v>
      </c>
      <c r="E318" s="328">
        <v>1.2</v>
      </c>
      <c r="F318" s="329">
        <v>45219.438888888886</v>
      </c>
      <c r="G318" s="328">
        <v>1</v>
      </c>
      <c r="H318" s="328">
        <v>51.370800000000003</v>
      </c>
      <c r="I318" s="328">
        <v>6.7574500000000004</v>
      </c>
      <c r="J318" s="328">
        <v>-15.433394</v>
      </c>
      <c r="K318" s="328">
        <v>-14.597906</v>
      </c>
      <c r="L318" s="328">
        <v>982.75</v>
      </c>
      <c r="M318" s="328">
        <v>113.000838</v>
      </c>
      <c r="N318" s="328">
        <v>14533.28</v>
      </c>
      <c r="O318" s="328">
        <v>14513.136420000001</v>
      </c>
      <c r="P318" s="328">
        <v>2073.5169999999998</v>
      </c>
      <c r="Q318" s="327" t="s">
        <v>542</v>
      </c>
      <c r="R318" s="327"/>
      <c r="S318" s="328">
        <v>15</v>
      </c>
      <c r="T318" s="328">
        <v>5</v>
      </c>
      <c r="U318" s="328">
        <v>0.7</v>
      </c>
      <c r="V318" s="328">
        <v>0.7</v>
      </c>
      <c r="W318" s="328">
        <v>0.7</v>
      </c>
      <c r="X318" s="328">
        <v>1700</v>
      </c>
      <c r="Y318" s="327" t="s">
        <v>470</v>
      </c>
      <c r="Z318" s="328">
        <v>0.85</v>
      </c>
      <c r="AA318" s="327" t="s">
        <v>471</v>
      </c>
      <c r="AB318" s="327" t="s">
        <v>472</v>
      </c>
      <c r="AC318" s="330">
        <v>220</v>
      </c>
    </row>
    <row r="319" spans="1:29">
      <c r="A319" s="331" t="s">
        <v>732</v>
      </c>
      <c r="B319" s="332" t="s">
        <v>478</v>
      </c>
      <c r="C319" s="332" t="s">
        <v>433</v>
      </c>
      <c r="D319" s="332" t="s">
        <v>468</v>
      </c>
      <c r="E319" s="333">
        <v>1.2</v>
      </c>
      <c r="F319" s="334">
        <v>45219.442361111112</v>
      </c>
      <c r="G319" s="333">
        <v>1</v>
      </c>
      <c r="H319" s="333">
        <v>51.3675</v>
      </c>
      <c r="I319" s="333">
        <v>6.6810799999999997</v>
      </c>
      <c r="J319" s="333">
        <v>-15.437994</v>
      </c>
      <c r="K319" s="333">
        <v>-14.590063000000001</v>
      </c>
      <c r="L319" s="333">
        <v>987.95600000000002</v>
      </c>
      <c r="M319" s="333">
        <v>105.49915</v>
      </c>
      <c r="N319" s="333">
        <v>14524.3</v>
      </c>
      <c r="O319" s="333">
        <v>14513.136420000001</v>
      </c>
      <c r="P319" s="333">
        <v>2073.5169999999998</v>
      </c>
      <c r="Q319" s="332" t="s">
        <v>469</v>
      </c>
      <c r="R319" s="332"/>
      <c r="S319" s="333">
        <v>15</v>
      </c>
      <c r="T319" s="333">
        <v>5</v>
      </c>
      <c r="U319" s="333">
        <v>0.7</v>
      </c>
      <c r="V319" s="333">
        <v>0.7</v>
      </c>
      <c r="W319" s="333">
        <v>0.7</v>
      </c>
      <c r="X319" s="333">
        <v>1700</v>
      </c>
      <c r="Y319" s="332" t="s">
        <v>470</v>
      </c>
      <c r="Z319" s="333">
        <v>0.85</v>
      </c>
      <c r="AA319" s="332" t="s">
        <v>471</v>
      </c>
      <c r="AB319" s="332" t="s">
        <v>472</v>
      </c>
      <c r="AC319" s="335">
        <v>220</v>
      </c>
    </row>
    <row r="320" spans="1:29">
      <c r="A320" s="326" t="s">
        <v>733</v>
      </c>
      <c r="B320" s="327" t="s">
        <v>478</v>
      </c>
      <c r="C320" s="327" t="s">
        <v>433</v>
      </c>
      <c r="D320" s="327" t="s">
        <v>468</v>
      </c>
      <c r="E320" s="328">
        <v>1.2</v>
      </c>
      <c r="F320" s="329">
        <v>45219.445833333331</v>
      </c>
      <c r="G320" s="328">
        <v>1</v>
      </c>
      <c r="H320" s="328">
        <v>51.370800000000003</v>
      </c>
      <c r="I320" s="328">
        <v>6.6434600000000001</v>
      </c>
      <c r="J320" s="328">
        <v>-15.526918999999999</v>
      </c>
      <c r="K320" s="328">
        <v>-14.708330999999999</v>
      </c>
      <c r="L320" s="328">
        <v>971.73599999999999</v>
      </c>
      <c r="M320" s="328">
        <v>113.498496</v>
      </c>
      <c r="N320" s="328">
        <v>14560.23</v>
      </c>
      <c r="O320" s="328">
        <v>14513.136420000001</v>
      </c>
      <c r="P320" s="328">
        <v>2073.5169999999998</v>
      </c>
      <c r="Q320" s="327" t="s">
        <v>542</v>
      </c>
      <c r="R320" s="327"/>
      <c r="S320" s="328">
        <v>15</v>
      </c>
      <c r="T320" s="328">
        <v>5</v>
      </c>
      <c r="U320" s="328">
        <v>0.7</v>
      </c>
      <c r="V320" s="328">
        <v>0.7</v>
      </c>
      <c r="W320" s="328">
        <v>0.7</v>
      </c>
      <c r="X320" s="328">
        <v>1700</v>
      </c>
      <c r="Y320" s="327" t="s">
        <v>470</v>
      </c>
      <c r="Z320" s="328">
        <v>0.85</v>
      </c>
      <c r="AA320" s="327" t="s">
        <v>471</v>
      </c>
      <c r="AB320" s="327" t="s">
        <v>472</v>
      </c>
      <c r="AC320" s="330">
        <v>220</v>
      </c>
    </row>
    <row r="321" spans="1:29">
      <c r="A321" s="331" t="s">
        <v>734</v>
      </c>
      <c r="B321" s="332" t="s">
        <v>478</v>
      </c>
      <c r="C321" s="332" t="s">
        <v>433</v>
      </c>
      <c r="D321" s="332" t="s">
        <v>468</v>
      </c>
      <c r="E321" s="333">
        <v>1.2</v>
      </c>
      <c r="F321" s="334">
        <v>45219.448611111111</v>
      </c>
      <c r="G321" s="333">
        <v>1</v>
      </c>
      <c r="H321" s="333">
        <v>51.370800000000003</v>
      </c>
      <c r="I321" s="333">
        <v>6.5134499999999997</v>
      </c>
      <c r="J321" s="333">
        <v>-15.502525</v>
      </c>
      <c r="K321" s="333">
        <v>-14.654444</v>
      </c>
      <c r="L321" s="333">
        <v>971.30399999999997</v>
      </c>
      <c r="M321" s="333">
        <v>92.000859000000005</v>
      </c>
      <c r="N321" s="333">
        <v>14510.84</v>
      </c>
      <c r="O321" s="333">
        <v>14513.136420000001</v>
      </c>
      <c r="P321" s="333">
        <v>2073.5169999999998</v>
      </c>
      <c r="Q321" s="332" t="s">
        <v>469</v>
      </c>
      <c r="R321" s="332"/>
      <c r="S321" s="333">
        <v>15</v>
      </c>
      <c r="T321" s="333">
        <v>5</v>
      </c>
      <c r="U321" s="333">
        <v>0.7</v>
      </c>
      <c r="V321" s="333">
        <v>0.7</v>
      </c>
      <c r="W321" s="333">
        <v>0.7</v>
      </c>
      <c r="X321" s="333">
        <v>1700</v>
      </c>
      <c r="Y321" s="332" t="s">
        <v>470</v>
      </c>
      <c r="Z321" s="333">
        <v>0.85</v>
      </c>
      <c r="AA321" s="332" t="s">
        <v>471</v>
      </c>
      <c r="AB321" s="332" t="s">
        <v>472</v>
      </c>
      <c r="AC321" s="335">
        <v>220</v>
      </c>
    </row>
    <row r="322" spans="1:29">
      <c r="A322" s="326" t="s">
        <v>735</v>
      </c>
      <c r="B322" s="327" t="s">
        <v>490</v>
      </c>
      <c r="C322" s="327" t="s">
        <v>433</v>
      </c>
      <c r="D322" s="327" t="s">
        <v>468</v>
      </c>
      <c r="E322" s="328">
        <v>1.5</v>
      </c>
      <c r="F322" s="329">
        <v>45219.45208333333</v>
      </c>
      <c r="G322" s="328">
        <v>1</v>
      </c>
      <c r="H322" s="328">
        <v>51.370800000000003</v>
      </c>
      <c r="I322" s="328">
        <v>6.5663299999999998</v>
      </c>
      <c r="J322" s="328">
        <v>-15.5557</v>
      </c>
      <c r="K322" s="328">
        <v>-14.724793999999999</v>
      </c>
      <c r="L322" s="328">
        <v>1010.05</v>
      </c>
      <c r="M322" s="328">
        <v>125.999253</v>
      </c>
      <c r="N322" s="328">
        <v>18182.560000000001</v>
      </c>
      <c r="O322" s="328">
        <v>18168.446929999998</v>
      </c>
      <c r="P322" s="328">
        <v>2073.5169999999998</v>
      </c>
      <c r="Q322" s="327" t="s">
        <v>469</v>
      </c>
      <c r="R322" s="327"/>
      <c r="S322" s="328">
        <v>15</v>
      </c>
      <c r="T322" s="328">
        <v>5</v>
      </c>
      <c r="U322" s="328">
        <v>0.7</v>
      </c>
      <c r="V322" s="328">
        <v>0.7</v>
      </c>
      <c r="W322" s="328">
        <v>0.7</v>
      </c>
      <c r="X322" s="328">
        <v>1700</v>
      </c>
      <c r="Y322" s="327" t="s">
        <v>470</v>
      </c>
      <c r="Z322" s="328">
        <v>0.85</v>
      </c>
      <c r="AA322" s="327" t="s">
        <v>471</v>
      </c>
      <c r="AB322" s="327" t="s">
        <v>472</v>
      </c>
      <c r="AC322" s="330">
        <v>220</v>
      </c>
    </row>
    <row r="323" spans="1:29">
      <c r="A323" s="331" t="s">
        <v>736</v>
      </c>
      <c r="B323" s="332" t="s">
        <v>490</v>
      </c>
      <c r="C323" s="332" t="s">
        <v>433</v>
      </c>
      <c r="D323" s="332" t="s">
        <v>468</v>
      </c>
      <c r="E323" s="333">
        <v>1.5</v>
      </c>
      <c r="F323" s="334">
        <v>45219.455555555556</v>
      </c>
      <c r="G323" s="333">
        <v>1</v>
      </c>
      <c r="H323" s="333">
        <v>51.370800000000003</v>
      </c>
      <c r="I323" s="333">
        <v>6.4786900000000003</v>
      </c>
      <c r="J323" s="333">
        <v>-15.525631000000001</v>
      </c>
      <c r="K323" s="333">
        <v>-14.683956</v>
      </c>
      <c r="L323" s="333">
        <v>997.23400000000004</v>
      </c>
      <c r="M323" s="333">
        <v>115.500776</v>
      </c>
      <c r="N323" s="333">
        <v>18166.150000000001</v>
      </c>
      <c r="O323" s="333">
        <v>18168.446929999998</v>
      </c>
      <c r="P323" s="333">
        <v>2073.5169999999998</v>
      </c>
      <c r="Q323" s="332" t="s">
        <v>469</v>
      </c>
      <c r="R323" s="332"/>
      <c r="S323" s="333">
        <v>15</v>
      </c>
      <c r="T323" s="333">
        <v>5</v>
      </c>
      <c r="U323" s="333">
        <v>0.7</v>
      </c>
      <c r="V323" s="333">
        <v>0.7</v>
      </c>
      <c r="W323" s="333">
        <v>0.7</v>
      </c>
      <c r="X323" s="333">
        <v>1700</v>
      </c>
      <c r="Y323" s="332" t="s">
        <v>470</v>
      </c>
      <c r="Z323" s="333">
        <v>0.85</v>
      </c>
      <c r="AA323" s="332" t="s">
        <v>471</v>
      </c>
      <c r="AB323" s="332" t="s">
        <v>472</v>
      </c>
      <c r="AC323" s="335">
        <v>220</v>
      </c>
    </row>
    <row r="324" spans="1:29">
      <c r="A324" s="326" t="s">
        <v>737</v>
      </c>
      <c r="B324" s="327" t="s">
        <v>490</v>
      </c>
      <c r="C324" s="327" t="s">
        <v>433</v>
      </c>
      <c r="D324" s="327" t="s">
        <v>468</v>
      </c>
      <c r="E324" s="328">
        <v>1.5</v>
      </c>
      <c r="F324" s="329">
        <v>45219.459027777775</v>
      </c>
      <c r="G324" s="328">
        <v>1</v>
      </c>
      <c r="H324" s="328">
        <v>51.374099999999999</v>
      </c>
      <c r="I324" s="328">
        <v>6.5000499999999999</v>
      </c>
      <c r="J324" s="328">
        <v>-15.569175</v>
      </c>
      <c r="K324" s="328">
        <v>-14.749231</v>
      </c>
      <c r="L324" s="328">
        <v>995.54899999999998</v>
      </c>
      <c r="M324" s="328">
        <v>123.999928</v>
      </c>
      <c r="N324" s="328">
        <v>18156.63</v>
      </c>
      <c r="O324" s="328">
        <v>18168.446929999998</v>
      </c>
      <c r="P324" s="328">
        <v>2073.5169999999998</v>
      </c>
      <c r="Q324" s="327" t="s">
        <v>469</v>
      </c>
      <c r="R324" s="327"/>
      <c r="S324" s="328">
        <v>15</v>
      </c>
      <c r="T324" s="328">
        <v>5</v>
      </c>
      <c r="U324" s="328">
        <v>0.7</v>
      </c>
      <c r="V324" s="328">
        <v>0.7</v>
      </c>
      <c r="W324" s="328">
        <v>0.7</v>
      </c>
      <c r="X324" s="328">
        <v>1700</v>
      </c>
      <c r="Y324" s="327" t="s">
        <v>470</v>
      </c>
      <c r="Z324" s="328">
        <v>0.85</v>
      </c>
      <c r="AA324" s="327" t="s">
        <v>471</v>
      </c>
      <c r="AB324" s="327" t="s">
        <v>472</v>
      </c>
      <c r="AC324" s="330">
        <v>220</v>
      </c>
    </row>
    <row r="325" spans="1:29">
      <c r="A325" s="331" t="s">
        <v>738</v>
      </c>
      <c r="B325" s="332" t="s">
        <v>494</v>
      </c>
      <c r="C325" s="332" t="s">
        <v>433</v>
      </c>
      <c r="D325" s="332" t="s">
        <v>468</v>
      </c>
      <c r="E325" s="333">
        <v>1.8</v>
      </c>
      <c r="F325" s="334">
        <v>45219.463194444441</v>
      </c>
      <c r="G325" s="333">
        <v>1</v>
      </c>
      <c r="H325" s="333">
        <v>51.3675</v>
      </c>
      <c r="I325" s="333">
        <v>6.5351100000000004</v>
      </c>
      <c r="J325" s="333">
        <v>-15.486143999999999</v>
      </c>
      <c r="K325" s="333">
        <v>-14.650475</v>
      </c>
      <c r="L325" s="333">
        <v>1016.99</v>
      </c>
      <c r="M325" s="333">
        <v>129.99973700000001</v>
      </c>
      <c r="N325" s="333">
        <v>21745.74</v>
      </c>
      <c r="O325" s="333">
        <v>21748.656879999999</v>
      </c>
      <c r="P325" s="333">
        <v>2073.5169999999998</v>
      </c>
      <c r="Q325" s="332" t="s">
        <v>469</v>
      </c>
      <c r="R325" s="332"/>
      <c r="S325" s="333">
        <v>15</v>
      </c>
      <c r="T325" s="333">
        <v>5</v>
      </c>
      <c r="U325" s="333">
        <v>0.7</v>
      </c>
      <c r="V325" s="333">
        <v>0.7</v>
      </c>
      <c r="W325" s="333">
        <v>0.7</v>
      </c>
      <c r="X325" s="333">
        <v>1700</v>
      </c>
      <c r="Y325" s="332" t="s">
        <v>470</v>
      </c>
      <c r="Z325" s="333">
        <v>0.85</v>
      </c>
      <c r="AA325" s="332" t="s">
        <v>471</v>
      </c>
      <c r="AB325" s="332" t="s">
        <v>472</v>
      </c>
      <c r="AC325" s="335">
        <v>220</v>
      </c>
    </row>
    <row r="326" spans="1:29">
      <c r="A326" s="326" t="s">
        <v>739</v>
      </c>
      <c r="B326" s="327" t="s">
        <v>494</v>
      </c>
      <c r="C326" s="327" t="s">
        <v>433</v>
      </c>
      <c r="D326" s="327" t="s">
        <v>468</v>
      </c>
      <c r="E326" s="328">
        <v>1.8</v>
      </c>
      <c r="F326" s="329">
        <v>45219.466666666667</v>
      </c>
      <c r="G326" s="328">
        <v>1</v>
      </c>
      <c r="H326" s="328">
        <v>51.3675</v>
      </c>
      <c r="I326" s="328">
        <v>6.5143899999999997</v>
      </c>
      <c r="J326" s="328">
        <v>-15.530187</v>
      </c>
      <c r="K326" s="328">
        <v>-14.682638000000001</v>
      </c>
      <c r="L326" s="328">
        <v>1013.33</v>
      </c>
      <c r="M326" s="328">
        <v>133.99867699999999</v>
      </c>
      <c r="N326" s="328">
        <v>21762.5</v>
      </c>
      <c r="O326" s="328">
        <v>21748.656879999999</v>
      </c>
      <c r="P326" s="328">
        <v>2073.5169999999998</v>
      </c>
      <c r="Q326" s="327" t="s">
        <v>469</v>
      </c>
      <c r="R326" s="327"/>
      <c r="S326" s="328">
        <v>15</v>
      </c>
      <c r="T326" s="328">
        <v>5</v>
      </c>
      <c r="U326" s="328">
        <v>0.7</v>
      </c>
      <c r="V326" s="328">
        <v>0.7</v>
      </c>
      <c r="W326" s="328">
        <v>0.7</v>
      </c>
      <c r="X326" s="328">
        <v>1700</v>
      </c>
      <c r="Y326" s="327" t="s">
        <v>470</v>
      </c>
      <c r="Z326" s="328">
        <v>0.85</v>
      </c>
      <c r="AA326" s="327" t="s">
        <v>471</v>
      </c>
      <c r="AB326" s="327" t="s">
        <v>472</v>
      </c>
      <c r="AC326" s="330">
        <v>220</v>
      </c>
    </row>
    <row r="327" spans="1:29">
      <c r="A327" s="331" t="s">
        <v>740</v>
      </c>
      <c r="B327" s="332" t="s">
        <v>494</v>
      </c>
      <c r="C327" s="332" t="s">
        <v>433</v>
      </c>
      <c r="D327" s="332" t="s">
        <v>468</v>
      </c>
      <c r="E327" s="333">
        <v>1.8</v>
      </c>
      <c r="F327" s="334">
        <v>45219.470138888886</v>
      </c>
      <c r="G327" s="333">
        <v>1</v>
      </c>
      <c r="H327" s="333">
        <v>51.370800000000003</v>
      </c>
      <c r="I327" s="333">
        <v>6.4468300000000003</v>
      </c>
      <c r="J327" s="333">
        <v>-15.502838000000001</v>
      </c>
      <c r="K327" s="333">
        <v>-14.695855999999999</v>
      </c>
      <c r="L327" s="333">
        <v>1003.56</v>
      </c>
      <c r="M327" s="333">
        <v>119.00156200000001</v>
      </c>
      <c r="N327" s="333">
        <v>21737.73</v>
      </c>
      <c r="O327" s="333">
        <v>21748.656879999999</v>
      </c>
      <c r="P327" s="333">
        <v>2073.5169999999998</v>
      </c>
      <c r="Q327" s="332" t="s">
        <v>469</v>
      </c>
      <c r="R327" s="332"/>
      <c r="S327" s="333">
        <v>15</v>
      </c>
      <c r="T327" s="333">
        <v>5</v>
      </c>
      <c r="U327" s="333">
        <v>0.7</v>
      </c>
      <c r="V327" s="333">
        <v>0.7</v>
      </c>
      <c r="W327" s="333">
        <v>0.7</v>
      </c>
      <c r="X327" s="333">
        <v>1700</v>
      </c>
      <c r="Y327" s="332" t="s">
        <v>470</v>
      </c>
      <c r="Z327" s="333">
        <v>0.85</v>
      </c>
      <c r="AA327" s="332" t="s">
        <v>471</v>
      </c>
      <c r="AB327" s="332" t="s">
        <v>472</v>
      </c>
      <c r="AC327" s="335">
        <v>220</v>
      </c>
    </row>
    <row r="328" spans="1:29">
      <c r="A328" s="336" t="s">
        <v>589</v>
      </c>
      <c r="B328" s="337">
        <v>2</v>
      </c>
      <c r="C328" s="337" t="s">
        <v>433</v>
      </c>
      <c r="D328" s="337" t="s">
        <v>468</v>
      </c>
      <c r="E328" s="338">
        <v>1.5</v>
      </c>
      <c r="F328" s="339">
        <v>45219.474305555559</v>
      </c>
      <c r="G328" s="338">
        <v>1</v>
      </c>
      <c r="H328" s="338">
        <v>51.370800000000003</v>
      </c>
      <c r="I328" s="338">
        <v>6.3730200000000004</v>
      </c>
      <c r="J328" s="338">
        <v>-15.333468999999999</v>
      </c>
      <c r="K328" s="338">
        <v>-14.484169</v>
      </c>
      <c r="L328" s="338">
        <v>1001.82</v>
      </c>
      <c r="M328" s="338">
        <v>109.00062200000001</v>
      </c>
      <c r="N328" s="338">
        <v>18134.71</v>
      </c>
      <c r="O328" s="338">
        <v>18147.7929</v>
      </c>
      <c r="P328" s="338">
        <v>2071.174</v>
      </c>
      <c r="Q328" s="337" t="s">
        <v>469</v>
      </c>
      <c r="R328" s="337"/>
      <c r="S328" s="338">
        <v>15</v>
      </c>
      <c r="T328" s="338">
        <v>5</v>
      </c>
      <c r="U328" s="338">
        <v>0.7</v>
      </c>
      <c r="V328" s="338">
        <v>0.7</v>
      </c>
      <c r="W328" s="338">
        <v>0.7</v>
      </c>
      <c r="X328" s="338">
        <v>1700</v>
      </c>
      <c r="Y328" s="337" t="s">
        <v>470</v>
      </c>
      <c r="Z328" s="338">
        <v>0.85</v>
      </c>
      <c r="AA328" s="337" t="s">
        <v>471</v>
      </c>
      <c r="AB328" s="337" t="s">
        <v>472</v>
      </c>
      <c r="AC328" s="340">
        <v>220</v>
      </c>
    </row>
    <row r="329" spans="1:29">
      <c r="A329" s="331" t="s">
        <v>741</v>
      </c>
      <c r="B329" s="332">
        <v>2</v>
      </c>
      <c r="C329" s="332" t="s">
        <v>433</v>
      </c>
      <c r="D329" s="332" t="s">
        <v>468</v>
      </c>
      <c r="E329" s="333">
        <v>1.5</v>
      </c>
      <c r="F329" s="334">
        <v>45219.477777777778</v>
      </c>
      <c r="G329" s="333">
        <v>1</v>
      </c>
      <c r="H329" s="333">
        <v>51.370800000000003</v>
      </c>
      <c r="I329" s="333">
        <v>6.3399799999999997</v>
      </c>
      <c r="J329" s="333">
        <v>-15.634</v>
      </c>
      <c r="K329" s="333">
        <v>-14.792674999999999</v>
      </c>
      <c r="L329" s="333">
        <v>994.11199999999997</v>
      </c>
      <c r="M329" s="333">
        <v>124.50040300000001</v>
      </c>
      <c r="N329" s="333">
        <v>18146.080000000002</v>
      </c>
      <c r="O329" s="333">
        <v>18147.7929</v>
      </c>
      <c r="P329" s="333">
        <v>2071.174</v>
      </c>
      <c r="Q329" s="332" t="s">
        <v>469</v>
      </c>
      <c r="R329" s="332"/>
      <c r="S329" s="333">
        <v>15</v>
      </c>
      <c r="T329" s="333">
        <v>5</v>
      </c>
      <c r="U329" s="333">
        <v>0.7</v>
      </c>
      <c r="V329" s="333">
        <v>0.7</v>
      </c>
      <c r="W329" s="333">
        <v>0.7</v>
      </c>
      <c r="X329" s="333">
        <v>1700</v>
      </c>
      <c r="Y329" s="332" t="s">
        <v>470</v>
      </c>
      <c r="Z329" s="333">
        <v>0.85</v>
      </c>
      <c r="AA329" s="332" t="s">
        <v>471</v>
      </c>
      <c r="AB329" s="332" t="s">
        <v>472</v>
      </c>
      <c r="AC329" s="335">
        <v>220</v>
      </c>
    </row>
    <row r="330" spans="1:29">
      <c r="A330" s="326" t="s">
        <v>742</v>
      </c>
      <c r="B330" s="327">
        <v>2</v>
      </c>
      <c r="C330" s="327" t="s">
        <v>433</v>
      </c>
      <c r="D330" s="327" t="s">
        <v>468</v>
      </c>
      <c r="E330" s="328">
        <v>1.5</v>
      </c>
      <c r="F330" s="329">
        <v>45219.481249999997</v>
      </c>
      <c r="G330" s="328">
        <v>1</v>
      </c>
      <c r="H330" s="328">
        <v>51.3675</v>
      </c>
      <c r="I330" s="328">
        <v>6.3615399999999998</v>
      </c>
      <c r="J330" s="328">
        <v>-15.466313</v>
      </c>
      <c r="K330" s="328">
        <v>-14.629899999999999</v>
      </c>
      <c r="L330" s="328">
        <v>995.02800000000002</v>
      </c>
      <c r="M330" s="328">
        <v>122.999554</v>
      </c>
      <c r="N330" s="328">
        <v>18162.59</v>
      </c>
      <c r="O330" s="328">
        <v>18147.7929</v>
      </c>
      <c r="P330" s="328">
        <v>2071.174</v>
      </c>
      <c r="Q330" s="327" t="s">
        <v>469</v>
      </c>
      <c r="R330" s="327"/>
      <c r="S330" s="328">
        <v>15</v>
      </c>
      <c r="T330" s="328">
        <v>5</v>
      </c>
      <c r="U330" s="328">
        <v>0.7</v>
      </c>
      <c r="V330" s="328">
        <v>0.7</v>
      </c>
      <c r="W330" s="328">
        <v>0.7</v>
      </c>
      <c r="X330" s="328">
        <v>1700</v>
      </c>
      <c r="Y330" s="327" t="s">
        <v>470</v>
      </c>
      <c r="Z330" s="328">
        <v>0.85</v>
      </c>
      <c r="AA330" s="327" t="s">
        <v>471</v>
      </c>
      <c r="AB330" s="327" t="s">
        <v>472</v>
      </c>
      <c r="AC330" s="330">
        <v>220</v>
      </c>
    </row>
    <row r="331" spans="1:29">
      <c r="A331" s="331" t="s">
        <v>497</v>
      </c>
      <c r="B331" s="332">
        <v>3</v>
      </c>
      <c r="C331" s="332">
        <v>225</v>
      </c>
      <c r="D331" s="332" t="s">
        <v>419</v>
      </c>
      <c r="E331" s="333">
        <v>1.5</v>
      </c>
      <c r="F331" s="334">
        <v>45219.48541666667</v>
      </c>
      <c r="G331" s="333">
        <v>1</v>
      </c>
      <c r="H331" s="333">
        <v>51.3675</v>
      </c>
      <c r="I331" s="333">
        <v>6.44109</v>
      </c>
      <c r="J331" s="333">
        <v>-15.54205</v>
      </c>
      <c r="K331" s="333">
        <v>-14.695550000000001</v>
      </c>
      <c r="L331" s="333">
        <v>1003.07</v>
      </c>
      <c r="M331" s="333">
        <v>142.499876</v>
      </c>
      <c r="N331" s="333">
        <v>18124.21</v>
      </c>
      <c r="O331" s="333">
        <v>18114.78197</v>
      </c>
      <c r="P331" s="333">
        <v>2067.4290000000001</v>
      </c>
      <c r="Q331" s="332" t="s">
        <v>469</v>
      </c>
      <c r="R331" s="332"/>
      <c r="S331" s="333">
        <v>15</v>
      </c>
      <c r="T331" s="333">
        <v>5</v>
      </c>
      <c r="U331" s="333">
        <v>0.7</v>
      </c>
      <c r="V331" s="333">
        <v>0.7</v>
      </c>
      <c r="W331" s="333">
        <v>0.7</v>
      </c>
      <c r="X331" s="333">
        <v>1700</v>
      </c>
      <c r="Y331" s="332" t="s">
        <v>470</v>
      </c>
      <c r="Z331" s="333">
        <v>0.85</v>
      </c>
      <c r="AA331" s="332" t="s">
        <v>471</v>
      </c>
      <c r="AB331" s="332" t="s">
        <v>472</v>
      </c>
      <c r="AC331" s="335">
        <v>220</v>
      </c>
    </row>
    <row r="332" spans="1:29">
      <c r="A332" s="326" t="s">
        <v>498</v>
      </c>
      <c r="B332" s="327">
        <v>3</v>
      </c>
      <c r="C332" s="327">
        <v>225</v>
      </c>
      <c r="D332" s="327" t="s">
        <v>419</v>
      </c>
      <c r="E332" s="328">
        <v>1.5</v>
      </c>
      <c r="F332" s="329">
        <v>45219.488888888889</v>
      </c>
      <c r="G332" s="328">
        <v>1</v>
      </c>
      <c r="H332" s="328">
        <v>51.3675</v>
      </c>
      <c r="I332" s="328">
        <v>6.4154799999999996</v>
      </c>
      <c r="J332" s="328">
        <v>-15.477244000000001</v>
      </c>
      <c r="K332" s="328">
        <v>-14.629930999999999</v>
      </c>
      <c r="L332" s="328">
        <v>995.68600000000004</v>
      </c>
      <c r="M332" s="328">
        <v>147.99994100000001</v>
      </c>
      <c r="N332" s="328">
        <v>18118.689999999999</v>
      </c>
      <c r="O332" s="328">
        <v>18114.78197</v>
      </c>
      <c r="P332" s="328">
        <v>2067.4290000000001</v>
      </c>
      <c r="Q332" s="327" t="s">
        <v>469</v>
      </c>
      <c r="R332" s="327"/>
      <c r="S332" s="328">
        <v>15</v>
      </c>
      <c r="T332" s="328">
        <v>5</v>
      </c>
      <c r="U332" s="328">
        <v>0.7</v>
      </c>
      <c r="V332" s="328">
        <v>0.7</v>
      </c>
      <c r="W332" s="328">
        <v>0.7</v>
      </c>
      <c r="X332" s="328">
        <v>1700</v>
      </c>
      <c r="Y332" s="327" t="s">
        <v>470</v>
      </c>
      <c r="Z332" s="328">
        <v>0.85</v>
      </c>
      <c r="AA332" s="327" t="s">
        <v>471</v>
      </c>
      <c r="AB332" s="327" t="s">
        <v>472</v>
      </c>
      <c r="AC332" s="330">
        <v>220</v>
      </c>
    </row>
    <row r="333" spans="1:29">
      <c r="A333" s="331" t="s">
        <v>499</v>
      </c>
      <c r="B333" s="332">
        <v>3</v>
      </c>
      <c r="C333" s="332">
        <v>225</v>
      </c>
      <c r="D333" s="332" t="s">
        <v>419</v>
      </c>
      <c r="E333" s="333">
        <v>1.5</v>
      </c>
      <c r="F333" s="334">
        <v>45219.493055555555</v>
      </c>
      <c r="G333" s="333">
        <v>1</v>
      </c>
      <c r="H333" s="333">
        <v>51.370800000000003</v>
      </c>
      <c r="I333" s="333">
        <v>6.4320399999999998</v>
      </c>
      <c r="J333" s="333">
        <v>-15.443838</v>
      </c>
      <c r="K333" s="333">
        <v>-14.601494000000001</v>
      </c>
      <c r="L333" s="333">
        <v>993.11</v>
      </c>
      <c r="M333" s="333">
        <v>136.49947</v>
      </c>
      <c r="N333" s="333">
        <v>18101.439999999999</v>
      </c>
      <c r="O333" s="333">
        <v>18114.78197</v>
      </c>
      <c r="P333" s="333">
        <v>2067.4290000000001</v>
      </c>
      <c r="Q333" s="332" t="s">
        <v>469</v>
      </c>
      <c r="R333" s="332"/>
      <c r="S333" s="333">
        <v>15</v>
      </c>
      <c r="T333" s="333">
        <v>5</v>
      </c>
      <c r="U333" s="333">
        <v>0.7</v>
      </c>
      <c r="V333" s="333">
        <v>0.7</v>
      </c>
      <c r="W333" s="333">
        <v>0.7</v>
      </c>
      <c r="X333" s="333">
        <v>1700</v>
      </c>
      <c r="Y333" s="332" t="s">
        <v>470</v>
      </c>
      <c r="Z333" s="333">
        <v>0.85</v>
      </c>
      <c r="AA333" s="332" t="s">
        <v>471</v>
      </c>
      <c r="AB333" s="332" t="s">
        <v>472</v>
      </c>
      <c r="AC333" s="335">
        <v>220</v>
      </c>
    </row>
    <row r="334" spans="1:29">
      <c r="A334" s="326" t="s">
        <v>590</v>
      </c>
      <c r="B334" s="327">
        <v>4</v>
      </c>
      <c r="C334" s="327" t="s">
        <v>433</v>
      </c>
      <c r="D334" s="327" t="s">
        <v>468</v>
      </c>
      <c r="E334" s="328">
        <v>1.5</v>
      </c>
      <c r="F334" s="329">
        <v>45219.49722222222</v>
      </c>
      <c r="G334" s="328">
        <v>1</v>
      </c>
      <c r="H334" s="328">
        <v>51.370800000000003</v>
      </c>
      <c r="I334" s="328">
        <v>6.3877199999999998</v>
      </c>
      <c r="J334" s="328">
        <v>-15.605325000000001</v>
      </c>
      <c r="K334" s="328">
        <v>-14.760194</v>
      </c>
      <c r="L334" s="328">
        <v>992.25800000000004</v>
      </c>
      <c r="M334" s="328">
        <v>123.00002000000001</v>
      </c>
      <c r="N334" s="328">
        <v>18137.759999999998</v>
      </c>
      <c r="O334" s="328">
        <v>18146.867600000001</v>
      </c>
      <c r="P334" s="328">
        <v>2071.069</v>
      </c>
      <c r="Q334" s="327" t="s">
        <v>469</v>
      </c>
      <c r="R334" s="327"/>
      <c r="S334" s="328">
        <v>15</v>
      </c>
      <c r="T334" s="328">
        <v>5</v>
      </c>
      <c r="U334" s="328">
        <v>0.7</v>
      </c>
      <c r="V334" s="328">
        <v>0.7</v>
      </c>
      <c r="W334" s="328">
        <v>0.7</v>
      </c>
      <c r="X334" s="328">
        <v>1700</v>
      </c>
      <c r="Y334" s="327" t="s">
        <v>470</v>
      </c>
      <c r="Z334" s="328">
        <v>0.85</v>
      </c>
      <c r="AA334" s="327" t="s">
        <v>471</v>
      </c>
      <c r="AB334" s="327" t="s">
        <v>472</v>
      </c>
      <c r="AC334" s="330">
        <v>220</v>
      </c>
    </row>
    <row r="335" spans="1:29">
      <c r="A335" s="331" t="s">
        <v>743</v>
      </c>
      <c r="B335" s="332">
        <v>4</v>
      </c>
      <c r="C335" s="332" t="s">
        <v>433</v>
      </c>
      <c r="D335" s="332" t="s">
        <v>468</v>
      </c>
      <c r="E335" s="333">
        <v>1.5</v>
      </c>
      <c r="F335" s="334">
        <v>45219.500694444447</v>
      </c>
      <c r="G335" s="333">
        <v>1</v>
      </c>
      <c r="H335" s="333">
        <v>51.370800000000003</v>
      </c>
      <c r="I335" s="333">
        <v>6.3184500000000003</v>
      </c>
      <c r="J335" s="333">
        <v>-15.663269</v>
      </c>
      <c r="K335" s="333">
        <v>-14.832856</v>
      </c>
      <c r="L335" s="333">
        <v>1003.93</v>
      </c>
      <c r="M335" s="333">
        <v>125.49995699999999</v>
      </c>
      <c r="N335" s="333">
        <v>18165.41</v>
      </c>
      <c r="O335" s="333">
        <v>18146.867600000001</v>
      </c>
      <c r="P335" s="333">
        <v>2071.069</v>
      </c>
      <c r="Q335" s="332" t="s">
        <v>469</v>
      </c>
      <c r="R335" s="332"/>
      <c r="S335" s="333">
        <v>15</v>
      </c>
      <c r="T335" s="333">
        <v>5</v>
      </c>
      <c r="U335" s="333">
        <v>0.7</v>
      </c>
      <c r="V335" s="333">
        <v>0.7</v>
      </c>
      <c r="W335" s="333">
        <v>0.7</v>
      </c>
      <c r="X335" s="333">
        <v>1700</v>
      </c>
      <c r="Y335" s="332" t="s">
        <v>470</v>
      </c>
      <c r="Z335" s="333">
        <v>0.85</v>
      </c>
      <c r="AA335" s="332" t="s">
        <v>471</v>
      </c>
      <c r="AB335" s="332" t="s">
        <v>472</v>
      </c>
      <c r="AC335" s="335">
        <v>220</v>
      </c>
    </row>
    <row r="336" spans="1:29">
      <c r="A336" s="326" t="s">
        <v>744</v>
      </c>
      <c r="B336" s="327">
        <v>4</v>
      </c>
      <c r="C336" s="327" t="s">
        <v>433</v>
      </c>
      <c r="D336" s="327" t="s">
        <v>468</v>
      </c>
      <c r="E336" s="328">
        <v>1.5</v>
      </c>
      <c r="F336" s="329">
        <v>45219.504166666666</v>
      </c>
      <c r="G336" s="328">
        <v>1</v>
      </c>
      <c r="H336" s="328">
        <v>51.3675</v>
      </c>
      <c r="I336" s="328">
        <v>6.4112299999999998</v>
      </c>
      <c r="J336" s="328">
        <v>-15.748106</v>
      </c>
      <c r="K336" s="328">
        <v>-14.902963</v>
      </c>
      <c r="L336" s="328">
        <v>1002.16</v>
      </c>
      <c r="M336" s="328">
        <v>131.500068</v>
      </c>
      <c r="N336" s="328">
        <v>18137.439999999999</v>
      </c>
      <c r="O336" s="328">
        <v>18146.867600000001</v>
      </c>
      <c r="P336" s="328">
        <v>2071.069</v>
      </c>
      <c r="Q336" s="327" t="s">
        <v>469</v>
      </c>
      <c r="R336" s="327"/>
      <c r="S336" s="328">
        <v>15</v>
      </c>
      <c r="T336" s="328">
        <v>5</v>
      </c>
      <c r="U336" s="328">
        <v>0.7</v>
      </c>
      <c r="V336" s="328">
        <v>0.7</v>
      </c>
      <c r="W336" s="328">
        <v>0.7</v>
      </c>
      <c r="X336" s="328">
        <v>1700</v>
      </c>
      <c r="Y336" s="327" t="s">
        <v>470</v>
      </c>
      <c r="Z336" s="328">
        <v>0.85</v>
      </c>
      <c r="AA336" s="327" t="s">
        <v>471</v>
      </c>
      <c r="AB336" s="327" t="s">
        <v>472</v>
      </c>
      <c r="AC336" s="330">
        <v>220</v>
      </c>
    </row>
    <row r="337" spans="1:29">
      <c r="A337" s="331" t="s">
        <v>591</v>
      </c>
      <c r="B337" s="332">
        <v>5</v>
      </c>
      <c r="C337" s="332">
        <v>224</v>
      </c>
      <c r="D337" s="332" t="s">
        <v>420</v>
      </c>
      <c r="E337" s="333">
        <v>1.5</v>
      </c>
      <c r="F337" s="334">
        <v>45219.508333333331</v>
      </c>
      <c r="G337" s="333">
        <v>1</v>
      </c>
      <c r="H337" s="333">
        <v>51.364100000000001</v>
      </c>
      <c r="I337" s="333">
        <v>6.4002299999999996</v>
      </c>
      <c r="J337" s="333">
        <v>-15.672275000000001</v>
      </c>
      <c r="K337" s="333">
        <v>-14.852206000000001</v>
      </c>
      <c r="L337" s="333">
        <v>965.53099999999995</v>
      </c>
      <c r="M337" s="333">
        <v>116.000686</v>
      </c>
      <c r="N337" s="333">
        <v>17637.11</v>
      </c>
      <c r="O337" s="333">
        <v>17626.29682</v>
      </c>
      <c r="P337" s="333">
        <v>2012.009</v>
      </c>
      <c r="Q337" s="332" t="s">
        <v>469</v>
      </c>
      <c r="R337" s="332"/>
      <c r="S337" s="333">
        <v>15</v>
      </c>
      <c r="T337" s="333">
        <v>5</v>
      </c>
      <c r="U337" s="333">
        <v>0.7</v>
      </c>
      <c r="V337" s="333">
        <v>0.7</v>
      </c>
      <c r="W337" s="333">
        <v>0.7</v>
      </c>
      <c r="X337" s="333">
        <v>1700</v>
      </c>
      <c r="Y337" s="332" t="s">
        <v>470</v>
      </c>
      <c r="Z337" s="333">
        <v>0.85</v>
      </c>
      <c r="AA337" s="332" t="s">
        <v>471</v>
      </c>
      <c r="AB337" s="332" t="s">
        <v>472</v>
      </c>
      <c r="AC337" s="335">
        <v>220</v>
      </c>
    </row>
    <row r="338" spans="1:29">
      <c r="A338" s="326" t="s">
        <v>692</v>
      </c>
      <c r="B338" s="327">
        <v>5</v>
      </c>
      <c r="C338" s="327">
        <v>224</v>
      </c>
      <c r="D338" s="327" t="s">
        <v>420</v>
      </c>
      <c r="E338" s="328">
        <v>1.5</v>
      </c>
      <c r="F338" s="329">
        <v>45219.511805555558</v>
      </c>
      <c r="G338" s="328">
        <v>1</v>
      </c>
      <c r="H338" s="328">
        <v>51.3675</v>
      </c>
      <c r="I338" s="328">
        <v>6.3653000000000004</v>
      </c>
      <c r="J338" s="328">
        <v>-15.756686999999999</v>
      </c>
      <c r="K338" s="328">
        <v>-14.918799999999999</v>
      </c>
      <c r="L338" s="328">
        <v>966.20299999999997</v>
      </c>
      <c r="M338" s="328">
        <v>124.500151</v>
      </c>
      <c r="N338" s="328">
        <v>17614.400000000001</v>
      </c>
      <c r="O338" s="328">
        <v>17626.29682</v>
      </c>
      <c r="P338" s="328">
        <v>2012.009</v>
      </c>
      <c r="Q338" s="327" t="s">
        <v>469</v>
      </c>
      <c r="R338" s="327"/>
      <c r="S338" s="328">
        <v>15</v>
      </c>
      <c r="T338" s="328">
        <v>5</v>
      </c>
      <c r="U338" s="328">
        <v>0.7</v>
      </c>
      <c r="V338" s="328">
        <v>0.7</v>
      </c>
      <c r="W338" s="328">
        <v>0.7</v>
      </c>
      <c r="X338" s="328">
        <v>1700</v>
      </c>
      <c r="Y338" s="327" t="s">
        <v>470</v>
      </c>
      <c r="Z338" s="328">
        <v>0.85</v>
      </c>
      <c r="AA338" s="327" t="s">
        <v>471</v>
      </c>
      <c r="AB338" s="327" t="s">
        <v>472</v>
      </c>
      <c r="AC338" s="330">
        <v>220</v>
      </c>
    </row>
    <row r="339" spans="1:29">
      <c r="A339" s="331" t="s">
        <v>693</v>
      </c>
      <c r="B339" s="332">
        <v>5</v>
      </c>
      <c r="C339" s="332">
        <v>224</v>
      </c>
      <c r="D339" s="332" t="s">
        <v>420</v>
      </c>
      <c r="E339" s="333">
        <v>1.5</v>
      </c>
      <c r="F339" s="334">
        <v>45219.515972222223</v>
      </c>
      <c r="G339" s="333">
        <v>1</v>
      </c>
      <c r="H339" s="333">
        <v>51.364100000000001</v>
      </c>
      <c r="I339" s="333">
        <v>6.3255800000000004</v>
      </c>
      <c r="J339" s="333">
        <v>-15.807824999999999</v>
      </c>
      <c r="K339" s="333">
        <v>-14.967737</v>
      </c>
      <c r="L339" s="333">
        <v>966.84100000000001</v>
      </c>
      <c r="M339" s="333">
        <v>128.499786</v>
      </c>
      <c r="N339" s="333">
        <v>17627.37</v>
      </c>
      <c r="O339" s="333">
        <v>17626.29682</v>
      </c>
      <c r="P339" s="333">
        <v>2012.009</v>
      </c>
      <c r="Q339" s="332" t="s">
        <v>469</v>
      </c>
      <c r="R339" s="332"/>
      <c r="S339" s="333">
        <v>15</v>
      </c>
      <c r="T339" s="333">
        <v>5</v>
      </c>
      <c r="U339" s="333">
        <v>0.7</v>
      </c>
      <c r="V339" s="333">
        <v>0.7</v>
      </c>
      <c r="W339" s="333">
        <v>0.7</v>
      </c>
      <c r="X339" s="333">
        <v>1700</v>
      </c>
      <c r="Y339" s="332" t="s">
        <v>470</v>
      </c>
      <c r="Z339" s="333">
        <v>0.85</v>
      </c>
      <c r="AA339" s="332" t="s">
        <v>471</v>
      </c>
      <c r="AB339" s="332" t="s">
        <v>472</v>
      </c>
      <c r="AC339" s="335">
        <v>220</v>
      </c>
    </row>
    <row r="340" spans="1:29">
      <c r="A340" s="326" t="s">
        <v>592</v>
      </c>
      <c r="B340" s="327">
        <v>6</v>
      </c>
      <c r="C340" s="327">
        <v>301</v>
      </c>
      <c r="D340" s="327" t="s">
        <v>421</v>
      </c>
      <c r="E340" s="328">
        <v>1.5</v>
      </c>
      <c r="F340" s="329">
        <v>45219.520138888889</v>
      </c>
      <c r="G340" s="328">
        <v>1</v>
      </c>
      <c r="H340" s="328">
        <v>51.3675</v>
      </c>
      <c r="I340" s="328">
        <v>6.2968099999999998</v>
      </c>
      <c r="J340" s="328">
        <v>-15.822513000000001</v>
      </c>
      <c r="K340" s="328">
        <v>-14.978669</v>
      </c>
      <c r="L340" s="328">
        <v>1003.74</v>
      </c>
      <c r="M340" s="328">
        <v>127.50033999999999</v>
      </c>
      <c r="N340" s="328">
        <v>18273.78</v>
      </c>
      <c r="O340" s="328">
        <v>18261.47524</v>
      </c>
      <c r="P340" s="328">
        <v>2084.2930000000001</v>
      </c>
      <c r="Q340" s="327" t="s">
        <v>469</v>
      </c>
      <c r="R340" s="327"/>
      <c r="S340" s="328">
        <v>15</v>
      </c>
      <c r="T340" s="328">
        <v>5</v>
      </c>
      <c r="U340" s="328">
        <v>0.7</v>
      </c>
      <c r="V340" s="328">
        <v>0.7</v>
      </c>
      <c r="W340" s="328">
        <v>0.7</v>
      </c>
      <c r="X340" s="328">
        <v>1700</v>
      </c>
      <c r="Y340" s="327" t="s">
        <v>470</v>
      </c>
      <c r="Z340" s="328">
        <v>0.85</v>
      </c>
      <c r="AA340" s="327" t="s">
        <v>471</v>
      </c>
      <c r="AB340" s="327" t="s">
        <v>472</v>
      </c>
      <c r="AC340" s="330">
        <v>220</v>
      </c>
    </row>
    <row r="341" spans="1:29">
      <c r="A341" s="331" t="s">
        <v>695</v>
      </c>
      <c r="B341" s="332">
        <v>6</v>
      </c>
      <c r="C341" s="332">
        <v>301</v>
      </c>
      <c r="D341" s="332" t="s">
        <v>421</v>
      </c>
      <c r="E341" s="333">
        <v>1.5</v>
      </c>
      <c r="F341" s="334">
        <v>45219.523611111108</v>
      </c>
      <c r="G341" s="333">
        <v>1</v>
      </c>
      <c r="H341" s="333">
        <v>51.3675</v>
      </c>
      <c r="I341" s="333">
        <v>6.2637400000000003</v>
      </c>
      <c r="J341" s="333">
        <v>-15.717618999999999</v>
      </c>
      <c r="K341" s="333">
        <v>-14.872506</v>
      </c>
      <c r="L341" s="333">
        <v>1009.94</v>
      </c>
      <c r="M341" s="333">
        <v>114.499683</v>
      </c>
      <c r="N341" s="333">
        <v>18262.57</v>
      </c>
      <c r="O341" s="333">
        <v>18261.47524</v>
      </c>
      <c r="P341" s="333">
        <v>2084.2930000000001</v>
      </c>
      <c r="Q341" s="332" t="s">
        <v>469</v>
      </c>
      <c r="R341" s="332"/>
      <c r="S341" s="333">
        <v>15</v>
      </c>
      <c r="T341" s="333">
        <v>5</v>
      </c>
      <c r="U341" s="333">
        <v>0.7</v>
      </c>
      <c r="V341" s="333">
        <v>0.7</v>
      </c>
      <c r="W341" s="333">
        <v>0.7</v>
      </c>
      <c r="X341" s="333">
        <v>1700</v>
      </c>
      <c r="Y341" s="332" t="s">
        <v>470</v>
      </c>
      <c r="Z341" s="333">
        <v>0.85</v>
      </c>
      <c r="AA341" s="332" t="s">
        <v>471</v>
      </c>
      <c r="AB341" s="332" t="s">
        <v>472</v>
      </c>
      <c r="AC341" s="335">
        <v>220</v>
      </c>
    </row>
    <row r="342" spans="1:29">
      <c r="A342" s="326" t="s">
        <v>696</v>
      </c>
      <c r="B342" s="327">
        <v>6</v>
      </c>
      <c r="C342" s="327">
        <v>301</v>
      </c>
      <c r="D342" s="327" t="s">
        <v>421</v>
      </c>
      <c r="E342" s="328">
        <v>1.5</v>
      </c>
      <c r="F342" s="329">
        <v>45219.527083333334</v>
      </c>
      <c r="G342" s="328">
        <v>1</v>
      </c>
      <c r="H342" s="328">
        <v>51.370800000000003</v>
      </c>
      <c r="I342" s="328">
        <v>6.2993699999999997</v>
      </c>
      <c r="J342" s="328">
        <v>-15.712075</v>
      </c>
      <c r="K342" s="328">
        <v>-14.869713000000001</v>
      </c>
      <c r="L342" s="328">
        <v>998.01800000000003</v>
      </c>
      <c r="M342" s="328">
        <v>119.000665</v>
      </c>
      <c r="N342" s="328">
        <v>18248.080000000002</v>
      </c>
      <c r="O342" s="328">
        <v>18261.47524</v>
      </c>
      <c r="P342" s="328">
        <v>2084.2930000000001</v>
      </c>
      <c r="Q342" s="327" t="s">
        <v>469</v>
      </c>
      <c r="R342" s="327"/>
      <c r="S342" s="328">
        <v>15</v>
      </c>
      <c r="T342" s="328">
        <v>5</v>
      </c>
      <c r="U342" s="328">
        <v>0.7</v>
      </c>
      <c r="V342" s="328">
        <v>0.7</v>
      </c>
      <c r="W342" s="328">
        <v>0.7</v>
      </c>
      <c r="X342" s="328">
        <v>1700</v>
      </c>
      <c r="Y342" s="327" t="s">
        <v>470</v>
      </c>
      <c r="Z342" s="328">
        <v>0.85</v>
      </c>
      <c r="AA342" s="327" t="s">
        <v>471</v>
      </c>
      <c r="AB342" s="327" t="s">
        <v>472</v>
      </c>
      <c r="AC342" s="330">
        <v>220</v>
      </c>
    </row>
    <row r="343" spans="1:29">
      <c r="A343" s="331" t="s">
        <v>593</v>
      </c>
      <c r="B343" s="332">
        <v>7</v>
      </c>
      <c r="C343" s="332">
        <v>302</v>
      </c>
      <c r="D343" s="332" t="s">
        <v>422</v>
      </c>
      <c r="E343" s="333">
        <v>1.5</v>
      </c>
      <c r="F343" s="334">
        <v>45219.53125</v>
      </c>
      <c r="G343" s="333">
        <v>1</v>
      </c>
      <c r="H343" s="333">
        <v>51.374099999999999</v>
      </c>
      <c r="I343" s="333">
        <v>6.2563899999999997</v>
      </c>
      <c r="J343" s="333">
        <v>-15.880936999999999</v>
      </c>
      <c r="K343" s="333">
        <v>-15.034587999999999</v>
      </c>
      <c r="L343" s="333">
        <v>995.56500000000005</v>
      </c>
      <c r="M343" s="333">
        <v>138.49973399999999</v>
      </c>
      <c r="N343" s="333">
        <v>18260.93</v>
      </c>
      <c r="O343" s="333">
        <v>18256.585350000001</v>
      </c>
      <c r="P343" s="333">
        <v>2083.7269999999999</v>
      </c>
      <c r="Q343" s="332" t="s">
        <v>469</v>
      </c>
      <c r="R343" s="332"/>
      <c r="S343" s="333">
        <v>15</v>
      </c>
      <c r="T343" s="333">
        <v>5</v>
      </c>
      <c r="U343" s="333">
        <v>0.7</v>
      </c>
      <c r="V343" s="333">
        <v>0.7</v>
      </c>
      <c r="W343" s="333">
        <v>0.7</v>
      </c>
      <c r="X343" s="333">
        <v>1700</v>
      </c>
      <c r="Y343" s="332" t="s">
        <v>470</v>
      </c>
      <c r="Z343" s="333">
        <v>0.85</v>
      </c>
      <c r="AA343" s="332" t="s">
        <v>471</v>
      </c>
      <c r="AB343" s="332" t="s">
        <v>472</v>
      </c>
      <c r="AC343" s="335">
        <v>220</v>
      </c>
    </row>
    <row r="344" spans="1:29">
      <c r="A344" s="326" t="s">
        <v>697</v>
      </c>
      <c r="B344" s="327">
        <v>7</v>
      </c>
      <c r="C344" s="327">
        <v>302</v>
      </c>
      <c r="D344" s="327" t="s">
        <v>422</v>
      </c>
      <c r="E344" s="328">
        <v>1.5</v>
      </c>
      <c r="F344" s="329">
        <v>45219.534722222219</v>
      </c>
      <c r="G344" s="328">
        <v>1</v>
      </c>
      <c r="H344" s="328">
        <v>51.374099999999999</v>
      </c>
      <c r="I344" s="328">
        <v>6.2621599999999997</v>
      </c>
      <c r="J344" s="328">
        <v>-15.661937999999999</v>
      </c>
      <c r="K344" s="328">
        <v>-14.817500000000001</v>
      </c>
      <c r="L344" s="328">
        <v>1000.46</v>
      </c>
      <c r="M344" s="328">
        <v>116.500411</v>
      </c>
      <c r="N344" s="328">
        <v>18259.650000000001</v>
      </c>
      <c r="O344" s="328">
        <v>18256.585350000001</v>
      </c>
      <c r="P344" s="328">
        <v>2083.7269999999999</v>
      </c>
      <c r="Q344" s="327" t="s">
        <v>469</v>
      </c>
      <c r="R344" s="327"/>
      <c r="S344" s="328">
        <v>15</v>
      </c>
      <c r="T344" s="328">
        <v>5</v>
      </c>
      <c r="U344" s="328">
        <v>0.7</v>
      </c>
      <c r="V344" s="328">
        <v>0.7</v>
      </c>
      <c r="W344" s="328">
        <v>0.7</v>
      </c>
      <c r="X344" s="328">
        <v>1700</v>
      </c>
      <c r="Y344" s="327" t="s">
        <v>470</v>
      </c>
      <c r="Z344" s="328">
        <v>0.85</v>
      </c>
      <c r="AA344" s="327" t="s">
        <v>471</v>
      </c>
      <c r="AB344" s="327" t="s">
        <v>472</v>
      </c>
      <c r="AC344" s="330">
        <v>220</v>
      </c>
    </row>
    <row r="345" spans="1:29">
      <c r="A345" s="331" t="s">
        <v>698</v>
      </c>
      <c r="B345" s="332">
        <v>7</v>
      </c>
      <c r="C345" s="332">
        <v>302</v>
      </c>
      <c r="D345" s="332" t="s">
        <v>422</v>
      </c>
      <c r="E345" s="333">
        <v>1.5</v>
      </c>
      <c r="F345" s="334">
        <v>45219.538194444445</v>
      </c>
      <c r="G345" s="333">
        <v>1</v>
      </c>
      <c r="H345" s="333">
        <v>51.3675</v>
      </c>
      <c r="I345" s="333">
        <v>6.3248100000000003</v>
      </c>
      <c r="J345" s="333">
        <v>-15.697656</v>
      </c>
      <c r="K345" s="333">
        <v>-14.857156</v>
      </c>
      <c r="L345" s="333">
        <v>1004.11</v>
      </c>
      <c r="M345" s="333">
        <v>128.000238</v>
      </c>
      <c r="N345" s="333">
        <v>18206.599999999999</v>
      </c>
      <c r="O345" s="333">
        <v>18256.585350000001</v>
      </c>
      <c r="P345" s="333">
        <v>2083.7269999999999</v>
      </c>
      <c r="Q345" s="332" t="s">
        <v>542</v>
      </c>
      <c r="R345" s="332"/>
      <c r="S345" s="333">
        <v>15</v>
      </c>
      <c r="T345" s="333">
        <v>5</v>
      </c>
      <c r="U345" s="333">
        <v>0.7</v>
      </c>
      <c r="V345" s="333">
        <v>0.7</v>
      </c>
      <c r="W345" s="333">
        <v>0.7</v>
      </c>
      <c r="X345" s="333">
        <v>1700</v>
      </c>
      <c r="Y345" s="332" t="s">
        <v>470</v>
      </c>
      <c r="Z345" s="333">
        <v>0.85</v>
      </c>
      <c r="AA345" s="332" t="s">
        <v>471</v>
      </c>
      <c r="AB345" s="332" t="s">
        <v>472</v>
      </c>
      <c r="AC345" s="335">
        <v>220</v>
      </c>
    </row>
    <row r="346" spans="1:29">
      <c r="A346" s="326" t="s">
        <v>745</v>
      </c>
      <c r="B346" s="327">
        <v>7</v>
      </c>
      <c r="C346" s="327">
        <v>302</v>
      </c>
      <c r="D346" s="327" t="s">
        <v>422</v>
      </c>
      <c r="E346" s="328">
        <v>1.5</v>
      </c>
      <c r="F346" s="329">
        <v>45219.541666666664</v>
      </c>
      <c r="G346" s="328">
        <v>1</v>
      </c>
      <c r="H346" s="328">
        <v>51.3675</v>
      </c>
      <c r="I346" s="328">
        <v>6.2929500000000003</v>
      </c>
      <c r="J346" s="328">
        <v>-15.580368999999999</v>
      </c>
      <c r="K346" s="328">
        <v>-14.760287999999999</v>
      </c>
      <c r="L346" s="328">
        <v>1006.56</v>
      </c>
      <c r="M346" s="328">
        <v>117.50058</v>
      </c>
      <c r="N346" s="328">
        <v>18249.18</v>
      </c>
      <c r="O346" s="328">
        <v>18256.585350000001</v>
      </c>
      <c r="P346" s="328">
        <v>2083.7269999999999</v>
      </c>
      <c r="Q346" s="327" t="s">
        <v>469</v>
      </c>
      <c r="R346" s="327"/>
      <c r="S346" s="328">
        <v>15</v>
      </c>
      <c r="T346" s="328">
        <v>5</v>
      </c>
      <c r="U346" s="328">
        <v>0.7</v>
      </c>
      <c r="V346" s="328">
        <v>0.7</v>
      </c>
      <c r="W346" s="328">
        <v>0.7</v>
      </c>
      <c r="X346" s="328">
        <v>1700</v>
      </c>
      <c r="Y346" s="327" t="s">
        <v>470</v>
      </c>
      <c r="Z346" s="328">
        <v>0.85</v>
      </c>
      <c r="AA346" s="327" t="s">
        <v>471</v>
      </c>
      <c r="AB346" s="327" t="s">
        <v>472</v>
      </c>
      <c r="AC346" s="330">
        <v>220</v>
      </c>
    </row>
    <row r="347" spans="1:29">
      <c r="A347" s="331" t="s">
        <v>595</v>
      </c>
      <c r="B347" s="332">
        <v>8</v>
      </c>
      <c r="C347" s="332">
        <v>323</v>
      </c>
      <c r="D347" s="332" t="s">
        <v>423</v>
      </c>
      <c r="E347" s="333">
        <v>1.5</v>
      </c>
      <c r="F347" s="334">
        <v>45219.54583333333</v>
      </c>
      <c r="G347" s="333">
        <v>1</v>
      </c>
      <c r="H347" s="333">
        <v>51.374099999999999</v>
      </c>
      <c r="I347" s="333">
        <v>6.2256799999999997</v>
      </c>
      <c r="J347" s="333">
        <v>-15.681369</v>
      </c>
      <c r="K347" s="333">
        <v>-14.842036999999999</v>
      </c>
      <c r="L347" s="333">
        <v>1000.24</v>
      </c>
      <c r="M347" s="333">
        <v>124.499297</v>
      </c>
      <c r="N347" s="333">
        <v>18214.240000000002</v>
      </c>
      <c r="O347" s="333">
        <v>18207.303240000001</v>
      </c>
      <c r="P347" s="333">
        <v>2078.018</v>
      </c>
      <c r="Q347" s="332" t="s">
        <v>469</v>
      </c>
      <c r="R347" s="332"/>
      <c r="S347" s="333">
        <v>15</v>
      </c>
      <c r="T347" s="333">
        <v>5</v>
      </c>
      <c r="U347" s="333">
        <v>0.7</v>
      </c>
      <c r="V347" s="333">
        <v>0.7</v>
      </c>
      <c r="W347" s="333">
        <v>0.7</v>
      </c>
      <c r="X347" s="333">
        <v>1700</v>
      </c>
      <c r="Y347" s="332" t="s">
        <v>470</v>
      </c>
      <c r="Z347" s="333">
        <v>0.85</v>
      </c>
      <c r="AA347" s="332" t="s">
        <v>471</v>
      </c>
      <c r="AB347" s="332" t="s">
        <v>472</v>
      </c>
      <c r="AC347" s="335">
        <v>220</v>
      </c>
    </row>
    <row r="348" spans="1:29">
      <c r="A348" s="326" t="s">
        <v>699</v>
      </c>
      <c r="B348" s="327">
        <v>8</v>
      </c>
      <c r="C348" s="327">
        <v>323</v>
      </c>
      <c r="D348" s="327" t="s">
        <v>423</v>
      </c>
      <c r="E348" s="328">
        <v>1.5</v>
      </c>
      <c r="F348" s="329">
        <v>45219.549305555556</v>
      </c>
      <c r="G348" s="328">
        <v>1</v>
      </c>
      <c r="H348" s="328">
        <v>51.374099999999999</v>
      </c>
      <c r="I348" s="328">
        <v>6.2543100000000003</v>
      </c>
      <c r="J348" s="328">
        <v>-15.67135</v>
      </c>
      <c r="K348" s="328">
        <v>-14.830294</v>
      </c>
      <c r="L348" s="328">
        <v>1003.04</v>
      </c>
      <c r="M348" s="328">
        <v>132.501486</v>
      </c>
      <c r="N348" s="328">
        <v>18199.189999999999</v>
      </c>
      <c r="O348" s="328">
        <v>18207.303240000001</v>
      </c>
      <c r="P348" s="328">
        <v>2078.018</v>
      </c>
      <c r="Q348" s="327" t="s">
        <v>469</v>
      </c>
      <c r="R348" s="327"/>
      <c r="S348" s="328">
        <v>15</v>
      </c>
      <c r="T348" s="328">
        <v>5</v>
      </c>
      <c r="U348" s="328">
        <v>0.7</v>
      </c>
      <c r="V348" s="328">
        <v>0.7</v>
      </c>
      <c r="W348" s="328">
        <v>0.7</v>
      </c>
      <c r="X348" s="328">
        <v>1700</v>
      </c>
      <c r="Y348" s="327" t="s">
        <v>470</v>
      </c>
      <c r="Z348" s="328">
        <v>0.85</v>
      </c>
      <c r="AA348" s="327" t="s">
        <v>471</v>
      </c>
      <c r="AB348" s="327" t="s">
        <v>472</v>
      </c>
      <c r="AC348" s="330">
        <v>220</v>
      </c>
    </row>
    <row r="349" spans="1:29">
      <c r="A349" s="331" t="s">
        <v>700</v>
      </c>
      <c r="B349" s="332">
        <v>8</v>
      </c>
      <c r="C349" s="332">
        <v>323</v>
      </c>
      <c r="D349" s="332" t="s">
        <v>423</v>
      </c>
      <c r="E349" s="333">
        <v>1.5</v>
      </c>
      <c r="F349" s="334">
        <v>45219.553472222222</v>
      </c>
      <c r="G349" s="333">
        <v>1</v>
      </c>
      <c r="H349" s="333">
        <v>51.3675</v>
      </c>
      <c r="I349" s="333">
        <v>6.2671400000000004</v>
      </c>
      <c r="J349" s="333">
        <v>-15.520894</v>
      </c>
      <c r="K349" s="333">
        <v>-14.683475</v>
      </c>
      <c r="L349" s="333">
        <v>1003.4</v>
      </c>
      <c r="M349" s="333">
        <v>119.499858</v>
      </c>
      <c r="N349" s="333">
        <v>18208.48</v>
      </c>
      <c r="O349" s="333">
        <v>18207.303240000001</v>
      </c>
      <c r="P349" s="333">
        <v>2078.018</v>
      </c>
      <c r="Q349" s="332" t="s">
        <v>469</v>
      </c>
      <c r="R349" s="332"/>
      <c r="S349" s="333">
        <v>15</v>
      </c>
      <c r="T349" s="333">
        <v>5</v>
      </c>
      <c r="U349" s="333">
        <v>0.7</v>
      </c>
      <c r="V349" s="333">
        <v>0.7</v>
      </c>
      <c r="W349" s="333">
        <v>0.7</v>
      </c>
      <c r="X349" s="333">
        <v>1700</v>
      </c>
      <c r="Y349" s="332" t="s">
        <v>470</v>
      </c>
      <c r="Z349" s="333">
        <v>0.85</v>
      </c>
      <c r="AA349" s="332" t="s">
        <v>471</v>
      </c>
      <c r="AB349" s="332" t="s">
        <v>472</v>
      </c>
      <c r="AC349" s="335">
        <v>220</v>
      </c>
    </row>
    <row r="350" spans="1:29">
      <c r="A350" s="326" t="s">
        <v>597</v>
      </c>
      <c r="B350" s="327">
        <v>9</v>
      </c>
      <c r="C350" s="327">
        <v>324</v>
      </c>
      <c r="D350" s="327" t="s">
        <v>424</v>
      </c>
      <c r="E350" s="328">
        <v>1.5</v>
      </c>
      <c r="F350" s="329">
        <v>45219.557638888888</v>
      </c>
      <c r="G350" s="328">
        <v>1</v>
      </c>
      <c r="H350" s="328">
        <v>51.3675</v>
      </c>
      <c r="I350" s="328">
        <v>6.22464</v>
      </c>
      <c r="J350" s="328">
        <v>-15.636169000000001</v>
      </c>
      <c r="K350" s="328">
        <v>-14.802612</v>
      </c>
      <c r="L350" s="328">
        <v>1003.46</v>
      </c>
      <c r="M350" s="328">
        <v>124.99962600000001</v>
      </c>
      <c r="N350" s="328">
        <v>18232.650000000001</v>
      </c>
      <c r="O350" s="328">
        <v>18221.881860000001</v>
      </c>
      <c r="P350" s="328">
        <v>2079.7069999999999</v>
      </c>
      <c r="Q350" s="327" t="s">
        <v>469</v>
      </c>
      <c r="R350" s="327"/>
      <c r="S350" s="328">
        <v>15</v>
      </c>
      <c r="T350" s="328">
        <v>5</v>
      </c>
      <c r="U350" s="328">
        <v>0.7</v>
      </c>
      <c r="V350" s="328">
        <v>0.7</v>
      </c>
      <c r="W350" s="328">
        <v>0.7</v>
      </c>
      <c r="X350" s="328">
        <v>1700</v>
      </c>
      <c r="Y350" s="327" t="s">
        <v>470</v>
      </c>
      <c r="Z350" s="328">
        <v>0.85</v>
      </c>
      <c r="AA350" s="327" t="s">
        <v>471</v>
      </c>
      <c r="AB350" s="327" t="s">
        <v>472</v>
      </c>
      <c r="AC350" s="330">
        <v>220</v>
      </c>
    </row>
    <row r="351" spans="1:29">
      <c r="A351" s="331" t="s">
        <v>701</v>
      </c>
      <c r="B351" s="332">
        <v>9</v>
      </c>
      <c r="C351" s="332">
        <v>324</v>
      </c>
      <c r="D351" s="332" t="s">
        <v>424</v>
      </c>
      <c r="E351" s="333">
        <v>1.5</v>
      </c>
      <c r="F351" s="334">
        <v>45219.561111111114</v>
      </c>
      <c r="G351" s="333">
        <v>1</v>
      </c>
      <c r="H351" s="333">
        <v>51.370800000000003</v>
      </c>
      <c r="I351" s="333">
        <v>6.2041000000000004</v>
      </c>
      <c r="J351" s="333">
        <v>-15.446930999999999</v>
      </c>
      <c r="K351" s="333">
        <v>-14.598943999999999</v>
      </c>
      <c r="L351" s="333">
        <v>1012.01</v>
      </c>
      <c r="M351" s="333">
        <v>113.50062200000001</v>
      </c>
      <c r="N351" s="333">
        <v>18213.23</v>
      </c>
      <c r="O351" s="333">
        <v>18221.881860000001</v>
      </c>
      <c r="P351" s="333">
        <v>2079.7069999999999</v>
      </c>
      <c r="Q351" s="332" t="s">
        <v>469</v>
      </c>
      <c r="R351" s="332"/>
      <c r="S351" s="333">
        <v>15</v>
      </c>
      <c r="T351" s="333">
        <v>5</v>
      </c>
      <c r="U351" s="333">
        <v>0.7</v>
      </c>
      <c r="V351" s="333">
        <v>0.7</v>
      </c>
      <c r="W351" s="333">
        <v>0.7</v>
      </c>
      <c r="X351" s="333">
        <v>1700</v>
      </c>
      <c r="Y351" s="332" t="s">
        <v>470</v>
      </c>
      <c r="Z351" s="333">
        <v>0.85</v>
      </c>
      <c r="AA351" s="332" t="s">
        <v>471</v>
      </c>
      <c r="AB351" s="332" t="s">
        <v>472</v>
      </c>
      <c r="AC351" s="335">
        <v>220</v>
      </c>
    </row>
    <row r="352" spans="1:29">
      <c r="A352" s="326" t="s">
        <v>702</v>
      </c>
      <c r="B352" s="327">
        <v>9</v>
      </c>
      <c r="C352" s="327">
        <v>324</v>
      </c>
      <c r="D352" s="327" t="s">
        <v>424</v>
      </c>
      <c r="E352" s="328">
        <v>1.5</v>
      </c>
      <c r="F352" s="329">
        <v>45219.564583333333</v>
      </c>
      <c r="G352" s="328">
        <v>1</v>
      </c>
      <c r="H352" s="328">
        <v>51.370800000000003</v>
      </c>
      <c r="I352" s="328">
        <v>6.3086200000000003</v>
      </c>
      <c r="J352" s="328">
        <v>-15.739625</v>
      </c>
      <c r="K352" s="328">
        <v>-14.892369</v>
      </c>
      <c r="L352" s="328">
        <v>1008.59</v>
      </c>
      <c r="M352" s="328">
        <v>133.99964499999999</v>
      </c>
      <c r="N352" s="328">
        <v>18219.77</v>
      </c>
      <c r="O352" s="328">
        <v>18221.881860000001</v>
      </c>
      <c r="P352" s="328">
        <v>2079.7069999999999</v>
      </c>
      <c r="Q352" s="327" t="s">
        <v>469</v>
      </c>
      <c r="R352" s="327"/>
      <c r="S352" s="328">
        <v>15</v>
      </c>
      <c r="T352" s="328">
        <v>5</v>
      </c>
      <c r="U352" s="328">
        <v>0.7</v>
      </c>
      <c r="V352" s="328">
        <v>0.7</v>
      </c>
      <c r="W352" s="328">
        <v>0.7</v>
      </c>
      <c r="X352" s="328">
        <v>1700</v>
      </c>
      <c r="Y352" s="327" t="s">
        <v>470</v>
      </c>
      <c r="Z352" s="328">
        <v>0.85</v>
      </c>
      <c r="AA352" s="327" t="s">
        <v>471</v>
      </c>
      <c r="AB352" s="327" t="s">
        <v>472</v>
      </c>
      <c r="AC352" s="330">
        <v>220</v>
      </c>
    </row>
    <row r="353" spans="1:29">
      <c r="A353" s="331" t="s">
        <v>599</v>
      </c>
      <c r="B353" s="332">
        <v>10</v>
      </c>
      <c r="C353" s="332">
        <v>334</v>
      </c>
      <c r="D353" s="332" t="s">
        <v>425</v>
      </c>
      <c r="E353" s="333">
        <v>1.5</v>
      </c>
      <c r="F353" s="334">
        <v>45219.568749999999</v>
      </c>
      <c r="G353" s="333">
        <v>1</v>
      </c>
      <c r="H353" s="333">
        <v>51.370800000000003</v>
      </c>
      <c r="I353" s="333">
        <v>6.2190099999999999</v>
      </c>
      <c r="J353" s="333">
        <v>-15.643875</v>
      </c>
      <c r="K353" s="333">
        <v>-14.79485</v>
      </c>
      <c r="L353" s="333">
        <v>1002.25</v>
      </c>
      <c r="M353" s="333">
        <v>123.998394</v>
      </c>
      <c r="N353" s="333">
        <v>18223.87</v>
      </c>
      <c r="O353" s="333">
        <v>18234.597430000002</v>
      </c>
      <c r="P353" s="333">
        <v>2081.1799999999998</v>
      </c>
      <c r="Q353" s="332" t="s">
        <v>469</v>
      </c>
      <c r="R353" s="332"/>
      <c r="S353" s="333">
        <v>15</v>
      </c>
      <c r="T353" s="333">
        <v>5</v>
      </c>
      <c r="U353" s="333">
        <v>0.7</v>
      </c>
      <c r="V353" s="333">
        <v>0.7</v>
      </c>
      <c r="W353" s="333">
        <v>0.7</v>
      </c>
      <c r="X353" s="333">
        <v>1700</v>
      </c>
      <c r="Y353" s="332" t="s">
        <v>470</v>
      </c>
      <c r="Z353" s="333">
        <v>0.85</v>
      </c>
      <c r="AA353" s="332" t="s">
        <v>471</v>
      </c>
      <c r="AB353" s="332" t="s">
        <v>472</v>
      </c>
      <c r="AC353" s="335">
        <v>220</v>
      </c>
    </row>
    <row r="354" spans="1:29">
      <c r="A354" s="326" t="s">
        <v>705</v>
      </c>
      <c r="B354" s="327">
        <v>10</v>
      </c>
      <c r="C354" s="327">
        <v>334</v>
      </c>
      <c r="D354" s="327" t="s">
        <v>425</v>
      </c>
      <c r="E354" s="328">
        <v>1.5</v>
      </c>
      <c r="F354" s="329">
        <v>45219.572222222225</v>
      </c>
      <c r="G354" s="328">
        <v>1</v>
      </c>
      <c r="H354" s="328">
        <v>51.374099999999999</v>
      </c>
      <c r="I354" s="328">
        <v>6.1570099999999996</v>
      </c>
      <c r="J354" s="328">
        <v>-15.600419</v>
      </c>
      <c r="K354" s="328">
        <v>-14.769625</v>
      </c>
      <c r="L354" s="328">
        <v>1002.96</v>
      </c>
      <c r="M354" s="328">
        <v>120.500773</v>
      </c>
      <c r="N354" s="328">
        <v>18228.66</v>
      </c>
      <c r="O354" s="328">
        <v>18234.597430000002</v>
      </c>
      <c r="P354" s="328">
        <v>2081.1799999999998</v>
      </c>
      <c r="Q354" s="327" t="s">
        <v>469</v>
      </c>
      <c r="R354" s="327"/>
      <c r="S354" s="328">
        <v>15</v>
      </c>
      <c r="T354" s="328">
        <v>5</v>
      </c>
      <c r="U354" s="328">
        <v>0.7</v>
      </c>
      <c r="V354" s="328">
        <v>0.7</v>
      </c>
      <c r="W354" s="328">
        <v>0.7</v>
      </c>
      <c r="X354" s="328">
        <v>1700</v>
      </c>
      <c r="Y354" s="327" t="s">
        <v>470</v>
      </c>
      <c r="Z354" s="328">
        <v>0.85</v>
      </c>
      <c r="AA354" s="327" t="s">
        <v>471</v>
      </c>
      <c r="AB354" s="327" t="s">
        <v>472</v>
      </c>
      <c r="AC354" s="330">
        <v>220</v>
      </c>
    </row>
    <row r="355" spans="1:29">
      <c r="A355" s="331" t="s">
        <v>706</v>
      </c>
      <c r="B355" s="332">
        <v>10</v>
      </c>
      <c r="C355" s="332">
        <v>334</v>
      </c>
      <c r="D355" s="332" t="s">
        <v>425</v>
      </c>
      <c r="E355" s="333">
        <v>1.5</v>
      </c>
      <c r="F355" s="334">
        <v>45219.575694444444</v>
      </c>
      <c r="G355" s="333">
        <v>1</v>
      </c>
      <c r="H355" s="333">
        <v>51.370800000000003</v>
      </c>
      <c r="I355" s="333">
        <v>6.1510100000000003</v>
      </c>
      <c r="J355" s="333">
        <v>-15.627725</v>
      </c>
      <c r="K355" s="333">
        <v>-14.800050000000001</v>
      </c>
      <c r="L355" s="333">
        <v>1003.36</v>
      </c>
      <c r="M355" s="333">
        <v>128.99961400000001</v>
      </c>
      <c r="N355" s="333">
        <v>18251.259999999998</v>
      </c>
      <c r="O355" s="333">
        <v>18234.597430000002</v>
      </c>
      <c r="P355" s="333">
        <v>2081.1799999999998</v>
      </c>
      <c r="Q355" s="332" t="s">
        <v>469</v>
      </c>
      <c r="R355" s="332"/>
      <c r="S355" s="333">
        <v>15</v>
      </c>
      <c r="T355" s="333">
        <v>5</v>
      </c>
      <c r="U355" s="333">
        <v>0.7</v>
      </c>
      <c r="V355" s="333">
        <v>0.7</v>
      </c>
      <c r="W355" s="333">
        <v>0.7</v>
      </c>
      <c r="X355" s="333">
        <v>1700</v>
      </c>
      <c r="Y355" s="332" t="s">
        <v>470</v>
      </c>
      <c r="Z355" s="333">
        <v>0.85</v>
      </c>
      <c r="AA355" s="332" t="s">
        <v>471</v>
      </c>
      <c r="AB355" s="332" t="s">
        <v>472</v>
      </c>
      <c r="AC355" s="335">
        <v>220</v>
      </c>
    </row>
    <row r="356" spans="1:29">
      <c r="A356" s="326" t="s">
        <v>600</v>
      </c>
      <c r="B356" s="327">
        <v>11</v>
      </c>
      <c r="C356" s="327">
        <v>335</v>
      </c>
      <c r="D356" s="327" t="s">
        <v>426</v>
      </c>
      <c r="E356" s="328">
        <v>1.5</v>
      </c>
      <c r="F356" s="329">
        <v>45219.579861111109</v>
      </c>
      <c r="G356" s="328">
        <v>1</v>
      </c>
      <c r="H356" s="328">
        <v>51.3675</v>
      </c>
      <c r="I356" s="328">
        <v>6.1720499999999996</v>
      </c>
      <c r="J356" s="328">
        <v>-15.636388</v>
      </c>
      <c r="K356" s="328">
        <v>-14.797756</v>
      </c>
      <c r="L356" s="328">
        <v>1003.31</v>
      </c>
      <c r="M356" s="328">
        <v>122.49961999999999</v>
      </c>
      <c r="N356" s="328">
        <v>18227.98</v>
      </c>
      <c r="O356" s="328">
        <v>18231.05488</v>
      </c>
      <c r="P356" s="328">
        <v>2080.7689999999998</v>
      </c>
      <c r="Q356" s="327" t="s">
        <v>469</v>
      </c>
      <c r="R356" s="327"/>
      <c r="S356" s="328">
        <v>15</v>
      </c>
      <c r="T356" s="328">
        <v>5</v>
      </c>
      <c r="U356" s="328">
        <v>0.7</v>
      </c>
      <c r="V356" s="328">
        <v>0.7</v>
      </c>
      <c r="W356" s="328">
        <v>0.7</v>
      </c>
      <c r="X356" s="328">
        <v>1700</v>
      </c>
      <c r="Y356" s="327" t="s">
        <v>470</v>
      </c>
      <c r="Z356" s="328">
        <v>0.85</v>
      </c>
      <c r="AA356" s="327" t="s">
        <v>471</v>
      </c>
      <c r="AB356" s="327" t="s">
        <v>472</v>
      </c>
      <c r="AC356" s="330">
        <v>220</v>
      </c>
    </row>
    <row r="357" spans="1:29">
      <c r="A357" s="331" t="s">
        <v>707</v>
      </c>
      <c r="B357" s="332">
        <v>11</v>
      </c>
      <c r="C357" s="332">
        <v>335</v>
      </c>
      <c r="D357" s="332" t="s">
        <v>426</v>
      </c>
      <c r="E357" s="333">
        <v>1.5</v>
      </c>
      <c r="F357" s="334">
        <v>45219.583333333336</v>
      </c>
      <c r="G357" s="333">
        <v>1</v>
      </c>
      <c r="H357" s="333">
        <v>51.374099999999999</v>
      </c>
      <c r="I357" s="333">
        <v>6.1582100000000004</v>
      </c>
      <c r="J357" s="333">
        <v>-15.702775000000001</v>
      </c>
      <c r="K357" s="333">
        <v>-14.876194</v>
      </c>
      <c r="L357" s="333">
        <v>1000.54</v>
      </c>
      <c r="M357" s="333">
        <v>124.999798</v>
      </c>
      <c r="N357" s="333">
        <v>18235.830000000002</v>
      </c>
      <c r="O357" s="333">
        <v>18231.05488</v>
      </c>
      <c r="P357" s="333">
        <v>2080.7689999999998</v>
      </c>
      <c r="Q357" s="332" t="s">
        <v>469</v>
      </c>
      <c r="R357" s="332"/>
      <c r="S357" s="333">
        <v>15</v>
      </c>
      <c r="T357" s="333">
        <v>5</v>
      </c>
      <c r="U357" s="333">
        <v>0.7</v>
      </c>
      <c r="V357" s="333">
        <v>0.7</v>
      </c>
      <c r="W357" s="333">
        <v>0.7</v>
      </c>
      <c r="X357" s="333">
        <v>1700</v>
      </c>
      <c r="Y357" s="332" t="s">
        <v>470</v>
      </c>
      <c r="Z357" s="333">
        <v>0.85</v>
      </c>
      <c r="AA357" s="332" t="s">
        <v>471</v>
      </c>
      <c r="AB357" s="332" t="s">
        <v>472</v>
      </c>
      <c r="AC357" s="335">
        <v>220</v>
      </c>
    </row>
    <row r="358" spans="1:29">
      <c r="A358" s="326" t="s">
        <v>708</v>
      </c>
      <c r="B358" s="327">
        <v>11</v>
      </c>
      <c r="C358" s="327">
        <v>335</v>
      </c>
      <c r="D358" s="327" t="s">
        <v>426</v>
      </c>
      <c r="E358" s="328">
        <v>1.5</v>
      </c>
      <c r="F358" s="329">
        <v>45219.587500000001</v>
      </c>
      <c r="G358" s="328">
        <v>1</v>
      </c>
      <c r="H358" s="328">
        <v>51.377400000000002</v>
      </c>
      <c r="I358" s="328">
        <v>6.2386999999999997</v>
      </c>
      <c r="J358" s="328">
        <v>-15.635968999999999</v>
      </c>
      <c r="K358" s="328">
        <v>-14.792037000000001</v>
      </c>
      <c r="L358" s="328">
        <v>1013.53</v>
      </c>
      <c r="M358" s="328">
        <v>134.49918299999999</v>
      </c>
      <c r="N358" s="328">
        <v>18229.349999999999</v>
      </c>
      <c r="O358" s="328">
        <v>18231.05488</v>
      </c>
      <c r="P358" s="328">
        <v>2080.7689999999998</v>
      </c>
      <c r="Q358" s="327" t="s">
        <v>469</v>
      </c>
      <c r="R358" s="327"/>
      <c r="S358" s="328">
        <v>15</v>
      </c>
      <c r="T358" s="328">
        <v>5</v>
      </c>
      <c r="U358" s="328">
        <v>0.7</v>
      </c>
      <c r="V358" s="328">
        <v>0.7</v>
      </c>
      <c r="W358" s="328">
        <v>0.7</v>
      </c>
      <c r="X358" s="328">
        <v>1700</v>
      </c>
      <c r="Y358" s="327" t="s">
        <v>470</v>
      </c>
      <c r="Z358" s="328">
        <v>0.85</v>
      </c>
      <c r="AA358" s="327" t="s">
        <v>471</v>
      </c>
      <c r="AB358" s="327" t="s">
        <v>472</v>
      </c>
      <c r="AC358" s="330">
        <v>220</v>
      </c>
    </row>
    <row r="359" spans="1:29">
      <c r="A359" s="336" t="s">
        <v>601</v>
      </c>
      <c r="B359" s="337">
        <v>12</v>
      </c>
      <c r="C359" s="337" t="s">
        <v>433</v>
      </c>
      <c r="D359" s="337" t="s">
        <v>468</v>
      </c>
      <c r="E359" s="338">
        <v>1.5</v>
      </c>
      <c r="F359" s="339">
        <v>45219.591666666667</v>
      </c>
      <c r="G359" s="338">
        <v>1</v>
      </c>
      <c r="H359" s="338">
        <v>51.370800000000003</v>
      </c>
      <c r="I359" s="338">
        <v>6.2110700000000003</v>
      </c>
      <c r="J359" s="338">
        <v>-15.365375</v>
      </c>
      <c r="K359" s="338">
        <v>-14.520231000000001</v>
      </c>
      <c r="L359" s="338">
        <v>1004.22</v>
      </c>
      <c r="M359" s="338">
        <v>121.50094199999999</v>
      </c>
      <c r="N359" s="338">
        <v>18090.88</v>
      </c>
      <c r="O359" s="338">
        <v>18082.058379999999</v>
      </c>
      <c r="P359" s="338">
        <v>2063.7159999999999</v>
      </c>
      <c r="Q359" s="337" t="s">
        <v>469</v>
      </c>
      <c r="R359" s="337"/>
      <c r="S359" s="338">
        <v>15</v>
      </c>
      <c r="T359" s="338">
        <v>5</v>
      </c>
      <c r="U359" s="338">
        <v>0.7</v>
      </c>
      <c r="V359" s="338">
        <v>0.7</v>
      </c>
      <c r="W359" s="338">
        <v>0.7</v>
      </c>
      <c r="X359" s="338">
        <v>1700</v>
      </c>
      <c r="Y359" s="337" t="s">
        <v>470</v>
      </c>
      <c r="Z359" s="338">
        <v>0.85</v>
      </c>
      <c r="AA359" s="337" t="s">
        <v>471</v>
      </c>
      <c r="AB359" s="337" t="s">
        <v>472</v>
      </c>
      <c r="AC359" s="340">
        <v>220</v>
      </c>
    </row>
    <row r="360" spans="1:29">
      <c r="A360" s="326" t="s">
        <v>709</v>
      </c>
      <c r="B360" s="327">
        <v>12</v>
      </c>
      <c r="C360" s="327" t="s">
        <v>433</v>
      </c>
      <c r="D360" s="327" t="s">
        <v>468</v>
      </c>
      <c r="E360" s="328">
        <v>1.5</v>
      </c>
      <c r="F360" s="329">
        <v>45219.595138888886</v>
      </c>
      <c r="G360" s="328">
        <v>1</v>
      </c>
      <c r="H360" s="328">
        <v>51.374099999999999</v>
      </c>
      <c r="I360" s="328">
        <v>6.1839199999999996</v>
      </c>
      <c r="J360" s="328">
        <v>-15.698650000000001</v>
      </c>
      <c r="K360" s="328">
        <v>-14.857156</v>
      </c>
      <c r="L360" s="328">
        <v>990.10799999999995</v>
      </c>
      <c r="M360" s="328">
        <v>129.99908099999999</v>
      </c>
      <c r="N360" s="328">
        <v>18093.259999999998</v>
      </c>
      <c r="O360" s="328">
        <v>18082.058379999999</v>
      </c>
      <c r="P360" s="328">
        <v>2063.7159999999999</v>
      </c>
      <c r="Q360" s="327" t="s">
        <v>469</v>
      </c>
      <c r="R360" s="327"/>
      <c r="S360" s="328">
        <v>15</v>
      </c>
      <c r="T360" s="328">
        <v>5</v>
      </c>
      <c r="U360" s="328">
        <v>0.7</v>
      </c>
      <c r="V360" s="328">
        <v>0.7</v>
      </c>
      <c r="W360" s="328">
        <v>0.7</v>
      </c>
      <c r="X360" s="328">
        <v>1700</v>
      </c>
      <c r="Y360" s="327" t="s">
        <v>470</v>
      </c>
      <c r="Z360" s="328">
        <v>0.85</v>
      </c>
      <c r="AA360" s="327" t="s">
        <v>471</v>
      </c>
      <c r="AB360" s="327" t="s">
        <v>472</v>
      </c>
      <c r="AC360" s="330">
        <v>220</v>
      </c>
    </row>
    <row r="361" spans="1:29">
      <c r="A361" s="331" t="s">
        <v>710</v>
      </c>
      <c r="B361" s="332">
        <v>12</v>
      </c>
      <c r="C361" s="332" t="s">
        <v>433</v>
      </c>
      <c r="D361" s="332" t="s">
        <v>468</v>
      </c>
      <c r="E361" s="333">
        <v>1.5</v>
      </c>
      <c r="F361" s="334">
        <v>45219.598611111112</v>
      </c>
      <c r="G361" s="333">
        <v>1</v>
      </c>
      <c r="H361" s="333">
        <v>51.3675</v>
      </c>
      <c r="I361" s="333">
        <v>6.1506800000000004</v>
      </c>
      <c r="J361" s="333">
        <v>-15.471513</v>
      </c>
      <c r="K361" s="333">
        <v>-14.623818999999999</v>
      </c>
      <c r="L361" s="333">
        <v>991.62900000000002</v>
      </c>
      <c r="M361" s="333">
        <v>114.499512</v>
      </c>
      <c r="N361" s="333">
        <v>18062.03</v>
      </c>
      <c r="O361" s="333">
        <v>18082.058379999999</v>
      </c>
      <c r="P361" s="333">
        <v>2063.7159999999999</v>
      </c>
      <c r="Q361" s="332" t="s">
        <v>469</v>
      </c>
      <c r="R361" s="332"/>
      <c r="S361" s="333">
        <v>15</v>
      </c>
      <c r="T361" s="333">
        <v>5</v>
      </c>
      <c r="U361" s="333">
        <v>0.7</v>
      </c>
      <c r="V361" s="333">
        <v>0.7</v>
      </c>
      <c r="W361" s="333">
        <v>0.7</v>
      </c>
      <c r="X361" s="333">
        <v>1700</v>
      </c>
      <c r="Y361" s="332" t="s">
        <v>470</v>
      </c>
      <c r="Z361" s="333">
        <v>0.85</v>
      </c>
      <c r="AA361" s="332" t="s">
        <v>471</v>
      </c>
      <c r="AB361" s="332" t="s">
        <v>472</v>
      </c>
      <c r="AC361" s="335">
        <v>220</v>
      </c>
    </row>
    <row r="362" spans="1:29">
      <c r="A362" s="326" t="s">
        <v>602</v>
      </c>
      <c r="B362" s="327">
        <v>13</v>
      </c>
      <c r="C362" s="327">
        <v>389</v>
      </c>
      <c r="D362" s="327" t="s">
        <v>419</v>
      </c>
      <c r="E362" s="328">
        <v>1.5</v>
      </c>
      <c r="F362" s="329">
        <v>45219.602777777778</v>
      </c>
      <c r="G362" s="328">
        <v>1</v>
      </c>
      <c r="H362" s="328">
        <v>51.364100000000001</v>
      </c>
      <c r="I362" s="328">
        <v>6.09185</v>
      </c>
      <c r="J362" s="328">
        <v>-15.413055999999999</v>
      </c>
      <c r="K362" s="328">
        <v>-14.593980999999999</v>
      </c>
      <c r="L362" s="328">
        <v>967.50400000000002</v>
      </c>
      <c r="M362" s="328">
        <v>114.998401</v>
      </c>
      <c r="N362" s="328">
        <v>17591.240000000002</v>
      </c>
      <c r="O362" s="328">
        <v>17555.98632</v>
      </c>
      <c r="P362" s="328">
        <v>2004.0319999999999</v>
      </c>
      <c r="Q362" s="327" t="s">
        <v>542</v>
      </c>
      <c r="R362" s="327"/>
      <c r="S362" s="328">
        <v>15</v>
      </c>
      <c r="T362" s="328">
        <v>5</v>
      </c>
      <c r="U362" s="328">
        <v>0.7</v>
      </c>
      <c r="V362" s="328">
        <v>0.7</v>
      </c>
      <c r="W362" s="328">
        <v>0.7</v>
      </c>
      <c r="X362" s="328">
        <v>1700</v>
      </c>
      <c r="Y362" s="327" t="s">
        <v>470</v>
      </c>
      <c r="Z362" s="328">
        <v>0.85</v>
      </c>
      <c r="AA362" s="327" t="s">
        <v>471</v>
      </c>
      <c r="AB362" s="327" t="s">
        <v>472</v>
      </c>
      <c r="AC362" s="330">
        <v>220</v>
      </c>
    </row>
    <row r="363" spans="1:29">
      <c r="A363" s="331" t="s">
        <v>711</v>
      </c>
      <c r="B363" s="332">
        <v>13</v>
      </c>
      <c r="C363" s="332">
        <v>389</v>
      </c>
      <c r="D363" s="332" t="s">
        <v>419</v>
      </c>
      <c r="E363" s="333">
        <v>1.5</v>
      </c>
      <c r="F363" s="334">
        <v>45219.606249999997</v>
      </c>
      <c r="G363" s="333">
        <v>1</v>
      </c>
      <c r="H363" s="333">
        <v>51.3675</v>
      </c>
      <c r="I363" s="333">
        <v>6.1192500000000001</v>
      </c>
      <c r="J363" s="333">
        <v>-15.534599999999999</v>
      </c>
      <c r="K363" s="333">
        <v>-14.688494</v>
      </c>
      <c r="L363" s="333">
        <v>973.77</v>
      </c>
      <c r="M363" s="333">
        <v>115.00037399999999</v>
      </c>
      <c r="N363" s="333">
        <v>17602.14</v>
      </c>
      <c r="O363" s="333">
        <v>17555.98632</v>
      </c>
      <c r="P363" s="333">
        <v>2004.0319999999999</v>
      </c>
      <c r="Q363" s="332" t="s">
        <v>542</v>
      </c>
      <c r="R363" s="332"/>
      <c r="S363" s="333">
        <v>15</v>
      </c>
      <c r="T363" s="333">
        <v>5</v>
      </c>
      <c r="U363" s="333">
        <v>0.7</v>
      </c>
      <c r="V363" s="333">
        <v>0.7</v>
      </c>
      <c r="W363" s="333">
        <v>0.7</v>
      </c>
      <c r="X363" s="333">
        <v>1700</v>
      </c>
      <c r="Y363" s="332" t="s">
        <v>470</v>
      </c>
      <c r="Z363" s="333">
        <v>0.85</v>
      </c>
      <c r="AA363" s="332" t="s">
        <v>471</v>
      </c>
      <c r="AB363" s="332" t="s">
        <v>472</v>
      </c>
      <c r="AC363" s="335">
        <v>220</v>
      </c>
    </row>
    <row r="364" spans="1:29">
      <c r="A364" s="326" t="s">
        <v>712</v>
      </c>
      <c r="B364" s="327">
        <v>13</v>
      </c>
      <c r="C364" s="327">
        <v>389</v>
      </c>
      <c r="D364" s="327" t="s">
        <v>419</v>
      </c>
      <c r="E364" s="328">
        <v>1.5</v>
      </c>
      <c r="F364" s="329">
        <v>45219.609722222223</v>
      </c>
      <c r="G364" s="328">
        <v>1</v>
      </c>
      <c r="H364" s="328">
        <v>51.3675</v>
      </c>
      <c r="I364" s="328">
        <v>6.1224999999999996</v>
      </c>
      <c r="J364" s="328">
        <v>-15.569469</v>
      </c>
      <c r="K364" s="328">
        <v>-14.722675000000001</v>
      </c>
      <c r="L364" s="328">
        <v>961.90200000000004</v>
      </c>
      <c r="M364" s="328">
        <v>113.500266</v>
      </c>
      <c r="N364" s="328">
        <v>17551.66</v>
      </c>
      <c r="O364" s="328">
        <v>17555.98632</v>
      </c>
      <c r="P364" s="328">
        <v>2004.0319999999999</v>
      </c>
      <c r="Q364" s="327" t="s">
        <v>469</v>
      </c>
      <c r="R364" s="327"/>
      <c r="S364" s="328">
        <v>15</v>
      </c>
      <c r="T364" s="328">
        <v>5</v>
      </c>
      <c r="U364" s="328">
        <v>0.7</v>
      </c>
      <c r="V364" s="328">
        <v>0.7</v>
      </c>
      <c r="W364" s="328">
        <v>0.7</v>
      </c>
      <c r="X364" s="328">
        <v>1700</v>
      </c>
      <c r="Y364" s="327" t="s">
        <v>470</v>
      </c>
      <c r="Z364" s="328">
        <v>0.85</v>
      </c>
      <c r="AA364" s="327" t="s">
        <v>471</v>
      </c>
      <c r="AB364" s="327" t="s">
        <v>472</v>
      </c>
      <c r="AC364" s="330">
        <v>220</v>
      </c>
    </row>
    <row r="365" spans="1:29">
      <c r="A365" s="331" t="s">
        <v>713</v>
      </c>
      <c r="B365" s="332">
        <v>13</v>
      </c>
      <c r="C365" s="332">
        <v>389</v>
      </c>
      <c r="D365" s="332" t="s">
        <v>419</v>
      </c>
      <c r="E365" s="333">
        <v>1.5</v>
      </c>
      <c r="F365" s="334">
        <v>45219.613194444442</v>
      </c>
      <c r="G365" s="333">
        <v>1</v>
      </c>
      <c r="H365" s="333">
        <v>51.3675</v>
      </c>
      <c r="I365" s="333">
        <v>6.1746400000000001</v>
      </c>
      <c r="J365" s="333">
        <v>-15.650855999999999</v>
      </c>
      <c r="K365" s="333">
        <v>-14.813561999999999</v>
      </c>
      <c r="L365" s="333">
        <v>970.98900000000003</v>
      </c>
      <c r="M365" s="333">
        <v>116.999352</v>
      </c>
      <c r="N365" s="333">
        <v>17564.73</v>
      </c>
      <c r="O365" s="333">
        <v>17555.98632</v>
      </c>
      <c r="P365" s="333">
        <v>2004.0319999999999</v>
      </c>
      <c r="Q365" s="332" t="s">
        <v>469</v>
      </c>
      <c r="R365" s="332"/>
      <c r="S365" s="333">
        <v>15</v>
      </c>
      <c r="T365" s="333">
        <v>5</v>
      </c>
      <c r="U365" s="333">
        <v>0.7</v>
      </c>
      <c r="V365" s="333">
        <v>0.7</v>
      </c>
      <c r="W365" s="333">
        <v>0.7</v>
      </c>
      <c r="X365" s="333">
        <v>1700</v>
      </c>
      <c r="Y365" s="332" t="s">
        <v>470</v>
      </c>
      <c r="Z365" s="333">
        <v>0.85</v>
      </c>
      <c r="AA365" s="332" t="s">
        <v>471</v>
      </c>
      <c r="AB365" s="332" t="s">
        <v>472</v>
      </c>
      <c r="AC365" s="335">
        <v>220</v>
      </c>
    </row>
    <row r="366" spans="1:29">
      <c r="A366" s="326" t="s">
        <v>746</v>
      </c>
      <c r="B366" s="327">
        <v>13</v>
      </c>
      <c r="C366" s="327">
        <v>389</v>
      </c>
      <c r="D366" s="327" t="s">
        <v>419</v>
      </c>
      <c r="E366" s="328">
        <v>1.5</v>
      </c>
      <c r="F366" s="329">
        <v>45219.616666666669</v>
      </c>
      <c r="G366" s="328">
        <v>1</v>
      </c>
      <c r="H366" s="328">
        <v>51.370800000000003</v>
      </c>
      <c r="I366" s="328">
        <v>6.1222700000000003</v>
      </c>
      <c r="J366" s="328">
        <v>-15.571013000000001</v>
      </c>
      <c r="K366" s="328">
        <v>-14.732818999999999</v>
      </c>
      <c r="L366" s="328">
        <v>974.85400000000004</v>
      </c>
      <c r="M366" s="328">
        <v>118.502073</v>
      </c>
      <c r="N366" s="328">
        <v>17551.560000000001</v>
      </c>
      <c r="O366" s="328">
        <v>17555.98632</v>
      </c>
      <c r="P366" s="328">
        <v>2004.0319999999999</v>
      </c>
      <c r="Q366" s="327" t="s">
        <v>469</v>
      </c>
      <c r="R366" s="327"/>
      <c r="S366" s="328">
        <v>15</v>
      </c>
      <c r="T366" s="328">
        <v>5</v>
      </c>
      <c r="U366" s="328">
        <v>0.7</v>
      </c>
      <c r="V366" s="328">
        <v>0.7</v>
      </c>
      <c r="W366" s="328">
        <v>0.7</v>
      </c>
      <c r="X366" s="328">
        <v>1700</v>
      </c>
      <c r="Y366" s="327" t="s">
        <v>470</v>
      </c>
      <c r="Z366" s="328">
        <v>0.85</v>
      </c>
      <c r="AA366" s="327" t="s">
        <v>471</v>
      </c>
      <c r="AB366" s="327" t="s">
        <v>472</v>
      </c>
      <c r="AC366" s="330">
        <v>220</v>
      </c>
    </row>
    <row r="367" spans="1:29">
      <c r="A367" s="331" t="s">
        <v>714</v>
      </c>
      <c r="B367" s="332">
        <v>14</v>
      </c>
      <c r="C367" s="332">
        <v>390</v>
      </c>
      <c r="D367" s="332" t="s">
        <v>420</v>
      </c>
      <c r="E367" s="333">
        <v>1.5</v>
      </c>
      <c r="F367" s="334">
        <v>45219.620833333334</v>
      </c>
      <c r="G367" s="333">
        <v>1</v>
      </c>
      <c r="H367" s="333">
        <v>51.370800000000003</v>
      </c>
      <c r="I367" s="333">
        <v>6.2031400000000003</v>
      </c>
      <c r="J367" s="333">
        <v>-15.731094000000001</v>
      </c>
      <c r="K367" s="333">
        <v>-14.886388</v>
      </c>
      <c r="L367" s="333">
        <v>978.37</v>
      </c>
      <c r="M367" s="333">
        <v>123.99965</v>
      </c>
      <c r="N367" s="333">
        <v>17687.169999999998</v>
      </c>
      <c r="O367" s="333">
        <v>17674.180609999999</v>
      </c>
      <c r="P367" s="333">
        <v>2017.442</v>
      </c>
      <c r="Q367" s="332" t="s">
        <v>469</v>
      </c>
      <c r="R367" s="332"/>
      <c r="S367" s="333">
        <v>15</v>
      </c>
      <c r="T367" s="333">
        <v>5</v>
      </c>
      <c r="U367" s="333">
        <v>0.7</v>
      </c>
      <c r="V367" s="333">
        <v>0.7</v>
      </c>
      <c r="W367" s="333">
        <v>0.7</v>
      </c>
      <c r="X367" s="333">
        <v>1700</v>
      </c>
      <c r="Y367" s="332" t="s">
        <v>470</v>
      </c>
      <c r="Z367" s="333">
        <v>0.85</v>
      </c>
      <c r="AA367" s="332" t="s">
        <v>471</v>
      </c>
      <c r="AB367" s="332" t="s">
        <v>472</v>
      </c>
      <c r="AC367" s="335">
        <v>220</v>
      </c>
    </row>
    <row r="368" spans="1:29">
      <c r="A368" s="326" t="s">
        <v>715</v>
      </c>
      <c r="B368" s="327">
        <v>14</v>
      </c>
      <c r="C368" s="327">
        <v>390</v>
      </c>
      <c r="D368" s="327" t="s">
        <v>420</v>
      </c>
      <c r="E368" s="328">
        <v>1.5</v>
      </c>
      <c r="F368" s="329">
        <v>45219.624305555553</v>
      </c>
      <c r="G368" s="328">
        <v>1</v>
      </c>
      <c r="H368" s="328">
        <v>51.3675</v>
      </c>
      <c r="I368" s="328">
        <v>6.2013600000000002</v>
      </c>
      <c r="J368" s="328">
        <v>-15.657788</v>
      </c>
      <c r="K368" s="328">
        <v>-14.828631</v>
      </c>
      <c r="L368" s="328">
        <v>969.82</v>
      </c>
      <c r="M368" s="328">
        <v>118.99963700000001</v>
      </c>
      <c r="N368" s="328">
        <v>17676.509999999998</v>
      </c>
      <c r="O368" s="328">
        <v>17674.180609999999</v>
      </c>
      <c r="P368" s="328">
        <v>2017.442</v>
      </c>
      <c r="Q368" s="327" t="s">
        <v>469</v>
      </c>
      <c r="R368" s="327"/>
      <c r="S368" s="328">
        <v>15</v>
      </c>
      <c r="T368" s="328">
        <v>5</v>
      </c>
      <c r="U368" s="328">
        <v>0.7</v>
      </c>
      <c r="V368" s="328">
        <v>0.7</v>
      </c>
      <c r="W368" s="328">
        <v>0.7</v>
      </c>
      <c r="X368" s="328">
        <v>1700</v>
      </c>
      <c r="Y368" s="327" t="s">
        <v>470</v>
      </c>
      <c r="Z368" s="328">
        <v>0.85</v>
      </c>
      <c r="AA368" s="327" t="s">
        <v>471</v>
      </c>
      <c r="AB368" s="327" t="s">
        <v>472</v>
      </c>
      <c r="AC368" s="330">
        <v>220</v>
      </c>
    </row>
    <row r="369" spans="1:29">
      <c r="A369" s="331" t="s">
        <v>716</v>
      </c>
      <c r="B369" s="332">
        <v>14</v>
      </c>
      <c r="C369" s="332">
        <v>390</v>
      </c>
      <c r="D369" s="332" t="s">
        <v>420</v>
      </c>
      <c r="E369" s="333">
        <v>1.5</v>
      </c>
      <c r="F369" s="334">
        <v>45219.62777777778</v>
      </c>
      <c r="G369" s="333">
        <v>1</v>
      </c>
      <c r="H369" s="333">
        <v>51.374099999999999</v>
      </c>
      <c r="I369" s="333">
        <v>6.1483499999999998</v>
      </c>
      <c r="J369" s="333">
        <v>-15.607305999999999</v>
      </c>
      <c r="K369" s="333">
        <v>-14.770011999999999</v>
      </c>
      <c r="L369" s="333">
        <v>988.14400000000001</v>
      </c>
      <c r="M369" s="333">
        <v>121.00002000000001</v>
      </c>
      <c r="N369" s="333">
        <v>17658.86</v>
      </c>
      <c r="O369" s="333">
        <v>17674.180609999999</v>
      </c>
      <c r="P369" s="333">
        <v>2017.442</v>
      </c>
      <c r="Q369" s="332" t="s">
        <v>469</v>
      </c>
      <c r="R369" s="332"/>
      <c r="S369" s="333">
        <v>15</v>
      </c>
      <c r="T369" s="333">
        <v>5</v>
      </c>
      <c r="U369" s="333">
        <v>0.7</v>
      </c>
      <c r="V369" s="333">
        <v>0.7</v>
      </c>
      <c r="W369" s="333">
        <v>0.7</v>
      </c>
      <c r="X369" s="333">
        <v>1700</v>
      </c>
      <c r="Y369" s="332" t="s">
        <v>470</v>
      </c>
      <c r="Z369" s="333">
        <v>0.85</v>
      </c>
      <c r="AA369" s="332" t="s">
        <v>471</v>
      </c>
      <c r="AB369" s="332" t="s">
        <v>472</v>
      </c>
      <c r="AC369" s="335">
        <v>220</v>
      </c>
    </row>
    <row r="370" spans="1:29">
      <c r="A370" s="326" t="s">
        <v>613</v>
      </c>
      <c r="B370" s="327">
        <v>15</v>
      </c>
      <c r="C370" s="327">
        <v>312</v>
      </c>
      <c r="D370" s="327" t="s">
        <v>421</v>
      </c>
      <c r="E370" s="328">
        <v>1.5</v>
      </c>
      <c r="F370" s="329">
        <v>45219.631944444445</v>
      </c>
      <c r="G370" s="328">
        <v>1</v>
      </c>
      <c r="H370" s="328">
        <v>51.370800000000003</v>
      </c>
      <c r="I370" s="328">
        <v>6.1254200000000001</v>
      </c>
      <c r="J370" s="328">
        <v>-15.658619</v>
      </c>
      <c r="K370" s="328">
        <v>-14.825374999999999</v>
      </c>
      <c r="L370" s="328">
        <v>976.17899999999997</v>
      </c>
      <c r="M370" s="328">
        <v>123.499826</v>
      </c>
      <c r="N370" s="328">
        <v>17624.580000000002</v>
      </c>
      <c r="O370" s="328">
        <v>17631.345120000002</v>
      </c>
      <c r="P370" s="328">
        <v>2012.5820000000001</v>
      </c>
      <c r="Q370" s="327" t="s">
        <v>469</v>
      </c>
      <c r="R370" s="327"/>
      <c r="S370" s="328">
        <v>15</v>
      </c>
      <c r="T370" s="328">
        <v>5</v>
      </c>
      <c r="U370" s="328">
        <v>0.7</v>
      </c>
      <c r="V370" s="328">
        <v>0.7</v>
      </c>
      <c r="W370" s="328">
        <v>0.7</v>
      </c>
      <c r="X370" s="328">
        <v>1700</v>
      </c>
      <c r="Y370" s="327" t="s">
        <v>470</v>
      </c>
      <c r="Z370" s="328">
        <v>0.85</v>
      </c>
      <c r="AA370" s="327" t="s">
        <v>471</v>
      </c>
      <c r="AB370" s="327" t="s">
        <v>472</v>
      </c>
      <c r="AC370" s="330">
        <v>220</v>
      </c>
    </row>
    <row r="371" spans="1:29">
      <c r="A371" s="331" t="s">
        <v>614</v>
      </c>
      <c r="B371" s="332">
        <v>15</v>
      </c>
      <c r="C371" s="332">
        <v>312</v>
      </c>
      <c r="D371" s="332" t="s">
        <v>421</v>
      </c>
      <c r="E371" s="333">
        <v>1.5</v>
      </c>
      <c r="F371" s="334">
        <v>45219.635416666664</v>
      </c>
      <c r="G371" s="333">
        <v>1</v>
      </c>
      <c r="H371" s="333">
        <v>51.370800000000003</v>
      </c>
      <c r="I371" s="333">
        <v>6.1365800000000004</v>
      </c>
      <c r="J371" s="333">
        <v>-15.633563000000001</v>
      </c>
      <c r="K371" s="333">
        <v>-14.789037</v>
      </c>
      <c r="L371" s="333">
        <v>968.11400000000003</v>
      </c>
      <c r="M371" s="333">
        <v>128.49902800000001</v>
      </c>
      <c r="N371" s="333">
        <v>17639.45</v>
      </c>
      <c r="O371" s="333">
        <v>17631.345120000002</v>
      </c>
      <c r="P371" s="333">
        <v>2012.5820000000001</v>
      </c>
      <c r="Q371" s="332" t="s">
        <v>469</v>
      </c>
      <c r="R371" s="332"/>
      <c r="S371" s="333">
        <v>15</v>
      </c>
      <c r="T371" s="333">
        <v>5</v>
      </c>
      <c r="U371" s="333">
        <v>0.7</v>
      </c>
      <c r="V371" s="333">
        <v>0.7</v>
      </c>
      <c r="W371" s="333">
        <v>0.7</v>
      </c>
      <c r="X371" s="333">
        <v>1700</v>
      </c>
      <c r="Y371" s="332" t="s">
        <v>470</v>
      </c>
      <c r="Z371" s="333">
        <v>0.85</v>
      </c>
      <c r="AA371" s="332" t="s">
        <v>471</v>
      </c>
      <c r="AB371" s="332" t="s">
        <v>472</v>
      </c>
      <c r="AC371" s="335">
        <v>220</v>
      </c>
    </row>
    <row r="372" spans="1:29">
      <c r="A372" s="326" t="s">
        <v>615</v>
      </c>
      <c r="B372" s="327">
        <v>15</v>
      </c>
      <c r="C372" s="327">
        <v>312</v>
      </c>
      <c r="D372" s="327" t="s">
        <v>421</v>
      </c>
      <c r="E372" s="328">
        <v>1.5</v>
      </c>
      <c r="F372" s="329">
        <v>45219.63958333333</v>
      </c>
      <c r="G372" s="328">
        <v>1</v>
      </c>
      <c r="H372" s="328">
        <v>51.3675</v>
      </c>
      <c r="I372" s="328">
        <v>6.12277</v>
      </c>
      <c r="J372" s="328">
        <v>-15.6031</v>
      </c>
      <c r="K372" s="328">
        <v>-14.771763</v>
      </c>
      <c r="L372" s="328">
        <v>972.81600000000003</v>
      </c>
      <c r="M372" s="328">
        <v>121.498914</v>
      </c>
      <c r="N372" s="328">
        <v>17630.009999999998</v>
      </c>
      <c r="O372" s="328">
        <v>17631.345120000002</v>
      </c>
      <c r="P372" s="328">
        <v>2012.5820000000001</v>
      </c>
      <c r="Q372" s="327" t="s">
        <v>469</v>
      </c>
      <c r="R372" s="327"/>
      <c r="S372" s="328">
        <v>15</v>
      </c>
      <c r="T372" s="328">
        <v>5</v>
      </c>
      <c r="U372" s="328">
        <v>0.7</v>
      </c>
      <c r="V372" s="328">
        <v>0.7</v>
      </c>
      <c r="W372" s="328">
        <v>0.7</v>
      </c>
      <c r="X372" s="328">
        <v>1700</v>
      </c>
      <c r="Y372" s="327" t="s">
        <v>470</v>
      </c>
      <c r="Z372" s="328">
        <v>0.85</v>
      </c>
      <c r="AA372" s="327" t="s">
        <v>471</v>
      </c>
      <c r="AB372" s="327" t="s">
        <v>472</v>
      </c>
      <c r="AC372" s="330">
        <v>220</v>
      </c>
    </row>
    <row r="373" spans="1:29">
      <c r="A373" s="331" t="s">
        <v>616</v>
      </c>
      <c r="B373" s="332">
        <v>16</v>
      </c>
      <c r="C373" s="332">
        <v>313</v>
      </c>
      <c r="D373" s="332" t="s">
        <v>422</v>
      </c>
      <c r="E373" s="333">
        <v>1.5</v>
      </c>
      <c r="F373" s="334">
        <v>45219.643750000003</v>
      </c>
      <c r="G373" s="333">
        <v>1</v>
      </c>
      <c r="H373" s="333">
        <v>51.370800000000003</v>
      </c>
      <c r="I373" s="333">
        <v>6.0531800000000002</v>
      </c>
      <c r="J373" s="333">
        <v>-15.624525</v>
      </c>
      <c r="K373" s="333">
        <v>-14.775425</v>
      </c>
      <c r="L373" s="333">
        <v>964.48299999999995</v>
      </c>
      <c r="M373" s="333">
        <v>122.501098</v>
      </c>
      <c r="N373" s="333">
        <v>17772.23</v>
      </c>
      <c r="O373" s="333">
        <v>17773.475620000001</v>
      </c>
      <c r="P373" s="333">
        <v>2028.7070000000001</v>
      </c>
      <c r="Q373" s="332" t="s">
        <v>469</v>
      </c>
      <c r="R373" s="332"/>
      <c r="S373" s="333">
        <v>15</v>
      </c>
      <c r="T373" s="333">
        <v>5</v>
      </c>
      <c r="U373" s="333">
        <v>0.7</v>
      </c>
      <c r="V373" s="333">
        <v>0.7</v>
      </c>
      <c r="W373" s="333">
        <v>0.7</v>
      </c>
      <c r="X373" s="333">
        <v>1700</v>
      </c>
      <c r="Y373" s="332" t="s">
        <v>470</v>
      </c>
      <c r="Z373" s="333">
        <v>0.85</v>
      </c>
      <c r="AA373" s="332" t="s">
        <v>471</v>
      </c>
      <c r="AB373" s="332" t="s">
        <v>472</v>
      </c>
      <c r="AC373" s="335">
        <v>220</v>
      </c>
    </row>
    <row r="374" spans="1:29">
      <c r="A374" s="326" t="s">
        <v>617</v>
      </c>
      <c r="B374" s="327">
        <v>16</v>
      </c>
      <c r="C374" s="327">
        <v>313</v>
      </c>
      <c r="D374" s="327" t="s">
        <v>422</v>
      </c>
      <c r="E374" s="328">
        <v>1.5</v>
      </c>
      <c r="F374" s="329">
        <v>45219.647222222222</v>
      </c>
      <c r="G374" s="328">
        <v>1</v>
      </c>
      <c r="H374" s="328">
        <v>51.3675</v>
      </c>
      <c r="I374" s="328">
        <v>6.0833700000000004</v>
      </c>
      <c r="J374" s="328">
        <v>-15.637831</v>
      </c>
      <c r="K374" s="328">
        <v>-14.802562999999999</v>
      </c>
      <c r="L374" s="328">
        <v>970.21199999999999</v>
      </c>
      <c r="M374" s="328">
        <v>130.499594</v>
      </c>
      <c r="N374" s="328">
        <v>17779.3</v>
      </c>
      <c r="O374" s="328">
        <v>17773.475620000001</v>
      </c>
      <c r="P374" s="328">
        <v>2028.7070000000001</v>
      </c>
      <c r="Q374" s="327" t="s">
        <v>469</v>
      </c>
      <c r="R374" s="327"/>
      <c r="S374" s="328">
        <v>15</v>
      </c>
      <c r="T374" s="328">
        <v>5</v>
      </c>
      <c r="U374" s="328">
        <v>0.7</v>
      </c>
      <c r="V374" s="328">
        <v>0.7</v>
      </c>
      <c r="W374" s="328">
        <v>0.7</v>
      </c>
      <c r="X374" s="328">
        <v>1700</v>
      </c>
      <c r="Y374" s="327" t="s">
        <v>470</v>
      </c>
      <c r="Z374" s="328">
        <v>0.85</v>
      </c>
      <c r="AA374" s="327" t="s">
        <v>471</v>
      </c>
      <c r="AB374" s="327" t="s">
        <v>472</v>
      </c>
      <c r="AC374" s="330">
        <v>220</v>
      </c>
    </row>
    <row r="375" spans="1:29">
      <c r="A375" s="331" t="s">
        <v>618</v>
      </c>
      <c r="B375" s="332">
        <v>16</v>
      </c>
      <c r="C375" s="332">
        <v>313</v>
      </c>
      <c r="D375" s="332" t="s">
        <v>422</v>
      </c>
      <c r="E375" s="333">
        <v>1.5</v>
      </c>
      <c r="F375" s="334">
        <v>45219.650694444441</v>
      </c>
      <c r="G375" s="333">
        <v>1</v>
      </c>
      <c r="H375" s="333">
        <v>51.370800000000003</v>
      </c>
      <c r="I375" s="333">
        <v>6.0585800000000001</v>
      </c>
      <c r="J375" s="333">
        <v>-15.475581</v>
      </c>
      <c r="K375" s="333">
        <v>-14.636324999999999</v>
      </c>
      <c r="L375" s="333">
        <v>979.79499999999996</v>
      </c>
      <c r="M375" s="333">
        <v>119.500681</v>
      </c>
      <c r="N375" s="333">
        <v>17768.89</v>
      </c>
      <c r="O375" s="333">
        <v>17773.475620000001</v>
      </c>
      <c r="P375" s="333">
        <v>2028.7070000000001</v>
      </c>
      <c r="Q375" s="332" t="s">
        <v>469</v>
      </c>
      <c r="R375" s="332"/>
      <c r="S375" s="333">
        <v>15</v>
      </c>
      <c r="T375" s="333">
        <v>5</v>
      </c>
      <c r="U375" s="333">
        <v>0.7</v>
      </c>
      <c r="V375" s="333">
        <v>0.7</v>
      </c>
      <c r="W375" s="333">
        <v>0.7</v>
      </c>
      <c r="X375" s="333">
        <v>1700</v>
      </c>
      <c r="Y375" s="332" t="s">
        <v>470</v>
      </c>
      <c r="Z375" s="333">
        <v>0.85</v>
      </c>
      <c r="AA375" s="332" t="s">
        <v>471</v>
      </c>
      <c r="AB375" s="332" t="s">
        <v>472</v>
      </c>
      <c r="AC375" s="335">
        <v>220</v>
      </c>
    </row>
    <row r="376" spans="1:29">
      <c r="A376" s="326" t="s">
        <v>620</v>
      </c>
      <c r="B376" s="327">
        <v>17</v>
      </c>
      <c r="C376" s="327">
        <v>356</v>
      </c>
      <c r="D376" s="327" t="s">
        <v>423</v>
      </c>
      <c r="E376" s="328">
        <v>1.5</v>
      </c>
      <c r="F376" s="329">
        <v>45219.654861111114</v>
      </c>
      <c r="G376" s="328">
        <v>1</v>
      </c>
      <c r="H376" s="328">
        <v>51.3675</v>
      </c>
      <c r="I376" s="328">
        <v>6.0628700000000002</v>
      </c>
      <c r="J376" s="328">
        <v>-15.549156</v>
      </c>
      <c r="K376" s="328">
        <v>-14.706181000000001</v>
      </c>
      <c r="L376" s="328">
        <v>972.69600000000003</v>
      </c>
      <c r="M376" s="328">
        <v>110.501655</v>
      </c>
      <c r="N376" s="328">
        <v>17673.82</v>
      </c>
      <c r="O376" s="328">
        <v>17677.98605</v>
      </c>
      <c r="P376" s="328">
        <v>2017.873</v>
      </c>
      <c r="Q376" s="327" t="s">
        <v>469</v>
      </c>
      <c r="R376" s="327"/>
      <c r="S376" s="328">
        <v>15</v>
      </c>
      <c r="T376" s="328">
        <v>5</v>
      </c>
      <c r="U376" s="328">
        <v>0.7</v>
      </c>
      <c r="V376" s="328">
        <v>0.7</v>
      </c>
      <c r="W376" s="328">
        <v>0.7</v>
      </c>
      <c r="X376" s="328">
        <v>1700</v>
      </c>
      <c r="Y376" s="327" t="s">
        <v>470</v>
      </c>
      <c r="Z376" s="328">
        <v>0.85</v>
      </c>
      <c r="AA376" s="327" t="s">
        <v>471</v>
      </c>
      <c r="AB376" s="327" t="s">
        <v>472</v>
      </c>
      <c r="AC376" s="330">
        <v>220</v>
      </c>
    </row>
    <row r="377" spans="1:29">
      <c r="A377" s="331" t="s">
        <v>621</v>
      </c>
      <c r="B377" s="332">
        <v>17</v>
      </c>
      <c r="C377" s="332">
        <v>356</v>
      </c>
      <c r="D377" s="332" t="s">
        <v>423</v>
      </c>
      <c r="E377" s="333">
        <v>1.5</v>
      </c>
      <c r="F377" s="334">
        <v>45219.658333333333</v>
      </c>
      <c r="G377" s="333">
        <v>1</v>
      </c>
      <c r="H377" s="333">
        <v>51.370800000000003</v>
      </c>
      <c r="I377" s="333">
        <v>6.1427800000000001</v>
      </c>
      <c r="J377" s="333">
        <v>-15.512212999999999</v>
      </c>
      <c r="K377" s="333">
        <v>-14.666719000000001</v>
      </c>
      <c r="L377" s="333">
        <v>975.66800000000001</v>
      </c>
      <c r="M377" s="333">
        <v>118.99849500000001</v>
      </c>
      <c r="N377" s="333">
        <v>17681.93</v>
      </c>
      <c r="O377" s="333">
        <v>17677.98605</v>
      </c>
      <c r="P377" s="333">
        <v>2017.873</v>
      </c>
      <c r="Q377" s="332" t="s">
        <v>469</v>
      </c>
      <c r="R377" s="332"/>
      <c r="S377" s="333">
        <v>15</v>
      </c>
      <c r="T377" s="333">
        <v>5</v>
      </c>
      <c r="U377" s="333">
        <v>0.7</v>
      </c>
      <c r="V377" s="333">
        <v>0.7</v>
      </c>
      <c r="W377" s="333">
        <v>0.7</v>
      </c>
      <c r="X377" s="333">
        <v>1700</v>
      </c>
      <c r="Y377" s="332" t="s">
        <v>470</v>
      </c>
      <c r="Z377" s="333">
        <v>0.85</v>
      </c>
      <c r="AA377" s="332" t="s">
        <v>471</v>
      </c>
      <c r="AB377" s="332" t="s">
        <v>472</v>
      </c>
      <c r="AC377" s="335">
        <v>220</v>
      </c>
    </row>
    <row r="378" spans="1:29">
      <c r="A378" s="326" t="s">
        <v>622</v>
      </c>
      <c r="B378" s="327">
        <v>17</v>
      </c>
      <c r="C378" s="327">
        <v>356</v>
      </c>
      <c r="D378" s="327" t="s">
        <v>423</v>
      </c>
      <c r="E378" s="328">
        <v>1.5</v>
      </c>
      <c r="F378" s="329">
        <v>45219.661805555559</v>
      </c>
      <c r="G378" s="328">
        <v>1</v>
      </c>
      <c r="H378" s="328">
        <v>51.370800000000003</v>
      </c>
      <c r="I378" s="328">
        <v>6.0812600000000003</v>
      </c>
      <c r="J378" s="328">
        <v>-15.577368999999999</v>
      </c>
      <c r="K378" s="328">
        <v>-14.741338000000001</v>
      </c>
      <c r="L378" s="328">
        <v>973.70399999999995</v>
      </c>
      <c r="M378" s="328">
        <v>121.498892</v>
      </c>
      <c r="N378" s="328">
        <v>17678.21</v>
      </c>
      <c r="O378" s="328">
        <v>17677.98605</v>
      </c>
      <c r="P378" s="328">
        <v>2017.873</v>
      </c>
      <c r="Q378" s="327" t="s">
        <v>469</v>
      </c>
      <c r="R378" s="327"/>
      <c r="S378" s="328">
        <v>15</v>
      </c>
      <c r="T378" s="328">
        <v>5</v>
      </c>
      <c r="U378" s="328">
        <v>0.7</v>
      </c>
      <c r="V378" s="328">
        <v>0.7</v>
      </c>
      <c r="W378" s="328">
        <v>0.7</v>
      </c>
      <c r="X378" s="328">
        <v>1700</v>
      </c>
      <c r="Y378" s="327" t="s">
        <v>470</v>
      </c>
      <c r="Z378" s="328">
        <v>0.85</v>
      </c>
      <c r="AA378" s="327" t="s">
        <v>471</v>
      </c>
      <c r="AB378" s="327" t="s">
        <v>472</v>
      </c>
      <c r="AC378" s="330">
        <v>220</v>
      </c>
    </row>
    <row r="379" spans="1:29">
      <c r="A379" s="331" t="s">
        <v>624</v>
      </c>
      <c r="B379" s="332">
        <v>18</v>
      </c>
      <c r="C379" s="332">
        <v>357</v>
      </c>
      <c r="D379" s="332" t="s">
        <v>424</v>
      </c>
      <c r="E379" s="333">
        <v>1.5</v>
      </c>
      <c r="F379" s="334">
        <v>45219.665972222225</v>
      </c>
      <c r="G379" s="333">
        <v>1</v>
      </c>
      <c r="H379" s="333">
        <v>51.364100000000001</v>
      </c>
      <c r="I379" s="333">
        <v>5.9691999999999998</v>
      </c>
      <c r="J379" s="333">
        <v>-15.594519</v>
      </c>
      <c r="K379" s="333">
        <v>-14.756481000000001</v>
      </c>
      <c r="L379" s="333">
        <v>978.68399999999997</v>
      </c>
      <c r="M379" s="333">
        <v>125.000449</v>
      </c>
      <c r="N379" s="333">
        <v>17693.14</v>
      </c>
      <c r="O379" s="333">
        <v>17688.542549999998</v>
      </c>
      <c r="P379" s="333">
        <v>2019.0709999999999</v>
      </c>
      <c r="Q379" s="332" t="s">
        <v>469</v>
      </c>
      <c r="R379" s="332"/>
      <c r="S379" s="333">
        <v>15</v>
      </c>
      <c r="T379" s="333">
        <v>5</v>
      </c>
      <c r="U379" s="333">
        <v>0.7</v>
      </c>
      <c r="V379" s="333">
        <v>0.7</v>
      </c>
      <c r="W379" s="333">
        <v>0.7</v>
      </c>
      <c r="X379" s="333">
        <v>1700</v>
      </c>
      <c r="Y379" s="332" t="s">
        <v>470</v>
      </c>
      <c r="Z379" s="333">
        <v>0.85</v>
      </c>
      <c r="AA379" s="332" t="s">
        <v>471</v>
      </c>
      <c r="AB379" s="332" t="s">
        <v>472</v>
      </c>
      <c r="AC379" s="335">
        <v>220</v>
      </c>
    </row>
    <row r="380" spans="1:29">
      <c r="A380" s="326" t="s">
        <v>625</v>
      </c>
      <c r="B380" s="327">
        <v>18</v>
      </c>
      <c r="C380" s="327">
        <v>357</v>
      </c>
      <c r="D380" s="327" t="s">
        <v>424</v>
      </c>
      <c r="E380" s="328">
        <v>1.5</v>
      </c>
      <c r="F380" s="329">
        <v>45219.669444444444</v>
      </c>
      <c r="G380" s="328">
        <v>1</v>
      </c>
      <c r="H380" s="328">
        <v>51.3675</v>
      </c>
      <c r="I380" s="328">
        <v>5.9329499999999999</v>
      </c>
      <c r="J380" s="328">
        <v>-15.526612</v>
      </c>
      <c r="K380" s="328">
        <v>-14.680419000000001</v>
      </c>
      <c r="L380" s="328">
        <v>970.18</v>
      </c>
      <c r="M380" s="328">
        <v>114.500147</v>
      </c>
      <c r="N380" s="328">
        <v>17726.939999999999</v>
      </c>
      <c r="O380" s="328">
        <v>17688.542549999998</v>
      </c>
      <c r="P380" s="328">
        <v>2019.0709999999999</v>
      </c>
      <c r="Q380" s="327" t="s">
        <v>542</v>
      </c>
      <c r="R380" s="327"/>
      <c r="S380" s="328">
        <v>15</v>
      </c>
      <c r="T380" s="328">
        <v>5</v>
      </c>
      <c r="U380" s="328">
        <v>0.7</v>
      </c>
      <c r="V380" s="328">
        <v>0.7</v>
      </c>
      <c r="W380" s="328">
        <v>0.7</v>
      </c>
      <c r="X380" s="328">
        <v>1700</v>
      </c>
      <c r="Y380" s="327" t="s">
        <v>470</v>
      </c>
      <c r="Z380" s="328">
        <v>0.85</v>
      </c>
      <c r="AA380" s="327" t="s">
        <v>471</v>
      </c>
      <c r="AB380" s="327" t="s">
        <v>472</v>
      </c>
      <c r="AC380" s="330">
        <v>220</v>
      </c>
    </row>
    <row r="381" spans="1:29">
      <c r="A381" s="331" t="s">
        <v>626</v>
      </c>
      <c r="B381" s="332">
        <v>18</v>
      </c>
      <c r="C381" s="332">
        <v>357</v>
      </c>
      <c r="D381" s="332" t="s">
        <v>424</v>
      </c>
      <c r="E381" s="333">
        <v>1.5</v>
      </c>
      <c r="F381" s="334">
        <v>45219.67291666667</v>
      </c>
      <c r="G381" s="333">
        <v>1</v>
      </c>
      <c r="H381" s="333">
        <v>51.370800000000003</v>
      </c>
      <c r="I381" s="333">
        <v>5.9275399999999996</v>
      </c>
      <c r="J381" s="333">
        <v>-15.623119000000001</v>
      </c>
      <c r="K381" s="333">
        <v>-14.780462</v>
      </c>
      <c r="L381" s="333">
        <v>988.29899999999998</v>
      </c>
      <c r="M381" s="333">
        <v>120.500992</v>
      </c>
      <c r="N381" s="333">
        <v>17693.41</v>
      </c>
      <c r="O381" s="333">
        <v>17688.542549999998</v>
      </c>
      <c r="P381" s="333">
        <v>2019.0709999999999</v>
      </c>
      <c r="Q381" s="332" t="s">
        <v>469</v>
      </c>
      <c r="R381" s="332"/>
      <c r="S381" s="333">
        <v>15</v>
      </c>
      <c r="T381" s="333">
        <v>5</v>
      </c>
      <c r="U381" s="333">
        <v>0.7</v>
      </c>
      <c r="V381" s="333">
        <v>0.7</v>
      </c>
      <c r="W381" s="333">
        <v>0.7</v>
      </c>
      <c r="X381" s="333">
        <v>1700</v>
      </c>
      <c r="Y381" s="332" t="s">
        <v>470</v>
      </c>
      <c r="Z381" s="333">
        <v>0.85</v>
      </c>
      <c r="AA381" s="332" t="s">
        <v>471</v>
      </c>
      <c r="AB381" s="332" t="s">
        <v>472</v>
      </c>
      <c r="AC381" s="335">
        <v>220</v>
      </c>
    </row>
    <row r="382" spans="1:29">
      <c r="A382" s="326" t="s">
        <v>747</v>
      </c>
      <c r="B382" s="327">
        <v>18</v>
      </c>
      <c r="C382" s="327">
        <v>357</v>
      </c>
      <c r="D382" s="327" t="s">
        <v>424</v>
      </c>
      <c r="E382" s="328">
        <v>1.5</v>
      </c>
      <c r="F382" s="329">
        <v>45219.676388888889</v>
      </c>
      <c r="G382" s="328">
        <v>1</v>
      </c>
      <c r="H382" s="328">
        <v>51.3675</v>
      </c>
      <c r="I382" s="328">
        <v>5.9877099999999999</v>
      </c>
      <c r="J382" s="328">
        <v>-15.588637</v>
      </c>
      <c r="K382" s="328">
        <v>-14.747056000000001</v>
      </c>
      <c r="L382" s="328">
        <v>972.44200000000001</v>
      </c>
      <c r="M382" s="328">
        <v>120.000454</v>
      </c>
      <c r="N382" s="328">
        <v>17679.080000000002</v>
      </c>
      <c r="O382" s="328">
        <v>17688.542549999998</v>
      </c>
      <c r="P382" s="328">
        <v>2019.0709999999999</v>
      </c>
      <c r="Q382" s="327" t="s">
        <v>469</v>
      </c>
      <c r="R382" s="327"/>
      <c r="S382" s="328">
        <v>15</v>
      </c>
      <c r="T382" s="328">
        <v>5</v>
      </c>
      <c r="U382" s="328">
        <v>0.7</v>
      </c>
      <c r="V382" s="328">
        <v>0.7</v>
      </c>
      <c r="W382" s="328">
        <v>0.7</v>
      </c>
      <c r="X382" s="328">
        <v>1700</v>
      </c>
      <c r="Y382" s="327" t="s">
        <v>470</v>
      </c>
      <c r="Z382" s="328">
        <v>0.85</v>
      </c>
      <c r="AA382" s="327" t="s">
        <v>471</v>
      </c>
      <c r="AB382" s="327" t="s">
        <v>472</v>
      </c>
      <c r="AC382" s="330">
        <v>220</v>
      </c>
    </row>
    <row r="383" spans="1:29">
      <c r="A383" s="331" t="s">
        <v>627</v>
      </c>
      <c r="B383" s="332">
        <v>19</v>
      </c>
      <c r="C383" s="332">
        <v>455</v>
      </c>
      <c r="D383" s="332" t="s">
        <v>425</v>
      </c>
      <c r="E383" s="333">
        <v>1.5</v>
      </c>
      <c r="F383" s="334">
        <v>45219.680555555555</v>
      </c>
      <c r="G383" s="333">
        <v>1</v>
      </c>
      <c r="H383" s="333">
        <v>51.370800000000003</v>
      </c>
      <c r="I383" s="333">
        <v>6.0335599999999996</v>
      </c>
      <c r="J383" s="333">
        <v>-15.669805999999999</v>
      </c>
      <c r="K383" s="333">
        <v>-14.844818999999999</v>
      </c>
      <c r="L383" s="333">
        <v>961.84199999999998</v>
      </c>
      <c r="M383" s="333">
        <v>123.499211</v>
      </c>
      <c r="N383" s="333">
        <v>17559.95</v>
      </c>
      <c r="O383" s="333">
        <v>17577.624059999998</v>
      </c>
      <c r="P383" s="333">
        <v>2006.4870000000001</v>
      </c>
      <c r="Q383" s="332" t="s">
        <v>469</v>
      </c>
      <c r="R383" s="332"/>
      <c r="S383" s="333">
        <v>15</v>
      </c>
      <c r="T383" s="333">
        <v>5</v>
      </c>
      <c r="U383" s="333">
        <v>0.7</v>
      </c>
      <c r="V383" s="333">
        <v>0.7</v>
      </c>
      <c r="W383" s="333">
        <v>0.7</v>
      </c>
      <c r="X383" s="333">
        <v>1700</v>
      </c>
      <c r="Y383" s="332" t="s">
        <v>470</v>
      </c>
      <c r="Z383" s="333">
        <v>0.85</v>
      </c>
      <c r="AA383" s="332" t="s">
        <v>471</v>
      </c>
      <c r="AB383" s="332" t="s">
        <v>472</v>
      </c>
      <c r="AC383" s="335">
        <v>220</v>
      </c>
    </row>
    <row r="384" spans="1:29">
      <c r="A384" s="326" t="s">
        <v>628</v>
      </c>
      <c r="B384" s="327">
        <v>19</v>
      </c>
      <c r="C384" s="327">
        <v>455</v>
      </c>
      <c r="D384" s="327" t="s">
        <v>425</v>
      </c>
      <c r="E384" s="328">
        <v>1.5</v>
      </c>
      <c r="F384" s="329">
        <v>45219.684027777781</v>
      </c>
      <c r="G384" s="328">
        <v>1</v>
      </c>
      <c r="H384" s="328">
        <v>51.370800000000003</v>
      </c>
      <c r="I384" s="328">
        <v>6.0186599999999997</v>
      </c>
      <c r="J384" s="328">
        <v>-15.698043999999999</v>
      </c>
      <c r="K384" s="328">
        <v>-14.866669</v>
      </c>
      <c r="L384" s="328">
        <v>974.17</v>
      </c>
      <c r="M384" s="328">
        <v>128.99971500000001</v>
      </c>
      <c r="N384" s="328">
        <v>17630.47</v>
      </c>
      <c r="O384" s="328">
        <v>17577.624059999998</v>
      </c>
      <c r="P384" s="328">
        <v>2006.4870000000001</v>
      </c>
      <c r="Q384" s="327" t="s">
        <v>542</v>
      </c>
      <c r="R384" s="327"/>
      <c r="S384" s="328">
        <v>15</v>
      </c>
      <c r="T384" s="328">
        <v>5</v>
      </c>
      <c r="U384" s="328">
        <v>0.7</v>
      </c>
      <c r="V384" s="328">
        <v>0.7</v>
      </c>
      <c r="W384" s="328">
        <v>0.7</v>
      </c>
      <c r="X384" s="328">
        <v>1700</v>
      </c>
      <c r="Y384" s="327" t="s">
        <v>470</v>
      </c>
      <c r="Z384" s="328">
        <v>0.85</v>
      </c>
      <c r="AA384" s="327" t="s">
        <v>471</v>
      </c>
      <c r="AB384" s="327" t="s">
        <v>472</v>
      </c>
      <c r="AC384" s="330">
        <v>220</v>
      </c>
    </row>
    <row r="385" spans="1:29">
      <c r="A385" s="331" t="s">
        <v>629</v>
      </c>
      <c r="B385" s="332">
        <v>19</v>
      </c>
      <c r="C385" s="332">
        <v>455</v>
      </c>
      <c r="D385" s="332" t="s">
        <v>425</v>
      </c>
      <c r="E385" s="333">
        <v>1.5</v>
      </c>
      <c r="F385" s="334">
        <v>45219.6875</v>
      </c>
      <c r="G385" s="333">
        <v>1</v>
      </c>
      <c r="H385" s="333">
        <v>51.370800000000003</v>
      </c>
      <c r="I385" s="333">
        <v>6.0441399999999996</v>
      </c>
      <c r="J385" s="333">
        <v>-15.469569</v>
      </c>
      <c r="K385" s="333">
        <v>-14.627012000000001</v>
      </c>
      <c r="L385" s="333">
        <v>965.57</v>
      </c>
      <c r="M385" s="333">
        <v>109.999747</v>
      </c>
      <c r="N385" s="333">
        <v>17588.79</v>
      </c>
      <c r="O385" s="333">
        <v>17577.624059999998</v>
      </c>
      <c r="P385" s="333">
        <v>2006.4870000000001</v>
      </c>
      <c r="Q385" s="332" t="s">
        <v>469</v>
      </c>
      <c r="R385" s="332"/>
      <c r="S385" s="333">
        <v>15</v>
      </c>
      <c r="T385" s="333">
        <v>5</v>
      </c>
      <c r="U385" s="333">
        <v>0.7</v>
      </c>
      <c r="V385" s="333">
        <v>0.7</v>
      </c>
      <c r="W385" s="333">
        <v>0.7</v>
      </c>
      <c r="X385" s="333">
        <v>1700</v>
      </c>
      <c r="Y385" s="332" t="s">
        <v>470</v>
      </c>
      <c r="Z385" s="333">
        <v>0.85</v>
      </c>
      <c r="AA385" s="332" t="s">
        <v>471</v>
      </c>
      <c r="AB385" s="332" t="s">
        <v>472</v>
      </c>
      <c r="AC385" s="335">
        <v>220</v>
      </c>
    </row>
    <row r="386" spans="1:29">
      <c r="A386" s="326" t="s">
        <v>630</v>
      </c>
      <c r="B386" s="327">
        <v>19</v>
      </c>
      <c r="C386" s="327">
        <v>455</v>
      </c>
      <c r="D386" s="327" t="s">
        <v>425</v>
      </c>
      <c r="E386" s="328">
        <v>1.5</v>
      </c>
      <c r="F386" s="329">
        <v>45219.690972222219</v>
      </c>
      <c r="G386" s="328">
        <v>1</v>
      </c>
      <c r="H386" s="328">
        <v>51.364100000000001</v>
      </c>
      <c r="I386" s="328">
        <v>6.0353899999999996</v>
      </c>
      <c r="J386" s="328">
        <v>-15.559169000000001</v>
      </c>
      <c r="K386" s="328">
        <v>-14.719381</v>
      </c>
      <c r="L386" s="328">
        <v>970.89400000000001</v>
      </c>
      <c r="M386" s="328">
        <v>128.50035199999999</v>
      </c>
      <c r="N386" s="328">
        <v>17650.5</v>
      </c>
      <c r="O386" s="328">
        <v>17577.624059999998</v>
      </c>
      <c r="P386" s="328">
        <v>2006.4870000000001</v>
      </c>
      <c r="Q386" s="327" t="s">
        <v>542</v>
      </c>
      <c r="R386" s="327"/>
      <c r="S386" s="328">
        <v>15</v>
      </c>
      <c r="T386" s="328">
        <v>5</v>
      </c>
      <c r="U386" s="328">
        <v>0.7</v>
      </c>
      <c r="V386" s="328">
        <v>0.7</v>
      </c>
      <c r="W386" s="328">
        <v>0.7</v>
      </c>
      <c r="X386" s="328">
        <v>1700</v>
      </c>
      <c r="Y386" s="327" t="s">
        <v>470</v>
      </c>
      <c r="Z386" s="328">
        <v>0.85</v>
      </c>
      <c r="AA386" s="327" t="s">
        <v>471</v>
      </c>
      <c r="AB386" s="327" t="s">
        <v>472</v>
      </c>
      <c r="AC386" s="330">
        <v>220</v>
      </c>
    </row>
    <row r="387" spans="1:29">
      <c r="A387" s="331" t="s">
        <v>631</v>
      </c>
      <c r="B387" s="332">
        <v>19</v>
      </c>
      <c r="C387" s="332">
        <v>455</v>
      </c>
      <c r="D387" s="332" t="s">
        <v>425</v>
      </c>
      <c r="E387" s="333">
        <v>1.5</v>
      </c>
      <c r="F387" s="334">
        <v>45219.695138888892</v>
      </c>
      <c r="G387" s="333">
        <v>1</v>
      </c>
      <c r="H387" s="333">
        <v>51.374099999999999</v>
      </c>
      <c r="I387" s="333">
        <v>6.0175900000000002</v>
      </c>
      <c r="J387" s="333">
        <v>-15.458219</v>
      </c>
      <c r="K387" s="333">
        <v>-14.615506</v>
      </c>
      <c r="L387" s="333">
        <v>973.05799999999999</v>
      </c>
      <c r="M387" s="333">
        <v>110.99913100000001</v>
      </c>
      <c r="N387" s="333">
        <v>17584.13</v>
      </c>
      <c r="O387" s="333">
        <v>17577.624059999998</v>
      </c>
      <c r="P387" s="333">
        <v>2006.4870000000001</v>
      </c>
      <c r="Q387" s="332" t="s">
        <v>469</v>
      </c>
      <c r="R387" s="332"/>
      <c r="S387" s="333">
        <v>15</v>
      </c>
      <c r="T387" s="333">
        <v>5</v>
      </c>
      <c r="U387" s="333">
        <v>0.7</v>
      </c>
      <c r="V387" s="333">
        <v>0.7</v>
      </c>
      <c r="W387" s="333">
        <v>0.7</v>
      </c>
      <c r="X387" s="333">
        <v>1700</v>
      </c>
      <c r="Y387" s="332" t="s">
        <v>470</v>
      </c>
      <c r="Z387" s="333">
        <v>0.85</v>
      </c>
      <c r="AA387" s="332" t="s">
        <v>471</v>
      </c>
      <c r="AB387" s="332" t="s">
        <v>472</v>
      </c>
      <c r="AC387" s="335">
        <v>220</v>
      </c>
    </row>
    <row r="388" spans="1:29">
      <c r="A388" s="326" t="s">
        <v>636</v>
      </c>
      <c r="B388" s="327">
        <v>20</v>
      </c>
      <c r="C388" s="327">
        <v>456</v>
      </c>
      <c r="D388" s="327" t="s">
        <v>426</v>
      </c>
      <c r="E388" s="328">
        <v>1.5</v>
      </c>
      <c r="F388" s="329">
        <v>45219.698611111111</v>
      </c>
      <c r="G388" s="328">
        <v>1</v>
      </c>
      <c r="H388" s="328">
        <v>51.377400000000002</v>
      </c>
      <c r="I388" s="328">
        <v>5.9628100000000002</v>
      </c>
      <c r="J388" s="328">
        <v>-15.512269</v>
      </c>
      <c r="K388" s="328">
        <v>-14.675331</v>
      </c>
      <c r="L388" s="328">
        <v>1002.94</v>
      </c>
      <c r="M388" s="328">
        <v>119.998389</v>
      </c>
      <c r="N388" s="328">
        <v>18268.87</v>
      </c>
      <c r="O388" s="328">
        <v>18267.778330000001</v>
      </c>
      <c r="P388" s="328">
        <v>2085.0230000000001</v>
      </c>
      <c r="Q388" s="327" t="s">
        <v>469</v>
      </c>
      <c r="R388" s="327"/>
      <c r="S388" s="328">
        <v>15</v>
      </c>
      <c r="T388" s="328">
        <v>5</v>
      </c>
      <c r="U388" s="328">
        <v>0.7</v>
      </c>
      <c r="V388" s="328">
        <v>0.7</v>
      </c>
      <c r="W388" s="328">
        <v>0.7</v>
      </c>
      <c r="X388" s="328">
        <v>1700</v>
      </c>
      <c r="Y388" s="327" t="s">
        <v>470</v>
      </c>
      <c r="Z388" s="328">
        <v>0.85</v>
      </c>
      <c r="AA388" s="327" t="s">
        <v>471</v>
      </c>
      <c r="AB388" s="327" t="s">
        <v>472</v>
      </c>
      <c r="AC388" s="330">
        <v>220</v>
      </c>
    </row>
    <row r="389" spans="1:29">
      <c r="A389" s="331" t="s">
        <v>637</v>
      </c>
      <c r="B389" s="332">
        <v>20</v>
      </c>
      <c r="C389" s="332">
        <v>456</v>
      </c>
      <c r="D389" s="332" t="s">
        <v>426</v>
      </c>
      <c r="E389" s="333">
        <v>1.5</v>
      </c>
      <c r="F389" s="334">
        <v>45219.702777777777</v>
      </c>
      <c r="G389" s="333">
        <v>1</v>
      </c>
      <c r="H389" s="333">
        <v>51.370800000000003</v>
      </c>
      <c r="I389" s="333">
        <v>5.9949399999999997</v>
      </c>
      <c r="J389" s="333">
        <v>-15.589425</v>
      </c>
      <c r="K389" s="333">
        <v>-14.740769</v>
      </c>
      <c r="L389" s="333">
        <v>1004.34</v>
      </c>
      <c r="M389" s="333">
        <v>121.00050400000001</v>
      </c>
      <c r="N389" s="333">
        <v>18250.12</v>
      </c>
      <c r="O389" s="333">
        <v>18267.778330000001</v>
      </c>
      <c r="P389" s="333">
        <v>2085.0230000000001</v>
      </c>
      <c r="Q389" s="332" t="s">
        <v>469</v>
      </c>
      <c r="R389" s="332"/>
      <c r="S389" s="333">
        <v>15</v>
      </c>
      <c r="T389" s="333">
        <v>5</v>
      </c>
      <c r="U389" s="333">
        <v>0.7</v>
      </c>
      <c r="V389" s="333">
        <v>0.7</v>
      </c>
      <c r="W389" s="333">
        <v>0.7</v>
      </c>
      <c r="X389" s="333">
        <v>1700</v>
      </c>
      <c r="Y389" s="332" t="s">
        <v>470</v>
      </c>
      <c r="Z389" s="333">
        <v>0.85</v>
      </c>
      <c r="AA389" s="332" t="s">
        <v>471</v>
      </c>
      <c r="AB389" s="332" t="s">
        <v>472</v>
      </c>
      <c r="AC389" s="335">
        <v>220</v>
      </c>
    </row>
    <row r="390" spans="1:29">
      <c r="A390" s="326" t="s">
        <v>638</v>
      </c>
      <c r="B390" s="327">
        <v>20</v>
      </c>
      <c r="C390" s="327">
        <v>456</v>
      </c>
      <c r="D390" s="327" t="s">
        <v>426</v>
      </c>
      <c r="E390" s="328">
        <v>1.5</v>
      </c>
      <c r="F390" s="329">
        <v>45219.706250000003</v>
      </c>
      <c r="G390" s="328">
        <v>1</v>
      </c>
      <c r="H390" s="328">
        <v>51.370800000000003</v>
      </c>
      <c r="I390" s="328">
        <v>6.0013500000000004</v>
      </c>
      <c r="J390" s="328">
        <v>-15.569575</v>
      </c>
      <c r="K390" s="328">
        <v>-14.732669</v>
      </c>
      <c r="L390" s="328">
        <v>1005.8</v>
      </c>
      <c r="M390" s="328">
        <v>126.000826</v>
      </c>
      <c r="N390" s="328">
        <v>18284.349999999999</v>
      </c>
      <c r="O390" s="328">
        <v>18267.778330000001</v>
      </c>
      <c r="P390" s="328">
        <v>2085.0230000000001</v>
      </c>
      <c r="Q390" s="327" t="s">
        <v>469</v>
      </c>
      <c r="R390" s="327"/>
      <c r="S390" s="328">
        <v>15</v>
      </c>
      <c r="T390" s="328">
        <v>5</v>
      </c>
      <c r="U390" s="328">
        <v>0.7</v>
      </c>
      <c r="V390" s="328">
        <v>0.7</v>
      </c>
      <c r="W390" s="328">
        <v>0.7</v>
      </c>
      <c r="X390" s="328">
        <v>1700</v>
      </c>
      <c r="Y390" s="327" t="s">
        <v>470</v>
      </c>
      <c r="Z390" s="328">
        <v>0.85</v>
      </c>
      <c r="AA390" s="327" t="s">
        <v>471</v>
      </c>
      <c r="AB390" s="327" t="s">
        <v>472</v>
      </c>
      <c r="AC390" s="330">
        <v>220</v>
      </c>
    </row>
    <row r="391" spans="1:29">
      <c r="A391" s="336" t="s">
        <v>639</v>
      </c>
      <c r="B391" s="337">
        <v>21</v>
      </c>
      <c r="C391" s="337" t="s">
        <v>433</v>
      </c>
      <c r="D391" s="337" t="s">
        <v>468</v>
      </c>
      <c r="E391" s="338">
        <v>1.5</v>
      </c>
      <c r="F391" s="339">
        <v>45219.710416666669</v>
      </c>
      <c r="G391" s="338">
        <v>1</v>
      </c>
      <c r="H391" s="338">
        <v>51.364100000000001</v>
      </c>
      <c r="I391" s="338">
        <v>6.0747</v>
      </c>
      <c r="J391" s="338">
        <v>-15.542462</v>
      </c>
      <c r="K391" s="338">
        <v>-14.705249999999999</v>
      </c>
      <c r="L391" s="338">
        <v>998.93100000000004</v>
      </c>
      <c r="M391" s="338">
        <v>126.5</v>
      </c>
      <c r="N391" s="338">
        <v>18091.68</v>
      </c>
      <c r="O391" s="338">
        <v>18086.359939999998</v>
      </c>
      <c r="P391" s="338">
        <v>2064.2040000000002</v>
      </c>
      <c r="Q391" s="337" t="s">
        <v>469</v>
      </c>
      <c r="R391" s="337"/>
      <c r="S391" s="338">
        <v>15</v>
      </c>
      <c r="T391" s="338">
        <v>5</v>
      </c>
      <c r="U391" s="338">
        <v>0.7</v>
      </c>
      <c r="V391" s="338">
        <v>0.7</v>
      </c>
      <c r="W391" s="338">
        <v>0.7</v>
      </c>
      <c r="X391" s="338">
        <v>1700</v>
      </c>
      <c r="Y391" s="337" t="s">
        <v>470</v>
      </c>
      <c r="Z391" s="338">
        <v>0.85</v>
      </c>
      <c r="AA391" s="337" t="s">
        <v>471</v>
      </c>
      <c r="AB391" s="337" t="s">
        <v>472</v>
      </c>
      <c r="AC391" s="340">
        <v>220</v>
      </c>
    </row>
    <row r="392" spans="1:29">
      <c r="A392" s="326" t="s">
        <v>640</v>
      </c>
      <c r="B392" s="327">
        <v>21</v>
      </c>
      <c r="C392" s="327" t="s">
        <v>433</v>
      </c>
      <c r="D392" s="327" t="s">
        <v>468</v>
      </c>
      <c r="E392" s="328">
        <v>1.5</v>
      </c>
      <c r="F392" s="329">
        <v>45219.713888888888</v>
      </c>
      <c r="G392" s="328">
        <v>1</v>
      </c>
      <c r="H392" s="328">
        <v>51.370800000000003</v>
      </c>
      <c r="I392" s="328">
        <v>6.0927899999999999</v>
      </c>
      <c r="J392" s="328">
        <v>-15.471769</v>
      </c>
      <c r="K392" s="328">
        <v>-14.627769000000001</v>
      </c>
      <c r="L392" s="328">
        <v>1006.91</v>
      </c>
      <c r="M392" s="328">
        <v>124.00134300000001</v>
      </c>
      <c r="N392" s="328">
        <v>18089.52</v>
      </c>
      <c r="O392" s="328">
        <v>18086.359939999998</v>
      </c>
      <c r="P392" s="328">
        <v>2064.2040000000002</v>
      </c>
      <c r="Q392" s="327" t="s">
        <v>469</v>
      </c>
      <c r="R392" s="327"/>
      <c r="S392" s="328">
        <v>15</v>
      </c>
      <c r="T392" s="328">
        <v>5</v>
      </c>
      <c r="U392" s="328">
        <v>0.7</v>
      </c>
      <c r="V392" s="328">
        <v>0.7</v>
      </c>
      <c r="W392" s="328">
        <v>0.7</v>
      </c>
      <c r="X392" s="328">
        <v>1700</v>
      </c>
      <c r="Y392" s="327" t="s">
        <v>470</v>
      </c>
      <c r="Z392" s="328">
        <v>0.85</v>
      </c>
      <c r="AA392" s="327" t="s">
        <v>471</v>
      </c>
      <c r="AB392" s="327" t="s">
        <v>472</v>
      </c>
      <c r="AC392" s="330">
        <v>220</v>
      </c>
    </row>
    <row r="393" spans="1:29">
      <c r="A393" s="331" t="s">
        <v>641</v>
      </c>
      <c r="B393" s="332">
        <v>21</v>
      </c>
      <c r="C393" s="332" t="s">
        <v>433</v>
      </c>
      <c r="D393" s="332" t="s">
        <v>468</v>
      </c>
      <c r="E393" s="333">
        <v>1.5</v>
      </c>
      <c r="F393" s="334">
        <v>45219.717361111114</v>
      </c>
      <c r="G393" s="333">
        <v>1</v>
      </c>
      <c r="H393" s="333">
        <v>51.370800000000003</v>
      </c>
      <c r="I393" s="333">
        <v>6.1038899999999998</v>
      </c>
      <c r="J393" s="333">
        <v>-15.577106000000001</v>
      </c>
      <c r="K393" s="333">
        <v>-14.738569</v>
      </c>
      <c r="L393" s="333">
        <v>988.64700000000005</v>
      </c>
      <c r="M393" s="333">
        <v>120.499481</v>
      </c>
      <c r="N393" s="333">
        <v>18077.88</v>
      </c>
      <c r="O393" s="333">
        <v>18086.359939999998</v>
      </c>
      <c r="P393" s="333">
        <v>2064.2040000000002</v>
      </c>
      <c r="Q393" s="332" t="s">
        <v>469</v>
      </c>
      <c r="R393" s="332"/>
      <c r="S393" s="333">
        <v>15</v>
      </c>
      <c r="T393" s="333">
        <v>5</v>
      </c>
      <c r="U393" s="333">
        <v>0.7</v>
      </c>
      <c r="V393" s="333">
        <v>0.7</v>
      </c>
      <c r="W393" s="333">
        <v>0.7</v>
      </c>
      <c r="X393" s="333">
        <v>1700</v>
      </c>
      <c r="Y393" s="332" t="s">
        <v>470</v>
      </c>
      <c r="Z393" s="333">
        <v>0.85</v>
      </c>
      <c r="AA393" s="332" t="s">
        <v>471</v>
      </c>
      <c r="AB393" s="332" t="s">
        <v>472</v>
      </c>
      <c r="AC393" s="335">
        <v>220</v>
      </c>
    </row>
    <row r="394" spans="1:29">
      <c r="A394" s="326" t="s">
        <v>649</v>
      </c>
      <c r="B394" s="327">
        <v>22</v>
      </c>
      <c r="C394" s="327">
        <v>345</v>
      </c>
      <c r="D394" s="327" t="s">
        <v>419</v>
      </c>
      <c r="E394" s="328">
        <v>1.5</v>
      </c>
      <c r="F394" s="329">
        <v>45219.72152777778</v>
      </c>
      <c r="G394" s="328">
        <v>1</v>
      </c>
      <c r="H394" s="328">
        <v>51.370800000000003</v>
      </c>
      <c r="I394" s="328">
        <v>6.0325300000000004</v>
      </c>
      <c r="J394" s="328">
        <v>-15.357513000000001</v>
      </c>
      <c r="K394" s="328">
        <v>-14.523619</v>
      </c>
      <c r="L394" s="328">
        <v>957.48800000000006</v>
      </c>
      <c r="M394" s="328">
        <v>112.99957000000001</v>
      </c>
      <c r="N394" s="328">
        <v>17475.34</v>
      </c>
      <c r="O394" s="328">
        <v>17483.752990000001</v>
      </c>
      <c r="P394" s="328">
        <v>1995.837</v>
      </c>
      <c r="Q394" s="327" t="s">
        <v>469</v>
      </c>
      <c r="R394" s="327"/>
      <c r="S394" s="328">
        <v>15</v>
      </c>
      <c r="T394" s="328">
        <v>5</v>
      </c>
      <c r="U394" s="328">
        <v>0.7</v>
      </c>
      <c r="V394" s="328">
        <v>0.7</v>
      </c>
      <c r="W394" s="328">
        <v>0.7</v>
      </c>
      <c r="X394" s="328">
        <v>1700</v>
      </c>
      <c r="Y394" s="327" t="s">
        <v>470</v>
      </c>
      <c r="Z394" s="328">
        <v>0.85</v>
      </c>
      <c r="AA394" s="327" t="s">
        <v>471</v>
      </c>
      <c r="AB394" s="327" t="s">
        <v>472</v>
      </c>
      <c r="AC394" s="330">
        <v>220</v>
      </c>
    </row>
    <row r="395" spans="1:29">
      <c r="A395" s="331" t="s">
        <v>650</v>
      </c>
      <c r="B395" s="332">
        <v>22</v>
      </c>
      <c r="C395" s="332">
        <v>345</v>
      </c>
      <c r="D395" s="332" t="s">
        <v>419</v>
      </c>
      <c r="E395" s="333">
        <v>1.5</v>
      </c>
      <c r="F395" s="334">
        <v>45219.724999999999</v>
      </c>
      <c r="G395" s="333">
        <v>1</v>
      </c>
      <c r="H395" s="333">
        <v>51.374099999999999</v>
      </c>
      <c r="I395" s="333">
        <v>6.0988699999999998</v>
      </c>
      <c r="J395" s="333">
        <v>-15.511711999999999</v>
      </c>
      <c r="K395" s="333">
        <v>-14.674969000000001</v>
      </c>
      <c r="L395" s="333">
        <v>962.72699999999998</v>
      </c>
      <c r="M395" s="333">
        <v>125.001481</v>
      </c>
      <c r="N395" s="333">
        <v>17492.79</v>
      </c>
      <c r="O395" s="333">
        <v>17483.752990000001</v>
      </c>
      <c r="P395" s="333">
        <v>1995.837</v>
      </c>
      <c r="Q395" s="332" t="s">
        <v>469</v>
      </c>
      <c r="R395" s="332"/>
      <c r="S395" s="333">
        <v>15</v>
      </c>
      <c r="T395" s="333">
        <v>5</v>
      </c>
      <c r="U395" s="333">
        <v>0.7</v>
      </c>
      <c r="V395" s="333">
        <v>0.7</v>
      </c>
      <c r="W395" s="333">
        <v>0.7</v>
      </c>
      <c r="X395" s="333">
        <v>1700</v>
      </c>
      <c r="Y395" s="332" t="s">
        <v>470</v>
      </c>
      <c r="Z395" s="333">
        <v>0.85</v>
      </c>
      <c r="AA395" s="332" t="s">
        <v>471</v>
      </c>
      <c r="AB395" s="332" t="s">
        <v>472</v>
      </c>
      <c r="AC395" s="335">
        <v>220</v>
      </c>
    </row>
    <row r="396" spans="1:29">
      <c r="A396" s="326" t="s">
        <v>651</v>
      </c>
      <c r="B396" s="327">
        <v>22</v>
      </c>
      <c r="C396" s="327">
        <v>345</v>
      </c>
      <c r="D396" s="327" t="s">
        <v>419</v>
      </c>
      <c r="E396" s="328">
        <v>1.5</v>
      </c>
      <c r="F396" s="329">
        <v>45219.728472222225</v>
      </c>
      <c r="G396" s="328">
        <v>1</v>
      </c>
      <c r="H396" s="328">
        <v>51.374099999999999</v>
      </c>
      <c r="I396" s="328">
        <v>6.16134</v>
      </c>
      <c r="J396" s="328">
        <v>-15.569274999999999</v>
      </c>
      <c r="K396" s="328">
        <v>-14.724119</v>
      </c>
      <c r="L396" s="328">
        <v>973.96900000000005</v>
      </c>
      <c r="M396" s="328">
        <v>119.99970999999999</v>
      </c>
      <c r="N396" s="328">
        <v>17483.13</v>
      </c>
      <c r="O396" s="328">
        <v>17483.752990000001</v>
      </c>
      <c r="P396" s="328">
        <v>1995.837</v>
      </c>
      <c r="Q396" s="327" t="s">
        <v>469</v>
      </c>
      <c r="R396" s="327"/>
      <c r="S396" s="328">
        <v>15</v>
      </c>
      <c r="T396" s="328">
        <v>5</v>
      </c>
      <c r="U396" s="328">
        <v>0.7</v>
      </c>
      <c r="V396" s="328">
        <v>0.7</v>
      </c>
      <c r="W396" s="328">
        <v>0.7</v>
      </c>
      <c r="X396" s="328">
        <v>1700</v>
      </c>
      <c r="Y396" s="327" t="s">
        <v>470</v>
      </c>
      <c r="Z396" s="328">
        <v>0.85</v>
      </c>
      <c r="AA396" s="327" t="s">
        <v>471</v>
      </c>
      <c r="AB396" s="327" t="s">
        <v>472</v>
      </c>
      <c r="AC396" s="330">
        <v>220</v>
      </c>
    </row>
    <row r="397" spans="1:29">
      <c r="A397" s="331" t="s">
        <v>652</v>
      </c>
      <c r="B397" s="332">
        <v>23</v>
      </c>
      <c r="C397" s="332">
        <v>346</v>
      </c>
      <c r="D397" s="332" t="s">
        <v>420</v>
      </c>
      <c r="E397" s="333">
        <v>1.5</v>
      </c>
      <c r="F397" s="334">
        <v>45219.732638888891</v>
      </c>
      <c r="G397" s="333">
        <v>1</v>
      </c>
      <c r="H397" s="333">
        <v>51.370800000000003</v>
      </c>
      <c r="I397" s="333">
        <v>6.0865499999999999</v>
      </c>
      <c r="J397" s="333">
        <v>-15.450469</v>
      </c>
      <c r="K397" s="333">
        <v>-14.622444</v>
      </c>
      <c r="L397" s="333">
        <v>958.85900000000004</v>
      </c>
      <c r="M397" s="333">
        <v>116.999887</v>
      </c>
      <c r="N397" s="333">
        <v>17524.490000000002</v>
      </c>
      <c r="O397" s="333">
        <v>17521.916700000002</v>
      </c>
      <c r="P397" s="333">
        <v>2000.1669999999999</v>
      </c>
      <c r="Q397" s="332" t="s">
        <v>469</v>
      </c>
      <c r="R397" s="332"/>
      <c r="S397" s="333">
        <v>15</v>
      </c>
      <c r="T397" s="333">
        <v>5</v>
      </c>
      <c r="U397" s="333">
        <v>0.7</v>
      </c>
      <c r="V397" s="333">
        <v>0.7</v>
      </c>
      <c r="W397" s="333">
        <v>0.7</v>
      </c>
      <c r="X397" s="333">
        <v>1700</v>
      </c>
      <c r="Y397" s="332" t="s">
        <v>470</v>
      </c>
      <c r="Z397" s="333">
        <v>0.85</v>
      </c>
      <c r="AA397" s="332" t="s">
        <v>471</v>
      </c>
      <c r="AB397" s="332" t="s">
        <v>472</v>
      </c>
      <c r="AC397" s="335">
        <v>220</v>
      </c>
    </row>
    <row r="398" spans="1:29">
      <c r="A398" s="326" t="s">
        <v>653</v>
      </c>
      <c r="B398" s="327">
        <v>23</v>
      </c>
      <c r="C398" s="327">
        <v>346</v>
      </c>
      <c r="D398" s="327" t="s">
        <v>420</v>
      </c>
      <c r="E398" s="328">
        <v>1.5</v>
      </c>
      <c r="F398" s="329">
        <v>45219.736111111109</v>
      </c>
      <c r="G398" s="328">
        <v>1</v>
      </c>
      <c r="H398" s="328">
        <v>51.374099999999999</v>
      </c>
      <c r="I398" s="328">
        <v>6.1075499999999998</v>
      </c>
      <c r="J398" s="328">
        <v>-15.592369</v>
      </c>
      <c r="K398" s="328">
        <v>-14.753538000000001</v>
      </c>
      <c r="L398" s="328">
        <v>966.30799999999999</v>
      </c>
      <c r="M398" s="328">
        <v>123.999915</v>
      </c>
      <c r="N398" s="328">
        <v>17533.29</v>
      </c>
      <c r="O398" s="328">
        <v>17521.916700000002</v>
      </c>
      <c r="P398" s="328">
        <v>2000.1669999999999</v>
      </c>
      <c r="Q398" s="327" t="s">
        <v>469</v>
      </c>
      <c r="R398" s="327"/>
      <c r="S398" s="328">
        <v>15</v>
      </c>
      <c r="T398" s="328">
        <v>5</v>
      </c>
      <c r="U398" s="328">
        <v>0.7</v>
      </c>
      <c r="V398" s="328">
        <v>0.7</v>
      </c>
      <c r="W398" s="328">
        <v>0.7</v>
      </c>
      <c r="X398" s="328">
        <v>1700</v>
      </c>
      <c r="Y398" s="327" t="s">
        <v>470</v>
      </c>
      <c r="Z398" s="328">
        <v>0.85</v>
      </c>
      <c r="AA398" s="327" t="s">
        <v>471</v>
      </c>
      <c r="AB398" s="327" t="s">
        <v>472</v>
      </c>
      <c r="AC398" s="330">
        <v>220</v>
      </c>
    </row>
    <row r="399" spans="1:29">
      <c r="A399" s="331" t="s">
        <v>654</v>
      </c>
      <c r="B399" s="332">
        <v>23</v>
      </c>
      <c r="C399" s="332">
        <v>346</v>
      </c>
      <c r="D399" s="332" t="s">
        <v>420</v>
      </c>
      <c r="E399" s="333">
        <v>1.5</v>
      </c>
      <c r="F399" s="334">
        <v>45219.739583333336</v>
      </c>
      <c r="G399" s="333">
        <v>1</v>
      </c>
      <c r="H399" s="333">
        <v>51.370800000000003</v>
      </c>
      <c r="I399" s="333">
        <v>6.0647700000000002</v>
      </c>
      <c r="J399" s="333">
        <v>-15.580444</v>
      </c>
      <c r="K399" s="333">
        <v>-14.739694</v>
      </c>
      <c r="L399" s="333">
        <v>986.08</v>
      </c>
      <c r="M399" s="333">
        <v>121.000141</v>
      </c>
      <c r="N399" s="333">
        <v>17507.97</v>
      </c>
      <c r="O399" s="333">
        <v>17521.916700000002</v>
      </c>
      <c r="P399" s="333">
        <v>2000.1669999999999</v>
      </c>
      <c r="Q399" s="332" t="s">
        <v>469</v>
      </c>
      <c r="R399" s="332"/>
      <c r="S399" s="333">
        <v>15</v>
      </c>
      <c r="T399" s="333">
        <v>5</v>
      </c>
      <c r="U399" s="333">
        <v>0.7</v>
      </c>
      <c r="V399" s="333">
        <v>0.7</v>
      </c>
      <c r="W399" s="333">
        <v>0.7</v>
      </c>
      <c r="X399" s="333">
        <v>1700</v>
      </c>
      <c r="Y399" s="332" t="s">
        <v>470</v>
      </c>
      <c r="Z399" s="333">
        <v>0.85</v>
      </c>
      <c r="AA399" s="332" t="s">
        <v>471</v>
      </c>
      <c r="AB399" s="332" t="s">
        <v>472</v>
      </c>
      <c r="AC399" s="335">
        <v>220</v>
      </c>
    </row>
    <row r="400" spans="1:29">
      <c r="A400" s="326" t="s">
        <v>656</v>
      </c>
      <c r="B400" s="327">
        <v>24</v>
      </c>
      <c r="C400" s="327">
        <v>445</v>
      </c>
      <c r="D400" s="327" t="s">
        <v>421</v>
      </c>
      <c r="E400" s="328">
        <v>1.5</v>
      </c>
      <c r="F400" s="329">
        <v>45219.743750000001</v>
      </c>
      <c r="G400" s="328">
        <v>1</v>
      </c>
      <c r="H400" s="328">
        <v>51.3675</v>
      </c>
      <c r="I400" s="328">
        <v>6.00861</v>
      </c>
      <c r="J400" s="328">
        <v>-15.436006000000001</v>
      </c>
      <c r="K400" s="328">
        <v>-14.600275</v>
      </c>
      <c r="L400" s="328">
        <v>968.31100000000004</v>
      </c>
      <c r="M400" s="328">
        <v>115.500068</v>
      </c>
      <c r="N400" s="328">
        <v>17555.52</v>
      </c>
      <c r="O400" s="328">
        <v>17598.627759999999</v>
      </c>
      <c r="P400" s="328">
        <v>2008.87</v>
      </c>
      <c r="Q400" s="327" t="s">
        <v>542</v>
      </c>
      <c r="R400" s="327"/>
      <c r="S400" s="328">
        <v>15</v>
      </c>
      <c r="T400" s="328">
        <v>5</v>
      </c>
      <c r="U400" s="328">
        <v>0.7</v>
      </c>
      <c r="V400" s="328">
        <v>0.7</v>
      </c>
      <c r="W400" s="328">
        <v>0.7</v>
      </c>
      <c r="X400" s="328">
        <v>1700</v>
      </c>
      <c r="Y400" s="327" t="s">
        <v>470</v>
      </c>
      <c r="Z400" s="328">
        <v>0.85</v>
      </c>
      <c r="AA400" s="327" t="s">
        <v>471</v>
      </c>
      <c r="AB400" s="327" t="s">
        <v>472</v>
      </c>
      <c r="AC400" s="330">
        <v>220</v>
      </c>
    </row>
    <row r="401" spans="1:29">
      <c r="A401" s="331" t="s">
        <v>657</v>
      </c>
      <c r="B401" s="332">
        <v>24</v>
      </c>
      <c r="C401" s="332">
        <v>445</v>
      </c>
      <c r="D401" s="332" t="s">
        <v>421</v>
      </c>
      <c r="E401" s="333">
        <v>1.5</v>
      </c>
      <c r="F401" s="334">
        <v>45219.74722222222</v>
      </c>
      <c r="G401" s="333">
        <v>1</v>
      </c>
      <c r="H401" s="333">
        <v>51.370800000000003</v>
      </c>
      <c r="I401" s="333">
        <v>6.0029199999999996</v>
      </c>
      <c r="J401" s="333">
        <v>-15.473494000000001</v>
      </c>
      <c r="K401" s="333">
        <v>-14.626994</v>
      </c>
      <c r="L401" s="333">
        <v>968.66300000000001</v>
      </c>
      <c r="M401" s="333">
        <v>113.00094199999999</v>
      </c>
      <c r="N401" s="333">
        <v>17602.16</v>
      </c>
      <c r="O401" s="333">
        <v>17598.627759999999</v>
      </c>
      <c r="P401" s="333">
        <v>2008.87</v>
      </c>
      <c r="Q401" s="332" t="s">
        <v>469</v>
      </c>
      <c r="R401" s="332"/>
      <c r="S401" s="333">
        <v>15</v>
      </c>
      <c r="T401" s="333">
        <v>5</v>
      </c>
      <c r="U401" s="333">
        <v>0.7</v>
      </c>
      <c r="V401" s="333">
        <v>0.7</v>
      </c>
      <c r="W401" s="333">
        <v>0.7</v>
      </c>
      <c r="X401" s="333">
        <v>1700</v>
      </c>
      <c r="Y401" s="332" t="s">
        <v>470</v>
      </c>
      <c r="Z401" s="333">
        <v>0.85</v>
      </c>
      <c r="AA401" s="332" t="s">
        <v>471</v>
      </c>
      <c r="AB401" s="332" t="s">
        <v>472</v>
      </c>
      <c r="AC401" s="335">
        <v>220</v>
      </c>
    </row>
    <row r="402" spans="1:29">
      <c r="A402" s="326" t="s">
        <v>658</v>
      </c>
      <c r="B402" s="327">
        <v>24</v>
      </c>
      <c r="C402" s="327">
        <v>445</v>
      </c>
      <c r="D402" s="327" t="s">
        <v>421</v>
      </c>
      <c r="E402" s="328">
        <v>1.5</v>
      </c>
      <c r="F402" s="329">
        <v>45219.750694444447</v>
      </c>
      <c r="G402" s="328">
        <v>1</v>
      </c>
      <c r="H402" s="328">
        <v>51.374099999999999</v>
      </c>
      <c r="I402" s="328">
        <v>5.8925999999999998</v>
      </c>
      <c r="J402" s="328">
        <v>-15.458318999999999</v>
      </c>
      <c r="K402" s="328">
        <v>-14.612762</v>
      </c>
      <c r="L402" s="328">
        <v>958.05899999999997</v>
      </c>
      <c r="M402" s="328">
        <v>115.50007100000001</v>
      </c>
      <c r="N402" s="328">
        <v>17583.939999999999</v>
      </c>
      <c r="O402" s="328">
        <v>17598.627759999999</v>
      </c>
      <c r="P402" s="328">
        <v>2008.87</v>
      </c>
      <c r="Q402" s="327" t="s">
        <v>469</v>
      </c>
      <c r="R402" s="327"/>
      <c r="S402" s="328">
        <v>15</v>
      </c>
      <c r="T402" s="328">
        <v>5</v>
      </c>
      <c r="U402" s="328">
        <v>0.7</v>
      </c>
      <c r="V402" s="328">
        <v>0.7</v>
      </c>
      <c r="W402" s="328">
        <v>0.7</v>
      </c>
      <c r="X402" s="328">
        <v>1700</v>
      </c>
      <c r="Y402" s="327" t="s">
        <v>470</v>
      </c>
      <c r="Z402" s="328">
        <v>0.85</v>
      </c>
      <c r="AA402" s="327" t="s">
        <v>471</v>
      </c>
      <c r="AB402" s="327" t="s">
        <v>472</v>
      </c>
      <c r="AC402" s="330">
        <v>220</v>
      </c>
    </row>
    <row r="403" spans="1:29">
      <c r="A403" s="331" t="s">
        <v>748</v>
      </c>
      <c r="B403" s="332">
        <v>24</v>
      </c>
      <c r="C403" s="332">
        <v>445</v>
      </c>
      <c r="D403" s="332" t="s">
        <v>421</v>
      </c>
      <c r="E403" s="333">
        <v>1.5</v>
      </c>
      <c r="F403" s="334">
        <v>45219.754166666666</v>
      </c>
      <c r="G403" s="333">
        <v>1</v>
      </c>
      <c r="H403" s="333">
        <v>51.3675</v>
      </c>
      <c r="I403" s="333">
        <v>5.9503000000000004</v>
      </c>
      <c r="J403" s="333">
        <v>-15.573943999999999</v>
      </c>
      <c r="K403" s="333">
        <v>-14.724194000000001</v>
      </c>
      <c r="L403" s="333">
        <v>974.01400000000001</v>
      </c>
      <c r="M403" s="333">
        <v>122.99978900000001</v>
      </c>
      <c r="N403" s="333">
        <v>17609.78</v>
      </c>
      <c r="O403" s="333">
        <v>17598.627759999999</v>
      </c>
      <c r="P403" s="333">
        <v>2008.87</v>
      </c>
      <c r="Q403" s="332" t="s">
        <v>469</v>
      </c>
      <c r="R403" s="332"/>
      <c r="S403" s="333">
        <v>15</v>
      </c>
      <c r="T403" s="333">
        <v>5</v>
      </c>
      <c r="U403" s="333">
        <v>0.7</v>
      </c>
      <c r="V403" s="333">
        <v>0.7</v>
      </c>
      <c r="W403" s="333">
        <v>0.7</v>
      </c>
      <c r="X403" s="333">
        <v>1700</v>
      </c>
      <c r="Y403" s="332" t="s">
        <v>470</v>
      </c>
      <c r="Z403" s="333">
        <v>0.85</v>
      </c>
      <c r="AA403" s="332" t="s">
        <v>471</v>
      </c>
      <c r="AB403" s="332" t="s">
        <v>472</v>
      </c>
      <c r="AC403" s="335">
        <v>220</v>
      </c>
    </row>
    <row r="404" spans="1:29">
      <c r="A404" s="326" t="s">
        <v>659</v>
      </c>
      <c r="B404" s="327">
        <v>25</v>
      </c>
      <c r="C404" s="327">
        <v>444</v>
      </c>
      <c r="D404" s="327" t="s">
        <v>422</v>
      </c>
      <c r="E404" s="328">
        <v>1.5</v>
      </c>
      <c r="F404" s="329">
        <v>45219.758333333331</v>
      </c>
      <c r="G404" s="328">
        <v>1</v>
      </c>
      <c r="H404" s="328">
        <v>51.370800000000003</v>
      </c>
      <c r="I404" s="328">
        <v>5.9788699999999997</v>
      </c>
      <c r="J404" s="328">
        <v>-15.506244000000001</v>
      </c>
      <c r="K404" s="328">
        <v>-14.658156</v>
      </c>
      <c r="L404" s="328">
        <v>967.10799999999995</v>
      </c>
      <c r="M404" s="328">
        <v>123.999601</v>
      </c>
      <c r="N404" s="328">
        <v>17503.669999999998</v>
      </c>
      <c r="O404" s="328">
        <v>17497.421869999998</v>
      </c>
      <c r="P404" s="328">
        <v>1997.3879999999999</v>
      </c>
      <c r="Q404" s="327" t="s">
        <v>469</v>
      </c>
      <c r="R404" s="327"/>
      <c r="S404" s="328">
        <v>15</v>
      </c>
      <c r="T404" s="328">
        <v>5</v>
      </c>
      <c r="U404" s="328">
        <v>0.7</v>
      </c>
      <c r="V404" s="328">
        <v>0.7</v>
      </c>
      <c r="W404" s="328">
        <v>0.7</v>
      </c>
      <c r="X404" s="328">
        <v>1700</v>
      </c>
      <c r="Y404" s="327" t="s">
        <v>470</v>
      </c>
      <c r="Z404" s="328">
        <v>0.85</v>
      </c>
      <c r="AA404" s="327" t="s">
        <v>471</v>
      </c>
      <c r="AB404" s="327" t="s">
        <v>472</v>
      </c>
      <c r="AC404" s="330">
        <v>220</v>
      </c>
    </row>
    <row r="405" spans="1:29">
      <c r="A405" s="331" t="s">
        <v>660</v>
      </c>
      <c r="B405" s="332">
        <v>25</v>
      </c>
      <c r="C405" s="332">
        <v>444</v>
      </c>
      <c r="D405" s="332" t="s">
        <v>422</v>
      </c>
      <c r="E405" s="333">
        <v>1.5</v>
      </c>
      <c r="F405" s="334">
        <v>45219.761805555558</v>
      </c>
      <c r="G405" s="333">
        <v>1</v>
      </c>
      <c r="H405" s="333">
        <v>51.370800000000003</v>
      </c>
      <c r="I405" s="333">
        <v>5.9760900000000001</v>
      </c>
      <c r="J405" s="333">
        <v>-15.597806</v>
      </c>
      <c r="K405" s="333">
        <v>-14.753612</v>
      </c>
      <c r="L405" s="333">
        <v>966.505</v>
      </c>
      <c r="M405" s="333">
        <v>124.00093699999999</v>
      </c>
      <c r="N405" s="333">
        <v>17500.91</v>
      </c>
      <c r="O405" s="333">
        <v>17497.421869999998</v>
      </c>
      <c r="P405" s="333">
        <v>1997.3879999999999</v>
      </c>
      <c r="Q405" s="332" t="s">
        <v>469</v>
      </c>
      <c r="R405" s="332"/>
      <c r="S405" s="333">
        <v>15</v>
      </c>
      <c r="T405" s="333">
        <v>5</v>
      </c>
      <c r="U405" s="333">
        <v>0.7</v>
      </c>
      <c r="V405" s="333">
        <v>0.7</v>
      </c>
      <c r="W405" s="333">
        <v>0.7</v>
      </c>
      <c r="X405" s="333">
        <v>1700</v>
      </c>
      <c r="Y405" s="332" t="s">
        <v>470</v>
      </c>
      <c r="Z405" s="333">
        <v>0.85</v>
      </c>
      <c r="AA405" s="332" t="s">
        <v>471</v>
      </c>
      <c r="AB405" s="332" t="s">
        <v>472</v>
      </c>
      <c r="AC405" s="335">
        <v>220</v>
      </c>
    </row>
    <row r="406" spans="1:29">
      <c r="A406" s="326" t="s">
        <v>661</v>
      </c>
      <c r="B406" s="327">
        <v>25</v>
      </c>
      <c r="C406" s="327">
        <v>444</v>
      </c>
      <c r="D406" s="327" t="s">
        <v>422</v>
      </c>
      <c r="E406" s="328">
        <v>1.5</v>
      </c>
      <c r="F406" s="329">
        <v>45219.765972222223</v>
      </c>
      <c r="G406" s="328">
        <v>1</v>
      </c>
      <c r="H406" s="328">
        <v>51.370800000000003</v>
      </c>
      <c r="I406" s="328">
        <v>5.9406800000000004</v>
      </c>
      <c r="J406" s="328">
        <v>-15.567894000000001</v>
      </c>
      <c r="K406" s="328">
        <v>-14.729488</v>
      </c>
      <c r="L406" s="328">
        <v>960.50199999999995</v>
      </c>
      <c r="M406" s="328">
        <v>121.499613</v>
      </c>
      <c r="N406" s="328">
        <v>17487.689999999999</v>
      </c>
      <c r="O406" s="328">
        <v>17497.421869999998</v>
      </c>
      <c r="P406" s="328">
        <v>1997.3879999999999</v>
      </c>
      <c r="Q406" s="327" t="s">
        <v>469</v>
      </c>
      <c r="R406" s="327"/>
      <c r="S406" s="328">
        <v>15</v>
      </c>
      <c r="T406" s="328">
        <v>5</v>
      </c>
      <c r="U406" s="328">
        <v>0.7</v>
      </c>
      <c r="V406" s="328">
        <v>0.7</v>
      </c>
      <c r="W406" s="328">
        <v>0.7</v>
      </c>
      <c r="X406" s="328">
        <v>1700</v>
      </c>
      <c r="Y406" s="327" t="s">
        <v>470</v>
      </c>
      <c r="Z406" s="328">
        <v>0.85</v>
      </c>
      <c r="AA406" s="327" t="s">
        <v>471</v>
      </c>
      <c r="AB406" s="327" t="s">
        <v>472</v>
      </c>
      <c r="AC406" s="330">
        <v>220</v>
      </c>
    </row>
    <row r="407" spans="1:29">
      <c r="A407" s="331" t="s">
        <v>662</v>
      </c>
      <c r="B407" s="332">
        <v>26</v>
      </c>
      <c r="C407" s="332">
        <v>378</v>
      </c>
      <c r="D407" s="332" t="s">
        <v>423</v>
      </c>
      <c r="E407" s="333">
        <v>1.5</v>
      </c>
      <c r="F407" s="334">
        <v>45219.769444444442</v>
      </c>
      <c r="G407" s="333">
        <v>1</v>
      </c>
      <c r="H407" s="333">
        <v>51.370800000000003</v>
      </c>
      <c r="I407" s="333">
        <v>5.97776</v>
      </c>
      <c r="J407" s="333">
        <v>-15.523830999999999</v>
      </c>
      <c r="K407" s="333">
        <v>-14.689119</v>
      </c>
      <c r="L407" s="333">
        <v>978.11699999999996</v>
      </c>
      <c r="M407" s="333">
        <v>118.49804899999999</v>
      </c>
      <c r="N407" s="333">
        <v>17714.27</v>
      </c>
      <c r="O407" s="333">
        <v>17723.8858</v>
      </c>
      <c r="P407" s="333">
        <v>2023.0809999999999</v>
      </c>
      <c r="Q407" s="332" t="s">
        <v>469</v>
      </c>
      <c r="R407" s="332"/>
      <c r="S407" s="333">
        <v>15</v>
      </c>
      <c r="T407" s="333">
        <v>5</v>
      </c>
      <c r="U407" s="333">
        <v>0.7</v>
      </c>
      <c r="V407" s="333">
        <v>0.7</v>
      </c>
      <c r="W407" s="333">
        <v>0.7</v>
      </c>
      <c r="X407" s="333">
        <v>1700</v>
      </c>
      <c r="Y407" s="332" t="s">
        <v>470</v>
      </c>
      <c r="Z407" s="333">
        <v>0.85</v>
      </c>
      <c r="AA407" s="332" t="s">
        <v>471</v>
      </c>
      <c r="AB407" s="332" t="s">
        <v>472</v>
      </c>
      <c r="AC407" s="335">
        <v>220</v>
      </c>
    </row>
    <row r="408" spans="1:29">
      <c r="A408" s="326" t="s">
        <v>663</v>
      </c>
      <c r="B408" s="327">
        <v>26</v>
      </c>
      <c r="C408" s="327">
        <v>378</v>
      </c>
      <c r="D408" s="327" t="s">
        <v>423</v>
      </c>
      <c r="E408" s="328">
        <v>1.5</v>
      </c>
      <c r="F408" s="329">
        <v>45219.773611111108</v>
      </c>
      <c r="G408" s="328">
        <v>1</v>
      </c>
      <c r="H408" s="328">
        <v>51.370800000000003</v>
      </c>
      <c r="I408" s="328">
        <v>5.9823000000000004</v>
      </c>
      <c r="J408" s="328">
        <v>-15.607431</v>
      </c>
      <c r="K408" s="328">
        <v>-14.764631</v>
      </c>
      <c r="L408" s="328">
        <v>992.11</v>
      </c>
      <c r="M408" s="328">
        <v>119.50000300000001</v>
      </c>
      <c r="N408" s="328">
        <v>17686.34</v>
      </c>
      <c r="O408" s="328">
        <v>17723.8858</v>
      </c>
      <c r="P408" s="328">
        <v>2023.0809999999999</v>
      </c>
      <c r="Q408" s="327" t="s">
        <v>542</v>
      </c>
      <c r="R408" s="327"/>
      <c r="S408" s="328">
        <v>15</v>
      </c>
      <c r="T408" s="328">
        <v>5</v>
      </c>
      <c r="U408" s="328">
        <v>0.7</v>
      </c>
      <c r="V408" s="328">
        <v>0.7</v>
      </c>
      <c r="W408" s="328">
        <v>0.7</v>
      </c>
      <c r="X408" s="328">
        <v>1700</v>
      </c>
      <c r="Y408" s="327" t="s">
        <v>470</v>
      </c>
      <c r="Z408" s="328">
        <v>0.85</v>
      </c>
      <c r="AA408" s="327" t="s">
        <v>471</v>
      </c>
      <c r="AB408" s="327" t="s">
        <v>472</v>
      </c>
      <c r="AC408" s="330">
        <v>220</v>
      </c>
    </row>
    <row r="409" spans="1:29">
      <c r="A409" s="331" t="s">
        <v>664</v>
      </c>
      <c r="B409" s="332">
        <v>26</v>
      </c>
      <c r="C409" s="332">
        <v>378</v>
      </c>
      <c r="D409" s="332" t="s">
        <v>423</v>
      </c>
      <c r="E409" s="333">
        <v>1.5</v>
      </c>
      <c r="F409" s="334">
        <v>45219.777083333334</v>
      </c>
      <c r="G409" s="333">
        <v>1</v>
      </c>
      <c r="H409" s="333">
        <v>51.3675</v>
      </c>
      <c r="I409" s="333">
        <v>5.9296199999999999</v>
      </c>
      <c r="J409" s="333">
        <v>-15.518599999999999</v>
      </c>
      <c r="K409" s="333">
        <v>-14.685781</v>
      </c>
      <c r="L409" s="333">
        <v>977.298</v>
      </c>
      <c r="M409" s="333">
        <v>115.500936</v>
      </c>
      <c r="N409" s="333">
        <v>17726.189999999999</v>
      </c>
      <c r="O409" s="333">
        <v>17723.8858</v>
      </c>
      <c r="P409" s="333">
        <v>2023.0809999999999</v>
      </c>
      <c r="Q409" s="332" t="s">
        <v>469</v>
      </c>
      <c r="R409" s="332"/>
      <c r="S409" s="333">
        <v>15</v>
      </c>
      <c r="T409" s="333">
        <v>5</v>
      </c>
      <c r="U409" s="333">
        <v>0.7</v>
      </c>
      <c r="V409" s="333">
        <v>0.7</v>
      </c>
      <c r="W409" s="333">
        <v>0.7</v>
      </c>
      <c r="X409" s="333">
        <v>1700</v>
      </c>
      <c r="Y409" s="332" t="s">
        <v>470</v>
      </c>
      <c r="Z409" s="333">
        <v>0.85</v>
      </c>
      <c r="AA409" s="332" t="s">
        <v>471</v>
      </c>
      <c r="AB409" s="332" t="s">
        <v>472</v>
      </c>
      <c r="AC409" s="335">
        <v>220</v>
      </c>
    </row>
    <row r="410" spans="1:29">
      <c r="A410" s="326" t="s">
        <v>665</v>
      </c>
      <c r="B410" s="327">
        <v>26</v>
      </c>
      <c r="C410" s="327">
        <v>378</v>
      </c>
      <c r="D410" s="327" t="s">
        <v>423</v>
      </c>
      <c r="E410" s="328">
        <v>1.5</v>
      </c>
      <c r="F410" s="329">
        <v>45219.780555555553</v>
      </c>
      <c r="G410" s="328">
        <v>1</v>
      </c>
      <c r="H410" s="328">
        <v>51.3675</v>
      </c>
      <c r="I410" s="328">
        <v>5.9506899999999998</v>
      </c>
      <c r="J410" s="328">
        <v>-15.548913000000001</v>
      </c>
      <c r="K410" s="328">
        <v>-14.705337</v>
      </c>
      <c r="L410" s="328">
        <v>974.52200000000005</v>
      </c>
      <c r="M410" s="328">
        <v>124.998925</v>
      </c>
      <c r="N410" s="328">
        <v>17731.189999999999</v>
      </c>
      <c r="O410" s="328">
        <v>17723.8858</v>
      </c>
      <c r="P410" s="328">
        <v>2023.0809999999999</v>
      </c>
      <c r="Q410" s="327" t="s">
        <v>469</v>
      </c>
      <c r="R410" s="327"/>
      <c r="S410" s="328">
        <v>15</v>
      </c>
      <c r="T410" s="328">
        <v>5</v>
      </c>
      <c r="U410" s="328">
        <v>0.7</v>
      </c>
      <c r="V410" s="328">
        <v>0.7</v>
      </c>
      <c r="W410" s="328">
        <v>0.7</v>
      </c>
      <c r="X410" s="328">
        <v>1700</v>
      </c>
      <c r="Y410" s="327" t="s">
        <v>470</v>
      </c>
      <c r="Z410" s="328">
        <v>0.85</v>
      </c>
      <c r="AA410" s="327" t="s">
        <v>471</v>
      </c>
      <c r="AB410" s="327" t="s">
        <v>472</v>
      </c>
      <c r="AC410" s="330">
        <v>220</v>
      </c>
    </row>
    <row r="411" spans="1:29">
      <c r="A411" s="331" t="s">
        <v>667</v>
      </c>
      <c r="B411" s="332">
        <v>27</v>
      </c>
      <c r="C411" s="332">
        <v>379</v>
      </c>
      <c r="D411" s="332" t="s">
        <v>424</v>
      </c>
      <c r="E411" s="333">
        <v>1.5</v>
      </c>
      <c r="F411" s="334">
        <v>45219.784722222219</v>
      </c>
      <c r="G411" s="333">
        <v>1</v>
      </c>
      <c r="H411" s="333">
        <v>51.374099999999999</v>
      </c>
      <c r="I411" s="333">
        <v>5.9125100000000002</v>
      </c>
      <c r="J411" s="333">
        <v>-15.576112</v>
      </c>
      <c r="K411" s="333">
        <v>-14.732975</v>
      </c>
      <c r="L411" s="333">
        <v>988.43200000000002</v>
      </c>
      <c r="M411" s="333">
        <v>120.00123499999999</v>
      </c>
      <c r="N411" s="333">
        <v>17722.79</v>
      </c>
      <c r="O411" s="333">
        <v>17714.97611</v>
      </c>
      <c r="P411" s="333">
        <v>2022.07</v>
      </c>
      <c r="Q411" s="332" t="s">
        <v>469</v>
      </c>
      <c r="R411" s="332"/>
      <c r="S411" s="333">
        <v>15</v>
      </c>
      <c r="T411" s="333">
        <v>5</v>
      </c>
      <c r="U411" s="333">
        <v>0.7</v>
      </c>
      <c r="V411" s="333">
        <v>0.7</v>
      </c>
      <c r="W411" s="333">
        <v>0.7</v>
      </c>
      <c r="X411" s="333">
        <v>1700</v>
      </c>
      <c r="Y411" s="332" t="s">
        <v>470</v>
      </c>
      <c r="Z411" s="333">
        <v>0.85</v>
      </c>
      <c r="AA411" s="332" t="s">
        <v>471</v>
      </c>
      <c r="AB411" s="332" t="s">
        <v>472</v>
      </c>
      <c r="AC411" s="335">
        <v>220</v>
      </c>
    </row>
    <row r="412" spans="1:29">
      <c r="A412" s="326" t="s">
        <v>668</v>
      </c>
      <c r="B412" s="327">
        <v>27</v>
      </c>
      <c r="C412" s="327">
        <v>379</v>
      </c>
      <c r="D412" s="327" t="s">
        <v>424</v>
      </c>
      <c r="E412" s="328">
        <v>1.5</v>
      </c>
      <c r="F412" s="329">
        <v>45219.788194444445</v>
      </c>
      <c r="G412" s="328">
        <v>1</v>
      </c>
      <c r="H412" s="328">
        <v>51.364100000000001</v>
      </c>
      <c r="I412" s="328">
        <v>5.9942399999999996</v>
      </c>
      <c r="J412" s="328">
        <v>-15.590869</v>
      </c>
      <c r="K412" s="328">
        <v>-14.776505999999999</v>
      </c>
      <c r="L412" s="328">
        <v>977.67399999999998</v>
      </c>
      <c r="M412" s="328">
        <v>118.50008200000001</v>
      </c>
      <c r="N412" s="328">
        <v>17745.48</v>
      </c>
      <c r="O412" s="328">
        <v>17714.97611</v>
      </c>
      <c r="P412" s="328">
        <v>2022.07</v>
      </c>
      <c r="Q412" s="327" t="s">
        <v>542</v>
      </c>
      <c r="R412" s="327"/>
      <c r="S412" s="328">
        <v>15</v>
      </c>
      <c r="T412" s="328">
        <v>5</v>
      </c>
      <c r="U412" s="328">
        <v>0.7</v>
      </c>
      <c r="V412" s="328">
        <v>0.7</v>
      </c>
      <c r="W412" s="328">
        <v>0.7</v>
      </c>
      <c r="X412" s="328">
        <v>1700</v>
      </c>
      <c r="Y412" s="327" t="s">
        <v>470</v>
      </c>
      <c r="Z412" s="328">
        <v>0.85</v>
      </c>
      <c r="AA412" s="327" t="s">
        <v>471</v>
      </c>
      <c r="AB412" s="327" t="s">
        <v>472</v>
      </c>
      <c r="AC412" s="330">
        <v>220</v>
      </c>
    </row>
    <row r="413" spans="1:29">
      <c r="A413" s="331" t="s">
        <v>669</v>
      </c>
      <c r="B413" s="332">
        <v>27</v>
      </c>
      <c r="C413" s="332">
        <v>379</v>
      </c>
      <c r="D413" s="332" t="s">
        <v>424</v>
      </c>
      <c r="E413" s="333">
        <v>1.5</v>
      </c>
      <c r="F413" s="334">
        <v>45219.791666666664</v>
      </c>
      <c r="G413" s="333">
        <v>1</v>
      </c>
      <c r="H413" s="333">
        <v>51.370800000000003</v>
      </c>
      <c r="I413" s="333">
        <v>5.9469599999999998</v>
      </c>
      <c r="J413" s="333">
        <v>-15.593837000000001</v>
      </c>
      <c r="K413" s="333">
        <v>-14.761200000000001</v>
      </c>
      <c r="L413" s="333">
        <v>978.57500000000005</v>
      </c>
      <c r="M413" s="333">
        <v>120.501006</v>
      </c>
      <c r="N413" s="333">
        <v>17701.099999999999</v>
      </c>
      <c r="O413" s="333">
        <v>17714.97611</v>
      </c>
      <c r="P413" s="333">
        <v>2022.07</v>
      </c>
      <c r="Q413" s="332" t="s">
        <v>469</v>
      </c>
      <c r="R413" s="332"/>
      <c r="S413" s="333">
        <v>15</v>
      </c>
      <c r="T413" s="333">
        <v>5</v>
      </c>
      <c r="U413" s="333">
        <v>0.7</v>
      </c>
      <c r="V413" s="333">
        <v>0.7</v>
      </c>
      <c r="W413" s="333">
        <v>0.7</v>
      </c>
      <c r="X413" s="333">
        <v>1700</v>
      </c>
      <c r="Y413" s="332" t="s">
        <v>470</v>
      </c>
      <c r="Z413" s="333">
        <v>0.85</v>
      </c>
      <c r="AA413" s="332" t="s">
        <v>471</v>
      </c>
      <c r="AB413" s="332" t="s">
        <v>472</v>
      </c>
      <c r="AC413" s="335">
        <v>220</v>
      </c>
    </row>
    <row r="414" spans="1:29">
      <c r="A414" s="326" t="s">
        <v>670</v>
      </c>
      <c r="B414" s="327">
        <v>27</v>
      </c>
      <c r="C414" s="327">
        <v>379</v>
      </c>
      <c r="D414" s="327" t="s">
        <v>424</v>
      </c>
      <c r="E414" s="328">
        <v>1.5</v>
      </c>
      <c r="F414" s="329">
        <v>45219.795138888891</v>
      </c>
      <c r="G414" s="328">
        <v>1</v>
      </c>
      <c r="H414" s="328">
        <v>51.374099999999999</v>
      </c>
      <c r="I414" s="328">
        <v>5.9175199999999997</v>
      </c>
      <c r="J414" s="328">
        <v>-15.603586999999999</v>
      </c>
      <c r="K414" s="328">
        <v>-14.768831</v>
      </c>
      <c r="L414" s="328">
        <v>982.89400000000001</v>
      </c>
      <c r="M414" s="328">
        <v>115.500349</v>
      </c>
      <c r="N414" s="328">
        <v>17721.04</v>
      </c>
      <c r="O414" s="328">
        <v>17714.97611</v>
      </c>
      <c r="P414" s="328">
        <v>2022.07</v>
      </c>
      <c r="Q414" s="327" t="s">
        <v>469</v>
      </c>
      <c r="R414" s="327"/>
      <c r="S414" s="328">
        <v>15</v>
      </c>
      <c r="T414" s="328">
        <v>5</v>
      </c>
      <c r="U414" s="328">
        <v>0.7</v>
      </c>
      <c r="V414" s="328">
        <v>0.7</v>
      </c>
      <c r="W414" s="328">
        <v>0.7</v>
      </c>
      <c r="X414" s="328">
        <v>1700</v>
      </c>
      <c r="Y414" s="327" t="s">
        <v>470</v>
      </c>
      <c r="Z414" s="328">
        <v>0.85</v>
      </c>
      <c r="AA414" s="327" t="s">
        <v>471</v>
      </c>
      <c r="AB414" s="327" t="s">
        <v>472</v>
      </c>
      <c r="AC414" s="330">
        <v>220</v>
      </c>
    </row>
    <row r="415" spans="1:29">
      <c r="A415" s="331" t="s">
        <v>671</v>
      </c>
      <c r="B415" s="332">
        <v>28</v>
      </c>
      <c r="C415" s="332">
        <v>400</v>
      </c>
      <c r="D415" s="332" t="s">
        <v>425</v>
      </c>
      <c r="E415" s="333">
        <v>1.5</v>
      </c>
      <c r="F415" s="334">
        <v>45219.799305555556</v>
      </c>
      <c r="G415" s="333">
        <v>1</v>
      </c>
      <c r="H415" s="333">
        <v>51.364100000000001</v>
      </c>
      <c r="I415" s="333">
        <v>5.8978700000000002</v>
      </c>
      <c r="J415" s="333">
        <v>-15.712400000000001</v>
      </c>
      <c r="K415" s="333">
        <v>-14.883956</v>
      </c>
      <c r="L415" s="333">
        <v>1008.39</v>
      </c>
      <c r="M415" s="333">
        <v>129.49982299999999</v>
      </c>
      <c r="N415" s="333">
        <v>18195.509999999998</v>
      </c>
      <c r="O415" s="333">
        <v>18188.04552</v>
      </c>
      <c r="P415" s="333">
        <v>2075.788</v>
      </c>
      <c r="Q415" s="332" t="s">
        <v>469</v>
      </c>
      <c r="R415" s="332"/>
      <c r="S415" s="333">
        <v>15</v>
      </c>
      <c r="T415" s="333">
        <v>5</v>
      </c>
      <c r="U415" s="333">
        <v>0.7</v>
      </c>
      <c r="V415" s="333">
        <v>0.7</v>
      </c>
      <c r="W415" s="333">
        <v>0.7</v>
      </c>
      <c r="X415" s="333">
        <v>1700</v>
      </c>
      <c r="Y415" s="332" t="s">
        <v>470</v>
      </c>
      <c r="Z415" s="333">
        <v>0.85</v>
      </c>
      <c r="AA415" s="332" t="s">
        <v>471</v>
      </c>
      <c r="AB415" s="332" t="s">
        <v>472</v>
      </c>
      <c r="AC415" s="335">
        <v>220</v>
      </c>
    </row>
    <row r="416" spans="1:29">
      <c r="A416" s="326" t="s">
        <v>672</v>
      </c>
      <c r="B416" s="327">
        <v>28</v>
      </c>
      <c r="C416" s="327">
        <v>400</v>
      </c>
      <c r="D416" s="327" t="s">
        <v>425</v>
      </c>
      <c r="E416" s="328">
        <v>1.5</v>
      </c>
      <c r="F416" s="329">
        <v>45219.802777777775</v>
      </c>
      <c r="G416" s="328">
        <v>1</v>
      </c>
      <c r="H416" s="328">
        <v>51.3675</v>
      </c>
      <c r="I416" s="328">
        <v>5.93262</v>
      </c>
      <c r="J416" s="328">
        <v>-15.642663000000001</v>
      </c>
      <c r="K416" s="328">
        <v>-14.797205999999999</v>
      </c>
      <c r="L416" s="328">
        <v>1006.27</v>
      </c>
      <c r="M416" s="328">
        <v>119.999978</v>
      </c>
      <c r="N416" s="328">
        <v>18187.759999999998</v>
      </c>
      <c r="O416" s="328">
        <v>18188.04552</v>
      </c>
      <c r="P416" s="328">
        <v>2075.788</v>
      </c>
      <c r="Q416" s="327" t="s">
        <v>469</v>
      </c>
      <c r="R416" s="327"/>
      <c r="S416" s="328">
        <v>15</v>
      </c>
      <c r="T416" s="328">
        <v>5</v>
      </c>
      <c r="U416" s="328">
        <v>0.7</v>
      </c>
      <c r="V416" s="328">
        <v>0.7</v>
      </c>
      <c r="W416" s="328">
        <v>0.7</v>
      </c>
      <c r="X416" s="328">
        <v>1700</v>
      </c>
      <c r="Y416" s="327" t="s">
        <v>470</v>
      </c>
      <c r="Z416" s="328">
        <v>0.85</v>
      </c>
      <c r="AA416" s="327" t="s">
        <v>471</v>
      </c>
      <c r="AB416" s="327" t="s">
        <v>472</v>
      </c>
      <c r="AC416" s="330">
        <v>220</v>
      </c>
    </row>
    <row r="417" spans="1:29">
      <c r="A417" s="331" t="s">
        <v>673</v>
      </c>
      <c r="B417" s="332">
        <v>28</v>
      </c>
      <c r="C417" s="332">
        <v>400</v>
      </c>
      <c r="D417" s="332" t="s">
        <v>425</v>
      </c>
      <c r="E417" s="333">
        <v>1.5</v>
      </c>
      <c r="F417" s="334">
        <v>45219.806250000001</v>
      </c>
      <c r="G417" s="333">
        <v>1</v>
      </c>
      <c r="H417" s="333">
        <v>51.374099999999999</v>
      </c>
      <c r="I417" s="333">
        <v>5.93872</v>
      </c>
      <c r="J417" s="333">
        <v>-15.597944</v>
      </c>
      <c r="K417" s="333">
        <v>-14.748494000000001</v>
      </c>
      <c r="L417" s="333">
        <v>1007.48</v>
      </c>
      <c r="M417" s="333">
        <v>123.99791399999999</v>
      </c>
      <c r="N417" s="333">
        <v>18180.86</v>
      </c>
      <c r="O417" s="333">
        <v>18188.04552</v>
      </c>
      <c r="P417" s="333">
        <v>2075.788</v>
      </c>
      <c r="Q417" s="332" t="s">
        <v>469</v>
      </c>
      <c r="R417" s="332"/>
      <c r="S417" s="333">
        <v>15</v>
      </c>
      <c r="T417" s="333">
        <v>5</v>
      </c>
      <c r="U417" s="333">
        <v>0.7</v>
      </c>
      <c r="V417" s="333">
        <v>0.7</v>
      </c>
      <c r="W417" s="333">
        <v>0.7</v>
      </c>
      <c r="X417" s="333">
        <v>1700</v>
      </c>
      <c r="Y417" s="332" t="s">
        <v>470</v>
      </c>
      <c r="Z417" s="333">
        <v>0.85</v>
      </c>
      <c r="AA417" s="332" t="s">
        <v>471</v>
      </c>
      <c r="AB417" s="332" t="s">
        <v>472</v>
      </c>
      <c r="AC417" s="335">
        <v>220</v>
      </c>
    </row>
    <row r="418" spans="1:29">
      <c r="A418" s="326" t="s">
        <v>676</v>
      </c>
      <c r="B418" s="327">
        <v>29</v>
      </c>
      <c r="C418" s="327">
        <v>401</v>
      </c>
      <c r="D418" s="327" t="s">
        <v>426</v>
      </c>
      <c r="E418" s="328">
        <v>1.5</v>
      </c>
      <c r="F418" s="329">
        <v>45219.810416666667</v>
      </c>
      <c r="G418" s="328">
        <v>1</v>
      </c>
      <c r="H418" s="328">
        <v>51.370800000000003</v>
      </c>
      <c r="I418" s="328">
        <v>5.8766800000000003</v>
      </c>
      <c r="J418" s="328">
        <v>-15.742531</v>
      </c>
      <c r="K418" s="328">
        <v>-14.902405999999999</v>
      </c>
      <c r="L418" s="328">
        <v>1002.96</v>
      </c>
      <c r="M418" s="328">
        <v>126.999689</v>
      </c>
      <c r="N418" s="328">
        <v>18184.38</v>
      </c>
      <c r="O418" s="328">
        <v>18187.979039999998</v>
      </c>
      <c r="P418" s="328">
        <v>2075.7800000000002</v>
      </c>
      <c r="Q418" s="327" t="s">
        <v>469</v>
      </c>
      <c r="R418" s="327"/>
      <c r="S418" s="328">
        <v>15</v>
      </c>
      <c r="T418" s="328">
        <v>5</v>
      </c>
      <c r="U418" s="328">
        <v>0.7</v>
      </c>
      <c r="V418" s="328">
        <v>0.7</v>
      </c>
      <c r="W418" s="328">
        <v>0.7</v>
      </c>
      <c r="X418" s="328">
        <v>1700</v>
      </c>
      <c r="Y418" s="327" t="s">
        <v>470</v>
      </c>
      <c r="Z418" s="328">
        <v>0.85</v>
      </c>
      <c r="AA418" s="327" t="s">
        <v>471</v>
      </c>
      <c r="AB418" s="327" t="s">
        <v>472</v>
      </c>
      <c r="AC418" s="330">
        <v>220</v>
      </c>
    </row>
    <row r="419" spans="1:29">
      <c r="A419" s="331" t="s">
        <v>677</v>
      </c>
      <c r="B419" s="332">
        <v>29</v>
      </c>
      <c r="C419" s="332">
        <v>401</v>
      </c>
      <c r="D419" s="332" t="s">
        <v>426</v>
      </c>
      <c r="E419" s="333">
        <v>1.5</v>
      </c>
      <c r="F419" s="334">
        <v>45219.813888888886</v>
      </c>
      <c r="G419" s="333">
        <v>1</v>
      </c>
      <c r="H419" s="333">
        <v>51.370800000000003</v>
      </c>
      <c r="I419" s="333">
        <v>5.9672900000000002</v>
      </c>
      <c r="J419" s="333">
        <v>-15.638825000000001</v>
      </c>
      <c r="K419" s="333">
        <v>-14.789569</v>
      </c>
      <c r="L419" s="333">
        <v>1007.59</v>
      </c>
      <c r="M419" s="333">
        <v>123.499661</v>
      </c>
      <c r="N419" s="333">
        <v>18176.64</v>
      </c>
      <c r="O419" s="333">
        <v>18187.979039999998</v>
      </c>
      <c r="P419" s="333">
        <v>2075.7800000000002</v>
      </c>
      <c r="Q419" s="332" t="s">
        <v>469</v>
      </c>
      <c r="R419" s="332"/>
      <c r="S419" s="333">
        <v>15</v>
      </c>
      <c r="T419" s="333">
        <v>5</v>
      </c>
      <c r="U419" s="333">
        <v>0.7</v>
      </c>
      <c r="V419" s="333">
        <v>0.7</v>
      </c>
      <c r="W419" s="333">
        <v>0.7</v>
      </c>
      <c r="X419" s="333">
        <v>1700</v>
      </c>
      <c r="Y419" s="332" t="s">
        <v>470</v>
      </c>
      <c r="Z419" s="333">
        <v>0.85</v>
      </c>
      <c r="AA419" s="332" t="s">
        <v>471</v>
      </c>
      <c r="AB419" s="332" t="s">
        <v>472</v>
      </c>
      <c r="AC419" s="335">
        <v>220</v>
      </c>
    </row>
    <row r="420" spans="1:29">
      <c r="A420" s="326" t="s">
        <v>678</v>
      </c>
      <c r="B420" s="327">
        <v>29</v>
      </c>
      <c r="C420" s="327">
        <v>401</v>
      </c>
      <c r="D420" s="327" t="s">
        <v>426</v>
      </c>
      <c r="E420" s="328">
        <v>1.5</v>
      </c>
      <c r="F420" s="329">
        <v>45219.818055555559</v>
      </c>
      <c r="G420" s="328">
        <v>1</v>
      </c>
      <c r="H420" s="328">
        <v>51.377400000000002</v>
      </c>
      <c r="I420" s="328">
        <v>5.9537500000000003</v>
      </c>
      <c r="J420" s="328">
        <v>-15.698736999999999</v>
      </c>
      <c r="K420" s="328">
        <v>-14.870994</v>
      </c>
      <c r="L420" s="328">
        <v>1002.92</v>
      </c>
      <c r="M420" s="328">
        <v>130.49994899999999</v>
      </c>
      <c r="N420" s="328">
        <v>18202.919999999998</v>
      </c>
      <c r="O420" s="328">
        <v>18187.979039999998</v>
      </c>
      <c r="P420" s="328">
        <v>2075.7800000000002</v>
      </c>
      <c r="Q420" s="327" t="s">
        <v>469</v>
      </c>
      <c r="R420" s="327"/>
      <c r="S420" s="328">
        <v>15</v>
      </c>
      <c r="T420" s="328">
        <v>5</v>
      </c>
      <c r="U420" s="328">
        <v>0.7</v>
      </c>
      <c r="V420" s="328">
        <v>0.7</v>
      </c>
      <c r="W420" s="328">
        <v>0.7</v>
      </c>
      <c r="X420" s="328">
        <v>1700</v>
      </c>
      <c r="Y420" s="327" t="s">
        <v>470</v>
      </c>
      <c r="Z420" s="328">
        <v>0.85</v>
      </c>
      <c r="AA420" s="327" t="s">
        <v>471</v>
      </c>
      <c r="AB420" s="327" t="s">
        <v>472</v>
      </c>
      <c r="AC420" s="330">
        <v>220</v>
      </c>
    </row>
    <row r="421" spans="1:29">
      <c r="A421" s="331" t="s">
        <v>679</v>
      </c>
      <c r="B421" s="332">
        <v>30</v>
      </c>
      <c r="C421" s="332" t="s">
        <v>433</v>
      </c>
      <c r="D421" s="332" t="s">
        <v>468</v>
      </c>
      <c r="E421" s="333">
        <v>1.5</v>
      </c>
      <c r="F421" s="334">
        <v>45219.822222222225</v>
      </c>
      <c r="G421" s="333">
        <v>1</v>
      </c>
      <c r="H421" s="333">
        <v>51.377400000000002</v>
      </c>
      <c r="I421" s="333">
        <v>5.9185800000000004</v>
      </c>
      <c r="J421" s="333">
        <v>-15.739537</v>
      </c>
      <c r="K421" s="333">
        <v>-14.893338</v>
      </c>
      <c r="L421" s="333">
        <v>995.59199999999998</v>
      </c>
      <c r="M421" s="333">
        <v>133.499559</v>
      </c>
      <c r="N421" s="333">
        <v>18117.080000000002</v>
      </c>
      <c r="O421" s="333">
        <v>18106.828570000001</v>
      </c>
      <c r="P421" s="333">
        <v>2066.527</v>
      </c>
      <c r="Q421" s="332" t="s">
        <v>469</v>
      </c>
      <c r="R421" s="332"/>
      <c r="S421" s="333">
        <v>15</v>
      </c>
      <c r="T421" s="333">
        <v>5</v>
      </c>
      <c r="U421" s="333">
        <v>0.7</v>
      </c>
      <c r="V421" s="333">
        <v>0.7</v>
      </c>
      <c r="W421" s="333">
        <v>0.7</v>
      </c>
      <c r="X421" s="333">
        <v>1700</v>
      </c>
      <c r="Y421" s="332" t="s">
        <v>470</v>
      </c>
      <c r="Z421" s="333">
        <v>0.85</v>
      </c>
      <c r="AA421" s="332" t="s">
        <v>471</v>
      </c>
      <c r="AB421" s="332" t="s">
        <v>472</v>
      </c>
      <c r="AC421" s="335">
        <v>220</v>
      </c>
    </row>
    <row r="422" spans="1:29">
      <c r="A422" s="326" t="s">
        <v>680</v>
      </c>
      <c r="B422" s="327">
        <v>30</v>
      </c>
      <c r="C422" s="327" t="s">
        <v>433</v>
      </c>
      <c r="D422" s="327" t="s">
        <v>468</v>
      </c>
      <c r="E422" s="328">
        <v>1.5</v>
      </c>
      <c r="F422" s="329">
        <v>45219.825694444444</v>
      </c>
      <c r="G422" s="328">
        <v>1</v>
      </c>
      <c r="H422" s="328">
        <v>51.3675</v>
      </c>
      <c r="I422" s="328">
        <v>5.9365100000000002</v>
      </c>
      <c r="J422" s="328">
        <v>-15.685331</v>
      </c>
      <c r="K422" s="328">
        <v>-14.870255999999999</v>
      </c>
      <c r="L422" s="328">
        <v>979.31899999999996</v>
      </c>
      <c r="M422" s="328">
        <v>122.50026099999999</v>
      </c>
      <c r="N422" s="328">
        <v>18100.38</v>
      </c>
      <c r="O422" s="328">
        <v>18106.828570000001</v>
      </c>
      <c r="P422" s="328">
        <v>2066.527</v>
      </c>
      <c r="Q422" s="327" t="s">
        <v>469</v>
      </c>
      <c r="R422" s="327"/>
      <c r="S422" s="328">
        <v>15</v>
      </c>
      <c r="T422" s="328">
        <v>5</v>
      </c>
      <c r="U422" s="328">
        <v>0.7</v>
      </c>
      <c r="V422" s="328">
        <v>0.7</v>
      </c>
      <c r="W422" s="328">
        <v>0.7</v>
      </c>
      <c r="X422" s="328">
        <v>1700</v>
      </c>
      <c r="Y422" s="327" t="s">
        <v>470</v>
      </c>
      <c r="Z422" s="328">
        <v>0.85</v>
      </c>
      <c r="AA422" s="327" t="s">
        <v>471</v>
      </c>
      <c r="AB422" s="327" t="s">
        <v>472</v>
      </c>
      <c r="AC422" s="330">
        <v>220</v>
      </c>
    </row>
    <row r="423" spans="1:29">
      <c r="A423" s="331" t="s">
        <v>681</v>
      </c>
      <c r="B423" s="332">
        <v>30</v>
      </c>
      <c r="C423" s="332" t="s">
        <v>433</v>
      </c>
      <c r="D423" s="332" t="s">
        <v>468</v>
      </c>
      <c r="E423" s="333">
        <v>1.5</v>
      </c>
      <c r="F423" s="334">
        <v>45219.82916666667</v>
      </c>
      <c r="G423" s="333">
        <v>1</v>
      </c>
      <c r="H423" s="333">
        <v>51.3675</v>
      </c>
      <c r="I423" s="333">
        <v>5.9046599999999998</v>
      </c>
      <c r="J423" s="333">
        <v>-15.663444</v>
      </c>
      <c r="K423" s="333">
        <v>-14.828037999999999</v>
      </c>
      <c r="L423" s="333">
        <v>991.923</v>
      </c>
      <c r="M423" s="333">
        <v>124.50079700000001</v>
      </c>
      <c r="N423" s="333">
        <v>18103.02</v>
      </c>
      <c r="O423" s="333">
        <v>18106.828570000001</v>
      </c>
      <c r="P423" s="333">
        <v>2066.527</v>
      </c>
      <c r="Q423" s="332" t="s">
        <v>469</v>
      </c>
      <c r="R423" s="332"/>
      <c r="S423" s="333">
        <v>15</v>
      </c>
      <c r="T423" s="333">
        <v>5</v>
      </c>
      <c r="U423" s="333">
        <v>0.7</v>
      </c>
      <c r="V423" s="333">
        <v>0.7</v>
      </c>
      <c r="W423" s="333">
        <v>0.7</v>
      </c>
      <c r="X423" s="333">
        <v>1700</v>
      </c>
      <c r="Y423" s="332" t="s">
        <v>470</v>
      </c>
      <c r="Z423" s="333">
        <v>0.85</v>
      </c>
      <c r="AA423" s="332" t="s">
        <v>471</v>
      </c>
      <c r="AB423" s="332" t="s">
        <v>472</v>
      </c>
      <c r="AC423" s="335">
        <v>220</v>
      </c>
    </row>
    <row r="424" spans="1:29">
      <c r="A424" s="326" t="s">
        <v>682</v>
      </c>
      <c r="B424" s="327">
        <v>31</v>
      </c>
      <c r="C424" s="327"/>
      <c r="D424" s="327" t="s">
        <v>419</v>
      </c>
      <c r="E424" s="328">
        <v>1.5</v>
      </c>
      <c r="F424" s="329">
        <v>45219.833333333336</v>
      </c>
      <c r="G424" s="328">
        <v>1</v>
      </c>
      <c r="H424" s="328">
        <v>51.374099999999999</v>
      </c>
      <c r="I424" s="328">
        <v>5.8891999999999998</v>
      </c>
      <c r="J424" s="328">
        <v>-15.712069</v>
      </c>
      <c r="K424" s="328">
        <v>-14.862519000000001</v>
      </c>
      <c r="L424" s="328">
        <v>974.97900000000004</v>
      </c>
      <c r="M424" s="328">
        <v>121.500085</v>
      </c>
      <c r="N424" s="328">
        <v>17531.27</v>
      </c>
      <c r="O424" s="328">
        <v>17518.1188</v>
      </c>
      <c r="P424" s="328">
        <v>1999.7360000000001</v>
      </c>
      <c r="Q424" s="327" t="s">
        <v>469</v>
      </c>
      <c r="R424" s="327"/>
      <c r="S424" s="328">
        <v>15</v>
      </c>
      <c r="T424" s="328">
        <v>5</v>
      </c>
      <c r="U424" s="328">
        <v>0.7</v>
      </c>
      <c r="V424" s="328">
        <v>0.7</v>
      </c>
      <c r="W424" s="328">
        <v>0.7</v>
      </c>
      <c r="X424" s="328">
        <v>1700</v>
      </c>
      <c r="Y424" s="327" t="s">
        <v>470</v>
      </c>
      <c r="Z424" s="328">
        <v>0.85</v>
      </c>
      <c r="AA424" s="327" t="s">
        <v>471</v>
      </c>
      <c r="AB424" s="327" t="s">
        <v>472</v>
      </c>
      <c r="AC424" s="330">
        <v>220</v>
      </c>
    </row>
    <row r="425" spans="1:29">
      <c r="A425" s="331" t="s">
        <v>683</v>
      </c>
      <c r="B425" s="332">
        <v>31</v>
      </c>
      <c r="C425" s="332"/>
      <c r="D425" s="332" t="s">
        <v>419</v>
      </c>
      <c r="E425" s="333">
        <v>1.5</v>
      </c>
      <c r="F425" s="334">
        <v>45219.836805555555</v>
      </c>
      <c r="G425" s="333">
        <v>1</v>
      </c>
      <c r="H425" s="333">
        <v>51.370800000000003</v>
      </c>
      <c r="I425" s="333">
        <v>5.9122500000000002</v>
      </c>
      <c r="J425" s="333">
        <v>-15.643306000000001</v>
      </c>
      <c r="K425" s="333">
        <v>-14.79405</v>
      </c>
      <c r="L425" s="333">
        <v>966.36500000000001</v>
      </c>
      <c r="M425" s="333">
        <v>121.500018</v>
      </c>
      <c r="N425" s="333">
        <v>17513.36</v>
      </c>
      <c r="O425" s="333">
        <v>17518.1188</v>
      </c>
      <c r="P425" s="333">
        <v>1999.7360000000001</v>
      </c>
      <c r="Q425" s="332" t="s">
        <v>469</v>
      </c>
      <c r="R425" s="332"/>
      <c r="S425" s="333">
        <v>15</v>
      </c>
      <c r="T425" s="333">
        <v>5</v>
      </c>
      <c r="U425" s="333">
        <v>0.7</v>
      </c>
      <c r="V425" s="333">
        <v>0.7</v>
      </c>
      <c r="W425" s="333">
        <v>0.7</v>
      </c>
      <c r="X425" s="333">
        <v>1700</v>
      </c>
      <c r="Y425" s="332" t="s">
        <v>470</v>
      </c>
      <c r="Z425" s="333">
        <v>0.85</v>
      </c>
      <c r="AA425" s="332" t="s">
        <v>471</v>
      </c>
      <c r="AB425" s="332" t="s">
        <v>472</v>
      </c>
      <c r="AC425" s="335">
        <v>220</v>
      </c>
    </row>
    <row r="426" spans="1:29">
      <c r="A426" s="326" t="s">
        <v>684</v>
      </c>
      <c r="B426" s="327">
        <v>31</v>
      </c>
      <c r="C426" s="327"/>
      <c r="D426" s="327" t="s">
        <v>419</v>
      </c>
      <c r="E426" s="328">
        <v>1.5</v>
      </c>
      <c r="F426" s="329">
        <v>45219.840277777781</v>
      </c>
      <c r="G426" s="328">
        <v>1</v>
      </c>
      <c r="H426" s="328">
        <v>51.370800000000003</v>
      </c>
      <c r="I426" s="328">
        <v>5.9259300000000001</v>
      </c>
      <c r="J426" s="328">
        <v>-15.592969</v>
      </c>
      <c r="K426" s="328">
        <v>-14.756663</v>
      </c>
      <c r="L426" s="328">
        <v>977.21</v>
      </c>
      <c r="M426" s="328">
        <v>112.00081</v>
      </c>
      <c r="N426" s="328">
        <v>17509.73</v>
      </c>
      <c r="O426" s="328">
        <v>17518.1188</v>
      </c>
      <c r="P426" s="328">
        <v>1999.7360000000001</v>
      </c>
      <c r="Q426" s="327" t="s">
        <v>469</v>
      </c>
      <c r="R426" s="327"/>
      <c r="S426" s="328">
        <v>15</v>
      </c>
      <c r="T426" s="328">
        <v>5</v>
      </c>
      <c r="U426" s="328">
        <v>0.7</v>
      </c>
      <c r="V426" s="328">
        <v>0.7</v>
      </c>
      <c r="W426" s="328">
        <v>0.7</v>
      </c>
      <c r="X426" s="328">
        <v>1700</v>
      </c>
      <c r="Y426" s="327" t="s">
        <v>470</v>
      </c>
      <c r="Z426" s="328">
        <v>0.85</v>
      </c>
      <c r="AA426" s="327" t="s">
        <v>471</v>
      </c>
      <c r="AB426" s="327" t="s">
        <v>472</v>
      </c>
      <c r="AC426" s="330">
        <v>220</v>
      </c>
    </row>
    <row r="427" spans="1:29">
      <c r="A427" s="324"/>
      <c r="B427" s="324"/>
      <c r="C427" s="324"/>
      <c r="D427" s="324"/>
      <c r="E427" s="324"/>
      <c r="F427" s="325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  <c r="AA427" s="324"/>
      <c r="AB427" s="324"/>
      <c r="AC427" s="324"/>
    </row>
    <row r="428" spans="1:29">
      <c r="A428" s="304" t="s">
        <v>0</v>
      </c>
      <c r="B428" s="305" t="s">
        <v>440</v>
      </c>
      <c r="C428" s="305" t="s">
        <v>441</v>
      </c>
      <c r="D428" s="305" t="s">
        <v>413</v>
      </c>
      <c r="E428" s="305" t="s">
        <v>442</v>
      </c>
      <c r="F428" s="305" t="s">
        <v>443</v>
      </c>
      <c r="G428" s="305" t="s">
        <v>444</v>
      </c>
      <c r="H428" s="305" t="s">
        <v>445</v>
      </c>
      <c r="I428" s="305" t="s">
        <v>446</v>
      </c>
      <c r="J428" s="305" t="s">
        <v>447</v>
      </c>
      <c r="K428" s="305" t="s">
        <v>448</v>
      </c>
      <c r="L428" s="305" t="s">
        <v>449</v>
      </c>
      <c r="M428" s="305" t="s">
        <v>450</v>
      </c>
      <c r="N428" s="305" t="s">
        <v>451</v>
      </c>
      <c r="O428" s="305" t="s">
        <v>452</v>
      </c>
      <c r="P428" s="305" t="s">
        <v>416</v>
      </c>
      <c r="Q428" s="305" t="s">
        <v>453</v>
      </c>
      <c r="R428" s="305" t="s">
        <v>454</v>
      </c>
      <c r="S428" s="305" t="s">
        <v>455</v>
      </c>
      <c r="T428" s="305" t="s">
        <v>456</v>
      </c>
      <c r="U428" s="305" t="s">
        <v>457</v>
      </c>
      <c r="V428" s="305" t="s">
        <v>458</v>
      </c>
      <c r="W428" s="305" t="s">
        <v>459</v>
      </c>
      <c r="X428" s="305" t="s">
        <v>460</v>
      </c>
      <c r="Y428" s="305" t="s">
        <v>461</v>
      </c>
      <c r="Z428" s="305" t="s">
        <v>462</v>
      </c>
      <c r="AA428" s="305" t="s">
        <v>463</v>
      </c>
      <c r="AB428" s="305" t="s">
        <v>464</v>
      </c>
      <c r="AC428" s="306" t="s">
        <v>465</v>
      </c>
    </row>
    <row r="429" spans="1:29">
      <c r="A429" s="307" t="s">
        <v>466</v>
      </c>
      <c r="B429" s="308" t="s">
        <v>467</v>
      </c>
      <c r="C429" s="308" t="s">
        <v>588</v>
      </c>
      <c r="D429" s="308" t="s">
        <v>468</v>
      </c>
      <c r="E429" s="309">
        <v>1</v>
      </c>
      <c r="F429" s="310">
        <v>45226.37777777778</v>
      </c>
      <c r="G429" s="309">
        <v>1</v>
      </c>
      <c r="H429" s="309">
        <v>51.380699999999997</v>
      </c>
      <c r="I429" s="309">
        <v>8.6004699999999996</v>
      </c>
      <c r="J429" s="309">
        <v>-15.841006</v>
      </c>
      <c r="K429" s="309">
        <v>-14.991394</v>
      </c>
      <c r="L429" s="309">
        <v>914.423</v>
      </c>
      <c r="M429" s="309">
        <v>107.500209</v>
      </c>
      <c r="N429" s="309">
        <v>11915.22</v>
      </c>
      <c r="O429" s="309">
        <v>11915.221740000001</v>
      </c>
      <c r="P429" s="309">
        <v>2046.1120000000001</v>
      </c>
      <c r="Q429" s="308" t="s">
        <v>503</v>
      </c>
      <c r="R429" s="308"/>
      <c r="S429" s="308"/>
      <c r="T429" s="308"/>
      <c r="U429" s="308"/>
      <c r="V429" s="308"/>
      <c r="W429" s="308"/>
      <c r="X429" s="308"/>
      <c r="Y429" s="308"/>
      <c r="Z429" s="308"/>
      <c r="AA429" s="308"/>
      <c r="AB429" s="308"/>
      <c r="AC429" s="342"/>
    </row>
    <row r="430" spans="1:29">
      <c r="A430" s="312" t="s">
        <v>473</v>
      </c>
      <c r="B430" s="313" t="s">
        <v>467</v>
      </c>
      <c r="C430" s="313" t="s">
        <v>588</v>
      </c>
      <c r="D430" s="313" t="s">
        <v>468</v>
      </c>
      <c r="E430" s="314">
        <v>1</v>
      </c>
      <c r="F430" s="315">
        <v>45226.380555555559</v>
      </c>
      <c r="G430" s="314">
        <v>1</v>
      </c>
      <c r="H430" s="314">
        <v>51.370800000000003</v>
      </c>
      <c r="I430" s="314">
        <v>7.7005600000000003</v>
      </c>
      <c r="J430" s="314">
        <v>-15.905975</v>
      </c>
      <c r="K430" s="314">
        <v>-15.078775</v>
      </c>
      <c r="L430" s="314">
        <v>901.33799999999997</v>
      </c>
      <c r="M430" s="314">
        <v>93.498946000000004</v>
      </c>
      <c r="N430" s="314">
        <v>11814.72</v>
      </c>
      <c r="O430" s="314">
        <v>11814.724840000001</v>
      </c>
      <c r="P430" s="314">
        <v>2029.009</v>
      </c>
      <c r="Q430" s="313" t="s">
        <v>469</v>
      </c>
      <c r="R430" s="313"/>
      <c r="S430" s="314">
        <v>15</v>
      </c>
      <c r="T430" s="314">
        <v>5</v>
      </c>
      <c r="U430" s="314">
        <v>0.7</v>
      </c>
      <c r="V430" s="314">
        <v>0.7</v>
      </c>
      <c r="W430" s="314">
        <v>0.7</v>
      </c>
      <c r="X430" s="314">
        <v>1700</v>
      </c>
      <c r="Y430" s="313" t="s">
        <v>470</v>
      </c>
      <c r="Z430" s="314">
        <v>0.85</v>
      </c>
      <c r="AA430" s="313" t="s">
        <v>471</v>
      </c>
      <c r="AB430" s="313" t="s">
        <v>472</v>
      </c>
      <c r="AC430" s="316">
        <v>220</v>
      </c>
    </row>
    <row r="431" spans="1:29">
      <c r="A431" s="307" t="s">
        <v>474</v>
      </c>
      <c r="B431" s="308" t="s">
        <v>467</v>
      </c>
      <c r="C431" s="308" t="s">
        <v>749</v>
      </c>
      <c r="D431" s="308" t="s">
        <v>468</v>
      </c>
      <c r="E431" s="309">
        <v>1</v>
      </c>
      <c r="F431" s="310">
        <v>45226.384027777778</v>
      </c>
      <c r="G431" s="309">
        <v>1</v>
      </c>
      <c r="H431" s="309">
        <v>51.370800000000003</v>
      </c>
      <c r="I431" s="309">
        <v>7.0017199999999997</v>
      </c>
      <c r="J431" s="309">
        <v>-15.973369</v>
      </c>
      <c r="K431" s="309">
        <v>-15.147686999999999</v>
      </c>
      <c r="L431" s="309">
        <v>907.36300000000006</v>
      </c>
      <c r="M431" s="309">
        <v>97.001185000000007</v>
      </c>
      <c r="N431" s="309">
        <v>11822.99</v>
      </c>
      <c r="O431" s="309">
        <v>11822.988859999999</v>
      </c>
      <c r="P431" s="309">
        <v>2030.4159999999999</v>
      </c>
      <c r="Q431" s="308" t="s">
        <v>469</v>
      </c>
      <c r="R431" s="308"/>
      <c r="S431" s="309">
        <v>15</v>
      </c>
      <c r="T431" s="309">
        <v>5</v>
      </c>
      <c r="U431" s="309">
        <v>0.7</v>
      </c>
      <c r="V431" s="309">
        <v>0.7</v>
      </c>
      <c r="W431" s="309">
        <v>0.7</v>
      </c>
      <c r="X431" s="309">
        <v>1700</v>
      </c>
      <c r="Y431" s="308" t="s">
        <v>470</v>
      </c>
      <c r="Z431" s="309">
        <v>0.85</v>
      </c>
      <c r="AA431" s="308" t="s">
        <v>471</v>
      </c>
      <c r="AB431" s="308" t="s">
        <v>472</v>
      </c>
      <c r="AC431" s="311">
        <v>220</v>
      </c>
    </row>
    <row r="432" spans="1:29">
      <c r="A432" s="312" t="s">
        <v>475</v>
      </c>
      <c r="B432" s="313" t="s">
        <v>467</v>
      </c>
      <c r="C432" s="313"/>
      <c r="D432" s="313" t="s">
        <v>468</v>
      </c>
      <c r="E432" s="314">
        <v>1</v>
      </c>
      <c r="F432" s="315">
        <v>45226.386805555558</v>
      </c>
      <c r="G432" s="314">
        <v>1</v>
      </c>
      <c r="H432" s="314">
        <v>51.364100000000001</v>
      </c>
      <c r="I432" s="314">
        <v>6.6595300000000002</v>
      </c>
      <c r="J432" s="314">
        <v>-15.990662</v>
      </c>
      <c r="K432" s="314">
        <v>-15.155981000000001</v>
      </c>
      <c r="L432" s="314">
        <v>903.45699999999999</v>
      </c>
      <c r="M432" s="314">
        <v>101.49967100000001</v>
      </c>
      <c r="N432" s="314">
        <v>11830.65</v>
      </c>
      <c r="O432" s="314">
        <v>11830.646549999999</v>
      </c>
      <c r="P432" s="314">
        <v>2031.7190000000001</v>
      </c>
      <c r="Q432" s="313" t="s">
        <v>469</v>
      </c>
      <c r="R432" s="313"/>
      <c r="S432" s="314">
        <v>15</v>
      </c>
      <c r="T432" s="314">
        <v>5</v>
      </c>
      <c r="U432" s="314">
        <v>0.7</v>
      </c>
      <c r="V432" s="314">
        <v>0.7</v>
      </c>
      <c r="W432" s="314">
        <v>0.7</v>
      </c>
      <c r="X432" s="314">
        <v>1700</v>
      </c>
      <c r="Y432" s="313" t="s">
        <v>470</v>
      </c>
      <c r="Z432" s="314">
        <v>0.85</v>
      </c>
      <c r="AA432" s="313" t="s">
        <v>471</v>
      </c>
      <c r="AB432" s="313" t="s">
        <v>472</v>
      </c>
      <c r="AC432" s="316">
        <v>220</v>
      </c>
    </row>
    <row r="433" spans="1:29">
      <c r="A433" s="307" t="s">
        <v>730</v>
      </c>
      <c r="B433" s="308" t="s">
        <v>478</v>
      </c>
      <c r="C433" s="308" t="s">
        <v>434</v>
      </c>
      <c r="D433" s="308" t="s">
        <v>468</v>
      </c>
      <c r="E433" s="309">
        <v>1.2</v>
      </c>
      <c r="F433" s="310">
        <v>45226.393750000003</v>
      </c>
      <c r="G433" s="309">
        <v>1</v>
      </c>
      <c r="H433" s="309">
        <v>51.370800000000003</v>
      </c>
      <c r="I433" s="309">
        <v>6.4333200000000001</v>
      </c>
      <c r="J433" s="309">
        <v>-15.950225</v>
      </c>
      <c r="K433" s="309">
        <v>-15.108612000000001</v>
      </c>
      <c r="L433" s="309">
        <v>974.21500000000003</v>
      </c>
      <c r="M433" s="309">
        <v>106.499934</v>
      </c>
      <c r="N433" s="309">
        <v>14391.33</v>
      </c>
      <c r="O433" s="309">
        <v>0</v>
      </c>
      <c r="P433" s="309">
        <v>2074.3029999999999</v>
      </c>
      <c r="Q433" s="308" t="s">
        <v>479</v>
      </c>
      <c r="R433" s="308"/>
      <c r="S433" s="309">
        <v>15</v>
      </c>
      <c r="T433" s="309">
        <v>5</v>
      </c>
      <c r="U433" s="309">
        <v>0.7</v>
      </c>
      <c r="V433" s="309">
        <v>0.7</v>
      </c>
      <c r="W433" s="309">
        <v>0.7</v>
      </c>
      <c r="X433" s="309">
        <v>1700</v>
      </c>
      <c r="Y433" s="308" t="s">
        <v>470</v>
      </c>
      <c r="Z433" s="309">
        <v>0.85</v>
      </c>
      <c r="AA433" s="308" t="s">
        <v>471</v>
      </c>
      <c r="AB433" s="308" t="s">
        <v>472</v>
      </c>
      <c r="AC433" s="311">
        <v>220</v>
      </c>
    </row>
    <row r="434" spans="1:29">
      <c r="A434" s="312" t="s">
        <v>731</v>
      </c>
      <c r="B434" s="313" t="s">
        <v>478</v>
      </c>
      <c r="C434" s="313" t="s">
        <v>434</v>
      </c>
      <c r="D434" s="313" t="s">
        <v>468</v>
      </c>
      <c r="E434" s="314">
        <v>1.2</v>
      </c>
      <c r="F434" s="315">
        <v>45226.397222222222</v>
      </c>
      <c r="G434" s="314">
        <v>1</v>
      </c>
      <c r="H434" s="314">
        <v>51.370800000000003</v>
      </c>
      <c r="I434" s="314">
        <v>6.2848300000000004</v>
      </c>
      <c r="J434" s="314">
        <v>-15.963437000000001</v>
      </c>
      <c r="K434" s="314">
        <v>-15.126644000000001</v>
      </c>
      <c r="L434" s="314">
        <v>969.48599999999999</v>
      </c>
      <c r="M434" s="314">
        <v>105.49929899999999</v>
      </c>
      <c r="N434" s="314">
        <v>14462.05</v>
      </c>
      <c r="O434" s="314">
        <v>0</v>
      </c>
      <c r="P434" s="314">
        <v>2074.3029999999999</v>
      </c>
      <c r="Q434" s="313" t="s">
        <v>479</v>
      </c>
      <c r="R434" s="313"/>
      <c r="S434" s="314">
        <v>15</v>
      </c>
      <c r="T434" s="314">
        <v>5</v>
      </c>
      <c r="U434" s="314">
        <v>0.7</v>
      </c>
      <c r="V434" s="314">
        <v>0.7</v>
      </c>
      <c r="W434" s="314">
        <v>0.7</v>
      </c>
      <c r="X434" s="314">
        <v>1700</v>
      </c>
      <c r="Y434" s="313" t="s">
        <v>470</v>
      </c>
      <c r="Z434" s="314">
        <v>0.85</v>
      </c>
      <c r="AA434" s="313" t="s">
        <v>471</v>
      </c>
      <c r="AB434" s="313" t="s">
        <v>472</v>
      </c>
      <c r="AC434" s="316">
        <v>220</v>
      </c>
    </row>
    <row r="435" spans="1:29">
      <c r="A435" s="307" t="s">
        <v>732</v>
      </c>
      <c r="B435" s="308" t="s">
        <v>478</v>
      </c>
      <c r="C435" s="308" t="s">
        <v>434</v>
      </c>
      <c r="D435" s="308" t="s">
        <v>468</v>
      </c>
      <c r="E435" s="309">
        <v>1.2</v>
      </c>
      <c r="F435" s="310">
        <v>45226.400694444441</v>
      </c>
      <c r="G435" s="309">
        <v>1</v>
      </c>
      <c r="H435" s="309">
        <v>51.374099999999999</v>
      </c>
      <c r="I435" s="309">
        <v>6.4004000000000003</v>
      </c>
      <c r="J435" s="309">
        <v>-16.128768999999998</v>
      </c>
      <c r="K435" s="309">
        <v>-15.279325</v>
      </c>
      <c r="L435" s="309">
        <v>967.38199999999995</v>
      </c>
      <c r="M435" s="309">
        <v>122.999748</v>
      </c>
      <c r="N435" s="309">
        <v>14434.7</v>
      </c>
      <c r="O435" s="309">
        <v>0</v>
      </c>
      <c r="P435" s="309">
        <v>2074.3029999999999</v>
      </c>
      <c r="Q435" s="308" t="s">
        <v>479</v>
      </c>
      <c r="R435" s="308"/>
      <c r="S435" s="309">
        <v>15</v>
      </c>
      <c r="T435" s="309">
        <v>5</v>
      </c>
      <c r="U435" s="309">
        <v>0.7</v>
      </c>
      <c r="V435" s="309">
        <v>0.7</v>
      </c>
      <c r="W435" s="309">
        <v>0.7</v>
      </c>
      <c r="X435" s="309">
        <v>1700</v>
      </c>
      <c r="Y435" s="308" t="s">
        <v>470</v>
      </c>
      <c r="Z435" s="309">
        <v>0.85</v>
      </c>
      <c r="AA435" s="308" t="s">
        <v>471</v>
      </c>
      <c r="AB435" s="308" t="s">
        <v>472</v>
      </c>
      <c r="AC435" s="311">
        <v>220</v>
      </c>
    </row>
    <row r="436" spans="1:29">
      <c r="A436" s="312" t="s">
        <v>733</v>
      </c>
      <c r="B436" s="313" t="s">
        <v>478</v>
      </c>
      <c r="C436" s="313" t="s">
        <v>434</v>
      </c>
      <c r="D436" s="313" t="s">
        <v>468</v>
      </c>
      <c r="E436" s="314">
        <v>1.2</v>
      </c>
      <c r="F436" s="315">
        <v>45226.404166666667</v>
      </c>
      <c r="G436" s="314">
        <v>1</v>
      </c>
      <c r="H436" s="314">
        <v>51.374099999999999</v>
      </c>
      <c r="I436" s="314">
        <v>6.1278899999999998</v>
      </c>
      <c r="J436" s="314">
        <v>-16.243462000000001</v>
      </c>
      <c r="K436" s="314">
        <v>-15.406086999999999</v>
      </c>
      <c r="L436" s="314">
        <v>986.68</v>
      </c>
      <c r="M436" s="314">
        <v>117.00027</v>
      </c>
      <c r="N436" s="314">
        <v>14534.2</v>
      </c>
      <c r="O436" s="314">
        <v>0</v>
      </c>
      <c r="P436" s="314">
        <v>2074.3029999999999</v>
      </c>
      <c r="Q436" s="313" t="s">
        <v>479</v>
      </c>
      <c r="R436" s="313"/>
      <c r="S436" s="314">
        <v>15</v>
      </c>
      <c r="T436" s="314">
        <v>5</v>
      </c>
      <c r="U436" s="314">
        <v>0.7</v>
      </c>
      <c r="V436" s="314">
        <v>0.7</v>
      </c>
      <c r="W436" s="314">
        <v>0.7</v>
      </c>
      <c r="X436" s="314">
        <v>1700</v>
      </c>
      <c r="Y436" s="313" t="s">
        <v>470</v>
      </c>
      <c r="Z436" s="314">
        <v>0.85</v>
      </c>
      <c r="AA436" s="313" t="s">
        <v>471</v>
      </c>
      <c r="AB436" s="313" t="s">
        <v>472</v>
      </c>
      <c r="AC436" s="316">
        <v>220</v>
      </c>
    </row>
    <row r="437" spans="1:29">
      <c r="A437" s="307" t="s">
        <v>734</v>
      </c>
      <c r="B437" s="308" t="s">
        <v>478</v>
      </c>
      <c r="C437" s="308" t="s">
        <v>434</v>
      </c>
      <c r="D437" s="308" t="s">
        <v>468</v>
      </c>
      <c r="E437" s="309">
        <v>1.2</v>
      </c>
      <c r="F437" s="310">
        <v>45226.407638888886</v>
      </c>
      <c r="G437" s="309">
        <v>1</v>
      </c>
      <c r="H437" s="309">
        <v>51.370800000000003</v>
      </c>
      <c r="I437" s="309">
        <v>5.9425600000000003</v>
      </c>
      <c r="J437" s="309">
        <v>-16.093356</v>
      </c>
      <c r="K437" s="309">
        <v>-15.244825000000001</v>
      </c>
      <c r="L437" s="309">
        <v>952.79899999999998</v>
      </c>
      <c r="M437" s="309">
        <v>117.001019</v>
      </c>
      <c r="N437" s="309">
        <v>14020.36</v>
      </c>
      <c r="O437" s="309">
        <v>0</v>
      </c>
      <c r="P437" s="309">
        <v>2074.3029999999999</v>
      </c>
      <c r="Q437" s="308" t="s">
        <v>479</v>
      </c>
      <c r="R437" s="308"/>
      <c r="S437" s="309">
        <v>15</v>
      </c>
      <c r="T437" s="309">
        <v>5</v>
      </c>
      <c r="U437" s="309">
        <v>0.7</v>
      </c>
      <c r="V437" s="309">
        <v>0.7</v>
      </c>
      <c r="W437" s="309">
        <v>0.7</v>
      </c>
      <c r="X437" s="309">
        <v>1700</v>
      </c>
      <c r="Y437" s="308" t="s">
        <v>470</v>
      </c>
      <c r="Z437" s="309">
        <v>0.85</v>
      </c>
      <c r="AA437" s="308" t="s">
        <v>471</v>
      </c>
      <c r="AB437" s="308" t="s">
        <v>472</v>
      </c>
      <c r="AC437" s="311">
        <v>220</v>
      </c>
    </row>
    <row r="438" spans="1:29">
      <c r="A438" s="312" t="s">
        <v>750</v>
      </c>
      <c r="B438" s="313" t="s">
        <v>478</v>
      </c>
      <c r="C438" s="313" t="s">
        <v>434</v>
      </c>
      <c r="D438" s="313" t="s">
        <v>468</v>
      </c>
      <c r="E438" s="314">
        <v>1.2</v>
      </c>
      <c r="F438" s="315">
        <v>45226.411111111112</v>
      </c>
      <c r="G438" s="314">
        <v>2</v>
      </c>
      <c r="H438" s="314">
        <v>51.374099999999999</v>
      </c>
      <c r="I438" s="314">
        <v>5.9997999999999996</v>
      </c>
      <c r="J438" s="314">
        <v>-16.038205999999999</v>
      </c>
      <c r="K438" s="314">
        <v>-15.214525</v>
      </c>
      <c r="L438" s="314">
        <v>970.52300000000002</v>
      </c>
      <c r="M438" s="314">
        <v>99.000378999999995</v>
      </c>
      <c r="N438" s="314">
        <v>14427.43</v>
      </c>
      <c r="O438" s="314">
        <v>0</v>
      </c>
      <c r="P438" s="314">
        <v>2074.3029999999999</v>
      </c>
      <c r="Q438" s="313" t="s">
        <v>479</v>
      </c>
      <c r="R438" s="313"/>
      <c r="S438" s="314">
        <v>15</v>
      </c>
      <c r="T438" s="314">
        <v>5</v>
      </c>
      <c r="U438" s="314">
        <v>0.7</v>
      </c>
      <c r="V438" s="314">
        <v>0.7</v>
      </c>
      <c r="W438" s="314">
        <v>0.7</v>
      </c>
      <c r="X438" s="314">
        <v>1700</v>
      </c>
      <c r="Y438" s="313" t="s">
        <v>470</v>
      </c>
      <c r="Z438" s="314">
        <v>0.85</v>
      </c>
      <c r="AA438" s="313" t="s">
        <v>471</v>
      </c>
      <c r="AB438" s="313" t="s">
        <v>472</v>
      </c>
      <c r="AC438" s="316">
        <v>220</v>
      </c>
    </row>
    <row r="439" spans="1:29">
      <c r="A439" s="307" t="s">
        <v>751</v>
      </c>
      <c r="B439" s="308" t="s">
        <v>478</v>
      </c>
      <c r="C439" s="308" t="s">
        <v>434</v>
      </c>
      <c r="D439" s="308" t="s">
        <v>468</v>
      </c>
      <c r="E439" s="309">
        <v>1.2</v>
      </c>
      <c r="F439" s="310">
        <v>45226.414583333331</v>
      </c>
      <c r="G439" s="309">
        <v>2</v>
      </c>
      <c r="H439" s="309">
        <v>51.374099999999999</v>
      </c>
      <c r="I439" s="309">
        <v>6.1683599999999998</v>
      </c>
      <c r="J439" s="309">
        <v>-16.201381000000001</v>
      </c>
      <c r="K439" s="309">
        <v>-15.356863000000001</v>
      </c>
      <c r="L439" s="309">
        <v>968.20100000000002</v>
      </c>
      <c r="M439" s="309">
        <v>92.000022000000001</v>
      </c>
      <c r="N439" s="309">
        <v>14389.96</v>
      </c>
      <c r="O439" s="309">
        <v>0</v>
      </c>
      <c r="P439" s="309">
        <v>2074.3029999999999</v>
      </c>
      <c r="Q439" s="308" t="s">
        <v>479</v>
      </c>
      <c r="R439" s="308"/>
      <c r="S439" s="309">
        <v>15</v>
      </c>
      <c r="T439" s="309">
        <v>5</v>
      </c>
      <c r="U439" s="309">
        <v>0.7</v>
      </c>
      <c r="V439" s="309">
        <v>0.7</v>
      </c>
      <c r="W439" s="309">
        <v>0.7</v>
      </c>
      <c r="X439" s="309">
        <v>1700</v>
      </c>
      <c r="Y439" s="308" t="s">
        <v>470</v>
      </c>
      <c r="Z439" s="309">
        <v>0.85</v>
      </c>
      <c r="AA439" s="308" t="s">
        <v>471</v>
      </c>
      <c r="AB439" s="308" t="s">
        <v>472</v>
      </c>
      <c r="AC439" s="311">
        <v>220</v>
      </c>
    </row>
    <row r="440" spans="1:29">
      <c r="A440" s="312" t="s">
        <v>752</v>
      </c>
      <c r="B440" s="313" t="s">
        <v>478</v>
      </c>
      <c r="C440" s="313" t="s">
        <v>434</v>
      </c>
      <c r="D440" s="313" t="s">
        <v>468</v>
      </c>
      <c r="E440" s="314">
        <v>1.2</v>
      </c>
      <c r="F440" s="315">
        <v>45226.417361111111</v>
      </c>
      <c r="G440" s="314">
        <v>2</v>
      </c>
      <c r="H440" s="314">
        <v>51.377400000000002</v>
      </c>
      <c r="I440" s="314">
        <v>6.1174299999999997</v>
      </c>
      <c r="J440" s="314">
        <v>-16.272212</v>
      </c>
      <c r="K440" s="314">
        <v>-15.423037000000001</v>
      </c>
      <c r="L440" s="314">
        <v>950.14499999999998</v>
      </c>
      <c r="M440" s="314">
        <v>113.499578</v>
      </c>
      <c r="N440" s="314">
        <v>14440.51</v>
      </c>
      <c r="O440" s="314">
        <v>0</v>
      </c>
      <c r="P440" s="314">
        <v>2074.3029999999999</v>
      </c>
      <c r="Q440" s="313" t="s">
        <v>479</v>
      </c>
      <c r="R440" s="313"/>
      <c r="S440" s="314">
        <v>15</v>
      </c>
      <c r="T440" s="314">
        <v>5</v>
      </c>
      <c r="U440" s="314">
        <v>0.7</v>
      </c>
      <c r="V440" s="314">
        <v>0.7</v>
      </c>
      <c r="W440" s="314">
        <v>0.7</v>
      </c>
      <c r="X440" s="314">
        <v>1700</v>
      </c>
      <c r="Y440" s="313" t="s">
        <v>470</v>
      </c>
      <c r="Z440" s="314">
        <v>0.85</v>
      </c>
      <c r="AA440" s="313" t="s">
        <v>471</v>
      </c>
      <c r="AB440" s="313" t="s">
        <v>472</v>
      </c>
      <c r="AC440" s="316">
        <v>220</v>
      </c>
    </row>
    <row r="441" spans="1:29">
      <c r="A441" s="307" t="s">
        <v>753</v>
      </c>
      <c r="B441" s="308" t="s">
        <v>478</v>
      </c>
      <c r="C441" s="308" t="s">
        <v>434</v>
      </c>
      <c r="D441" s="308" t="s">
        <v>468</v>
      </c>
      <c r="E441" s="309">
        <v>1.2</v>
      </c>
      <c r="F441" s="310">
        <v>45226.42083333333</v>
      </c>
      <c r="G441" s="309">
        <v>2</v>
      </c>
      <c r="H441" s="309">
        <v>51.374099999999999</v>
      </c>
      <c r="I441" s="309">
        <v>5.9261999999999997</v>
      </c>
      <c r="J441" s="309">
        <v>-16.229669000000001</v>
      </c>
      <c r="K441" s="309">
        <v>-15.393193999999999</v>
      </c>
      <c r="L441" s="309">
        <v>971.74</v>
      </c>
      <c r="M441" s="309">
        <v>108.99843199999999</v>
      </c>
      <c r="N441" s="309">
        <v>14457.96</v>
      </c>
      <c r="O441" s="309">
        <v>0</v>
      </c>
      <c r="P441" s="309">
        <v>2074.3029999999999</v>
      </c>
      <c r="Q441" s="308" t="s">
        <v>479</v>
      </c>
      <c r="R441" s="308"/>
      <c r="S441" s="309">
        <v>15</v>
      </c>
      <c r="T441" s="309">
        <v>5</v>
      </c>
      <c r="U441" s="309">
        <v>0.7</v>
      </c>
      <c r="V441" s="309">
        <v>0.7</v>
      </c>
      <c r="W441" s="309">
        <v>0.7</v>
      </c>
      <c r="X441" s="309">
        <v>1700</v>
      </c>
      <c r="Y441" s="308" t="s">
        <v>470</v>
      </c>
      <c r="Z441" s="309">
        <v>0.85</v>
      </c>
      <c r="AA441" s="308" t="s">
        <v>471</v>
      </c>
      <c r="AB441" s="308" t="s">
        <v>472</v>
      </c>
      <c r="AC441" s="311">
        <v>220</v>
      </c>
    </row>
    <row r="442" spans="1:29">
      <c r="A442" s="312" t="s">
        <v>754</v>
      </c>
      <c r="B442" s="313" t="s">
        <v>478</v>
      </c>
      <c r="C442" s="313" t="s">
        <v>434</v>
      </c>
      <c r="D442" s="313" t="s">
        <v>468</v>
      </c>
      <c r="E442" s="314">
        <v>1.2</v>
      </c>
      <c r="F442" s="315">
        <v>45226.424305555556</v>
      </c>
      <c r="G442" s="314">
        <v>2</v>
      </c>
      <c r="H442" s="314">
        <v>51.370800000000003</v>
      </c>
      <c r="I442" s="314">
        <v>6.0108699999999997</v>
      </c>
      <c r="J442" s="314">
        <v>-16.115731</v>
      </c>
      <c r="K442" s="314">
        <v>-15.285619000000001</v>
      </c>
      <c r="L442" s="314">
        <v>972.55600000000004</v>
      </c>
      <c r="M442" s="314">
        <v>94.000168000000002</v>
      </c>
      <c r="N442" s="314">
        <v>14401.99</v>
      </c>
      <c r="O442" s="314">
        <v>0</v>
      </c>
      <c r="P442" s="314">
        <v>2074.3029999999999</v>
      </c>
      <c r="Q442" s="313" t="s">
        <v>479</v>
      </c>
      <c r="R442" s="313"/>
      <c r="S442" s="314">
        <v>15</v>
      </c>
      <c r="T442" s="314">
        <v>5</v>
      </c>
      <c r="U442" s="314">
        <v>0.7</v>
      </c>
      <c r="V442" s="314">
        <v>0.7</v>
      </c>
      <c r="W442" s="314">
        <v>0.7</v>
      </c>
      <c r="X442" s="314">
        <v>1700</v>
      </c>
      <c r="Y442" s="313" t="s">
        <v>470</v>
      </c>
      <c r="Z442" s="314">
        <v>0.85</v>
      </c>
      <c r="AA442" s="313" t="s">
        <v>471</v>
      </c>
      <c r="AB442" s="313" t="s">
        <v>472</v>
      </c>
      <c r="AC442" s="316">
        <v>220</v>
      </c>
    </row>
    <row r="443" spans="1:29">
      <c r="A443" s="307" t="s">
        <v>735</v>
      </c>
      <c r="B443" s="308" t="s">
        <v>490</v>
      </c>
      <c r="C443" s="308" t="s">
        <v>434</v>
      </c>
      <c r="D443" s="308" t="s">
        <v>468</v>
      </c>
      <c r="E443" s="309">
        <v>1.5</v>
      </c>
      <c r="F443" s="310">
        <v>45226.439583333333</v>
      </c>
      <c r="G443" s="309">
        <v>1</v>
      </c>
      <c r="H443" s="309">
        <v>51.370800000000003</v>
      </c>
      <c r="I443" s="309">
        <v>5.9618399999999996</v>
      </c>
      <c r="J443" s="309">
        <v>-16.109224999999999</v>
      </c>
      <c r="K443" s="309">
        <v>-15.2614</v>
      </c>
      <c r="L443" s="309">
        <v>997.64700000000005</v>
      </c>
      <c r="M443" s="309">
        <v>127.00051999999999</v>
      </c>
      <c r="N443" s="309">
        <v>18075.28</v>
      </c>
      <c r="O443" s="309">
        <v>0</v>
      </c>
      <c r="P443" s="309">
        <v>2074.3029999999999</v>
      </c>
      <c r="Q443" s="308" t="s">
        <v>479</v>
      </c>
      <c r="R443" s="308"/>
      <c r="S443" s="309">
        <v>15</v>
      </c>
      <c r="T443" s="309">
        <v>5</v>
      </c>
      <c r="U443" s="309">
        <v>0.7</v>
      </c>
      <c r="V443" s="309">
        <v>0.7</v>
      </c>
      <c r="W443" s="309">
        <v>0.7</v>
      </c>
      <c r="X443" s="309">
        <v>1700</v>
      </c>
      <c r="Y443" s="308" t="s">
        <v>470</v>
      </c>
      <c r="Z443" s="309">
        <v>0.85</v>
      </c>
      <c r="AA443" s="308" t="s">
        <v>471</v>
      </c>
      <c r="AB443" s="308" t="s">
        <v>472</v>
      </c>
      <c r="AC443" s="311">
        <v>201</v>
      </c>
    </row>
    <row r="444" spans="1:29">
      <c r="A444" s="312" t="s">
        <v>736</v>
      </c>
      <c r="B444" s="313" t="s">
        <v>490</v>
      </c>
      <c r="C444" s="313" t="s">
        <v>434</v>
      </c>
      <c r="D444" s="313" t="s">
        <v>468</v>
      </c>
      <c r="E444" s="314">
        <v>1.5</v>
      </c>
      <c r="F444" s="315">
        <v>45226.443055555559</v>
      </c>
      <c r="G444" s="314">
        <v>1</v>
      </c>
      <c r="H444" s="314">
        <v>51.3675</v>
      </c>
      <c r="I444" s="314">
        <v>5.798</v>
      </c>
      <c r="J444" s="314">
        <v>-15.971894000000001</v>
      </c>
      <c r="K444" s="314">
        <v>-15.1219</v>
      </c>
      <c r="L444" s="314">
        <v>1168.6500000000001</v>
      </c>
      <c r="M444" s="314">
        <v>148.499145</v>
      </c>
      <c r="N444" s="314">
        <v>21644.57</v>
      </c>
      <c r="O444" s="314">
        <v>0</v>
      </c>
      <c r="P444" s="314">
        <v>2074.3029999999999</v>
      </c>
      <c r="Q444" s="313" t="s">
        <v>479</v>
      </c>
      <c r="R444" s="313"/>
      <c r="S444" s="314">
        <v>15</v>
      </c>
      <c r="T444" s="314">
        <v>5</v>
      </c>
      <c r="U444" s="314">
        <v>0.7</v>
      </c>
      <c r="V444" s="314">
        <v>0.7</v>
      </c>
      <c r="W444" s="314">
        <v>0.7</v>
      </c>
      <c r="X444" s="314">
        <v>1700</v>
      </c>
      <c r="Y444" s="313" t="s">
        <v>470</v>
      </c>
      <c r="Z444" s="314">
        <v>0.85</v>
      </c>
      <c r="AA444" s="313" t="s">
        <v>471</v>
      </c>
      <c r="AB444" s="313" t="s">
        <v>472</v>
      </c>
      <c r="AC444" s="316">
        <v>182</v>
      </c>
    </row>
    <row r="445" spans="1:29">
      <c r="A445" s="307" t="s">
        <v>737</v>
      </c>
      <c r="B445" s="308" t="s">
        <v>490</v>
      </c>
      <c r="C445" s="308" t="s">
        <v>434</v>
      </c>
      <c r="D445" s="308" t="s">
        <v>468</v>
      </c>
      <c r="E445" s="309">
        <v>1.5</v>
      </c>
      <c r="F445" s="310">
        <v>45226.447222222225</v>
      </c>
      <c r="G445" s="309">
        <v>1</v>
      </c>
      <c r="H445" s="309">
        <v>51.364100000000001</v>
      </c>
      <c r="I445" s="309">
        <v>5.6790700000000003</v>
      </c>
      <c r="J445" s="309">
        <v>-15.88325</v>
      </c>
      <c r="K445" s="309">
        <v>-15.037750000000001</v>
      </c>
      <c r="L445" s="309">
        <v>1301.22</v>
      </c>
      <c r="M445" s="309">
        <v>188.499889</v>
      </c>
      <c r="N445" s="309">
        <v>24721.94</v>
      </c>
      <c r="O445" s="309">
        <v>0</v>
      </c>
      <c r="P445" s="309">
        <v>2074.3029999999999</v>
      </c>
      <c r="Q445" s="308" t="s">
        <v>479</v>
      </c>
      <c r="R445" s="308"/>
      <c r="S445" s="309">
        <v>15</v>
      </c>
      <c r="T445" s="309">
        <v>5</v>
      </c>
      <c r="U445" s="309">
        <v>0.7</v>
      </c>
      <c r="V445" s="309">
        <v>0.7</v>
      </c>
      <c r="W445" s="309">
        <v>0.7</v>
      </c>
      <c r="X445" s="309">
        <v>1700</v>
      </c>
      <c r="Y445" s="308" t="s">
        <v>470</v>
      </c>
      <c r="Z445" s="309">
        <v>0.85</v>
      </c>
      <c r="AA445" s="308" t="s">
        <v>471</v>
      </c>
      <c r="AB445" s="308" t="s">
        <v>472</v>
      </c>
      <c r="AC445" s="311">
        <v>156</v>
      </c>
    </row>
    <row r="446" spans="1:29">
      <c r="A446" s="312" t="s">
        <v>755</v>
      </c>
      <c r="B446" s="313" t="s">
        <v>490</v>
      </c>
      <c r="C446" s="313" t="s">
        <v>434</v>
      </c>
      <c r="D446" s="313" t="s">
        <v>468</v>
      </c>
      <c r="E446" s="314">
        <v>1.5</v>
      </c>
      <c r="F446" s="315">
        <v>45226.451388888891</v>
      </c>
      <c r="G446" s="314">
        <v>1</v>
      </c>
      <c r="H446" s="314">
        <v>51.370800000000003</v>
      </c>
      <c r="I446" s="314">
        <v>5.7172400000000003</v>
      </c>
      <c r="J446" s="314">
        <v>-15.985956</v>
      </c>
      <c r="K446" s="314">
        <v>-15.139900000000001</v>
      </c>
      <c r="L446" s="314">
        <v>1325.84</v>
      </c>
      <c r="M446" s="314">
        <v>158.498985</v>
      </c>
      <c r="N446" s="314">
        <v>23642.77</v>
      </c>
      <c r="O446" s="314">
        <v>0</v>
      </c>
      <c r="P446" s="314">
        <v>2074.3029999999999</v>
      </c>
      <c r="Q446" s="313" t="s">
        <v>479</v>
      </c>
      <c r="R446" s="313"/>
      <c r="S446" s="314">
        <v>15</v>
      </c>
      <c r="T446" s="314">
        <v>5</v>
      </c>
      <c r="U446" s="314">
        <v>0.7</v>
      </c>
      <c r="V446" s="314">
        <v>0.7</v>
      </c>
      <c r="W446" s="314">
        <v>0.7</v>
      </c>
      <c r="X446" s="314">
        <v>1700</v>
      </c>
      <c r="Y446" s="313" t="s">
        <v>470</v>
      </c>
      <c r="Z446" s="314">
        <v>0.85</v>
      </c>
      <c r="AA446" s="313" t="s">
        <v>471</v>
      </c>
      <c r="AB446" s="313" t="s">
        <v>472</v>
      </c>
      <c r="AC446" s="316">
        <v>184</v>
      </c>
    </row>
    <row r="447" spans="1:29">
      <c r="A447" s="307" t="s">
        <v>756</v>
      </c>
      <c r="B447" s="308" t="s">
        <v>490</v>
      </c>
      <c r="C447" s="308" t="s">
        <v>434</v>
      </c>
      <c r="D447" s="308" t="s">
        <v>468</v>
      </c>
      <c r="E447" s="309">
        <v>1.5</v>
      </c>
      <c r="F447" s="310">
        <v>45226.455555555556</v>
      </c>
      <c r="G447" s="309">
        <v>1</v>
      </c>
      <c r="H447" s="309">
        <v>51.370800000000003</v>
      </c>
      <c r="I447" s="309">
        <v>5.8887900000000002</v>
      </c>
      <c r="J447" s="309">
        <v>-16.252631000000001</v>
      </c>
      <c r="K447" s="309">
        <v>-15.420949999999999</v>
      </c>
      <c r="L447" s="309">
        <v>993.12699999999995</v>
      </c>
      <c r="M447" s="309">
        <v>118.000325</v>
      </c>
      <c r="N447" s="309">
        <v>18280.86</v>
      </c>
      <c r="O447" s="309">
        <v>0</v>
      </c>
      <c r="P447" s="309">
        <v>2074.3029999999999</v>
      </c>
      <c r="Q447" s="308" t="s">
        <v>479</v>
      </c>
      <c r="R447" s="308"/>
      <c r="S447" s="309">
        <v>15</v>
      </c>
      <c r="T447" s="309">
        <v>5</v>
      </c>
      <c r="U447" s="309">
        <v>0.7</v>
      </c>
      <c r="V447" s="309">
        <v>0.7</v>
      </c>
      <c r="W447" s="309">
        <v>0.7</v>
      </c>
      <c r="X447" s="309">
        <v>1700</v>
      </c>
      <c r="Y447" s="308" t="s">
        <v>470</v>
      </c>
      <c r="Z447" s="309">
        <v>0.85</v>
      </c>
      <c r="AA447" s="308" t="s">
        <v>471</v>
      </c>
      <c r="AB447" s="308" t="s">
        <v>472</v>
      </c>
      <c r="AC447" s="311">
        <v>210</v>
      </c>
    </row>
    <row r="448" spans="1:29">
      <c r="A448" s="312" t="s">
        <v>757</v>
      </c>
      <c r="B448" s="313" t="s">
        <v>490</v>
      </c>
      <c r="C448" s="313" t="s">
        <v>434</v>
      </c>
      <c r="D448" s="313" t="s">
        <v>468</v>
      </c>
      <c r="E448" s="314">
        <v>1.5</v>
      </c>
      <c r="F448" s="318"/>
      <c r="G448" s="314">
        <v>2</v>
      </c>
      <c r="H448" s="314">
        <v>0</v>
      </c>
      <c r="I448" s="314">
        <v>0</v>
      </c>
      <c r="J448" s="314">
        <v>0</v>
      </c>
      <c r="K448" s="314">
        <v>0</v>
      </c>
      <c r="L448" s="314">
        <v>0</v>
      </c>
      <c r="M448" s="314">
        <v>0</v>
      </c>
      <c r="N448" s="314">
        <v>0</v>
      </c>
      <c r="O448" s="314">
        <v>0</v>
      </c>
      <c r="P448" s="314">
        <v>0</v>
      </c>
      <c r="Q448" s="313" t="s">
        <v>503</v>
      </c>
      <c r="R448" s="313"/>
      <c r="S448" s="314">
        <v>15</v>
      </c>
      <c r="T448" s="314">
        <v>5</v>
      </c>
      <c r="U448" s="314">
        <v>0.7</v>
      </c>
      <c r="V448" s="314">
        <v>0.7</v>
      </c>
      <c r="W448" s="314">
        <v>0.7</v>
      </c>
      <c r="X448" s="314">
        <v>1700</v>
      </c>
      <c r="Y448" s="313"/>
      <c r="Z448" s="313"/>
      <c r="AA448" s="313" t="s">
        <v>471</v>
      </c>
      <c r="AB448" s="313" t="s">
        <v>472</v>
      </c>
      <c r="AC448" s="316">
        <v>210</v>
      </c>
    </row>
    <row r="449" spans="1:29">
      <c r="A449" s="307" t="s">
        <v>589</v>
      </c>
      <c r="B449" s="308" t="s">
        <v>467</v>
      </c>
      <c r="C449" s="308"/>
      <c r="D449" s="308" t="s">
        <v>468</v>
      </c>
      <c r="E449" s="309">
        <v>1</v>
      </c>
      <c r="F449" s="310">
        <v>45226.463194444441</v>
      </c>
      <c r="G449" s="309">
        <v>1</v>
      </c>
      <c r="H449" s="309">
        <v>51.360799999999998</v>
      </c>
      <c r="I449" s="309">
        <v>5.7499799999999999</v>
      </c>
      <c r="J449" s="309">
        <v>-15.889488</v>
      </c>
      <c r="K449" s="309">
        <v>-15.058662999999999</v>
      </c>
      <c r="L449" s="309">
        <v>1148.3499999999999</v>
      </c>
      <c r="M449" s="309">
        <v>143.99998299999999</v>
      </c>
      <c r="N449" s="309">
        <v>15782.84</v>
      </c>
      <c r="O449" s="309">
        <v>15782.842919999999</v>
      </c>
      <c r="P449" s="309">
        <v>2704.2979999999998</v>
      </c>
      <c r="Q449" s="308" t="s">
        <v>469</v>
      </c>
      <c r="R449" s="308"/>
      <c r="S449" s="309">
        <v>15</v>
      </c>
      <c r="T449" s="309">
        <v>5</v>
      </c>
      <c r="U449" s="309">
        <v>0.7</v>
      </c>
      <c r="V449" s="309">
        <v>0.7</v>
      </c>
      <c r="W449" s="309">
        <v>0.7</v>
      </c>
      <c r="X449" s="309">
        <v>1700</v>
      </c>
      <c r="Y449" s="308" t="s">
        <v>470</v>
      </c>
      <c r="Z449" s="309">
        <v>0.85</v>
      </c>
      <c r="AA449" s="308" t="s">
        <v>471</v>
      </c>
      <c r="AB449" s="308" t="s">
        <v>472</v>
      </c>
      <c r="AC449" s="311">
        <v>161</v>
      </c>
    </row>
    <row r="450" spans="1:29">
      <c r="A450" s="312" t="s">
        <v>497</v>
      </c>
      <c r="B450" s="313" t="s">
        <v>467</v>
      </c>
      <c r="C450" s="313"/>
      <c r="D450" s="313" t="s">
        <v>468</v>
      </c>
      <c r="E450" s="314">
        <v>1</v>
      </c>
      <c r="F450" s="315">
        <v>45226.466666666667</v>
      </c>
      <c r="G450" s="314">
        <v>1</v>
      </c>
      <c r="H450" s="314">
        <v>51.3675</v>
      </c>
      <c r="I450" s="314">
        <v>5.63</v>
      </c>
      <c r="J450" s="314">
        <v>-15.837088</v>
      </c>
      <c r="K450" s="314">
        <v>-14.987219</v>
      </c>
      <c r="L450" s="314">
        <v>1100.6400000000001</v>
      </c>
      <c r="M450" s="314">
        <v>143.99939699999999</v>
      </c>
      <c r="N450" s="314">
        <v>15220.34</v>
      </c>
      <c r="O450" s="314">
        <v>15220.338750000001</v>
      </c>
      <c r="P450" s="314">
        <v>2608.5720000000001</v>
      </c>
      <c r="Q450" s="313" t="s">
        <v>469</v>
      </c>
      <c r="R450" s="313"/>
      <c r="S450" s="314">
        <v>15</v>
      </c>
      <c r="T450" s="314">
        <v>5</v>
      </c>
      <c r="U450" s="314">
        <v>0.7</v>
      </c>
      <c r="V450" s="314">
        <v>0.7</v>
      </c>
      <c r="W450" s="314">
        <v>0.7</v>
      </c>
      <c r="X450" s="314">
        <v>1700</v>
      </c>
      <c r="Y450" s="313" t="s">
        <v>470</v>
      </c>
      <c r="Z450" s="314">
        <v>0.85</v>
      </c>
      <c r="AA450" s="313" t="s">
        <v>471</v>
      </c>
      <c r="AB450" s="313" t="s">
        <v>472</v>
      </c>
      <c r="AC450" s="316">
        <v>163</v>
      </c>
    </row>
    <row r="451" spans="1:29">
      <c r="A451" s="307" t="s">
        <v>590</v>
      </c>
      <c r="B451" s="308" t="s">
        <v>467</v>
      </c>
      <c r="C451" s="308"/>
      <c r="D451" s="308" t="s">
        <v>468</v>
      </c>
      <c r="E451" s="309">
        <v>1</v>
      </c>
      <c r="F451" s="310">
        <v>45226.470138888886</v>
      </c>
      <c r="G451" s="309">
        <v>1</v>
      </c>
      <c r="H451" s="309">
        <v>51.370800000000003</v>
      </c>
      <c r="I451" s="309">
        <v>5.4534399999999996</v>
      </c>
      <c r="J451" s="309">
        <v>-15.755988</v>
      </c>
      <c r="K451" s="309">
        <v>-14.917756000000001</v>
      </c>
      <c r="L451" s="309">
        <v>1140.6300000000001</v>
      </c>
      <c r="M451" s="309">
        <v>144.50091900000001</v>
      </c>
      <c r="N451" s="309">
        <v>15963.66</v>
      </c>
      <c r="O451" s="309">
        <v>15963.66114</v>
      </c>
      <c r="P451" s="309">
        <v>2735.069</v>
      </c>
      <c r="Q451" s="308" t="s">
        <v>469</v>
      </c>
      <c r="R451" s="308"/>
      <c r="S451" s="309">
        <v>15</v>
      </c>
      <c r="T451" s="309">
        <v>5</v>
      </c>
      <c r="U451" s="309">
        <v>0.7</v>
      </c>
      <c r="V451" s="309">
        <v>0.7</v>
      </c>
      <c r="W451" s="309">
        <v>0.7</v>
      </c>
      <c r="X451" s="309">
        <v>1700</v>
      </c>
      <c r="Y451" s="308" t="s">
        <v>470</v>
      </c>
      <c r="Z451" s="309">
        <v>0.85</v>
      </c>
      <c r="AA451" s="308" t="s">
        <v>471</v>
      </c>
      <c r="AB451" s="308" t="s">
        <v>472</v>
      </c>
      <c r="AC451" s="311">
        <v>164</v>
      </c>
    </row>
    <row r="452" spans="1:29">
      <c r="A452" s="312" t="s">
        <v>591</v>
      </c>
      <c r="B452" s="313" t="s">
        <v>467</v>
      </c>
      <c r="C452" s="313"/>
      <c r="D452" s="313" t="s">
        <v>468</v>
      </c>
      <c r="E452" s="314">
        <v>1</v>
      </c>
      <c r="F452" s="315">
        <v>45226.476388888892</v>
      </c>
      <c r="G452" s="314">
        <v>1</v>
      </c>
      <c r="H452" s="314">
        <v>51.374099999999999</v>
      </c>
      <c r="I452" s="314">
        <v>5.4810100000000004</v>
      </c>
      <c r="J452" s="314">
        <v>-16.093630999999998</v>
      </c>
      <c r="K452" s="314">
        <v>-15.248269000000001</v>
      </c>
      <c r="L452" s="314">
        <v>1020.66</v>
      </c>
      <c r="M452" s="314">
        <v>127.500231</v>
      </c>
      <c r="N452" s="314">
        <v>13350.88</v>
      </c>
      <c r="O452" s="314">
        <v>13350.879150000001</v>
      </c>
      <c r="P452" s="314">
        <v>2290.4299999999998</v>
      </c>
      <c r="Q452" s="313" t="s">
        <v>469</v>
      </c>
      <c r="R452" s="313"/>
      <c r="S452" s="314">
        <v>15</v>
      </c>
      <c r="T452" s="314">
        <v>5</v>
      </c>
      <c r="U452" s="314">
        <v>0.7</v>
      </c>
      <c r="V452" s="314">
        <v>0.7</v>
      </c>
      <c r="W452" s="314">
        <v>0.7</v>
      </c>
      <c r="X452" s="314">
        <v>1700</v>
      </c>
      <c r="Y452" s="313" t="s">
        <v>470</v>
      </c>
      <c r="Z452" s="314">
        <v>0.85</v>
      </c>
      <c r="AA452" s="313" t="s">
        <v>471</v>
      </c>
      <c r="AB452" s="313" t="s">
        <v>472</v>
      </c>
      <c r="AC452" s="316">
        <v>195</v>
      </c>
    </row>
    <row r="453" spans="1:29">
      <c r="A453" s="307" t="s">
        <v>592</v>
      </c>
      <c r="B453" s="308" t="s">
        <v>467</v>
      </c>
      <c r="C453" s="308"/>
      <c r="D453" s="308" t="s">
        <v>468</v>
      </c>
      <c r="E453" s="309">
        <v>1</v>
      </c>
      <c r="F453" s="310">
        <v>45226.479166666664</v>
      </c>
      <c r="G453" s="309">
        <v>1</v>
      </c>
      <c r="H453" s="309">
        <v>51.370800000000003</v>
      </c>
      <c r="I453" s="309">
        <v>5.5917199999999996</v>
      </c>
      <c r="J453" s="309">
        <v>-16.116849999999999</v>
      </c>
      <c r="K453" s="309">
        <v>-15.283556000000001</v>
      </c>
      <c r="L453" s="309">
        <v>952.12900000000002</v>
      </c>
      <c r="M453" s="309">
        <v>122.499094</v>
      </c>
      <c r="N453" s="309">
        <v>12920.71</v>
      </c>
      <c r="O453" s="309">
        <v>12920.712530000001</v>
      </c>
      <c r="P453" s="309">
        <v>2217.2249999999999</v>
      </c>
      <c r="Q453" s="308" t="s">
        <v>469</v>
      </c>
      <c r="R453" s="308"/>
      <c r="S453" s="309">
        <v>15</v>
      </c>
      <c r="T453" s="309">
        <v>5</v>
      </c>
      <c r="U453" s="309">
        <v>0.7</v>
      </c>
      <c r="V453" s="309">
        <v>0.7</v>
      </c>
      <c r="W453" s="309">
        <v>0.7</v>
      </c>
      <c r="X453" s="309">
        <v>1700</v>
      </c>
      <c r="Y453" s="308" t="s">
        <v>470</v>
      </c>
      <c r="Z453" s="309">
        <v>0.85</v>
      </c>
      <c r="AA453" s="308" t="s">
        <v>471</v>
      </c>
      <c r="AB453" s="308" t="s">
        <v>472</v>
      </c>
      <c r="AC453" s="311">
        <v>206</v>
      </c>
    </row>
    <row r="454" spans="1:29">
      <c r="A454" s="312" t="s">
        <v>593</v>
      </c>
      <c r="B454" s="313" t="s">
        <v>467</v>
      </c>
      <c r="C454" s="313"/>
      <c r="D454" s="313" t="s">
        <v>468</v>
      </c>
      <c r="E454" s="314">
        <v>1</v>
      </c>
      <c r="F454" s="315">
        <v>45226.482638888891</v>
      </c>
      <c r="G454" s="314">
        <v>1</v>
      </c>
      <c r="H454" s="314">
        <v>51.370800000000003</v>
      </c>
      <c r="I454" s="314">
        <v>5.7099299999999999</v>
      </c>
      <c r="J454" s="314">
        <v>-16.119681</v>
      </c>
      <c r="K454" s="314">
        <v>-15.292175</v>
      </c>
      <c r="L454" s="314">
        <v>890.61800000000005</v>
      </c>
      <c r="M454" s="314">
        <v>114.999357</v>
      </c>
      <c r="N454" s="314">
        <v>11976.5</v>
      </c>
      <c r="O454" s="314">
        <v>11976.499599999999</v>
      </c>
      <c r="P454" s="314">
        <v>2056.54</v>
      </c>
      <c r="Q454" s="313" t="s">
        <v>469</v>
      </c>
      <c r="R454" s="313"/>
      <c r="S454" s="314">
        <v>15</v>
      </c>
      <c r="T454" s="314">
        <v>5</v>
      </c>
      <c r="U454" s="314">
        <v>0.7</v>
      </c>
      <c r="V454" s="314">
        <v>0.7</v>
      </c>
      <c r="W454" s="314">
        <v>0.7</v>
      </c>
      <c r="X454" s="314">
        <v>1700</v>
      </c>
      <c r="Y454" s="313" t="s">
        <v>470</v>
      </c>
      <c r="Z454" s="314">
        <v>0.85</v>
      </c>
      <c r="AA454" s="313" t="s">
        <v>471</v>
      </c>
      <c r="AB454" s="313" t="s">
        <v>472</v>
      </c>
      <c r="AC454" s="316">
        <v>198</v>
      </c>
    </row>
    <row r="455" spans="1:29">
      <c r="A455" s="307" t="s">
        <v>595</v>
      </c>
      <c r="B455" s="308" t="s">
        <v>467</v>
      </c>
      <c r="C455" s="308"/>
      <c r="D455" s="308" t="s">
        <v>468</v>
      </c>
      <c r="E455" s="309">
        <v>1</v>
      </c>
      <c r="F455" s="310">
        <v>45226.488888888889</v>
      </c>
      <c r="G455" s="309">
        <v>1</v>
      </c>
      <c r="H455" s="309">
        <v>51.374099999999999</v>
      </c>
      <c r="I455" s="309">
        <v>5.7538600000000004</v>
      </c>
      <c r="J455" s="309">
        <v>-16.165225</v>
      </c>
      <c r="K455" s="309">
        <v>-15.3192</v>
      </c>
      <c r="L455" s="309">
        <v>902.08</v>
      </c>
      <c r="M455" s="309">
        <v>129.99865800000001</v>
      </c>
      <c r="N455" s="309">
        <v>12528.95</v>
      </c>
      <c r="O455" s="309">
        <v>12528.951129999999</v>
      </c>
      <c r="P455" s="309">
        <v>2150.5549999999998</v>
      </c>
      <c r="Q455" s="308" t="s">
        <v>469</v>
      </c>
      <c r="R455" s="308"/>
      <c r="S455" s="309">
        <v>15</v>
      </c>
      <c r="T455" s="309">
        <v>5</v>
      </c>
      <c r="U455" s="309">
        <v>0.7</v>
      </c>
      <c r="V455" s="309">
        <v>0.7</v>
      </c>
      <c r="W455" s="309">
        <v>0.7</v>
      </c>
      <c r="X455" s="309">
        <v>1700</v>
      </c>
      <c r="Y455" s="308" t="s">
        <v>470</v>
      </c>
      <c r="Z455" s="309">
        <v>0.85</v>
      </c>
      <c r="AA455" s="308" t="s">
        <v>471</v>
      </c>
      <c r="AB455" s="308" t="s">
        <v>472</v>
      </c>
      <c r="AC455" s="311">
        <v>190</v>
      </c>
    </row>
    <row r="456" spans="1:29">
      <c r="A456" s="312" t="s">
        <v>597</v>
      </c>
      <c r="B456" s="313" t="s">
        <v>467</v>
      </c>
      <c r="C456" s="313"/>
      <c r="D456" s="313" t="s">
        <v>468</v>
      </c>
      <c r="E456" s="314">
        <v>1</v>
      </c>
      <c r="F456" s="315">
        <v>45226.492361111108</v>
      </c>
      <c r="G456" s="314">
        <v>1</v>
      </c>
      <c r="H456" s="314">
        <v>51.374099999999999</v>
      </c>
      <c r="I456" s="314">
        <v>6.1282699999999997</v>
      </c>
      <c r="J456" s="314">
        <v>-16.149556</v>
      </c>
      <c r="K456" s="314">
        <v>-15.320231</v>
      </c>
      <c r="L456" s="314">
        <v>897.62900000000002</v>
      </c>
      <c r="M456" s="314">
        <v>102.50063900000001</v>
      </c>
      <c r="N456" s="314">
        <v>11848.82</v>
      </c>
      <c r="O456" s="314">
        <v>11848.8153</v>
      </c>
      <c r="P456" s="314">
        <v>2034.8109999999999</v>
      </c>
      <c r="Q456" s="313" t="s">
        <v>469</v>
      </c>
      <c r="R456" s="313"/>
      <c r="S456" s="314">
        <v>15</v>
      </c>
      <c r="T456" s="314">
        <v>5</v>
      </c>
      <c r="U456" s="314">
        <v>0.7</v>
      </c>
      <c r="V456" s="314">
        <v>0.7</v>
      </c>
      <c r="W456" s="314">
        <v>0.7</v>
      </c>
      <c r="X456" s="314">
        <v>1700</v>
      </c>
      <c r="Y456" s="313" t="s">
        <v>470</v>
      </c>
      <c r="Z456" s="314">
        <v>0.85</v>
      </c>
      <c r="AA456" s="313" t="s">
        <v>471</v>
      </c>
      <c r="AB456" s="313" t="s">
        <v>472</v>
      </c>
      <c r="AC456" s="316">
        <v>220</v>
      </c>
    </row>
    <row r="457" spans="1:29">
      <c r="A457" s="307" t="s">
        <v>599</v>
      </c>
      <c r="B457" s="308" t="s">
        <v>467</v>
      </c>
      <c r="C457" s="308"/>
      <c r="D457" s="308" t="s">
        <v>468</v>
      </c>
      <c r="E457" s="309">
        <v>1</v>
      </c>
      <c r="F457" s="310">
        <v>45226.495138888888</v>
      </c>
      <c r="G457" s="309">
        <v>1</v>
      </c>
      <c r="H457" s="309">
        <v>51.374099999999999</v>
      </c>
      <c r="I457" s="309">
        <v>5.9211900000000002</v>
      </c>
      <c r="J457" s="309">
        <v>-16.081506000000001</v>
      </c>
      <c r="K457" s="309">
        <v>-15.256669</v>
      </c>
      <c r="L457" s="309">
        <v>893.62300000000005</v>
      </c>
      <c r="M457" s="309">
        <v>114.499976</v>
      </c>
      <c r="N457" s="309">
        <v>12113.83</v>
      </c>
      <c r="O457" s="309">
        <v>12113.83157</v>
      </c>
      <c r="P457" s="309">
        <v>2079.9110000000001</v>
      </c>
      <c r="Q457" s="308" t="s">
        <v>469</v>
      </c>
      <c r="R457" s="308"/>
      <c r="S457" s="309">
        <v>15</v>
      </c>
      <c r="T457" s="309">
        <v>5</v>
      </c>
      <c r="U457" s="309">
        <v>0.7</v>
      </c>
      <c r="V457" s="309">
        <v>0.7</v>
      </c>
      <c r="W457" s="309">
        <v>0.7</v>
      </c>
      <c r="X457" s="309">
        <v>1700</v>
      </c>
      <c r="Y457" s="308" t="s">
        <v>470</v>
      </c>
      <c r="Z457" s="309">
        <v>0.85</v>
      </c>
      <c r="AA457" s="308" t="s">
        <v>471</v>
      </c>
      <c r="AB457" s="308" t="s">
        <v>472</v>
      </c>
      <c r="AC457" s="311">
        <v>199</v>
      </c>
    </row>
    <row r="458" spans="1:29">
      <c r="A458" s="312" t="s">
        <v>600</v>
      </c>
      <c r="B458" s="313" t="s">
        <v>467</v>
      </c>
      <c r="C458" s="313"/>
      <c r="D458" s="313" t="s">
        <v>468</v>
      </c>
      <c r="E458" s="314">
        <v>1</v>
      </c>
      <c r="F458" s="315">
        <v>45226.498611111114</v>
      </c>
      <c r="G458" s="314">
        <v>1</v>
      </c>
      <c r="H458" s="314">
        <v>51.370800000000003</v>
      </c>
      <c r="I458" s="314">
        <v>5.92584</v>
      </c>
      <c r="J458" s="314">
        <v>-16.181912000000001</v>
      </c>
      <c r="K458" s="314">
        <v>-15.357381</v>
      </c>
      <c r="L458" s="314">
        <v>906.05</v>
      </c>
      <c r="M458" s="314">
        <v>98.998406000000003</v>
      </c>
      <c r="N458" s="314">
        <v>11884.53</v>
      </c>
      <c r="O458" s="314">
        <v>11884.53242</v>
      </c>
      <c r="P458" s="314">
        <v>2040.8889999999999</v>
      </c>
      <c r="Q458" s="313" t="s">
        <v>469</v>
      </c>
      <c r="R458" s="313"/>
      <c r="S458" s="314">
        <v>15</v>
      </c>
      <c r="T458" s="314">
        <v>5</v>
      </c>
      <c r="U458" s="314">
        <v>0.7</v>
      </c>
      <c r="V458" s="314">
        <v>0.7</v>
      </c>
      <c r="W458" s="314">
        <v>0.7</v>
      </c>
      <c r="X458" s="314">
        <v>1700</v>
      </c>
      <c r="Y458" s="313" t="s">
        <v>470</v>
      </c>
      <c r="Z458" s="314">
        <v>0.85</v>
      </c>
      <c r="AA458" s="313" t="s">
        <v>471</v>
      </c>
      <c r="AB458" s="313" t="s">
        <v>472</v>
      </c>
      <c r="AC458" s="316">
        <v>219</v>
      </c>
    </row>
    <row r="459" spans="1:29">
      <c r="A459" s="307" t="s">
        <v>601</v>
      </c>
      <c r="B459" s="308" t="s">
        <v>467</v>
      </c>
      <c r="C459" s="308"/>
      <c r="D459" s="308" t="s">
        <v>468</v>
      </c>
      <c r="E459" s="309">
        <v>1</v>
      </c>
      <c r="F459" s="310">
        <v>45226.501388888886</v>
      </c>
      <c r="G459" s="309">
        <v>1</v>
      </c>
      <c r="H459" s="309">
        <v>51.374099999999999</v>
      </c>
      <c r="I459" s="309">
        <v>5.7812200000000002</v>
      </c>
      <c r="J459" s="309">
        <v>-16.170987</v>
      </c>
      <c r="K459" s="309">
        <v>-15.326306000000001</v>
      </c>
      <c r="L459" s="309">
        <v>942.72799999999995</v>
      </c>
      <c r="M459" s="309">
        <v>121.000754</v>
      </c>
      <c r="N459" s="309">
        <v>12713.81</v>
      </c>
      <c r="O459" s="309">
        <v>12713.80545</v>
      </c>
      <c r="P459" s="309">
        <v>2182.0129999999999</v>
      </c>
      <c r="Q459" s="308" t="s">
        <v>469</v>
      </c>
      <c r="R459" s="308"/>
      <c r="S459" s="309">
        <v>15</v>
      </c>
      <c r="T459" s="309">
        <v>5</v>
      </c>
      <c r="U459" s="309">
        <v>0.7</v>
      </c>
      <c r="V459" s="309">
        <v>0.7</v>
      </c>
      <c r="W459" s="309">
        <v>0.7</v>
      </c>
      <c r="X459" s="309">
        <v>1700</v>
      </c>
      <c r="Y459" s="308" t="s">
        <v>470</v>
      </c>
      <c r="Z459" s="309">
        <v>0.85</v>
      </c>
      <c r="AA459" s="308" t="s">
        <v>471</v>
      </c>
      <c r="AB459" s="308" t="s">
        <v>472</v>
      </c>
      <c r="AC459" s="311">
        <v>193</v>
      </c>
    </row>
    <row r="460" spans="1:29">
      <c r="A460" s="312" t="s">
        <v>602</v>
      </c>
      <c r="B460" s="313" t="s">
        <v>467</v>
      </c>
      <c r="C460" s="313"/>
      <c r="D460" s="313" t="s">
        <v>468</v>
      </c>
      <c r="E460" s="314">
        <v>1</v>
      </c>
      <c r="F460" s="315">
        <v>45226.504861111112</v>
      </c>
      <c r="G460" s="314">
        <v>1</v>
      </c>
      <c r="H460" s="314">
        <v>51.3675</v>
      </c>
      <c r="I460" s="314">
        <v>5.6634200000000003</v>
      </c>
      <c r="J460" s="314">
        <v>-16.139975</v>
      </c>
      <c r="K460" s="314">
        <v>-15.316719000000001</v>
      </c>
      <c r="L460" s="314">
        <v>990.64200000000005</v>
      </c>
      <c r="M460" s="314">
        <v>135.99785800000001</v>
      </c>
      <c r="N460" s="314">
        <v>13391.08</v>
      </c>
      <c r="O460" s="314">
        <v>13391.079400000001</v>
      </c>
      <c r="P460" s="314">
        <v>2297.2710000000002</v>
      </c>
      <c r="Q460" s="313" t="s">
        <v>469</v>
      </c>
      <c r="R460" s="313"/>
      <c r="S460" s="314">
        <v>15</v>
      </c>
      <c r="T460" s="314">
        <v>5</v>
      </c>
      <c r="U460" s="314">
        <v>0.7</v>
      </c>
      <c r="V460" s="314">
        <v>0.7</v>
      </c>
      <c r="W460" s="314">
        <v>0.7</v>
      </c>
      <c r="X460" s="314">
        <v>1700</v>
      </c>
      <c r="Y460" s="313" t="s">
        <v>470</v>
      </c>
      <c r="Z460" s="314">
        <v>0.85</v>
      </c>
      <c r="AA460" s="313" t="s">
        <v>471</v>
      </c>
      <c r="AB460" s="313" t="s">
        <v>472</v>
      </c>
      <c r="AC460" s="316">
        <v>186</v>
      </c>
    </row>
    <row r="461" spans="1:29">
      <c r="A461" s="307" t="s">
        <v>714</v>
      </c>
      <c r="B461" s="308" t="s">
        <v>467</v>
      </c>
      <c r="C461" s="308"/>
      <c r="D461" s="308" t="s">
        <v>468</v>
      </c>
      <c r="E461" s="309">
        <v>1</v>
      </c>
      <c r="F461" s="310">
        <v>45226.508333333331</v>
      </c>
      <c r="G461" s="309">
        <v>1</v>
      </c>
      <c r="H461" s="309">
        <v>51.374099999999999</v>
      </c>
      <c r="I461" s="309">
        <v>5.8033599999999996</v>
      </c>
      <c r="J461" s="309">
        <v>-16.150431000000001</v>
      </c>
      <c r="K461" s="309">
        <v>-15.301743999999999</v>
      </c>
      <c r="L461" s="309">
        <v>886.59199999999998</v>
      </c>
      <c r="M461" s="309">
        <v>102.498921</v>
      </c>
      <c r="N461" s="309">
        <v>11865.61</v>
      </c>
      <c r="O461" s="309">
        <v>11865.60642</v>
      </c>
      <c r="P461" s="309">
        <v>2037.6679999999999</v>
      </c>
      <c r="Q461" s="308" t="s">
        <v>469</v>
      </c>
      <c r="R461" s="308"/>
      <c r="S461" s="309">
        <v>15</v>
      </c>
      <c r="T461" s="309">
        <v>5</v>
      </c>
      <c r="U461" s="309">
        <v>0.7</v>
      </c>
      <c r="V461" s="309">
        <v>0.7</v>
      </c>
      <c r="W461" s="309">
        <v>0.7</v>
      </c>
      <c r="X461" s="309">
        <v>1700</v>
      </c>
      <c r="Y461" s="308" t="s">
        <v>470</v>
      </c>
      <c r="Z461" s="309">
        <v>0.85</v>
      </c>
      <c r="AA461" s="308" t="s">
        <v>471</v>
      </c>
      <c r="AB461" s="308" t="s">
        <v>472</v>
      </c>
      <c r="AC461" s="311">
        <v>209</v>
      </c>
    </row>
    <row r="462" spans="1:29">
      <c r="A462" s="312" t="s">
        <v>613</v>
      </c>
      <c r="B462" s="313" t="s">
        <v>467</v>
      </c>
      <c r="C462" s="313"/>
      <c r="D462" s="313" t="s">
        <v>468</v>
      </c>
      <c r="E462" s="314">
        <v>1</v>
      </c>
      <c r="F462" s="315">
        <v>45226.511111111111</v>
      </c>
      <c r="G462" s="314">
        <v>1</v>
      </c>
      <c r="H462" s="314">
        <v>51.370800000000003</v>
      </c>
      <c r="I462" s="314">
        <v>5.8139099999999999</v>
      </c>
      <c r="J462" s="314">
        <v>-16.245505999999999</v>
      </c>
      <c r="K462" s="314">
        <v>-15.398624999999999</v>
      </c>
      <c r="L462" s="314">
        <v>922.33299999999997</v>
      </c>
      <c r="M462" s="314">
        <v>119.501081</v>
      </c>
      <c r="N462" s="314">
        <v>12567.96</v>
      </c>
      <c r="O462" s="314">
        <v>12567.95736</v>
      </c>
      <c r="P462" s="314">
        <v>2157.1930000000002</v>
      </c>
      <c r="Q462" s="313" t="s">
        <v>469</v>
      </c>
      <c r="R462" s="313"/>
      <c r="S462" s="314">
        <v>15</v>
      </c>
      <c r="T462" s="314">
        <v>5</v>
      </c>
      <c r="U462" s="314">
        <v>0.7</v>
      </c>
      <c r="V462" s="314">
        <v>0.7</v>
      </c>
      <c r="W462" s="314">
        <v>0.7</v>
      </c>
      <c r="X462" s="314">
        <v>1700</v>
      </c>
      <c r="Y462" s="313" t="s">
        <v>470</v>
      </c>
      <c r="Z462" s="314">
        <v>0.85</v>
      </c>
      <c r="AA462" s="313" t="s">
        <v>471</v>
      </c>
      <c r="AB462" s="313" t="s">
        <v>472</v>
      </c>
      <c r="AC462" s="316">
        <v>194</v>
      </c>
    </row>
    <row r="463" spans="1:29">
      <c r="A463" s="307" t="s">
        <v>616</v>
      </c>
      <c r="B463" s="308" t="s">
        <v>467</v>
      </c>
      <c r="C463" s="308"/>
      <c r="D463" s="308" t="s">
        <v>468</v>
      </c>
      <c r="E463" s="309">
        <v>1</v>
      </c>
      <c r="F463" s="310">
        <v>45226.51458333333</v>
      </c>
      <c r="G463" s="309">
        <v>1</v>
      </c>
      <c r="H463" s="309">
        <v>51.370800000000003</v>
      </c>
      <c r="I463" s="309">
        <v>5.7942900000000002</v>
      </c>
      <c r="J463" s="309">
        <v>-16.311781</v>
      </c>
      <c r="K463" s="309">
        <v>-15.462230999999999</v>
      </c>
      <c r="L463" s="309">
        <v>953.58100000000002</v>
      </c>
      <c r="M463" s="309">
        <v>133.50000299999999</v>
      </c>
      <c r="N463" s="309">
        <v>12903.86</v>
      </c>
      <c r="O463" s="309">
        <v>12903.864890000001</v>
      </c>
      <c r="P463" s="309">
        <v>2214.357</v>
      </c>
      <c r="Q463" s="308" t="s">
        <v>469</v>
      </c>
      <c r="R463" s="308"/>
      <c r="S463" s="309">
        <v>15</v>
      </c>
      <c r="T463" s="309">
        <v>5</v>
      </c>
      <c r="U463" s="309">
        <v>0.7</v>
      </c>
      <c r="V463" s="309">
        <v>0.7</v>
      </c>
      <c r="W463" s="309">
        <v>0.7</v>
      </c>
      <c r="X463" s="309">
        <v>1700</v>
      </c>
      <c r="Y463" s="308" t="s">
        <v>470</v>
      </c>
      <c r="Z463" s="309">
        <v>0.85</v>
      </c>
      <c r="AA463" s="308" t="s">
        <v>471</v>
      </c>
      <c r="AB463" s="308" t="s">
        <v>472</v>
      </c>
      <c r="AC463" s="311">
        <v>189</v>
      </c>
    </row>
    <row r="464" spans="1:29">
      <c r="A464" s="312" t="s">
        <v>620</v>
      </c>
      <c r="B464" s="313" t="s">
        <v>467</v>
      </c>
      <c r="C464" s="313"/>
      <c r="D464" s="313" t="s">
        <v>468</v>
      </c>
      <c r="E464" s="314">
        <v>1</v>
      </c>
      <c r="F464" s="315">
        <v>45226.518055555556</v>
      </c>
      <c r="G464" s="314">
        <v>1</v>
      </c>
      <c r="H464" s="314">
        <v>51.370800000000003</v>
      </c>
      <c r="I464" s="314">
        <v>5.7293799999999999</v>
      </c>
      <c r="J464" s="314">
        <v>-16.046330999999999</v>
      </c>
      <c r="K464" s="314">
        <v>-15.198475</v>
      </c>
      <c r="L464" s="314">
        <v>1087.25</v>
      </c>
      <c r="M464" s="314">
        <v>128.00133199999999</v>
      </c>
      <c r="N464" s="314">
        <v>14446.58</v>
      </c>
      <c r="O464" s="314">
        <v>14446.58469</v>
      </c>
      <c r="P464" s="314">
        <v>2476.895</v>
      </c>
      <c r="Q464" s="313" t="s">
        <v>469</v>
      </c>
      <c r="R464" s="313"/>
      <c r="S464" s="314">
        <v>15</v>
      </c>
      <c r="T464" s="314">
        <v>5</v>
      </c>
      <c r="U464" s="314">
        <v>0.7</v>
      </c>
      <c r="V464" s="314">
        <v>0.7</v>
      </c>
      <c r="W464" s="314">
        <v>0.7</v>
      </c>
      <c r="X464" s="314">
        <v>1700</v>
      </c>
      <c r="Y464" s="313" t="s">
        <v>470</v>
      </c>
      <c r="Z464" s="314">
        <v>0.85</v>
      </c>
      <c r="AA464" s="313" t="s">
        <v>471</v>
      </c>
      <c r="AB464" s="313" t="s">
        <v>472</v>
      </c>
      <c r="AC464" s="316">
        <v>181</v>
      </c>
    </row>
    <row r="465" spans="1:29">
      <c r="A465" s="307" t="s">
        <v>624</v>
      </c>
      <c r="B465" s="308" t="s">
        <v>467</v>
      </c>
      <c r="C465" s="308"/>
      <c r="D465" s="308" t="s">
        <v>468</v>
      </c>
      <c r="E465" s="309">
        <v>1</v>
      </c>
      <c r="F465" s="310">
        <v>45226.521527777775</v>
      </c>
      <c r="G465" s="309">
        <v>1</v>
      </c>
      <c r="H465" s="309">
        <v>51.374099999999999</v>
      </c>
      <c r="I465" s="309">
        <v>5.8446699999999998</v>
      </c>
      <c r="J465" s="309">
        <v>-16.178218999999999</v>
      </c>
      <c r="K465" s="309">
        <v>-15.336156000000001</v>
      </c>
      <c r="L465" s="309">
        <v>1003.05</v>
      </c>
      <c r="M465" s="309">
        <v>158.99960100000001</v>
      </c>
      <c r="N465" s="309">
        <v>13922.57</v>
      </c>
      <c r="O465" s="309">
        <v>13922.56691</v>
      </c>
      <c r="P465" s="309">
        <v>2387.7190000000001</v>
      </c>
      <c r="Q465" s="308" t="s">
        <v>469</v>
      </c>
      <c r="R465" s="308"/>
      <c r="S465" s="309">
        <v>15</v>
      </c>
      <c r="T465" s="309">
        <v>5</v>
      </c>
      <c r="U465" s="309">
        <v>0.7</v>
      </c>
      <c r="V465" s="309">
        <v>0.7</v>
      </c>
      <c r="W465" s="309">
        <v>0.7</v>
      </c>
      <c r="X465" s="309">
        <v>1700</v>
      </c>
      <c r="Y465" s="308" t="s">
        <v>470</v>
      </c>
      <c r="Z465" s="309">
        <v>0.85</v>
      </c>
      <c r="AA465" s="308" t="s">
        <v>471</v>
      </c>
      <c r="AB465" s="308" t="s">
        <v>472</v>
      </c>
      <c r="AC465" s="311">
        <v>164</v>
      </c>
    </row>
    <row r="466" spans="1:29">
      <c r="A466" s="312" t="s">
        <v>627</v>
      </c>
      <c r="B466" s="313" t="s">
        <v>467</v>
      </c>
      <c r="C466" s="313" t="s">
        <v>758</v>
      </c>
      <c r="D466" s="313" t="s">
        <v>468</v>
      </c>
      <c r="E466" s="314">
        <v>1</v>
      </c>
      <c r="F466" s="315">
        <v>45226.533333333333</v>
      </c>
      <c r="G466" s="314">
        <v>1</v>
      </c>
      <c r="H466" s="314">
        <v>51.3675</v>
      </c>
      <c r="I466" s="314">
        <v>5.6515500000000003</v>
      </c>
      <c r="J466" s="314">
        <v>-16.019487999999999</v>
      </c>
      <c r="K466" s="314">
        <v>-15.172881</v>
      </c>
      <c r="L466" s="314">
        <v>1054.6199999999999</v>
      </c>
      <c r="M466" s="314">
        <v>143.00102899999999</v>
      </c>
      <c r="N466" s="314">
        <v>14602.7</v>
      </c>
      <c r="O466" s="314">
        <v>14602.703869999999</v>
      </c>
      <c r="P466" s="314">
        <v>2503.4630000000002</v>
      </c>
      <c r="Q466" s="313" t="s">
        <v>469</v>
      </c>
      <c r="R466" s="313"/>
      <c r="S466" s="314">
        <v>15</v>
      </c>
      <c r="T466" s="314">
        <v>5</v>
      </c>
      <c r="U466" s="314">
        <v>0.7</v>
      </c>
      <c r="V466" s="314">
        <v>0.7</v>
      </c>
      <c r="W466" s="314">
        <v>0.7</v>
      </c>
      <c r="X466" s="314">
        <v>1700</v>
      </c>
      <c r="Y466" s="313" t="s">
        <v>470</v>
      </c>
      <c r="Z466" s="314">
        <v>0.85</v>
      </c>
      <c r="AA466" s="313" t="s">
        <v>471</v>
      </c>
      <c r="AB466" s="313" t="s">
        <v>472</v>
      </c>
      <c r="AC466" s="316">
        <v>169</v>
      </c>
    </row>
    <row r="467" spans="1:29">
      <c r="A467" s="307" t="s">
        <v>636</v>
      </c>
      <c r="B467" s="308" t="s">
        <v>467</v>
      </c>
      <c r="C467" s="308" t="s">
        <v>758</v>
      </c>
      <c r="D467" s="308" t="s">
        <v>468</v>
      </c>
      <c r="E467" s="309">
        <v>1</v>
      </c>
      <c r="F467" s="310">
        <v>45226.536805555559</v>
      </c>
      <c r="G467" s="309">
        <v>1</v>
      </c>
      <c r="H467" s="309">
        <v>51.374099999999999</v>
      </c>
      <c r="I467" s="309">
        <v>5.6696499999999999</v>
      </c>
      <c r="J467" s="309">
        <v>-15.965681</v>
      </c>
      <c r="K467" s="309">
        <v>-15.125769</v>
      </c>
      <c r="L467" s="309">
        <v>1096.6099999999999</v>
      </c>
      <c r="M467" s="309">
        <v>165.999368</v>
      </c>
      <c r="N467" s="309">
        <v>15333.79</v>
      </c>
      <c r="O467" s="309">
        <v>15333.78549</v>
      </c>
      <c r="P467" s="309">
        <v>2627.8780000000002</v>
      </c>
      <c r="Q467" s="308" t="s">
        <v>469</v>
      </c>
      <c r="R467" s="308"/>
      <c r="S467" s="309">
        <v>15</v>
      </c>
      <c r="T467" s="309">
        <v>5</v>
      </c>
      <c r="U467" s="309">
        <v>0.7</v>
      </c>
      <c r="V467" s="309">
        <v>0.7</v>
      </c>
      <c r="W467" s="309">
        <v>0.7</v>
      </c>
      <c r="X467" s="309">
        <v>1700</v>
      </c>
      <c r="Y467" s="308" t="s">
        <v>470</v>
      </c>
      <c r="Z467" s="309">
        <v>0.85</v>
      </c>
      <c r="AA467" s="308" t="s">
        <v>471</v>
      </c>
      <c r="AB467" s="308" t="s">
        <v>472</v>
      </c>
      <c r="AC467" s="311">
        <v>160</v>
      </c>
    </row>
    <row r="468" spans="1:29">
      <c r="A468" s="312" t="s">
        <v>639</v>
      </c>
      <c r="B468" s="313" t="s">
        <v>467</v>
      </c>
      <c r="C468" s="313" t="s">
        <v>758</v>
      </c>
      <c r="D468" s="313" t="s">
        <v>468</v>
      </c>
      <c r="E468" s="314">
        <v>1</v>
      </c>
      <c r="F468" s="315">
        <v>45226.540277777778</v>
      </c>
      <c r="G468" s="314">
        <v>1</v>
      </c>
      <c r="H468" s="314">
        <v>51.3675</v>
      </c>
      <c r="I468" s="314">
        <v>5.6368099999999997</v>
      </c>
      <c r="J468" s="314">
        <v>-16.069844</v>
      </c>
      <c r="K468" s="314">
        <v>-15.222288000000001</v>
      </c>
      <c r="L468" s="314">
        <v>1038.94</v>
      </c>
      <c r="M468" s="314">
        <v>140.00068200000001</v>
      </c>
      <c r="N468" s="314">
        <v>14327.04</v>
      </c>
      <c r="O468" s="314">
        <v>14327.036609999999</v>
      </c>
      <c r="P468" s="314">
        <v>2456.5509999999999</v>
      </c>
      <c r="Q468" s="313" t="s">
        <v>469</v>
      </c>
      <c r="R468" s="313"/>
      <c r="S468" s="314">
        <v>15</v>
      </c>
      <c r="T468" s="314">
        <v>5</v>
      </c>
      <c r="U468" s="314">
        <v>0.7</v>
      </c>
      <c r="V468" s="314">
        <v>0.7</v>
      </c>
      <c r="W468" s="314">
        <v>0.7</v>
      </c>
      <c r="X468" s="314">
        <v>1700</v>
      </c>
      <c r="Y468" s="313" t="s">
        <v>470</v>
      </c>
      <c r="Z468" s="314">
        <v>0.85</v>
      </c>
      <c r="AA468" s="313" t="s">
        <v>471</v>
      </c>
      <c r="AB468" s="313" t="s">
        <v>472</v>
      </c>
      <c r="AC468" s="316">
        <v>170</v>
      </c>
    </row>
    <row r="469" spans="1:29">
      <c r="A469" s="307" t="s">
        <v>649</v>
      </c>
      <c r="B469" s="308" t="s">
        <v>467</v>
      </c>
      <c r="C469" s="308" t="s">
        <v>758</v>
      </c>
      <c r="D469" s="308" t="s">
        <v>468</v>
      </c>
      <c r="E469" s="309">
        <v>1</v>
      </c>
      <c r="F469" s="310">
        <v>45226.543749999997</v>
      </c>
      <c r="G469" s="309">
        <v>1</v>
      </c>
      <c r="H469" s="309">
        <v>51.370800000000003</v>
      </c>
      <c r="I469" s="309">
        <v>5.5727399999999996</v>
      </c>
      <c r="J469" s="309">
        <v>-15.901937</v>
      </c>
      <c r="K469" s="309">
        <v>-15.059544000000001</v>
      </c>
      <c r="L469" s="309">
        <v>1094.07</v>
      </c>
      <c r="M469" s="309">
        <v>147.999506</v>
      </c>
      <c r="N469" s="309">
        <v>15486.56</v>
      </c>
      <c r="O469" s="309">
        <v>15486.56403</v>
      </c>
      <c r="P469" s="309">
        <v>2653.877</v>
      </c>
      <c r="Q469" s="308" t="s">
        <v>469</v>
      </c>
      <c r="R469" s="308"/>
      <c r="S469" s="309">
        <v>15</v>
      </c>
      <c r="T469" s="309">
        <v>5</v>
      </c>
      <c r="U469" s="309">
        <v>0.7</v>
      </c>
      <c r="V469" s="309">
        <v>0.7</v>
      </c>
      <c r="W469" s="309">
        <v>0.7</v>
      </c>
      <c r="X469" s="309">
        <v>1700</v>
      </c>
      <c r="Y469" s="308" t="s">
        <v>470</v>
      </c>
      <c r="Z469" s="309">
        <v>0.85</v>
      </c>
      <c r="AA469" s="308" t="s">
        <v>471</v>
      </c>
      <c r="AB469" s="308" t="s">
        <v>472</v>
      </c>
      <c r="AC469" s="311">
        <v>162</v>
      </c>
    </row>
    <row r="470" spans="1:29">
      <c r="A470" s="312" t="s">
        <v>652</v>
      </c>
      <c r="B470" s="313" t="s">
        <v>467</v>
      </c>
      <c r="C470" s="313"/>
      <c r="D470" s="313" t="s">
        <v>468</v>
      </c>
      <c r="E470" s="314">
        <v>1</v>
      </c>
      <c r="F470" s="315">
        <v>45226.547222222223</v>
      </c>
      <c r="G470" s="314">
        <v>1</v>
      </c>
      <c r="H470" s="314">
        <v>51.370800000000003</v>
      </c>
      <c r="I470" s="314">
        <v>5.6797199999999997</v>
      </c>
      <c r="J470" s="314">
        <v>-16.145163</v>
      </c>
      <c r="K470" s="314">
        <v>-15.299331</v>
      </c>
      <c r="L470" s="314">
        <v>976.702</v>
      </c>
      <c r="M470" s="314">
        <v>146.00197700000001</v>
      </c>
      <c r="N470" s="314">
        <v>13624.11</v>
      </c>
      <c r="O470" s="314">
        <v>13624.107190000001</v>
      </c>
      <c r="P470" s="314">
        <v>2336.9270000000001</v>
      </c>
      <c r="Q470" s="313" t="s">
        <v>469</v>
      </c>
      <c r="R470" s="313"/>
      <c r="S470" s="314">
        <v>15</v>
      </c>
      <c r="T470" s="314">
        <v>5</v>
      </c>
      <c r="U470" s="314">
        <v>0.7</v>
      </c>
      <c r="V470" s="314">
        <v>0.7</v>
      </c>
      <c r="W470" s="314">
        <v>0.7</v>
      </c>
      <c r="X470" s="314">
        <v>1700</v>
      </c>
      <c r="Y470" s="313" t="s">
        <v>470</v>
      </c>
      <c r="Z470" s="314">
        <v>0.85</v>
      </c>
      <c r="AA470" s="313" t="s">
        <v>471</v>
      </c>
      <c r="AB470" s="313" t="s">
        <v>472</v>
      </c>
      <c r="AC470" s="316">
        <v>174</v>
      </c>
    </row>
    <row r="471" spans="1:29">
      <c r="A471" s="307" t="s">
        <v>656</v>
      </c>
      <c r="B471" s="308" t="s">
        <v>467</v>
      </c>
      <c r="C471" s="308"/>
      <c r="D471" s="308" t="s">
        <v>468</v>
      </c>
      <c r="E471" s="309">
        <v>1</v>
      </c>
      <c r="F471" s="310">
        <v>45226.551388888889</v>
      </c>
      <c r="G471" s="309">
        <v>1</v>
      </c>
      <c r="H471" s="309">
        <v>51.370800000000003</v>
      </c>
      <c r="I471" s="309">
        <v>5.7598399999999996</v>
      </c>
      <c r="J471" s="309">
        <v>-16.223213000000001</v>
      </c>
      <c r="K471" s="309">
        <v>-15.373987</v>
      </c>
      <c r="L471" s="309">
        <v>899.61300000000006</v>
      </c>
      <c r="M471" s="309">
        <v>130.999562</v>
      </c>
      <c r="N471" s="309">
        <v>12008.36</v>
      </c>
      <c r="O471" s="309">
        <v>12008.362880000001</v>
      </c>
      <c r="P471" s="309">
        <v>2061.962</v>
      </c>
      <c r="Q471" s="308" t="s">
        <v>469</v>
      </c>
      <c r="R471" s="308"/>
      <c r="S471" s="309">
        <v>15</v>
      </c>
      <c r="T471" s="309">
        <v>5</v>
      </c>
      <c r="U471" s="309">
        <v>0.7</v>
      </c>
      <c r="V471" s="309">
        <v>0.7</v>
      </c>
      <c r="W471" s="309">
        <v>0.7</v>
      </c>
      <c r="X471" s="309">
        <v>1700</v>
      </c>
      <c r="Y471" s="308" t="s">
        <v>470</v>
      </c>
      <c r="Z471" s="309">
        <v>0.85</v>
      </c>
      <c r="AA471" s="308" t="s">
        <v>471</v>
      </c>
      <c r="AB471" s="308" t="s">
        <v>472</v>
      </c>
      <c r="AC471" s="311">
        <v>178</v>
      </c>
    </row>
    <row r="472" spans="1:29">
      <c r="A472" s="312" t="s">
        <v>659</v>
      </c>
      <c r="B472" s="313" t="s">
        <v>467</v>
      </c>
      <c r="C472" s="313"/>
      <c r="D472" s="313" t="s">
        <v>468</v>
      </c>
      <c r="E472" s="314">
        <v>1</v>
      </c>
      <c r="F472" s="315">
        <v>45226.583333333336</v>
      </c>
      <c r="G472" s="314">
        <v>1</v>
      </c>
      <c r="H472" s="314">
        <v>51.3675</v>
      </c>
      <c r="I472" s="314">
        <v>5.8738599999999996</v>
      </c>
      <c r="J472" s="314">
        <v>-16.135100000000001</v>
      </c>
      <c r="K472" s="314">
        <v>-15.300856</v>
      </c>
      <c r="L472" s="314">
        <v>910.93100000000004</v>
      </c>
      <c r="M472" s="314">
        <v>102.500513</v>
      </c>
      <c r="N472" s="314">
        <v>11990.53</v>
      </c>
      <c r="O472" s="314">
        <v>11990.52751</v>
      </c>
      <c r="P472" s="314">
        <v>2058.9270000000001</v>
      </c>
      <c r="Q472" s="313" t="s">
        <v>469</v>
      </c>
      <c r="R472" s="313"/>
      <c r="S472" s="314">
        <v>15</v>
      </c>
      <c r="T472" s="314">
        <v>5</v>
      </c>
      <c r="U472" s="314">
        <v>0.7</v>
      </c>
      <c r="V472" s="314">
        <v>0.7</v>
      </c>
      <c r="W472" s="314">
        <v>0.7</v>
      </c>
      <c r="X472" s="314">
        <v>1700</v>
      </c>
      <c r="Y472" s="313" t="s">
        <v>470</v>
      </c>
      <c r="Z472" s="314">
        <v>0.85</v>
      </c>
      <c r="AA472" s="313" t="s">
        <v>471</v>
      </c>
      <c r="AB472" s="313" t="s">
        <v>472</v>
      </c>
      <c r="AC472" s="316">
        <v>220</v>
      </c>
    </row>
    <row r="473" spans="1:29">
      <c r="A473" s="307" t="s">
        <v>662</v>
      </c>
      <c r="B473" s="308" t="s">
        <v>467</v>
      </c>
      <c r="C473" s="308"/>
      <c r="D473" s="308" t="s">
        <v>468</v>
      </c>
      <c r="E473" s="309">
        <v>1</v>
      </c>
      <c r="F473" s="310">
        <v>45226.586111111108</v>
      </c>
      <c r="G473" s="309">
        <v>1</v>
      </c>
      <c r="H473" s="309">
        <v>51.370800000000003</v>
      </c>
      <c r="I473" s="309">
        <v>6.0291100000000002</v>
      </c>
      <c r="J473" s="309">
        <v>-16.185306000000001</v>
      </c>
      <c r="K473" s="309">
        <v>-15.352644</v>
      </c>
      <c r="L473" s="309">
        <v>907.87400000000002</v>
      </c>
      <c r="M473" s="309">
        <v>111.998501</v>
      </c>
      <c r="N473" s="309">
        <v>11803.85</v>
      </c>
      <c r="O473" s="309">
        <v>11803.847760000001</v>
      </c>
      <c r="P473" s="309">
        <v>2027.1579999999999</v>
      </c>
      <c r="Q473" s="308" t="s">
        <v>469</v>
      </c>
      <c r="R473" s="308"/>
      <c r="S473" s="309">
        <v>15</v>
      </c>
      <c r="T473" s="309">
        <v>5</v>
      </c>
      <c r="U473" s="309">
        <v>0.7</v>
      </c>
      <c r="V473" s="309">
        <v>0.7</v>
      </c>
      <c r="W473" s="309">
        <v>0.7</v>
      </c>
      <c r="X473" s="309">
        <v>1700</v>
      </c>
      <c r="Y473" s="308" t="s">
        <v>470</v>
      </c>
      <c r="Z473" s="309">
        <v>0.85</v>
      </c>
      <c r="AA473" s="308" t="s">
        <v>471</v>
      </c>
      <c r="AB473" s="308" t="s">
        <v>472</v>
      </c>
      <c r="AC473" s="311">
        <v>220</v>
      </c>
    </row>
    <row r="474" spans="1:29">
      <c r="A474" s="312" t="s">
        <v>667</v>
      </c>
      <c r="B474" s="313" t="s">
        <v>467</v>
      </c>
      <c r="C474" s="313"/>
      <c r="D474" s="313" t="s">
        <v>468</v>
      </c>
      <c r="E474" s="314">
        <v>1</v>
      </c>
      <c r="F474" s="315">
        <v>45226.589583333334</v>
      </c>
      <c r="G474" s="314">
        <v>1</v>
      </c>
      <c r="H474" s="314">
        <v>51.3675</v>
      </c>
      <c r="I474" s="314">
        <v>6.1493399999999996</v>
      </c>
      <c r="J474" s="314">
        <v>-16.031856000000001</v>
      </c>
      <c r="K474" s="314">
        <v>-15.198375</v>
      </c>
      <c r="L474" s="314">
        <v>901.51300000000003</v>
      </c>
      <c r="M474" s="314">
        <v>98.500298999999998</v>
      </c>
      <c r="N474" s="314">
        <v>11791.92</v>
      </c>
      <c r="O474" s="314">
        <v>11791.918110000001</v>
      </c>
      <c r="P474" s="314">
        <v>2025.1279999999999</v>
      </c>
      <c r="Q474" s="313" t="s">
        <v>469</v>
      </c>
      <c r="R474" s="313"/>
      <c r="S474" s="314">
        <v>15</v>
      </c>
      <c r="T474" s="314">
        <v>5</v>
      </c>
      <c r="U474" s="314">
        <v>0.7</v>
      </c>
      <c r="V474" s="314">
        <v>0.7</v>
      </c>
      <c r="W474" s="314">
        <v>0.7</v>
      </c>
      <c r="X474" s="314">
        <v>1700</v>
      </c>
      <c r="Y474" s="313" t="s">
        <v>470</v>
      </c>
      <c r="Z474" s="314">
        <v>0.85</v>
      </c>
      <c r="AA474" s="313" t="s">
        <v>471</v>
      </c>
      <c r="AB474" s="313" t="s">
        <v>472</v>
      </c>
      <c r="AC474" s="316">
        <v>220</v>
      </c>
    </row>
    <row r="475" spans="1:29">
      <c r="A475" s="307" t="s">
        <v>671</v>
      </c>
      <c r="B475" s="308" t="s">
        <v>467</v>
      </c>
      <c r="C475" s="308"/>
      <c r="D475" s="308" t="s">
        <v>468</v>
      </c>
      <c r="E475" s="309">
        <v>1</v>
      </c>
      <c r="F475" s="310">
        <v>45226.592361111114</v>
      </c>
      <c r="G475" s="309">
        <v>1</v>
      </c>
      <c r="H475" s="309">
        <v>51.370800000000003</v>
      </c>
      <c r="I475" s="309">
        <v>6.2186500000000002</v>
      </c>
      <c r="J475" s="309">
        <v>-16.136524999999999</v>
      </c>
      <c r="K475" s="309">
        <v>-15.288306</v>
      </c>
      <c r="L475" s="309">
        <v>911.95500000000004</v>
      </c>
      <c r="M475" s="309">
        <v>95.999773000000005</v>
      </c>
      <c r="N475" s="309">
        <v>11792.51</v>
      </c>
      <c r="O475" s="309">
        <v>11792.50748</v>
      </c>
      <c r="P475" s="309">
        <v>2025.2280000000001</v>
      </c>
      <c r="Q475" s="308" t="s">
        <v>469</v>
      </c>
      <c r="R475" s="308"/>
      <c r="S475" s="309">
        <v>15</v>
      </c>
      <c r="T475" s="309">
        <v>5</v>
      </c>
      <c r="U475" s="309">
        <v>0.7</v>
      </c>
      <c r="V475" s="309">
        <v>0.7</v>
      </c>
      <c r="W475" s="309">
        <v>0.7</v>
      </c>
      <c r="X475" s="309">
        <v>1700</v>
      </c>
      <c r="Y475" s="308" t="s">
        <v>470</v>
      </c>
      <c r="Z475" s="309">
        <v>0.85</v>
      </c>
      <c r="AA475" s="308" t="s">
        <v>471</v>
      </c>
      <c r="AB475" s="308" t="s">
        <v>472</v>
      </c>
      <c r="AC475" s="311">
        <v>220</v>
      </c>
    </row>
    <row r="476" spans="1:29">
      <c r="A476" s="312" t="s">
        <v>759</v>
      </c>
      <c r="B476" s="313" t="s">
        <v>478</v>
      </c>
      <c r="C476" s="313" t="s">
        <v>760</v>
      </c>
      <c r="D476" s="313" t="s">
        <v>468</v>
      </c>
      <c r="E476" s="314">
        <v>1.2</v>
      </c>
      <c r="F476" s="315">
        <v>45226.6</v>
      </c>
      <c r="G476" s="314">
        <v>1</v>
      </c>
      <c r="H476" s="314">
        <v>51.374099999999999</v>
      </c>
      <c r="I476" s="314">
        <v>6.1947200000000002</v>
      </c>
      <c r="J476" s="314">
        <v>-16.163425</v>
      </c>
      <c r="K476" s="314">
        <v>-15.324919</v>
      </c>
      <c r="L476" s="314">
        <v>971.524</v>
      </c>
      <c r="M476" s="314">
        <v>112.500568</v>
      </c>
      <c r="N476" s="314">
        <v>14355.1</v>
      </c>
      <c r="O476" s="314">
        <v>14388.366</v>
      </c>
      <c r="P476" s="314">
        <v>2074.08</v>
      </c>
      <c r="Q476" s="313" t="s">
        <v>542</v>
      </c>
      <c r="R476" s="313"/>
      <c r="S476" s="314">
        <v>15</v>
      </c>
      <c r="T476" s="314">
        <v>5</v>
      </c>
      <c r="U476" s="314">
        <v>0.7</v>
      </c>
      <c r="V476" s="314">
        <v>0.7</v>
      </c>
      <c r="W476" s="314">
        <v>0.7</v>
      </c>
      <c r="X476" s="314">
        <v>1700</v>
      </c>
      <c r="Y476" s="313" t="s">
        <v>470</v>
      </c>
      <c r="Z476" s="314">
        <v>0.85</v>
      </c>
      <c r="AA476" s="313" t="s">
        <v>471</v>
      </c>
      <c r="AB476" s="313" t="s">
        <v>472</v>
      </c>
      <c r="AC476" s="316">
        <v>220</v>
      </c>
    </row>
    <row r="477" spans="1:29">
      <c r="A477" s="307" t="s">
        <v>761</v>
      </c>
      <c r="B477" s="308" t="s">
        <v>478</v>
      </c>
      <c r="C477" s="308" t="s">
        <v>760</v>
      </c>
      <c r="D477" s="308" t="s">
        <v>468</v>
      </c>
      <c r="E477" s="309">
        <v>1.2</v>
      </c>
      <c r="F477" s="310">
        <v>45226.603472222225</v>
      </c>
      <c r="G477" s="309">
        <v>1</v>
      </c>
      <c r="H477" s="309">
        <v>51.370800000000003</v>
      </c>
      <c r="I477" s="309">
        <v>6.16228</v>
      </c>
      <c r="J477" s="309">
        <v>-16.198212999999999</v>
      </c>
      <c r="K477" s="309">
        <v>-15.348337000000001</v>
      </c>
      <c r="L477" s="309">
        <v>969.55200000000002</v>
      </c>
      <c r="M477" s="309">
        <v>97.500834999999995</v>
      </c>
      <c r="N477" s="309">
        <v>14378.46</v>
      </c>
      <c r="O477" s="309">
        <v>14388.366</v>
      </c>
      <c r="P477" s="309">
        <v>2074.08</v>
      </c>
      <c r="Q477" s="308" t="s">
        <v>469</v>
      </c>
      <c r="R477" s="308"/>
      <c r="S477" s="309">
        <v>15</v>
      </c>
      <c r="T477" s="309">
        <v>5</v>
      </c>
      <c r="U477" s="309">
        <v>0.7</v>
      </c>
      <c r="V477" s="309">
        <v>0.7</v>
      </c>
      <c r="W477" s="309">
        <v>0.7</v>
      </c>
      <c r="X477" s="309">
        <v>1700</v>
      </c>
      <c r="Y477" s="308" t="s">
        <v>470</v>
      </c>
      <c r="Z477" s="309">
        <v>0.85</v>
      </c>
      <c r="AA477" s="308" t="s">
        <v>471</v>
      </c>
      <c r="AB477" s="308" t="s">
        <v>472</v>
      </c>
      <c r="AC477" s="311">
        <v>220</v>
      </c>
    </row>
    <row r="478" spans="1:29">
      <c r="A478" s="312" t="s">
        <v>762</v>
      </c>
      <c r="B478" s="313" t="s">
        <v>478</v>
      </c>
      <c r="C478" s="313" t="s">
        <v>760</v>
      </c>
      <c r="D478" s="313" t="s">
        <v>468</v>
      </c>
      <c r="E478" s="314">
        <v>1.2</v>
      </c>
      <c r="F478" s="315">
        <v>45226.606944444444</v>
      </c>
      <c r="G478" s="314">
        <v>1</v>
      </c>
      <c r="H478" s="314">
        <v>51.370800000000003</v>
      </c>
      <c r="I478" s="314">
        <v>6.2348800000000004</v>
      </c>
      <c r="J478" s="314">
        <v>-16.084337999999999</v>
      </c>
      <c r="K478" s="314">
        <v>-15.239144</v>
      </c>
      <c r="L478" s="314">
        <v>982.91200000000003</v>
      </c>
      <c r="M478" s="314">
        <v>109.498513</v>
      </c>
      <c r="N478" s="314">
        <v>14398.64</v>
      </c>
      <c r="O478" s="314">
        <v>14388.366</v>
      </c>
      <c r="P478" s="314">
        <v>2074.08</v>
      </c>
      <c r="Q478" s="313" t="s">
        <v>469</v>
      </c>
      <c r="R478" s="313"/>
      <c r="S478" s="314">
        <v>15</v>
      </c>
      <c r="T478" s="314">
        <v>5</v>
      </c>
      <c r="U478" s="314">
        <v>0.7</v>
      </c>
      <c r="V478" s="314">
        <v>0.7</v>
      </c>
      <c r="W478" s="314">
        <v>0.7</v>
      </c>
      <c r="X478" s="314">
        <v>1700</v>
      </c>
      <c r="Y478" s="313" t="s">
        <v>470</v>
      </c>
      <c r="Z478" s="314">
        <v>0.85</v>
      </c>
      <c r="AA478" s="313" t="s">
        <v>471</v>
      </c>
      <c r="AB478" s="313" t="s">
        <v>472</v>
      </c>
      <c r="AC478" s="316">
        <v>220</v>
      </c>
    </row>
    <row r="479" spans="1:29">
      <c r="A479" s="307" t="s">
        <v>763</v>
      </c>
      <c r="B479" s="308" t="s">
        <v>478</v>
      </c>
      <c r="C479" s="308" t="s">
        <v>760</v>
      </c>
      <c r="D479" s="308" t="s">
        <v>468</v>
      </c>
      <c r="E479" s="309">
        <v>1.2</v>
      </c>
      <c r="F479" s="310">
        <v>45226.61041666667</v>
      </c>
      <c r="G479" s="309">
        <v>1</v>
      </c>
      <c r="H479" s="309">
        <v>51.374099999999999</v>
      </c>
      <c r="I479" s="309">
        <v>6.1597099999999996</v>
      </c>
      <c r="J479" s="309">
        <v>-15.927769</v>
      </c>
      <c r="K479" s="309">
        <v>-15.079119</v>
      </c>
      <c r="L479" s="309">
        <v>991.24800000000005</v>
      </c>
      <c r="M479" s="309">
        <v>94.499160000000003</v>
      </c>
      <c r="N479" s="309">
        <v>14388</v>
      </c>
      <c r="O479" s="309">
        <v>14388.366</v>
      </c>
      <c r="P479" s="309">
        <v>2074.08</v>
      </c>
      <c r="Q479" s="308" t="s">
        <v>469</v>
      </c>
      <c r="R479" s="308"/>
      <c r="S479" s="309">
        <v>15</v>
      </c>
      <c r="T479" s="309">
        <v>5</v>
      </c>
      <c r="U479" s="309">
        <v>0.7</v>
      </c>
      <c r="V479" s="309">
        <v>0.7</v>
      </c>
      <c r="W479" s="309">
        <v>0.7</v>
      </c>
      <c r="X479" s="309">
        <v>1700</v>
      </c>
      <c r="Y479" s="308" t="s">
        <v>470</v>
      </c>
      <c r="Z479" s="309">
        <v>0.85</v>
      </c>
      <c r="AA479" s="308" t="s">
        <v>471</v>
      </c>
      <c r="AB479" s="308" t="s">
        <v>472</v>
      </c>
      <c r="AC479" s="311">
        <v>220</v>
      </c>
    </row>
    <row r="480" spans="1:29">
      <c r="A480" s="312" t="s">
        <v>764</v>
      </c>
      <c r="B480" s="313" t="s">
        <v>490</v>
      </c>
      <c r="C480" s="313" t="s">
        <v>760</v>
      </c>
      <c r="D480" s="313" t="s">
        <v>468</v>
      </c>
      <c r="E480" s="314">
        <v>1.5</v>
      </c>
      <c r="F480" s="315">
        <v>45226.613888888889</v>
      </c>
      <c r="G480" s="314">
        <v>1</v>
      </c>
      <c r="H480" s="314">
        <v>51.370800000000003</v>
      </c>
      <c r="I480" s="314">
        <v>6.1817700000000002</v>
      </c>
      <c r="J480" s="314">
        <v>-16.185756000000001</v>
      </c>
      <c r="K480" s="314">
        <v>-15.338106</v>
      </c>
      <c r="L480" s="314">
        <v>990.673</v>
      </c>
      <c r="M480" s="314">
        <v>119.000067</v>
      </c>
      <c r="N480" s="314">
        <v>18026.169999999998</v>
      </c>
      <c r="O480" s="314">
        <v>18010.102040000002</v>
      </c>
      <c r="P480" s="314">
        <v>2074.08</v>
      </c>
      <c r="Q480" s="313" t="s">
        <v>469</v>
      </c>
      <c r="R480" s="313"/>
      <c r="S480" s="314">
        <v>15</v>
      </c>
      <c r="T480" s="314">
        <v>5</v>
      </c>
      <c r="U480" s="314">
        <v>0.7</v>
      </c>
      <c r="V480" s="314">
        <v>0.7</v>
      </c>
      <c r="W480" s="314">
        <v>0.7</v>
      </c>
      <c r="X480" s="314">
        <v>1700</v>
      </c>
      <c r="Y480" s="313" t="s">
        <v>470</v>
      </c>
      <c r="Z480" s="314">
        <v>0.85</v>
      </c>
      <c r="AA480" s="313" t="s">
        <v>471</v>
      </c>
      <c r="AB480" s="313" t="s">
        <v>472</v>
      </c>
      <c r="AC480" s="316">
        <v>220</v>
      </c>
    </row>
    <row r="481" spans="1:29">
      <c r="A481" s="307" t="s">
        <v>765</v>
      </c>
      <c r="B481" s="308" t="s">
        <v>490</v>
      </c>
      <c r="C481" s="308" t="s">
        <v>760</v>
      </c>
      <c r="D481" s="308" t="s">
        <v>468</v>
      </c>
      <c r="E481" s="309">
        <v>1.5</v>
      </c>
      <c r="F481" s="310">
        <v>45226.617361111108</v>
      </c>
      <c r="G481" s="309">
        <v>1</v>
      </c>
      <c r="H481" s="309">
        <v>51.374099999999999</v>
      </c>
      <c r="I481" s="309">
        <v>6.1191300000000002</v>
      </c>
      <c r="J481" s="309">
        <v>-16.179694000000001</v>
      </c>
      <c r="K481" s="309">
        <v>-15.336175000000001</v>
      </c>
      <c r="L481" s="309">
        <v>1002.46</v>
      </c>
      <c r="M481" s="309">
        <v>114.498729</v>
      </c>
      <c r="N481" s="309">
        <v>17990.77</v>
      </c>
      <c r="O481" s="309">
        <v>18010.102040000002</v>
      </c>
      <c r="P481" s="309">
        <v>2074.08</v>
      </c>
      <c r="Q481" s="308" t="s">
        <v>469</v>
      </c>
      <c r="R481" s="308"/>
      <c r="S481" s="309">
        <v>15</v>
      </c>
      <c r="T481" s="309">
        <v>5</v>
      </c>
      <c r="U481" s="309">
        <v>0.7</v>
      </c>
      <c r="V481" s="309">
        <v>0.7</v>
      </c>
      <c r="W481" s="309">
        <v>0.7</v>
      </c>
      <c r="X481" s="309">
        <v>1700</v>
      </c>
      <c r="Y481" s="308" t="s">
        <v>470</v>
      </c>
      <c r="Z481" s="309">
        <v>0.85</v>
      </c>
      <c r="AA481" s="308" t="s">
        <v>471</v>
      </c>
      <c r="AB481" s="308" t="s">
        <v>472</v>
      </c>
      <c r="AC481" s="311">
        <v>220</v>
      </c>
    </row>
    <row r="482" spans="1:29">
      <c r="A482" s="312" t="s">
        <v>766</v>
      </c>
      <c r="B482" s="313" t="s">
        <v>490</v>
      </c>
      <c r="C482" s="313" t="s">
        <v>760</v>
      </c>
      <c r="D482" s="313" t="s">
        <v>468</v>
      </c>
      <c r="E482" s="314">
        <v>1.5</v>
      </c>
      <c r="F482" s="315">
        <v>45226.620833333334</v>
      </c>
      <c r="G482" s="314">
        <v>1</v>
      </c>
      <c r="H482" s="314">
        <v>51.3675</v>
      </c>
      <c r="I482" s="314">
        <v>6.1592700000000002</v>
      </c>
      <c r="J482" s="314">
        <v>-16.171430999999998</v>
      </c>
      <c r="K482" s="314">
        <v>-15.331087</v>
      </c>
      <c r="L482" s="314">
        <v>1000.84</v>
      </c>
      <c r="M482" s="314">
        <v>115.500274</v>
      </c>
      <c r="N482" s="314">
        <v>18013.37</v>
      </c>
      <c r="O482" s="314">
        <v>18010.102040000002</v>
      </c>
      <c r="P482" s="314">
        <v>2074.08</v>
      </c>
      <c r="Q482" s="313" t="s">
        <v>469</v>
      </c>
      <c r="R482" s="313"/>
      <c r="S482" s="314">
        <v>15</v>
      </c>
      <c r="T482" s="314">
        <v>5</v>
      </c>
      <c r="U482" s="314">
        <v>0.7</v>
      </c>
      <c r="V482" s="314">
        <v>0.7</v>
      </c>
      <c r="W482" s="314">
        <v>0.7</v>
      </c>
      <c r="X482" s="314">
        <v>1700</v>
      </c>
      <c r="Y482" s="313" t="s">
        <v>470</v>
      </c>
      <c r="Z482" s="314">
        <v>0.85</v>
      </c>
      <c r="AA482" s="313" t="s">
        <v>471</v>
      </c>
      <c r="AB482" s="313" t="s">
        <v>472</v>
      </c>
      <c r="AC482" s="316">
        <v>220</v>
      </c>
    </row>
    <row r="483" spans="1:29">
      <c r="A483" s="307" t="s">
        <v>767</v>
      </c>
      <c r="B483" s="308" t="s">
        <v>494</v>
      </c>
      <c r="C483" s="308" t="s">
        <v>760</v>
      </c>
      <c r="D483" s="308" t="s">
        <v>468</v>
      </c>
      <c r="E483" s="309">
        <v>1.8</v>
      </c>
      <c r="F483" s="310">
        <v>45226.624305555553</v>
      </c>
      <c r="G483" s="309">
        <v>1</v>
      </c>
      <c r="H483" s="309">
        <v>51.3675</v>
      </c>
      <c r="I483" s="309">
        <v>6.1507699999999996</v>
      </c>
      <c r="J483" s="309">
        <v>-16.251650000000001</v>
      </c>
      <c r="K483" s="309">
        <v>-15.412119000000001</v>
      </c>
      <c r="L483" s="309">
        <v>1022.6</v>
      </c>
      <c r="M483" s="309">
        <v>125.49967599999999</v>
      </c>
      <c r="N483" s="309">
        <v>21614.79</v>
      </c>
      <c r="O483" s="309">
        <v>21619.117139999998</v>
      </c>
      <c r="P483" s="309">
        <v>2074.08</v>
      </c>
      <c r="Q483" s="308" t="s">
        <v>469</v>
      </c>
      <c r="R483" s="308"/>
      <c r="S483" s="309">
        <v>15</v>
      </c>
      <c r="T483" s="309">
        <v>5</v>
      </c>
      <c r="U483" s="309">
        <v>0.7</v>
      </c>
      <c r="V483" s="309">
        <v>0.7</v>
      </c>
      <c r="W483" s="309">
        <v>0.7</v>
      </c>
      <c r="X483" s="309">
        <v>1700</v>
      </c>
      <c r="Y483" s="308" t="s">
        <v>470</v>
      </c>
      <c r="Z483" s="309">
        <v>0.85</v>
      </c>
      <c r="AA483" s="308" t="s">
        <v>471</v>
      </c>
      <c r="AB483" s="308" t="s">
        <v>472</v>
      </c>
      <c r="AC483" s="311">
        <v>220</v>
      </c>
    </row>
    <row r="484" spans="1:29">
      <c r="A484" s="312" t="s">
        <v>768</v>
      </c>
      <c r="B484" s="313" t="s">
        <v>494</v>
      </c>
      <c r="C484" s="313" t="s">
        <v>760</v>
      </c>
      <c r="D484" s="313" t="s">
        <v>468</v>
      </c>
      <c r="E484" s="314">
        <v>1.8</v>
      </c>
      <c r="F484" s="315">
        <v>45226.62777777778</v>
      </c>
      <c r="G484" s="314">
        <v>1</v>
      </c>
      <c r="H484" s="314">
        <v>51.370800000000003</v>
      </c>
      <c r="I484" s="314">
        <v>6.1544400000000001</v>
      </c>
      <c r="J484" s="314">
        <v>-16.195862000000002</v>
      </c>
      <c r="K484" s="314">
        <v>-15.354188000000001</v>
      </c>
      <c r="L484" s="314">
        <v>1019.24</v>
      </c>
      <c r="M484" s="314">
        <v>132.499548</v>
      </c>
      <c r="N484" s="314">
        <v>21629.81</v>
      </c>
      <c r="O484" s="314">
        <v>21619.117139999998</v>
      </c>
      <c r="P484" s="314">
        <v>2074.08</v>
      </c>
      <c r="Q484" s="313" t="s">
        <v>469</v>
      </c>
      <c r="R484" s="313"/>
      <c r="S484" s="314">
        <v>15</v>
      </c>
      <c r="T484" s="314">
        <v>5</v>
      </c>
      <c r="U484" s="314">
        <v>0.7</v>
      </c>
      <c r="V484" s="314">
        <v>0.7</v>
      </c>
      <c r="W484" s="314">
        <v>0.7</v>
      </c>
      <c r="X484" s="314">
        <v>1700</v>
      </c>
      <c r="Y484" s="313" t="s">
        <v>470</v>
      </c>
      <c r="Z484" s="314">
        <v>0.85</v>
      </c>
      <c r="AA484" s="313" t="s">
        <v>471</v>
      </c>
      <c r="AB484" s="313" t="s">
        <v>472</v>
      </c>
      <c r="AC484" s="316">
        <v>220</v>
      </c>
    </row>
    <row r="485" spans="1:29">
      <c r="A485" s="307" t="s">
        <v>769</v>
      </c>
      <c r="B485" s="308" t="s">
        <v>494</v>
      </c>
      <c r="C485" s="308" t="s">
        <v>760</v>
      </c>
      <c r="D485" s="308" t="s">
        <v>468</v>
      </c>
      <c r="E485" s="309">
        <v>1.8</v>
      </c>
      <c r="F485" s="310">
        <v>45226.631944444445</v>
      </c>
      <c r="G485" s="309">
        <v>1</v>
      </c>
      <c r="H485" s="309">
        <v>51.374099999999999</v>
      </c>
      <c r="I485" s="309">
        <v>6.1859599999999997</v>
      </c>
      <c r="J485" s="309">
        <v>-16.350113</v>
      </c>
      <c r="K485" s="309">
        <v>-15.50155</v>
      </c>
      <c r="L485" s="309">
        <v>1014.1</v>
      </c>
      <c r="M485" s="309">
        <v>136.50159099999999</v>
      </c>
      <c r="N485" s="309">
        <v>21612.76</v>
      </c>
      <c r="O485" s="309">
        <v>21619.117139999998</v>
      </c>
      <c r="P485" s="309">
        <v>2074.08</v>
      </c>
      <c r="Q485" s="308" t="s">
        <v>469</v>
      </c>
      <c r="R485" s="308"/>
      <c r="S485" s="309">
        <v>15</v>
      </c>
      <c r="T485" s="309">
        <v>5</v>
      </c>
      <c r="U485" s="309">
        <v>0.7</v>
      </c>
      <c r="V485" s="309">
        <v>0.7</v>
      </c>
      <c r="W485" s="309">
        <v>0.7</v>
      </c>
      <c r="X485" s="309">
        <v>1700</v>
      </c>
      <c r="Y485" s="308" t="s">
        <v>470</v>
      </c>
      <c r="Z485" s="309">
        <v>0.85</v>
      </c>
      <c r="AA485" s="308" t="s">
        <v>471</v>
      </c>
      <c r="AB485" s="308" t="s">
        <v>472</v>
      </c>
      <c r="AC485" s="311">
        <v>220</v>
      </c>
    </row>
    <row r="486" spans="1:29">
      <c r="A486" s="319" t="s">
        <v>679</v>
      </c>
      <c r="B486" s="320">
        <v>2</v>
      </c>
      <c r="C486" s="320" t="s">
        <v>760</v>
      </c>
      <c r="D486" s="320" t="s">
        <v>468</v>
      </c>
      <c r="E486" s="321">
        <v>1.5</v>
      </c>
      <c r="F486" s="322">
        <v>45226.635416666664</v>
      </c>
      <c r="G486" s="321">
        <v>1</v>
      </c>
      <c r="H486" s="321">
        <v>51.364100000000001</v>
      </c>
      <c r="I486" s="321">
        <v>6.1721199999999996</v>
      </c>
      <c r="J486" s="321">
        <v>-16.162500000000001</v>
      </c>
      <c r="K486" s="321">
        <v>-15.313193999999999</v>
      </c>
      <c r="L486" s="321">
        <v>991.31399999999996</v>
      </c>
      <c r="M486" s="321">
        <v>115.498627</v>
      </c>
      <c r="N486" s="321">
        <v>18010.22</v>
      </c>
      <c r="O486" s="321">
        <v>18016.171060000001</v>
      </c>
      <c r="P486" s="321">
        <v>2074.777</v>
      </c>
      <c r="Q486" s="320" t="s">
        <v>469</v>
      </c>
      <c r="R486" s="320"/>
      <c r="S486" s="321">
        <v>15</v>
      </c>
      <c r="T486" s="321">
        <v>5</v>
      </c>
      <c r="U486" s="321">
        <v>0.7</v>
      </c>
      <c r="V486" s="321">
        <v>0.7</v>
      </c>
      <c r="W486" s="321">
        <v>0.7</v>
      </c>
      <c r="X486" s="321">
        <v>1700</v>
      </c>
      <c r="Y486" s="320" t="s">
        <v>470</v>
      </c>
      <c r="Z486" s="321">
        <v>0.85</v>
      </c>
      <c r="AA486" s="320" t="s">
        <v>471</v>
      </c>
      <c r="AB486" s="320" t="s">
        <v>472</v>
      </c>
      <c r="AC486" s="323">
        <v>220</v>
      </c>
    </row>
    <row r="487" spans="1:29">
      <c r="A487" s="307" t="s">
        <v>680</v>
      </c>
      <c r="B487" s="308">
        <v>2</v>
      </c>
      <c r="C487" s="308" t="s">
        <v>760</v>
      </c>
      <c r="D487" s="308" t="s">
        <v>468</v>
      </c>
      <c r="E487" s="309">
        <v>1.5</v>
      </c>
      <c r="F487" s="310">
        <v>45226.638888888891</v>
      </c>
      <c r="G487" s="309">
        <v>1</v>
      </c>
      <c r="H487" s="309">
        <v>51.370800000000003</v>
      </c>
      <c r="I487" s="309">
        <v>6.0909899999999997</v>
      </c>
      <c r="J487" s="309">
        <v>-16.218087000000001</v>
      </c>
      <c r="K487" s="309">
        <v>-15.380788000000001</v>
      </c>
      <c r="L487" s="309">
        <v>1008.67</v>
      </c>
      <c r="M487" s="309">
        <v>115.50098300000001</v>
      </c>
      <c r="N487" s="309">
        <v>18028.18</v>
      </c>
      <c r="O487" s="309">
        <v>18016.171060000001</v>
      </c>
      <c r="P487" s="309">
        <v>2074.777</v>
      </c>
      <c r="Q487" s="308" t="s">
        <v>469</v>
      </c>
      <c r="R487" s="308"/>
      <c r="S487" s="309">
        <v>15</v>
      </c>
      <c r="T487" s="309">
        <v>5</v>
      </c>
      <c r="U487" s="309">
        <v>0.7</v>
      </c>
      <c r="V487" s="309">
        <v>0.7</v>
      </c>
      <c r="W487" s="309">
        <v>0.7</v>
      </c>
      <c r="X487" s="309">
        <v>1700</v>
      </c>
      <c r="Y487" s="308" t="s">
        <v>470</v>
      </c>
      <c r="Z487" s="309">
        <v>0.85</v>
      </c>
      <c r="AA487" s="308" t="s">
        <v>471</v>
      </c>
      <c r="AB487" s="308" t="s">
        <v>472</v>
      </c>
      <c r="AC487" s="311">
        <v>220</v>
      </c>
    </row>
    <row r="488" spans="1:29">
      <c r="A488" s="312" t="s">
        <v>681</v>
      </c>
      <c r="B488" s="313">
        <v>2</v>
      </c>
      <c r="C488" s="313" t="s">
        <v>760</v>
      </c>
      <c r="D488" s="313" t="s">
        <v>468</v>
      </c>
      <c r="E488" s="314">
        <v>1.5</v>
      </c>
      <c r="F488" s="315">
        <v>45226.642361111109</v>
      </c>
      <c r="G488" s="314">
        <v>1</v>
      </c>
      <c r="H488" s="314">
        <v>51.374099999999999</v>
      </c>
      <c r="I488" s="314">
        <v>6.0597099999999999</v>
      </c>
      <c r="J488" s="314">
        <v>-16.164494000000001</v>
      </c>
      <c r="K488" s="314">
        <v>-15.317280999999999</v>
      </c>
      <c r="L488" s="314">
        <v>988.91399999999999</v>
      </c>
      <c r="M488" s="314">
        <v>119.000968</v>
      </c>
      <c r="N488" s="314">
        <v>18010.11</v>
      </c>
      <c r="O488" s="314">
        <v>18016.171060000001</v>
      </c>
      <c r="P488" s="314">
        <v>2074.777</v>
      </c>
      <c r="Q488" s="313" t="s">
        <v>469</v>
      </c>
      <c r="R488" s="313"/>
      <c r="S488" s="314">
        <v>15</v>
      </c>
      <c r="T488" s="314">
        <v>5</v>
      </c>
      <c r="U488" s="314">
        <v>0.7</v>
      </c>
      <c r="V488" s="314">
        <v>0.7</v>
      </c>
      <c r="W488" s="314">
        <v>0.7</v>
      </c>
      <c r="X488" s="314">
        <v>1700</v>
      </c>
      <c r="Y488" s="313" t="s">
        <v>470</v>
      </c>
      <c r="Z488" s="314">
        <v>0.85</v>
      </c>
      <c r="AA488" s="313" t="s">
        <v>471</v>
      </c>
      <c r="AB488" s="313" t="s">
        <v>472</v>
      </c>
      <c r="AC488" s="316">
        <v>220</v>
      </c>
    </row>
    <row r="489" spans="1:29">
      <c r="A489" s="307" t="s">
        <v>682</v>
      </c>
      <c r="B489" s="308">
        <v>3</v>
      </c>
      <c r="C489" s="308">
        <v>433</v>
      </c>
      <c r="D489" s="308" t="s">
        <v>419</v>
      </c>
      <c r="E489" s="309">
        <v>1.5</v>
      </c>
      <c r="F489" s="310">
        <v>45226.646527777775</v>
      </c>
      <c r="G489" s="309">
        <v>1</v>
      </c>
      <c r="H489" s="309">
        <v>51.374099999999999</v>
      </c>
      <c r="I489" s="309">
        <v>6.1086299999999998</v>
      </c>
      <c r="J489" s="309">
        <v>-16.152131000000001</v>
      </c>
      <c r="K489" s="309">
        <v>-15.310031</v>
      </c>
      <c r="L489" s="309">
        <v>992.93799999999999</v>
      </c>
      <c r="M489" s="309">
        <v>112.49997500000001</v>
      </c>
      <c r="N489" s="309">
        <v>17833.099999999999</v>
      </c>
      <c r="O489" s="309">
        <v>17829.92009</v>
      </c>
      <c r="P489" s="309">
        <v>2053.4430000000002</v>
      </c>
      <c r="Q489" s="308" t="s">
        <v>469</v>
      </c>
      <c r="R489" s="308"/>
      <c r="S489" s="309">
        <v>15</v>
      </c>
      <c r="T489" s="309">
        <v>5</v>
      </c>
      <c r="U489" s="309">
        <v>0.7</v>
      </c>
      <c r="V489" s="309">
        <v>0.7</v>
      </c>
      <c r="W489" s="309">
        <v>0.7</v>
      </c>
      <c r="X489" s="309">
        <v>1700</v>
      </c>
      <c r="Y489" s="308" t="s">
        <v>470</v>
      </c>
      <c r="Z489" s="309">
        <v>0.85</v>
      </c>
      <c r="AA489" s="308" t="s">
        <v>471</v>
      </c>
      <c r="AB489" s="308" t="s">
        <v>472</v>
      </c>
      <c r="AC489" s="311">
        <v>220</v>
      </c>
    </row>
    <row r="490" spans="1:29">
      <c r="A490" s="312" t="s">
        <v>683</v>
      </c>
      <c r="B490" s="313">
        <v>3</v>
      </c>
      <c r="C490" s="313">
        <v>433</v>
      </c>
      <c r="D490" s="313" t="s">
        <v>419</v>
      </c>
      <c r="E490" s="314">
        <v>1.5</v>
      </c>
      <c r="F490" s="315">
        <v>45226.65</v>
      </c>
      <c r="G490" s="314">
        <v>1</v>
      </c>
      <c r="H490" s="314">
        <v>51.374099999999999</v>
      </c>
      <c r="I490" s="314">
        <v>6.0138999999999996</v>
      </c>
      <c r="J490" s="314">
        <v>-16.163005999999999</v>
      </c>
      <c r="K490" s="314">
        <v>-15.346131</v>
      </c>
      <c r="L490" s="314">
        <v>987.74300000000005</v>
      </c>
      <c r="M490" s="314">
        <v>114.99964</v>
      </c>
      <c r="N490" s="314">
        <v>17826.48</v>
      </c>
      <c r="O490" s="314">
        <v>17829.92009</v>
      </c>
      <c r="P490" s="314">
        <v>2053.4430000000002</v>
      </c>
      <c r="Q490" s="313" t="s">
        <v>469</v>
      </c>
      <c r="R490" s="313"/>
      <c r="S490" s="314">
        <v>15</v>
      </c>
      <c r="T490" s="314">
        <v>5</v>
      </c>
      <c r="U490" s="314">
        <v>0.7</v>
      </c>
      <c r="V490" s="314">
        <v>0.7</v>
      </c>
      <c r="W490" s="314">
        <v>0.7</v>
      </c>
      <c r="X490" s="314">
        <v>1700</v>
      </c>
      <c r="Y490" s="313" t="s">
        <v>470</v>
      </c>
      <c r="Z490" s="314">
        <v>0.85</v>
      </c>
      <c r="AA490" s="313" t="s">
        <v>471</v>
      </c>
      <c r="AB490" s="313" t="s">
        <v>472</v>
      </c>
      <c r="AC490" s="316">
        <v>220</v>
      </c>
    </row>
    <row r="491" spans="1:29">
      <c r="A491" s="307" t="s">
        <v>684</v>
      </c>
      <c r="B491" s="308">
        <v>3</v>
      </c>
      <c r="C491" s="308">
        <v>433</v>
      </c>
      <c r="D491" s="308" t="s">
        <v>419</v>
      </c>
      <c r="E491" s="309">
        <v>1.5</v>
      </c>
      <c r="F491" s="310">
        <v>45226.65347222222</v>
      </c>
      <c r="G491" s="309">
        <v>1</v>
      </c>
      <c r="H491" s="309">
        <v>51.377400000000002</v>
      </c>
      <c r="I491" s="309">
        <v>6.1493399999999996</v>
      </c>
      <c r="J491" s="309">
        <v>-16.301181</v>
      </c>
      <c r="K491" s="309">
        <v>-15.459731</v>
      </c>
      <c r="L491" s="309">
        <v>983.505</v>
      </c>
      <c r="M491" s="309">
        <v>119.500578</v>
      </c>
      <c r="N491" s="309">
        <v>17830.189999999999</v>
      </c>
      <c r="O491" s="309">
        <v>17829.92009</v>
      </c>
      <c r="P491" s="309">
        <v>2053.4430000000002</v>
      </c>
      <c r="Q491" s="308" t="s">
        <v>469</v>
      </c>
      <c r="R491" s="308"/>
      <c r="S491" s="309">
        <v>15</v>
      </c>
      <c r="T491" s="309">
        <v>5</v>
      </c>
      <c r="U491" s="309">
        <v>0.7</v>
      </c>
      <c r="V491" s="309">
        <v>0.7</v>
      </c>
      <c r="W491" s="309">
        <v>0.7</v>
      </c>
      <c r="X491" s="309">
        <v>1700</v>
      </c>
      <c r="Y491" s="308" t="s">
        <v>470</v>
      </c>
      <c r="Z491" s="309">
        <v>0.85</v>
      </c>
      <c r="AA491" s="308" t="s">
        <v>471</v>
      </c>
      <c r="AB491" s="308" t="s">
        <v>472</v>
      </c>
      <c r="AC491" s="311">
        <v>220</v>
      </c>
    </row>
    <row r="492" spans="1:29">
      <c r="A492" s="312" t="s">
        <v>685</v>
      </c>
      <c r="B492" s="313">
        <v>4</v>
      </c>
      <c r="C492" s="313">
        <v>412</v>
      </c>
      <c r="D492" s="313" t="s">
        <v>420</v>
      </c>
      <c r="E492" s="314">
        <v>1.5</v>
      </c>
      <c r="F492" s="315">
        <v>45226.657638888886</v>
      </c>
      <c r="G492" s="314">
        <v>1</v>
      </c>
      <c r="H492" s="314">
        <v>51.374099999999999</v>
      </c>
      <c r="I492" s="314">
        <v>6.0587200000000001</v>
      </c>
      <c r="J492" s="314">
        <v>-16.342513</v>
      </c>
      <c r="K492" s="314">
        <v>-15.504350000000001</v>
      </c>
      <c r="L492" s="314">
        <v>996.16499999999996</v>
      </c>
      <c r="M492" s="314">
        <v>126.50004800000001</v>
      </c>
      <c r="N492" s="314">
        <v>17979.2</v>
      </c>
      <c r="O492" s="314">
        <v>17973.573059999999</v>
      </c>
      <c r="P492" s="314">
        <v>2069.8960000000002</v>
      </c>
      <c r="Q492" s="313" t="s">
        <v>469</v>
      </c>
      <c r="R492" s="313"/>
      <c r="S492" s="314">
        <v>15</v>
      </c>
      <c r="T492" s="314">
        <v>5</v>
      </c>
      <c r="U492" s="314">
        <v>0.7</v>
      </c>
      <c r="V492" s="314">
        <v>0.7</v>
      </c>
      <c r="W492" s="314">
        <v>0.7</v>
      </c>
      <c r="X492" s="314">
        <v>1700</v>
      </c>
      <c r="Y492" s="313" t="s">
        <v>470</v>
      </c>
      <c r="Z492" s="314">
        <v>0.85</v>
      </c>
      <c r="AA492" s="313" t="s">
        <v>471</v>
      </c>
      <c r="AB492" s="313" t="s">
        <v>472</v>
      </c>
      <c r="AC492" s="316">
        <v>220</v>
      </c>
    </row>
    <row r="493" spans="1:29">
      <c r="A493" s="307" t="s">
        <v>686</v>
      </c>
      <c r="B493" s="308">
        <v>4</v>
      </c>
      <c r="C493" s="308">
        <v>412</v>
      </c>
      <c r="D493" s="308" t="s">
        <v>420</v>
      </c>
      <c r="E493" s="309">
        <v>1.5</v>
      </c>
      <c r="F493" s="310">
        <v>45226.661111111112</v>
      </c>
      <c r="G493" s="309">
        <v>1</v>
      </c>
      <c r="H493" s="309">
        <v>51.370800000000003</v>
      </c>
      <c r="I493" s="309">
        <v>6.1384600000000002</v>
      </c>
      <c r="J493" s="309">
        <v>-16.399961999999999</v>
      </c>
      <c r="K493" s="309">
        <v>-15.561019</v>
      </c>
      <c r="L493" s="309">
        <v>1014.47</v>
      </c>
      <c r="M493" s="309">
        <v>117.50166299999999</v>
      </c>
      <c r="N493" s="309">
        <v>17968.16</v>
      </c>
      <c r="O493" s="309">
        <v>17973.573059999999</v>
      </c>
      <c r="P493" s="309">
        <v>2069.8960000000002</v>
      </c>
      <c r="Q493" s="308" t="s">
        <v>469</v>
      </c>
      <c r="R493" s="308"/>
      <c r="S493" s="309">
        <v>15</v>
      </c>
      <c r="T493" s="309">
        <v>5</v>
      </c>
      <c r="U493" s="309">
        <v>0.7</v>
      </c>
      <c r="V493" s="309">
        <v>0.7</v>
      </c>
      <c r="W493" s="309">
        <v>0.7</v>
      </c>
      <c r="X493" s="309">
        <v>1700</v>
      </c>
      <c r="Y493" s="308" t="s">
        <v>470</v>
      </c>
      <c r="Z493" s="309">
        <v>0.85</v>
      </c>
      <c r="AA493" s="308" t="s">
        <v>471</v>
      </c>
      <c r="AB493" s="308" t="s">
        <v>472</v>
      </c>
      <c r="AC493" s="311">
        <v>220</v>
      </c>
    </row>
    <row r="494" spans="1:29">
      <c r="A494" s="312" t="s">
        <v>687</v>
      </c>
      <c r="B494" s="313">
        <v>4</v>
      </c>
      <c r="C494" s="313">
        <v>412</v>
      </c>
      <c r="D494" s="313" t="s">
        <v>420</v>
      </c>
      <c r="E494" s="314">
        <v>1.5</v>
      </c>
      <c r="F494" s="315">
        <v>45226.664583333331</v>
      </c>
      <c r="G494" s="314">
        <v>1</v>
      </c>
      <c r="H494" s="314">
        <v>51.374099999999999</v>
      </c>
      <c r="I494" s="314">
        <v>6.1305699999999996</v>
      </c>
      <c r="J494" s="314">
        <v>-16.250744000000001</v>
      </c>
      <c r="K494" s="314">
        <v>-15.403055999999999</v>
      </c>
      <c r="L494" s="314">
        <v>999.178</v>
      </c>
      <c r="M494" s="314">
        <v>118.499663</v>
      </c>
      <c r="N494" s="314">
        <v>17973.349999999999</v>
      </c>
      <c r="O494" s="314">
        <v>17973.573059999999</v>
      </c>
      <c r="P494" s="314">
        <v>2069.8960000000002</v>
      </c>
      <c r="Q494" s="313" t="s">
        <v>469</v>
      </c>
      <c r="R494" s="313"/>
      <c r="S494" s="314">
        <v>15</v>
      </c>
      <c r="T494" s="314">
        <v>5</v>
      </c>
      <c r="U494" s="314">
        <v>0.7</v>
      </c>
      <c r="V494" s="314">
        <v>0.7</v>
      </c>
      <c r="W494" s="314">
        <v>0.7</v>
      </c>
      <c r="X494" s="314">
        <v>1700</v>
      </c>
      <c r="Y494" s="313" t="s">
        <v>470</v>
      </c>
      <c r="Z494" s="314">
        <v>0.85</v>
      </c>
      <c r="AA494" s="313" t="s">
        <v>471</v>
      </c>
      <c r="AB494" s="313" t="s">
        <v>472</v>
      </c>
      <c r="AC494" s="316">
        <v>220</v>
      </c>
    </row>
    <row r="495" spans="1:29">
      <c r="A495" s="307" t="s">
        <v>770</v>
      </c>
      <c r="B495" s="308">
        <v>5</v>
      </c>
      <c r="C495" s="308">
        <v>466</v>
      </c>
      <c r="D495" s="308" t="s">
        <v>421</v>
      </c>
      <c r="E495" s="309">
        <v>1.5</v>
      </c>
      <c r="F495" s="310">
        <v>45226.668749999997</v>
      </c>
      <c r="G495" s="309">
        <v>1</v>
      </c>
      <c r="H495" s="309">
        <v>51.370800000000003</v>
      </c>
      <c r="I495" s="309">
        <v>6.05504</v>
      </c>
      <c r="J495" s="309">
        <v>-16.253062</v>
      </c>
      <c r="K495" s="309">
        <v>-15.407400000000001</v>
      </c>
      <c r="L495" s="309">
        <v>996.83900000000006</v>
      </c>
      <c r="M495" s="309">
        <v>111.499207</v>
      </c>
      <c r="N495" s="309">
        <v>17838.75</v>
      </c>
      <c r="O495" s="309">
        <v>17832.16461</v>
      </c>
      <c r="P495" s="309">
        <v>2053.6999999999998</v>
      </c>
      <c r="Q495" s="308" t="s">
        <v>469</v>
      </c>
      <c r="R495" s="308"/>
      <c r="S495" s="309">
        <v>15</v>
      </c>
      <c r="T495" s="309">
        <v>5</v>
      </c>
      <c r="U495" s="309">
        <v>0.7</v>
      </c>
      <c r="V495" s="309">
        <v>0.7</v>
      </c>
      <c r="W495" s="309">
        <v>0.7</v>
      </c>
      <c r="X495" s="309">
        <v>1700</v>
      </c>
      <c r="Y495" s="308" t="s">
        <v>470</v>
      </c>
      <c r="Z495" s="309">
        <v>0.85</v>
      </c>
      <c r="AA495" s="308" t="s">
        <v>471</v>
      </c>
      <c r="AB495" s="308" t="s">
        <v>472</v>
      </c>
      <c r="AC495" s="311">
        <v>220</v>
      </c>
    </row>
    <row r="496" spans="1:29">
      <c r="A496" s="312" t="s">
        <v>771</v>
      </c>
      <c r="B496" s="313">
        <v>5</v>
      </c>
      <c r="C496" s="313">
        <v>466</v>
      </c>
      <c r="D496" s="313" t="s">
        <v>421</v>
      </c>
      <c r="E496" s="314">
        <v>1.5</v>
      </c>
      <c r="F496" s="315">
        <v>45226.672222222223</v>
      </c>
      <c r="G496" s="314">
        <v>1</v>
      </c>
      <c r="H496" s="314">
        <v>51.370800000000003</v>
      </c>
      <c r="I496" s="314">
        <v>6.0130999999999997</v>
      </c>
      <c r="J496" s="314">
        <v>-16.307618999999999</v>
      </c>
      <c r="K496" s="314">
        <v>-15.468031</v>
      </c>
      <c r="L496" s="314">
        <v>983.47199999999998</v>
      </c>
      <c r="M496" s="314">
        <v>102.00045799999999</v>
      </c>
      <c r="N496" s="314">
        <v>17820.04</v>
      </c>
      <c r="O496" s="314">
        <v>17832.16461</v>
      </c>
      <c r="P496" s="314">
        <v>2053.6999999999998</v>
      </c>
      <c r="Q496" s="313" t="s">
        <v>469</v>
      </c>
      <c r="R496" s="313"/>
      <c r="S496" s="314">
        <v>15</v>
      </c>
      <c r="T496" s="314">
        <v>5</v>
      </c>
      <c r="U496" s="314">
        <v>0.7</v>
      </c>
      <c r="V496" s="314">
        <v>0.7</v>
      </c>
      <c r="W496" s="314">
        <v>0.7</v>
      </c>
      <c r="X496" s="314">
        <v>1700</v>
      </c>
      <c r="Y496" s="313" t="s">
        <v>470</v>
      </c>
      <c r="Z496" s="314">
        <v>0.85</v>
      </c>
      <c r="AA496" s="313" t="s">
        <v>471</v>
      </c>
      <c r="AB496" s="313" t="s">
        <v>472</v>
      </c>
      <c r="AC496" s="316">
        <v>220</v>
      </c>
    </row>
    <row r="497" spans="1:29">
      <c r="A497" s="307" t="s">
        <v>772</v>
      </c>
      <c r="B497" s="308">
        <v>5</v>
      </c>
      <c r="C497" s="308">
        <v>466</v>
      </c>
      <c r="D497" s="308" t="s">
        <v>421</v>
      </c>
      <c r="E497" s="309">
        <v>1.5</v>
      </c>
      <c r="F497" s="310">
        <v>45226.675694444442</v>
      </c>
      <c r="G497" s="309">
        <v>1</v>
      </c>
      <c r="H497" s="309">
        <v>51.3675</v>
      </c>
      <c r="I497" s="309">
        <v>6.0066899999999999</v>
      </c>
      <c r="J497" s="309">
        <v>-16.322163</v>
      </c>
      <c r="K497" s="309">
        <v>-15.482068999999999</v>
      </c>
      <c r="L497" s="309">
        <v>986.73800000000006</v>
      </c>
      <c r="M497" s="309">
        <v>107.499838</v>
      </c>
      <c r="N497" s="309">
        <v>17837.7</v>
      </c>
      <c r="O497" s="309">
        <v>17832.16461</v>
      </c>
      <c r="P497" s="309">
        <v>2053.6999999999998</v>
      </c>
      <c r="Q497" s="308" t="s">
        <v>469</v>
      </c>
      <c r="R497" s="308"/>
      <c r="S497" s="309">
        <v>15</v>
      </c>
      <c r="T497" s="309">
        <v>5</v>
      </c>
      <c r="U497" s="309">
        <v>0.7</v>
      </c>
      <c r="V497" s="309">
        <v>0.7</v>
      </c>
      <c r="W497" s="309">
        <v>0.7</v>
      </c>
      <c r="X497" s="309">
        <v>1700</v>
      </c>
      <c r="Y497" s="308" t="s">
        <v>470</v>
      </c>
      <c r="Z497" s="309">
        <v>0.85</v>
      </c>
      <c r="AA497" s="308" t="s">
        <v>471</v>
      </c>
      <c r="AB497" s="308" t="s">
        <v>472</v>
      </c>
      <c r="AC497" s="311">
        <v>220</v>
      </c>
    </row>
    <row r="498" spans="1:29">
      <c r="A498" s="312" t="s">
        <v>773</v>
      </c>
      <c r="B498" s="313">
        <v>6</v>
      </c>
      <c r="C498" s="313">
        <v>467</v>
      </c>
      <c r="D498" s="313" t="s">
        <v>422</v>
      </c>
      <c r="E498" s="314">
        <v>1.5</v>
      </c>
      <c r="F498" s="315">
        <v>45226.679166666669</v>
      </c>
      <c r="G498" s="314">
        <v>1</v>
      </c>
      <c r="H498" s="314">
        <v>51.374099999999999</v>
      </c>
      <c r="I498" s="314">
        <v>5.9370000000000003</v>
      </c>
      <c r="J498" s="314">
        <v>-16.324725000000001</v>
      </c>
      <c r="K498" s="314">
        <v>-15.498619</v>
      </c>
      <c r="L498" s="314">
        <v>986.93899999999996</v>
      </c>
      <c r="M498" s="314">
        <v>117.500671</v>
      </c>
      <c r="N498" s="314">
        <v>17879.48</v>
      </c>
      <c r="O498" s="314">
        <v>17876.71831</v>
      </c>
      <c r="P498" s="314">
        <v>2058.8029999999999</v>
      </c>
      <c r="Q498" s="313" t="s">
        <v>469</v>
      </c>
      <c r="R498" s="313"/>
      <c r="S498" s="314">
        <v>15</v>
      </c>
      <c r="T498" s="314">
        <v>5</v>
      </c>
      <c r="U498" s="314">
        <v>0.7</v>
      </c>
      <c r="V498" s="314">
        <v>0.7</v>
      </c>
      <c r="W498" s="314">
        <v>0.7</v>
      </c>
      <c r="X498" s="314">
        <v>1700</v>
      </c>
      <c r="Y498" s="313" t="s">
        <v>470</v>
      </c>
      <c r="Z498" s="314">
        <v>0.85</v>
      </c>
      <c r="AA498" s="313" t="s">
        <v>471</v>
      </c>
      <c r="AB498" s="313" t="s">
        <v>472</v>
      </c>
      <c r="AC498" s="316">
        <v>220</v>
      </c>
    </row>
    <row r="499" spans="1:29">
      <c r="A499" s="307" t="s">
        <v>774</v>
      </c>
      <c r="B499" s="308">
        <v>6</v>
      </c>
      <c r="C499" s="308">
        <v>467</v>
      </c>
      <c r="D499" s="308" t="s">
        <v>422</v>
      </c>
      <c r="E499" s="309">
        <v>1.5</v>
      </c>
      <c r="F499" s="310">
        <v>45226.683333333334</v>
      </c>
      <c r="G499" s="309">
        <v>1</v>
      </c>
      <c r="H499" s="309">
        <v>51.374099999999999</v>
      </c>
      <c r="I499" s="309">
        <v>5.9355500000000001</v>
      </c>
      <c r="J499" s="309">
        <v>-16.255655999999998</v>
      </c>
      <c r="K499" s="309">
        <v>-15.426937000000001</v>
      </c>
      <c r="L499" s="309">
        <v>1004.49</v>
      </c>
      <c r="M499" s="309">
        <v>119.498165</v>
      </c>
      <c r="N499" s="309">
        <v>17888.189999999999</v>
      </c>
      <c r="O499" s="309">
        <v>17876.71831</v>
      </c>
      <c r="P499" s="309">
        <v>2058.8029999999999</v>
      </c>
      <c r="Q499" s="308" t="s">
        <v>469</v>
      </c>
      <c r="R499" s="308"/>
      <c r="S499" s="309">
        <v>15</v>
      </c>
      <c r="T499" s="309">
        <v>5</v>
      </c>
      <c r="U499" s="309">
        <v>0.7</v>
      </c>
      <c r="V499" s="309">
        <v>0.7</v>
      </c>
      <c r="W499" s="309">
        <v>0.7</v>
      </c>
      <c r="X499" s="309">
        <v>1700</v>
      </c>
      <c r="Y499" s="308" t="s">
        <v>470</v>
      </c>
      <c r="Z499" s="309">
        <v>0.85</v>
      </c>
      <c r="AA499" s="308" t="s">
        <v>471</v>
      </c>
      <c r="AB499" s="308" t="s">
        <v>472</v>
      </c>
      <c r="AC499" s="311">
        <v>220</v>
      </c>
    </row>
    <row r="500" spans="1:29">
      <c r="A500" s="312" t="s">
        <v>775</v>
      </c>
      <c r="B500" s="313">
        <v>6</v>
      </c>
      <c r="C500" s="313">
        <v>467</v>
      </c>
      <c r="D500" s="313" t="s">
        <v>422</v>
      </c>
      <c r="E500" s="314">
        <v>1.5</v>
      </c>
      <c r="F500" s="315">
        <v>45226.686805555553</v>
      </c>
      <c r="G500" s="314">
        <v>1</v>
      </c>
      <c r="H500" s="314">
        <v>51.374099999999999</v>
      </c>
      <c r="I500" s="314">
        <v>5.9289800000000001</v>
      </c>
      <c r="J500" s="314">
        <v>-16.427937</v>
      </c>
      <c r="K500" s="314">
        <v>-15.581794</v>
      </c>
      <c r="L500" s="314">
        <v>987.41899999999998</v>
      </c>
      <c r="M500" s="314">
        <v>110.50037</v>
      </c>
      <c r="N500" s="314">
        <v>17862.48</v>
      </c>
      <c r="O500" s="314">
        <v>17876.71831</v>
      </c>
      <c r="P500" s="314">
        <v>2058.8029999999999</v>
      </c>
      <c r="Q500" s="313" t="s">
        <v>469</v>
      </c>
      <c r="R500" s="313"/>
      <c r="S500" s="314">
        <v>15</v>
      </c>
      <c r="T500" s="314">
        <v>5</v>
      </c>
      <c r="U500" s="314">
        <v>0.7</v>
      </c>
      <c r="V500" s="314">
        <v>0.7</v>
      </c>
      <c r="W500" s="314">
        <v>0.7</v>
      </c>
      <c r="X500" s="314">
        <v>1700</v>
      </c>
      <c r="Y500" s="313" t="s">
        <v>470</v>
      </c>
      <c r="Z500" s="314">
        <v>0.85</v>
      </c>
      <c r="AA500" s="313" t="s">
        <v>471</v>
      </c>
      <c r="AB500" s="313" t="s">
        <v>472</v>
      </c>
      <c r="AC500" s="316">
        <v>220</v>
      </c>
    </row>
    <row r="501" spans="1:29">
      <c r="A501" s="307" t="s">
        <v>776</v>
      </c>
      <c r="B501" s="308">
        <v>7</v>
      </c>
      <c r="C501" s="308">
        <v>510</v>
      </c>
      <c r="D501" s="308" t="s">
        <v>423</v>
      </c>
      <c r="E501" s="309">
        <v>1.5</v>
      </c>
      <c r="F501" s="310">
        <v>45226.69027777778</v>
      </c>
      <c r="G501" s="309">
        <v>1</v>
      </c>
      <c r="H501" s="309">
        <v>51.3675</v>
      </c>
      <c r="I501" s="309">
        <v>5.8766100000000003</v>
      </c>
      <c r="J501" s="309">
        <v>-16.391444</v>
      </c>
      <c r="K501" s="309">
        <v>-15.544244000000001</v>
      </c>
      <c r="L501" s="309">
        <v>982.20799999999997</v>
      </c>
      <c r="M501" s="309">
        <v>107.000193</v>
      </c>
      <c r="N501" s="309">
        <v>17766.150000000001</v>
      </c>
      <c r="O501" s="309">
        <v>17762.658619999998</v>
      </c>
      <c r="P501" s="309">
        <v>2045.739</v>
      </c>
      <c r="Q501" s="308" t="s">
        <v>469</v>
      </c>
      <c r="R501" s="308"/>
      <c r="S501" s="309">
        <v>15</v>
      </c>
      <c r="T501" s="309">
        <v>5</v>
      </c>
      <c r="U501" s="309">
        <v>0.7</v>
      </c>
      <c r="V501" s="309">
        <v>0.7</v>
      </c>
      <c r="W501" s="309">
        <v>0.7</v>
      </c>
      <c r="X501" s="309">
        <v>1700</v>
      </c>
      <c r="Y501" s="308" t="s">
        <v>470</v>
      </c>
      <c r="Z501" s="309">
        <v>0.85</v>
      </c>
      <c r="AA501" s="308" t="s">
        <v>471</v>
      </c>
      <c r="AB501" s="308" t="s">
        <v>472</v>
      </c>
      <c r="AC501" s="311">
        <v>220</v>
      </c>
    </row>
    <row r="502" spans="1:29">
      <c r="A502" s="312" t="s">
        <v>777</v>
      </c>
      <c r="B502" s="313">
        <v>7</v>
      </c>
      <c r="C502" s="313">
        <v>510</v>
      </c>
      <c r="D502" s="313" t="s">
        <v>423</v>
      </c>
      <c r="E502" s="314">
        <v>1.5</v>
      </c>
      <c r="F502" s="315">
        <v>45226.693749999999</v>
      </c>
      <c r="G502" s="314">
        <v>1</v>
      </c>
      <c r="H502" s="314">
        <v>51.370800000000003</v>
      </c>
      <c r="I502" s="314">
        <v>5.8300599999999996</v>
      </c>
      <c r="J502" s="314">
        <v>-16.397062999999999</v>
      </c>
      <c r="K502" s="314">
        <v>-15.557194000000001</v>
      </c>
      <c r="L502" s="314">
        <v>982.202</v>
      </c>
      <c r="M502" s="314">
        <v>115.499627</v>
      </c>
      <c r="N502" s="314">
        <v>17744.73</v>
      </c>
      <c r="O502" s="314">
        <v>17762.658619999998</v>
      </c>
      <c r="P502" s="314">
        <v>2045.739</v>
      </c>
      <c r="Q502" s="313" t="s">
        <v>469</v>
      </c>
      <c r="R502" s="313"/>
      <c r="S502" s="314">
        <v>15</v>
      </c>
      <c r="T502" s="314">
        <v>5</v>
      </c>
      <c r="U502" s="314">
        <v>0.7</v>
      </c>
      <c r="V502" s="314">
        <v>0.7</v>
      </c>
      <c r="W502" s="314">
        <v>0.7</v>
      </c>
      <c r="X502" s="314">
        <v>1700</v>
      </c>
      <c r="Y502" s="313" t="s">
        <v>470</v>
      </c>
      <c r="Z502" s="314">
        <v>0.85</v>
      </c>
      <c r="AA502" s="313" t="s">
        <v>471</v>
      </c>
      <c r="AB502" s="313" t="s">
        <v>472</v>
      </c>
      <c r="AC502" s="316">
        <v>220</v>
      </c>
    </row>
    <row r="503" spans="1:29">
      <c r="A503" s="307" t="s">
        <v>778</v>
      </c>
      <c r="B503" s="308">
        <v>7</v>
      </c>
      <c r="C503" s="308">
        <v>510</v>
      </c>
      <c r="D503" s="308" t="s">
        <v>423</v>
      </c>
      <c r="E503" s="309">
        <v>1.5</v>
      </c>
      <c r="F503" s="310">
        <v>45226.697222222225</v>
      </c>
      <c r="G503" s="309">
        <v>1</v>
      </c>
      <c r="H503" s="309">
        <v>51.377400000000002</v>
      </c>
      <c r="I503" s="309">
        <v>5.8414599999999997</v>
      </c>
      <c r="J503" s="309">
        <v>-16.458106000000001</v>
      </c>
      <c r="K503" s="309">
        <v>-15.611993999999999</v>
      </c>
      <c r="L503" s="309">
        <v>979.02300000000002</v>
      </c>
      <c r="M503" s="309">
        <v>123.50076</v>
      </c>
      <c r="N503" s="309">
        <v>17777.09</v>
      </c>
      <c r="O503" s="309">
        <v>17762.658619999998</v>
      </c>
      <c r="P503" s="309">
        <v>2045.739</v>
      </c>
      <c r="Q503" s="308" t="s">
        <v>469</v>
      </c>
      <c r="R503" s="308"/>
      <c r="S503" s="309">
        <v>15</v>
      </c>
      <c r="T503" s="309">
        <v>5</v>
      </c>
      <c r="U503" s="309">
        <v>0.7</v>
      </c>
      <c r="V503" s="309">
        <v>0.7</v>
      </c>
      <c r="W503" s="309">
        <v>0.7</v>
      </c>
      <c r="X503" s="309">
        <v>1700</v>
      </c>
      <c r="Y503" s="308" t="s">
        <v>470</v>
      </c>
      <c r="Z503" s="309">
        <v>0.85</v>
      </c>
      <c r="AA503" s="308" t="s">
        <v>471</v>
      </c>
      <c r="AB503" s="308" t="s">
        <v>472</v>
      </c>
      <c r="AC503" s="311">
        <v>220</v>
      </c>
    </row>
    <row r="504" spans="1:29">
      <c r="A504" s="312" t="s">
        <v>779</v>
      </c>
      <c r="B504" s="313">
        <v>8</v>
      </c>
      <c r="C504" s="313">
        <v>511</v>
      </c>
      <c r="D504" s="313" t="s">
        <v>424</v>
      </c>
      <c r="E504" s="314">
        <v>1.5</v>
      </c>
      <c r="F504" s="315">
        <v>45226.701388888891</v>
      </c>
      <c r="G504" s="314">
        <v>1</v>
      </c>
      <c r="H504" s="314">
        <v>51.370800000000003</v>
      </c>
      <c r="I504" s="314">
        <v>5.7625400000000004</v>
      </c>
      <c r="J504" s="314">
        <v>-16.423249999999999</v>
      </c>
      <c r="K504" s="314">
        <v>-15.573774999999999</v>
      </c>
      <c r="L504" s="314">
        <v>994.351</v>
      </c>
      <c r="M504" s="314">
        <v>115.50024500000001</v>
      </c>
      <c r="N504" s="314">
        <v>17823.59</v>
      </c>
      <c r="O504" s="314">
        <v>17819.03887</v>
      </c>
      <c r="P504" s="314">
        <v>2052.1959999999999</v>
      </c>
      <c r="Q504" s="313" t="s">
        <v>469</v>
      </c>
      <c r="R504" s="313"/>
      <c r="S504" s="314">
        <v>15</v>
      </c>
      <c r="T504" s="314">
        <v>5</v>
      </c>
      <c r="U504" s="314">
        <v>0.7</v>
      </c>
      <c r="V504" s="314">
        <v>0.7</v>
      </c>
      <c r="W504" s="314">
        <v>0.7</v>
      </c>
      <c r="X504" s="314">
        <v>1700</v>
      </c>
      <c r="Y504" s="313" t="s">
        <v>470</v>
      </c>
      <c r="Z504" s="314">
        <v>0.85</v>
      </c>
      <c r="AA504" s="313" t="s">
        <v>471</v>
      </c>
      <c r="AB504" s="313" t="s">
        <v>472</v>
      </c>
      <c r="AC504" s="316">
        <v>220</v>
      </c>
    </row>
    <row r="505" spans="1:29">
      <c r="A505" s="307" t="s">
        <v>780</v>
      </c>
      <c r="B505" s="308">
        <v>8</v>
      </c>
      <c r="C505" s="308">
        <v>511</v>
      </c>
      <c r="D505" s="308" t="s">
        <v>424</v>
      </c>
      <c r="E505" s="309">
        <v>1.5</v>
      </c>
      <c r="F505" s="310">
        <v>45226.704861111109</v>
      </c>
      <c r="G505" s="309">
        <v>1</v>
      </c>
      <c r="H505" s="309">
        <v>51.3675</v>
      </c>
      <c r="I505" s="309">
        <v>5.7635399999999999</v>
      </c>
      <c r="J505" s="309">
        <v>-16.315106</v>
      </c>
      <c r="K505" s="309">
        <v>-15.474975000000001</v>
      </c>
      <c r="L505" s="309">
        <v>996.11800000000005</v>
      </c>
      <c r="M505" s="309">
        <v>117.000578</v>
      </c>
      <c r="N505" s="309">
        <v>17831.14</v>
      </c>
      <c r="O505" s="309">
        <v>17819.03887</v>
      </c>
      <c r="P505" s="309">
        <v>2052.1959999999999</v>
      </c>
      <c r="Q505" s="308" t="s">
        <v>469</v>
      </c>
      <c r="R505" s="308"/>
      <c r="S505" s="309">
        <v>15</v>
      </c>
      <c r="T505" s="309">
        <v>5</v>
      </c>
      <c r="U505" s="309">
        <v>0.7</v>
      </c>
      <c r="V505" s="309">
        <v>0.7</v>
      </c>
      <c r="W505" s="309">
        <v>0.7</v>
      </c>
      <c r="X505" s="309">
        <v>1700</v>
      </c>
      <c r="Y505" s="308" t="s">
        <v>470</v>
      </c>
      <c r="Z505" s="309">
        <v>0.85</v>
      </c>
      <c r="AA505" s="308" t="s">
        <v>471</v>
      </c>
      <c r="AB505" s="308" t="s">
        <v>472</v>
      </c>
      <c r="AC505" s="311">
        <v>220</v>
      </c>
    </row>
    <row r="506" spans="1:29">
      <c r="A506" s="312" t="s">
        <v>781</v>
      </c>
      <c r="B506" s="313">
        <v>8</v>
      </c>
      <c r="C506" s="313">
        <v>511</v>
      </c>
      <c r="D506" s="313" t="s">
        <v>424</v>
      </c>
      <c r="E506" s="314">
        <v>1.5</v>
      </c>
      <c r="F506" s="315">
        <v>45226.708333333336</v>
      </c>
      <c r="G506" s="314">
        <v>1</v>
      </c>
      <c r="H506" s="314">
        <v>51.374099999999999</v>
      </c>
      <c r="I506" s="314">
        <v>5.7595799999999997</v>
      </c>
      <c r="J506" s="314">
        <v>-16.255818999999999</v>
      </c>
      <c r="K506" s="314">
        <v>-15.406694</v>
      </c>
      <c r="L506" s="314">
        <v>979.66800000000001</v>
      </c>
      <c r="M506" s="314">
        <v>121.000424</v>
      </c>
      <c r="N506" s="314">
        <v>17802.38</v>
      </c>
      <c r="O506" s="314">
        <v>17819.03887</v>
      </c>
      <c r="P506" s="314">
        <v>2052.1959999999999</v>
      </c>
      <c r="Q506" s="313" t="s">
        <v>469</v>
      </c>
      <c r="R506" s="313"/>
      <c r="S506" s="314">
        <v>15</v>
      </c>
      <c r="T506" s="314">
        <v>5</v>
      </c>
      <c r="U506" s="314">
        <v>0.7</v>
      </c>
      <c r="V506" s="314">
        <v>0.7</v>
      </c>
      <c r="W506" s="314">
        <v>0.7</v>
      </c>
      <c r="X506" s="314">
        <v>1700</v>
      </c>
      <c r="Y506" s="313" t="s">
        <v>470</v>
      </c>
      <c r="Z506" s="314">
        <v>0.85</v>
      </c>
      <c r="AA506" s="313" t="s">
        <v>471</v>
      </c>
      <c r="AB506" s="313" t="s">
        <v>472</v>
      </c>
      <c r="AC506" s="316">
        <v>220</v>
      </c>
    </row>
    <row r="507" spans="1:29">
      <c r="A507" s="307" t="s">
        <v>782</v>
      </c>
      <c r="B507" s="308">
        <v>9</v>
      </c>
      <c r="C507" s="308">
        <v>522</v>
      </c>
      <c r="D507" s="308" t="s">
        <v>425</v>
      </c>
      <c r="E507" s="309">
        <v>1.5</v>
      </c>
      <c r="F507" s="310">
        <v>45226.712500000001</v>
      </c>
      <c r="G507" s="309">
        <v>1</v>
      </c>
      <c r="H507" s="309">
        <v>51.3675</v>
      </c>
      <c r="I507" s="309">
        <v>5.8380999999999998</v>
      </c>
      <c r="J507" s="309">
        <v>-16.142263</v>
      </c>
      <c r="K507" s="309">
        <v>-15.306050000000001</v>
      </c>
      <c r="L507" s="309">
        <v>980.04399999999998</v>
      </c>
      <c r="M507" s="309">
        <v>128.99920499999999</v>
      </c>
      <c r="N507" s="309">
        <v>17834.02</v>
      </c>
      <c r="O507" s="309">
        <v>17820.006570000001</v>
      </c>
      <c r="P507" s="309">
        <v>2052.3069999999998</v>
      </c>
      <c r="Q507" s="308" t="s">
        <v>469</v>
      </c>
      <c r="R507" s="308"/>
      <c r="S507" s="309">
        <v>15</v>
      </c>
      <c r="T507" s="309">
        <v>5</v>
      </c>
      <c r="U507" s="309">
        <v>0.7</v>
      </c>
      <c r="V507" s="309">
        <v>0.7</v>
      </c>
      <c r="W507" s="309">
        <v>0.7</v>
      </c>
      <c r="X507" s="309">
        <v>1700</v>
      </c>
      <c r="Y507" s="308" t="s">
        <v>470</v>
      </c>
      <c r="Z507" s="309">
        <v>0.85</v>
      </c>
      <c r="AA507" s="308" t="s">
        <v>471</v>
      </c>
      <c r="AB507" s="308" t="s">
        <v>472</v>
      </c>
      <c r="AC507" s="311">
        <v>220</v>
      </c>
    </row>
    <row r="508" spans="1:29">
      <c r="A508" s="312" t="s">
        <v>783</v>
      </c>
      <c r="B508" s="313">
        <v>9</v>
      </c>
      <c r="C508" s="313">
        <v>522</v>
      </c>
      <c r="D508" s="313" t="s">
        <v>425</v>
      </c>
      <c r="E508" s="314">
        <v>1.5</v>
      </c>
      <c r="F508" s="315">
        <v>45226.716666666667</v>
      </c>
      <c r="G508" s="314">
        <v>1</v>
      </c>
      <c r="H508" s="314">
        <v>51.370800000000003</v>
      </c>
      <c r="I508" s="314">
        <v>5.8152200000000001</v>
      </c>
      <c r="J508" s="314">
        <v>-16.268944000000001</v>
      </c>
      <c r="K508" s="314">
        <v>-15.428825</v>
      </c>
      <c r="L508" s="314">
        <v>973.91899999999998</v>
      </c>
      <c r="M508" s="314">
        <v>123.000945</v>
      </c>
      <c r="N508" s="314">
        <v>17814.04</v>
      </c>
      <c r="O508" s="314">
        <v>17820.006570000001</v>
      </c>
      <c r="P508" s="314">
        <v>2052.3069999999998</v>
      </c>
      <c r="Q508" s="313" t="s">
        <v>469</v>
      </c>
      <c r="R508" s="313"/>
      <c r="S508" s="314">
        <v>15</v>
      </c>
      <c r="T508" s="314">
        <v>5</v>
      </c>
      <c r="U508" s="314">
        <v>0.7</v>
      </c>
      <c r="V508" s="314">
        <v>0.7</v>
      </c>
      <c r="W508" s="314">
        <v>0.7</v>
      </c>
      <c r="X508" s="314">
        <v>1700</v>
      </c>
      <c r="Y508" s="313" t="s">
        <v>470</v>
      </c>
      <c r="Z508" s="314">
        <v>0.85</v>
      </c>
      <c r="AA508" s="313" t="s">
        <v>471</v>
      </c>
      <c r="AB508" s="313" t="s">
        <v>472</v>
      </c>
      <c r="AC508" s="316">
        <v>220</v>
      </c>
    </row>
    <row r="509" spans="1:29">
      <c r="A509" s="307" t="s">
        <v>784</v>
      </c>
      <c r="B509" s="308">
        <v>9</v>
      </c>
      <c r="C509" s="308">
        <v>522</v>
      </c>
      <c r="D509" s="308" t="s">
        <v>425</v>
      </c>
      <c r="E509" s="309">
        <v>1.5</v>
      </c>
      <c r="F509" s="310">
        <v>45226.720138888886</v>
      </c>
      <c r="G509" s="309">
        <v>1</v>
      </c>
      <c r="H509" s="309">
        <v>51.370800000000003</v>
      </c>
      <c r="I509" s="309">
        <v>5.8016399999999999</v>
      </c>
      <c r="J509" s="309">
        <v>-16.316255999999999</v>
      </c>
      <c r="K509" s="309">
        <v>-15.475419</v>
      </c>
      <c r="L509" s="309">
        <v>1000.97</v>
      </c>
      <c r="M509" s="309">
        <v>113.999559</v>
      </c>
      <c r="N509" s="309">
        <v>17757.88</v>
      </c>
      <c r="O509" s="309">
        <v>17820.006570000001</v>
      </c>
      <c r="P509" s="309">
        <v>2052.3069999999998</v>
      </c>
      <c r="Q509" s="308" t="s">
        <v>542</v>
      </c>
      <c r="R509" s="308"/>
      <c r="S509" s="309">
        <v>15</v>
      </c>
      <c r="T509" s="309">
        <v>5</v>
      </c>
      <c r="U509" s="309">
        <v>0.7</v>
      </c>
      <c r="V509" s="309">
        <v>0.7</v>
      </c>
      <c r="W509" s="309">
        <v>0.7</v>
      </c>
      <c r="X509" s="309">
        <v>1700</v>
      </c>
      <c r="Y509" s="308" t="s">
        <v>470</v>
      </c>
      <c r="Z509" s="309">
        <v>0.85</v>
      </c>
      <c r="AA509" s="308" t="s">
        <v>471</v>
      </c>
      <c r="AB509" s="308" t="s">
        <v>472</v>
      </c>
      <c r="AC509" s="311">
        <v>220</v>
      </c>
    </row>
    <row r="510" spans="1:29">
      <c r="A510" s="312" t="s">
        <v>785</v>
      </c>
      <c r="B510" s="313">
        <v>9</v>
      </c>
      <c r="C510" s="313">
        <v>522</v>
      </c>
      <c r="D510" s="313" t="s">
        <v>425</v>
      </c>
      <c r="E510" s="314">
        <v>1.5</v>
      </c>
      <c r="F510" s="315">
        <v>45226.723611111112</v>
      </c>
      <c r="G510" s="314">
        <v>1</v>
      </c>
      <c r="H510" s="314">
        <v>51.370800000000003</v>
      </c>
      <c r="I510" s="314">
        <v>5.7820600000000004</v>
      </c>
      <c r="J510" s="314">
        <v>-16.285425</v>
      </c>
      <c r="K510" s="314">
        <v>-15.436605999999999</v>
      </c>
      <c r="L510" s="314">
        <v>1009.04</v>
      </c>
      <c r="M510" s="314">
        <v>115.00016100000001</v>
      </c>
      <c r="N510" s="314">
        <v>17811.96</v>
      </c>
      <c r="O510" s="314">
        <v>17820.006570000001</v>
      </c>
      <c r="P510" s="314">
        <v>2052.3069999999998</v>
      </c>
      <c r="Q510" s="313" t="s">
        <v>469</v>
      </c>
      <c r="R510" s="313"/>
      <c r="S510" s="314">
        <v>15</v>
      </c>
      <c r="T510" s="314">
        <v>5</v>
      </c>
      <c r="U510" s="314">
        <v>0.7</v>
      </c>
      <c r="V510" s="314">
        <v>0.7</v>
      </c>
      <c r="W510" s="314">
        <v>0.7</v>
      </c>
      <c r="X510" s="314">
        <v>1700</v>
      </c>
      <c r="Y510" s="313" t="s">
        <v>470</v>
      </c>
      <c r="Z510" s="314">
        <v>0.85</v>
      </c>
      <c r="AA510" s="313" t="s">
        <v>471</v>
      </c>
      <c r="AB510" s="313" t="s">
        <v>472</v>
      </c>
      <c r="AC510" s="316">
        <v>220</v>
      </c>
    </row>
    <row r="511" spans="1:29">
      <c r="A511" s="307" t="s">
        <v>689</v>
      </c>
      <c r="B511" s="308">
        <v>10</v>
      </c>
      <c r="C511" s="308">
        <v>532</v>
      </c>
      <c r="D511" s="308" t="s">
        <v>426</v>
      </c>
      <c r="E511" s="309">
        <v>1.5</v>
      </c>
      <c r="F511" s="310">
        <v>45226.727777777778</v>
      </c>
      <c r="G511" s="309">
        <v>1</v>
      </c>
      <c r="H511" s="309">
        <v>51.364100000000001</v>
      </c>
      <c r="I511" s="309">
        <v>5.6778500000000003</v>
      </c>
      <c r="J511" s="309">
        <v>-16.437006</v>
      </c>
      <c r="K511" s="309">
        <v>-15.591275</v>
      </c>
      <c r="L511" s="309">
        <v>987.93499999999995</v>
      </c>
      <c r="M511" s="309">
        <v>129.00105400000001</v>
      </c>
      <c r="N511" s="309">
        <v>17781.29</v>
      </c>
      <c r="O511" s="309">
        <v>17777.126690000001</v>
      </c>
      <c r="P511" s="309">
        <v>2047.396</v>
      </c>
      <c r="Q511" s="308" t="s">
        <v>469</v>
      </c>
      <c r="R511" s="308"/>
      <c r="S511" s="309">
        <v>15</v>
      </c>
      <c r="T511" s="309">
        <v>5</v>
      </c>
      <c r="U511" s="309">
        <v>0.7</v>
      </c>
      <c r="V511" s="309">
        <v>0.7</v>
      </c>
      <c r="W511" s="309">
        <v>0.7</v>
      </c>
      <c r="X511" s="309">
        <v>1700</v>
      </c>
      <c r="Y511" s="308" t="s">
        <v>470</v>
      </c>
      <c r="Z511" s="309">
        <v>0.85</v>
      </c>
      <c r="AA511" s="308" t="s">
        <v>471</v>
      </c>
      <c r="AB511" s="308" t="s">
        <v>472</v>
      </c>
      <c r="AC511" s="311">
        <v>220</v>
      </c>
    </row>
    <row r="512" spans="1:29">
      <c r="A512" s="312" t="s">
        <v>786</v>
      </c>
      <c r="B512" s="313">
        <v>10</v>
      </c>
      <c r="C512" s="313">
        <v>532</v>
      </c>
      <c r="D512" s="313" t="s">
        <v>426</v>
      </c>
      <c r="E512" s="314">
        <v>1.5</v>
      </c>
      <c r="F512" s="315">
        <v>45226.731249999997</v>
      </c>
      <c r="G512" s="314">
        <v>1</v>
      </c>
      <c r="H512" s="314">
        <v>51.370800000000003</v>
      </c>
      <c r="I512" s="314">
        <v>5.7203600000000003</v>
      </c>
      <c r="J512" s="314">
        <v>-16.475431</v>
      </c>
      <c r="K512" s="314">
        <v>-15.642436999999999</v>
      </c>
      <c r="L512" s="314">
        <v>997.14400000000001</v>
      </c>
      <c r="M512" s="314">
        <v>126.00081299999999</v>
      </c>
      <c r="N512" s="314">
        <v>17778.990000000002</v>
      </c>
      <c r="O512" s="314">
        <v>17777.126690000001</v>
      </c>
      <c r="P512" s="314">
        <v>2047.396</v>
      </c>
      <c r="Q512" s="313" t="s">
        <v>469</v>
      </c>
      <c r="R512" s="313"/>
      <c r="S512" s="314">
        <v>15</v>
      </c>
      <c r="T512" s="314">
        <v>5</v>
      </c>
      <c r="U512" s="314">
        <v>0.7</v>
      </c>
      <c r="V512" s="314">
        <v>0.7</v>
      </c>
      <c r="W512" s="314">
        <v>0.7</v>
      </c>
      <c r="X512" s="314">
        <v>1700</v>
      </c>
      <c r="Y512" s="313" t="s">
        <v>470</v>
      </c>
      <c r="Z512" s="314">
        <v>0.85</v>
      </c>
      <c r="AA512" s="313" t="s">
        <v>471</v>
      </c>
      <c r="AB512" s="313" t="s">
        <v>472</v>
      </c>
      <c r="AC512" s="316">
        <v>220</v>
      </c>
    </row>
    <row r="513" spans="1:29">
      <c r="A513" s="307" t="s">
        <v>787</v>
      </c>
      <c r="B513" s="308">
        <v>10</v>
      </c>
      <c r="C513" s="308">
        <v>532</v>
      </c>
      <c r="D513" s="308" t="s">
        <v>426</v>
      </c>
      <c r="E513" s="309">
        <v>1.5</v>
      </c>
      <c r="F513" s="310">
        <v>45226.734722222223</v>
      </c>
      <c r="G513" s="309">
        <v>1</v>
      </c>
      <c r="H513" s="309">
        <v>51.374099999999999</v>
      </c>
      <c r="I513" s="309">
        <v>5.7041000000000004</v>
      </c>
      <c r="J513" s="309">
        <v>-16.402737999999999</v>
      </c>
      <c r="K513" s="309">
        <v>-15.567225000000001</v>
      </c>
      <c r="L513" s="309">
        <v>1010.36</v>
      </c>
      <c r="M513" s="309">
        <v>121.500956</v>
      </c>
      <c r="N513" s="309">
        <v>17938.29</v>
      </c>
      <c r="O513" s="309">
        <v>17777.126690000001</v>
      </c>
      <c r="P513" s="309">
        <v>2047.396</v>
      </c>
      <c r="Q513" s="308" t="s">
        <v>542</v>
      </c>
      <c r="R513" s="308"/>
      <c r="S513" s="309">
        <v>15</v>
      </c>
      <c r="T513" s="309">
        <v>5</v>
      </c>
      <c r="U513" s="309">
        <v>0.7</v>
      </c>
      <c r="V513" s="309">
        <v>0.7</v>
      </c>
      <c r="W513" s="309">
        <v>0.7</v>
      </c>
      <c r="X513" s="309">
        <v>1700</v>
      </c>
      <c r="Y513" s="308" t="s">
        <v>470</v>
      </c>
      <c r="Z513" s="309">
        <v>0.85</v>
      </c>
      <c r="AA513" s="308" t="s">
        <v>471</v>
      </c>
      <c r="AB513" s="308" t="s">
        <v>472</v>
      </c>
      <c r="AC513" s="311">
        <v>220</v>
      </c>
    </row>
    <row r="514" spans="1:29">
      <c r="A514" s="312" t="s">
        <v>788</v>
      </c>
      <c r="B514" s="313">
        <v>10</v>
      </c>
      <c r="C514" s="313">
        <v>532</v>
      </c>
      <c r="D514" s="313" t="s">
        <v>426</v>
      </c>
      <c r="E514" s="314">
        <v>1.5</v>
      </c>
      <c r="F514" s="315">
        <v>45226.738194444442</v>
      </c>
      <c r="G514" s="314">
        <v>1</v>
      </c>
      <c r="H514" s="314">
        <v>51.370800000000003</v>
      </c>
      <c r="I514" s="314">
        <v>5.77996</v>
      </c>
      <c r="J514" s="314">
        <v>-16.401875</v>
      </c>
      <c r="K514" s="314">
        <v>-15.553863</v>
      </c>
      <c r="L514" s="314">
        <v>1018.33</v>
      </c>
      <c r="M514" s="314">
        <v>119.000978</v>
      </c>
      <c r="N514" s="314">
        <v>17924.97</v>
      </c>
      <c r="O514" s="314">
        <v>17777.126690000001</v>
      </c>
      <c r="P514" s="314">
        <v>2047.396</v>
      </c>
      <c r="Q514" s="313" t="s">
        <v>542</v>
      </c>
      <c r="R514" s="313"/>
      <c r="S514" s="314">
        <v>15</v>
      </c>
      <c r="T514" s="314">
        <v>5</v>
      </c>
      <c r="U514" s="314">
        <v>0.7</v>
      </c>
      <c r="V514" s="314">
        <v>0.7</v>
      </c>
      <c r="W514" s="314">
        <v>0.7</v>
      </c>
      <c r="X514" s="314">
        <v>1700</v>
      </c>
      <c r="Y514" s="313" t="s">
        <v>470</v>
      </c>
      <c r="Z514" s="314">
        <v>0.85</v>
      </c>
      <c r="AA514" s="313" t="s">
        <v>471</v>
      </c>
      <c r="AB514" s="313" t="s">
        <v>472</v>
      </c>
      <c r="AC514" s="316">
        <v>220</v>
      </c>
    </row>
    <row r="515" spans="1:29">
      <c r="A515" s="307" t="s">
        <v>789</v>
      </c>
      <c r="B515" s="308">
        <v>10</v>
      </c>
      <c r="C515" s="308">
        <v>532</v>
      </c>
      <c r="D515" s="308" t="s">
        <v>426</v>
      </c>
      <c r="E515" s="309">
        <v>1.5</v>
      </c>
      <c r="F515" s="310">
        <v>45226.741666666669</v>
      </c>
      <c r="G515" s="309">
        <v>1</v>
      </c>
      <c r="H515" s="309">
        <v>51.370800000000003</v>
      </c>
      <c r="I515" s="309">
        <v>5.77583</v>
      </c>
      <c r="J515" s="309">
        <v>-16.413606000000001</v>
      </c>
      <c r="K515" s="309">
        <v>-15.570769</v>
      </c>
      <c r="L515" s="309">
        <v>987.04600000000005</v>
      </c>
      <c r="M515" s="309">
        <v>124.00066700000001</v>
      </c>
      <c r="N515" s="309">
        <v>17771.099999999999</v>
      </c>
      <c r="O515" s="309">
        <v>17777.126690000001</v>
      </c>
      <c r="P515" s="309">
        <v>2047.396</v>
      </c>
      <c r="Q515" s="308" t="s">
        <v>469</v>
      </c>
      <c r="R515" s="308"/>
      <c r="S515" s="309">
        <v>15</v>
      </c>
      <c r="T515" s="309">
        <v>5</v>
      </c>
      <c r="U515" s="309">
        <v>0.7</v>
      </c>
      <c r="V515" s="309">
        <v>0.7</v>
      </c>
      <c r="W515" s="309">
        <v>0.7</v>
      </c>
      <c r="X515" s="309">
        <v>1700</v>
      </c>
      <c r="Y515" s="308" t="s">
        <v>470</v>
      </c>
      <c r="Z515" s="309">
        <v>0.85</v>
      </c>
      <c r="AA515" s="308" t="s">
        <v>471</v>
      </c>
      <c r="AB515" s="308" t="s">
        <v>472</v>
      </c>
      <c r="AC515" s="311">
        <v>220</v>
      </c>
    </row>
    <row r="516" spans="1:29">
      <c r="A516" s="319" t="s">
        <v>790</v>
      </c>
      <c r="B516" s="320">
        <v>11</v>
      </c>
      <c r="C516" s="320" t="s">
        <v>760</v>
      </c>
      <c r="D516" s="320" t="s">
        <v>468</v>
      </c>
      <c r="E516" s="321">
        <v>1.5</v>
      </c>
      <c r="F516" s="322">
        <v>45226.745833333334</v>
      </c>
      <c r="G516" s="321">
        <v>1</v>
      </c>
      <c r="H516" s="321">
        <v>51.370800000000003</v>
      </c>
      <c r="I516" s="321">
        <v>5.7948700000000004</v>
      </c>
      <c r="J516" s="321">
        <v>-16.223718999999999</v>
      </c>
      <c r="K516" s="321">
        <v>-15.381012999999999</v>
      </c>
      <c r="L516" s="321">
        <v>987.74099999999999</v>
      </c>
      <c r="M516" s="321">
        <v>112.99976100000001</v>
      </c>
      <c r="N516" s="321">
        <v>17885.240000000002</v>
      </c>
      <c r="O516" s="321">
        <v>17911.34807</v>
      </c>
      <c r="P516" s="321">
        <v>2062.7689999999998</v>
      </c>
      <c r="Q516" s="320" t="s">
        <v>542</v>
      </c>
      <c r="R516" s="320"/>
      <c r="S516" s="321">
        <v>15</v>
      </c>
      <c r="T516" s="321">
        <v>5</v>
      </c>
      <c r="U516" s="321">
        <v>0.7</v>
      </c>
      <c r="V516" s="321">
        <v>0.7</v>
      </c>
      <c r="W516" s="321">
        <v>0.7</v>
      </c>
      <c r="X516" s="321">
        <v>1700</v>
      </c>
      <c r="Y516" s="320" t="s">
        <v>470</v>
      </c>
      <c r="Z516" s="321">
        <v>0.85</v>
      </c>
      <c r="AA516" s="320" t="s">
        <v>471</v>
      </c>
      <c r="AB516" s="320" t="s">
        <v>472</v>
      </c>
      <c r="AC516" s="323">
        <v>220</v>
      </c>
    </row>
    <row r="517" spans="1:29">
      <c r="A517" s="307" t="s">
        <v>791</v>
      </c>
      <c r="B517" s="308">
        <v>11</v>
      </c>
      <c r="C517" s="308" t="s">
        <v>760</v>
      </c>
      <c r="D517" s="308" t="s">
        <v>468</v>
      </c>
      <c r="E517" s="309">
        <v>1.5</v>
      </c>
      <c r="F517" s="310">
        <v>45226.749305555553</v>
      </c>
      <c r="G517" s="309">
        <v>1</v>
      </c>
      <c r="H517" s="309">
        <v>51.370800000000003</v>
      </c>
      <c r="I517" s="309">
        <v>5.7450599999999996</v>
      </c>
      <c r="J517" s="309">
        <v>-16.399469</v>
      </c>
      <c r="K517" s="309">
        <v>-15.555</v>
      </c>
      <c r="L517" s="309">
        <v>995.25300000000004</v>
      </c>
      <c r="M517" s="309">
        <v>120.50133599999999</v>
      </c>
      <c r="N517" s="309">
        <v>17922.64</v>
      </c>
      <c r="O517" s="309">
        <v>17911.34807</v>
      </c>
      <c r="P517" s="309">
        <v>2062.7689999999998</v>
      </c>
      <c r="Q517" s="308" t="s">
        <v>469</v>
      </c>
      <c r="R517" s="308"/>
      <c r="S517" s="309">
        <v>15</v>
      </c>
      <c r="T517" s="309">
        <v>5</v>
      </c>
      <c r="U517" s="309">
        <v>0.7</v>
      </c>
      <c r="V517" s="309">
        <v>0.7</v>
      </c>
      <c r="W517" s="309">
        <v>0.7</v>
      </c>
      <c r="X517" s="309">
        <v>1700</v>
      </c>
      <c r="Y517" s="308" t="s">
        <v>470</v>
      </c>
      <c r="Z517" s="309">
        <v>0.85</v>
      </c>
      <c r="AA517" s="308" t="s">
        <v>471</v>
      </c>
      <c r="AB517" s="308" t="s">
        <v>472</v>
      </c>
      <c r="AC517" s="311">
        <v>220</v>
      </c>
    </row>
    <row r="518" spans="1:29">
      <c r="A518" s="312" t="s">
        <v>792</v>
      </c>
      <c r="B518" s="313">
        <v>11</v>
      </c>
      <c r="C518" s="313" t="s">
        <v>760</v>
      </c>
      <c r="D518" s="313" t="s">
        <v>468</v>
      </c>
      <c r="E518" s="314">
        <v>1.5</v>
      </c>
      <c r="F518" s="315">
        <v>45226.75277777778</v>
      </c>
      <c r="G518" s="314">
        <v>1</v>
      </c>
      <c r="H518" s="314">
        <v>51.374099999999999</v>
      </c>
      <c r="I518" s="314">
        <v>5.7497999999999996</v>
      </c>
      <c r="J518" s="314">
        <v>-16.464119</v>
      </c>
      <c r="K518" s="314">
        <v>-15.618944000000001</v>
      </c>
      <c r="L518" s="314">
        <v>999.245</v>
      </c>
      <c r="M518" s="314">
        <v>120.500361</v>
      </c>
      <c r="N518" s="314">
        <v>17903.689999999999</v>
      </c>
      <c r="O518" s="314">
        <v>17911.34807</v>
      </c>
      <c r="P518" s="314">
        <v>2062.7689999999998</v>
      </c>
      <c r="Q518" s="313" t="s">
        <v>469</v>
      </c>
      <c r="R518" s="313"/>
      <c r="S518" s="314">
        <v>15</v>
      </c>
      <c r="T518" s="314">
        <v>5</v>
      </c>
      <c r="U518" s="314">
        <v>0.7</v>
      </c>
      <c r="V518" s="314">
        <v>0.7</v>
      </c>
      <c r="W518" s="314">
        <v>0.7</v>
      </c>
      <c r="X518" s="314">
        <v>1700</v>
      </c>
      <c r="Y518" s="313" t="s">
        <v>470</v>
      </c>
      <c r="Z518" s="314">
        <v>0.85</v>
      </c>
      <c r="AA518" s="313" t="s">
        <v>471</v>
      </c>
      <c r="AB518" s="313" t="s">
        <v>472</v>
      </c>
      <c r="AC518" s="316">
        <v>220</v>
      </c>
    </row>
    <row r="519" spans="1:29">
      <c r="A519" s="307" t="s">
        <v>793</v>
      </c>
      <c r="B519" s="308">
        <v>11</v>
      </c>
      <c r="C519" s="308" t="s">
        <v>760</v>
      </c>
      <c r="D519" s="308" t="s">
        <v>468</v>
      </c>
      <c r="E519" s="309">
        <v>1.5</v>
      </c>
      <c r="F519" s="310">
        <v>45226.756249999999</v>
      </c>
      <c r="G519" s="309">
        <v>1</v>
      </c>
      <c r="H519" s="309">
        <v>51.370800000000003</v>
      </c>
      <c r="I519" s="309">
        <v>5.7463699999999998</v>
      </c>
      <c r="J519" s="309">
        <v>-16.476413000000001</v>
      </c>
      <c r="K519" s="309">
        <v>-15.631981</v>
      </c>
      <c r="L519" s="309">
        <v>999.18399999999997</v>
      </c>
      <c r="M519" s="309">
        <v>121.501586</v>
      </c>
      <c r="N519" s="309">
        <v>17907.72</v>
      </c>
      <c r="O519" s="309">
        <v>17911.34807</v>
      </c>
      <c r="P519" s="309">
        <v>2062.7689999999998</v>
      </c>
      <c r="Q519" s="308" t="s">
        <v>469</v>
      </c>
      <c r="R519" s="308"/>
      <c r="S519" s="309">
        <v>15</v>
      </c>
      <c r="T519" s="309">
        <v>5</v>
      </c>
      <c r="U519" s="309">
        <v>0.7</v>
      </c>
      <c r="V519" s="309">
        <v>0.7</v>
      </c>
      <c r="W519" s="309">
        <v>0.7</v>
      </c>
      <c r="X519" s="309">
        <v>1700</v>
      </c>
      <c r="Y519" s="308" t="s">
        <v>470</v>
      </c>
      <c r="Z519" s="309">
        <v>0.85</v>
      </c>
      <c r="AA519" s="308" t="s">
        <v>471</v>
      </c>
      <c r="AB519" s="308" t="s">
        <v>472</v>
      </c>
      <c r="AC519" s="311">
        <v>220</v>
      </c>
    </row>
    <row r="520" spans="1:29">
      <c r="A520" s="312" t="s">
        <v>794</v>
      </c>
      <c r="B520" s="313">
        <v>12</v>
      </c>
      <c r="C520" s="313">
        <v>423</v>
      </c>
      <c r="D520" s="313" t="s">
        <v>419</v>
      </c>
      <c r="E520" s="314">
        <v>1.5</v>
      </c>
      <c r="F520" s="315">
        <v>45226.760416666664</v>
      </c>
      <c r="G520" s="314">
        <v>1</v>
      </c>
      <c r="H520" s="314">
        <v>51.374099999999999</v>
      </c>
      <c r="I520" s="314">
        <v>5.72004</v>
      </c>
      <c r="J520" s="314">
        <v>-16.503855999999999</v>
      </c>
      <c r="K520" s="314">
        <v>-15.665569</v>
      </c>
      <c r="L520" s="314">
        <v>1000.38</v>
      </c>
      <c r="M520" s="314">
        <v>123.99954200000001</v>
      </c>
      <c r="N520" s="314">
        <v>17726.29</v>
      </c>
      <c r="O520" s="314">
        <v>17732.450280000001</v>
      </c>
      <c r="P520" s="314">
        <v>2042.279</v>
      </c>
      <c r="Q520" s="313" t="s">
        <v>469</v>
      </c>
      <c r="R520" s="313"/>
      <c r="S520" s="314">
        <v>15</v>
      </c>
      <c r="T520" s="314">
        <v>5</v>
      </c>
      <c r="U520" s="314">
        <v>0.7</v>
      </c>
      <c r="V520" s="314">
        <v>0.7</v>
      </c>
      <c r="W520" s="314">
        <v>0.7</v>
      </c>
      <c r="X520" s="314">
        <v>1700</v>
      </c>
      <c r="Y520" s="313" t="s">
        <v>470</v>
      </c>
      <c r="Z520" s="314">
        <v>0.85</v>
      </c>
      <c r="AA520" s="313" t="s">
        <v>471</v>
      </c>
      <c r="AB520" s="313" t="s">
        <v>472</v>
      </c>
      <c r="AC520" s="316">
        <v>220</v>
      </c>
    </row>
    <row r="521" spans="1:29">
      <c r="A521" s="307" t="s">
        <v>795</v>
      </c>
      <c r="B521" s="308">
        <v>12</v>
      </c>
      <c r="C521" s="308">
        <v>423</v>
      </c>
      <c r="D521" s="308" t="s">
        <v>419</v>
      </c>
      <c r="E521" s="309">
        <v>1.5</v>
      </c>
      <c r="F521" s="310">
        <v>45226.76458333333</v>
      </c>
      <c r="G521" s="309">
        <v>1</v>
      </c>
      <c r="H521" s="309">
        <v>51.3675</v>
      </c>
      <c r="I521" s="309">
        <v>5.6938700000000004</v>
      </c>
      <c r="J521" s="309">
        <v>-16.450644</v>
      </c>
      <c r="K521" s="309">
        <v>-15.616937999999999</v>
      </c>
      <c r="L521" s="309">
        <v>1004.79</v>
      </c>
      <c r="M521" s="309">
        <v>114.500928</v>
      </c>
      <c r="N521" s="309">
        <v>17783.71</v>
      </c>
      <c r="O521" s="309">
        <v>17732.450280000001</v>
      </c>
      <c r="P521" s="309">
        <v>2042.279</v>
      </c>
      <c r="Q521" s="308" t="s">
        <v>542</v>
      </c>
      <c r="R521" s="308"/>
      <c r="S521" s="309">
        <v>15</v>
      </c>
      <c r="T521" s="309">
        <v>5</v>
      </c>
      <c r="U521" s="309">
        <v>0.7</v>
      </c>
      <c r="V521" s="309">
        <v>0.7</v>
      </c>
      <c r="W521" s="309">
        <v>0.7</v>
      </c>
      <c r="X521" s="309">
        <v>1700</v>
      </c>
      <c r="Y521" s="308" t="s">
        <v>470</v>
      </c>
      <c r="Z521" s="309">
        <v>0.85</v>
      </c>
      <c r="AA521" s="308" t="s">
        <v>471</v>
      </c>
      <c r="AB521" s="308" t="s">
        <v>472</v>
      </c>
      <c r="AC521" s="311">
        <v>220</v>
      </c>
    </row>
    <row r="522" spans="1:29">
      <c r="A522" s="312" t="s">
        <v>796</v>
      </c>
      <c r="B522" s="313">
        <v>12</v>
      </c>
      <c r="C522" s="313">
        <v>423</v>
      </c>
      <c r="D522" s="313" t="s">
        <v>419</v>
      </c>
      <c r="E522" s="314">
        <v>1.5</v>
      </c>
      <c r="F522" s="315">
        <v>45226.768055555556</v>
      </c>
      <c r="G522" s="314">
        <v>1</v>
      </c>
      <c r="H522" s="314">
        <v>51.370800000000003</v>
      </c>
      <c r="I522" s="314">
        <v>5.6884699999999997</v>
      </c>
      <c r="J522" s="314">
        <v>-16.378944000000001</v>
      </c>
      <c r="K522" s="314">
        <v>-15.543537000000001</v>
      </c>
      <c r="L522" s="314">
        <v>994.46699999999998</v>
      </c>
      <c r="M522" s="314">
        <v>113.000817</v>
      </c>
      <c r="N522" s="314">
        <v>17746.2</v>
      </c>
      <c r="O522" s="314">
        <v>17732.450280000001</v>
      </c>
      <c r="P522" s="314">
        <v>2042.279</v>
      </c>
      <c r="Q522" s="313" t="s">
        <v>469</v>
      </c>
      <c r="R522" s="313"/>
      <c r="S522" s="314">
        <v>15</v>
      </c>
      <c r="T522" s="314">
        <v>5</v>
      </c>
      <c r="U522" s="314">
        <v>0.7</v>
      </c>
      <c r="V522" s="314">
        <v>0.7</v>
      </c>
      <c r="W522" s="314">
        <v>0.7</v>
      </c>
      <c r="X522" s="314">
        <v>1700</v>
      </c>
      <c r="Y522" s="313" t="s">
        <v>470</v>
      </c>
      <c r="Z522" s="314">
        <v>0.85</v>
      </c>
      <c r="AA522" s="313" t="s">
        <v>471</v>
      </c>
      <c r="AB522" s="313" t="s">
        <v>472</v>
      </c>
      <c r="AC522" s="316">
        <v>220</v>
      </c>
    </row>
    <row r="523" spans="1:29">
      <c r="A523" s="307" t="s">
        <v>797</v>
      </c>
      <c r="B523" s="308">
        <v>12</v>
      </c>
      <c r="C523" s="308">
        <v>423</v>
      </c>
      <c r="D523" s="308" t="s">
        <v>419</v>
      </c>
      <c r="E523" s="309">
        <v>1.5</v>
      </c>
      <c r="F523" s="310">
        <v>45226.771527777775</v>
      </c>
      <c r="G523" s="309">
        <v>1</v>
      </c>
      <c r="H523" s="309">
        <v>51.370800000000003</v>
      </c>
      <c r="I523" s="309">
        <v>5.6966599999999996</v>
      </c>
      <c r="J523" s="309">
        <v>-16.499662000000001</v>
      </c>
      <c r="K523" s="309">
        <v>-15.6564</v>
      </c>
      <c r="L523" s="309">
        <v>997.178</v>
      </c>
      <c r="M523" s="309">
        <v>121.49955300000001</v>
      </c>
      <c r="N523" s="309">
        <v>17780.43</v>
      </c>
      <c r="O523" s="309">
        <v>17732.450280000001</v>
      </c>
      <c r="P523" s="309">
        <v>2042.279</v>
      </c>
      <c r="Q523" s="308" t="s">
        <v>542</v>
      </c>
      <c r="R523" s="308"/>
      <c r="S523" s="309">
        <v>15</v>
      </c>
      <c r="T523" s="309">
        <v>5</v>
      </c>
      <c r="U523" s="309">
        <v>0.7</v>
      </c>
      <c r="V523" s="309">
        <v>0.7</v>
      </c>
      <c r="W523" s="309">
        <v>0.7</v>
      </c>
      <c r="X523" s="309">
        <v>1700</v>
      </c>
      <c r="Y523" s="308" t="s">
        <v>470</v>
      </c>
      <c r="Z523" s="309">
        <v>0.85</v>
      </c>
      <c r="AA523" s="308" t="s">
        <v>471</v>
      </c>
      <c r="AB523" s="308" t="s">
        <v>472</v>
      </c>
      <c r="AC523" s="311">
        <v>220</v>
      </c>
    </row>
    <row r="524" spans="1:29">
      <c r="A524" s="312" t="s">
        <v>798</v>
      </c>
      <c r="B524" s="313">
        <v>12</v>
      </c>
      <c r="C524" s="313">
        <v>423</v>
      </c>
      <c r="D524" s="313" t="s">
        <v>419</v>
      </c>
      <c r="E524" s="314">
        <v>1.5</v>
      </c>
      <c r="F524" s="315">
        <v>45226.775000000001</v>
      </c>
      <c r="G524" s="314">
        <v>1</v>
      </c>
      <c r="H524" s="314">
        <v>51.370800000000003</v>
      </c>
      <c r="I524" s="314">
        <v>5.7021199999999999</v>
      </c>
      <c r="J524" s="314">
        <v>-16.47315</v>
      </c>
      <c r="K524" s="314">
        <v>-15.633175</v>
      </c>
      <c r="L524" s="314">
        <v>995.26099999999997</v>
      </c>
      <c r="M524" s="314">
        <v>123.499202</v>
      </c>
      <c r="N524" s="314">
        <v>17724.86</v>
      </c>
      <c r="O524" s="314">
        <v>17732.450280000001</v>
      </c>
      <c r="P524" s="314">
        <v>2042.279</v>
      </c>
      <c r="Q524" s="313" t="s">
        <v>469</v>
      </c>
      <c r="R524" s="313"/>
      <c r="S524" s="314">
        <v>15</v>
      </c>
      <c r="T524" s="314">
        <v>5</v>
      </c>
      <c r="U524" s="314">
        <v>0.7</v>
      </c>
      <c r="V524" s="314">
        <v>0.7</v>
      </c>
      <c r="W524" s="314">
        <v>0.7</v>
      </c>
      <c r="X524" s="314">
        <v>1700</v>
      </c>
      <c r="Y524" s="313" t="s">
        <v>470</v>
      </c>
      <c r="Z524" s="314">
        <v>0.85</v>
      </c>
      <c r="AA524" s="313" t="s">
        <v>471</v>
      </c>
      <c r="AB524" s="313" t="s">
        <v>472</v>
      </c>
      <c r="AC524" s="316">
        <v>220</v>
      </c>
    </row>
    <row r="525" spans="1:29">
      <c r="A525" s="307" t="s">
        <v>799</v>
      </c>
      <c r="B525" s="308">
        <v>13</v>
      </c>
      <c r="C525" s="308">
        <v>434</v>
      </c>
      <c r="D525" s="308" t="s">
        <v>420</v>
      </c>
      <c r="E525" s="309">
        <v>1.5</v>
      </c>
      <c r="F525" s="310">
        <v>45226.779166666667</v>
      </c>
      <c r="G525" s="309">
        <v>1</v>
      </c>
      <c r="H525" s="309">
        <v>51.370800000000003</v>
      </c>
      <c r="I525" s="309">
        <v>5.6475799999999996</v>
      </c>
      <c r="J525" s="309">
        <v>-16.660274999999999</v>
      </c>
      <c r="K525" s="309">
        <v>-15.815918999999999</v>
      </c>
      <c r="L525" s="309">
        <v>1010.18</v>
      </c>
      <c r="M525" s="309">
        <v>130.00013799999999</v>
      </c>
      <c r="N525" s="309">
        <v>17916.11</v>
      </c>
      <c r="O525" s="309">
        <v>17806.109280000001</v>
      </c>
      <c r="P525" s="309">
        <v>2050.7159999999999</v>
      </c>
      <c r="Q525" s="308" t="s">
        <v>542</v>
      </c>
      <c r="R525" s="308"/>
      <c r="S525" s="309">
        <v>15</v>
      </c>
      <c r="T525" s="309">
        <v>5</v>
      </c>
      <c r="U525" s="309">
        <v>0.7</v>
      </c>
      <c r="V525" s="309">
        <v>0.7</v>
      </c>
      <c r="W525" s="309">
        <v>0.7</v>
      </c>
      <c r="X525" s="309">
        <v>1700</v>
      </c>
      <c r="Y525" s="308" t="s">
        <v>470</v>
      </c>
      <c r="Z525" s="309">
        <v>0.85</v>
      </c>
      <c r="AA525" s="308" t="s">
        <v>471</v>
      </c>
      <c r="AB525" s="308" t="s">
        <v>472</v>
      </c>
      <c r="AC525" s="311">
        <v>220</v>
      </c>
    </row>
    <row r="526" spans="1:29">
      <c r="A526" s="312" t="s">
        <v>800</v>
      </c>
      <c r="B526" s="313">
        <v>13</v>
      </c>
      <c r="C526" s="313">
        <v>434</v>
      </c>
      <c r="D526" s="313" t="s">
        <v>420</v>
      </c>
      <c r="E526" s="314">
        <v>1.5</v>
      </c>
      <c r="F526" s="315">
        <v>45226.782638888886</v>
      </c>
      <c r="G526" s="314">
        <v>1</v>
      </c>
      <c r="H526" s="314">
        <v>51.3675</v>
      </c>
      <c r="I526" s="314">
        <v>5.7071699999999996</v>
      </c>
      <c r="J526" s="314">
        <v>-16.566262999999999</v>
      </c>
      <c r="K526" s="314">
        <v>-15.735775</v>
      </c>
      <c r="L526" s="314">
        <v>992.79700000000003</v>
      </c>
      <c r="M526" s="314">
        <v>129.499516</v>
      </c>
      <c r="N526" s="314">
        <v>17786.66</v>
      </c>
      <c r="O526" s="314">
        <v>17806.109280000001</v>
      </c>
      <c r="P526" s="314">
        <v>2050.7159999999999</v>
      </c>
      <c r="Q526" s="313" t="s">
        <v>469</v>
      </c>
      <c r="R526" s="313"/>
      <c r="S526" s="314">
        <v>15</v>
      </c>
      <c r="T526" s="314">
        <v>5</v>
      </c>
      <c r="U526" s="314">
        <v>0.7</v>
      </c>
      <c r="V526" s="314">
        <v>0.7</v>
      </c>
      <c r="W526" s="314">
        <v>0.7</v>
      </c>
      <c r="X526" s="314">
        <v>1700</v>
      </c>
      <c r="Y526" s="313" t="s">
        <v>470</v>
      </c>
      <c r="Z526" s="314">
        <v>0.85</v>
      </c>
      <c r="AA526" s="313" t="s">
        <v>471</v>
      </c>
      <c r="AB526" s="313" t="s">
        <v>472</v>
      </c>
      <c r="AC526" s="316">
        <v>220</v>
      </c>
    </row>
    <row r="527" spans="1:29">
      <c r="A527" s="307" t="s">
        <v>801</v>
      </c>
      <c r="B527" s="308">
        <v>13</v>
      </c>
      <c r="C527" s="308">
        <v>434</v>
      </c>
      <c r="D527" s="308" t="s">
        <v>420</v>
      </c>
      <c r="E527" s="309">
        <v>1.5</v>
      </c>
      <c r="F527" s="310">
        <v>45226.786111111112</v>
      </c>
      <c r="G527" s="309">
        <v>1</v>
      </c>
      <c r="H527" s="309">
        <v>51.3675</v>
      </c>
      <c r="I527" s="309">
        <v>5.6789699999999996</v>
      </c>
      <c r="J527" s="309">
        <v>-16.600375</v>
      </c>
      <c r="K527" s="309">
        <v>-15.760643999999999</v>
      </c>
      <c r="L527" s="309">
        <v>1005.82</v>
      </c>
      <c r="M527" s="309">
        <v>126.00086899999999</v>
      </c>
      <c r="N527" s="309">
        <v>17896.21</v>
      </c>
      <c r="O527" s="309">
        <v>17806.109280000001</v>
      </c>
      <c r="P527" s="309">
        <v>2050.7159999999999</v>
      </c>
      <c r="Q527" s="308" t="s">
        <v>542</v>
      </c>
      <c r="R527" s="308"/>
      <c r="S527" s="309">
        <v>15</v>
      </c>
      <c r="T527" s="309">
        <v>5</v>
      </c>
      <c r="U527" s="309">
        <v>0.7</v>
      </c>
      <c r="V527" s="309">
        <v>0.7</v>
      </c>
      <c r="W527" s="309">
        <v>0.7</v>
      </c>
      <c r="X527" s="309">
        <v>1700</v>
      </c>
      <c r="Y527" s="308" t="s">
        <v>470</v>
      </c>
      <c r="Z527" s="309">
        <v>0.85</v>
      </c>
      <c r="AA527" s="308" t="s">
        <v>471</v>
      </c>
      <c r="AB527" s="308" t="s">
        <v>472</v>
      </c>
      <c r="AC527" s="311">
        <v>220</v>
      </c>
    </row>
    <row r="528" spans="1:29">
      <c r="A528" s="312" t="s">
        <v>802</v>
      </c>
      <c r="B528" s="313">
        <v>13</v>
      </c>
      <c r="C528" s="313">
        <v>434</v>
      </c>
      <c r="D528" s="313" t="s">
        <v>420</v>
      </c>
      <c r="E528" s="314">
        <v>1.5</v>
      </c>
      <c r="F528" s="315">
        <v>45226.789583333331</v>
      </c>
      <c r="G528" s="314">
        <v>1</v>
      </c>
      <c r="H528" s="314">
        <v>51.374099999999999</v>
      </c>
      <c r="I528" s="314">
        <v>5.6739800000000002</v>
      </c>
      <c r="J528" s="314">
        <v>-16.532012999999999</v>
      </c>
      <c r="K528" s="314">
        <v>-15.707363000000001</v>
      </c>
      <c r="L528" s="314">
        <v>984.37599999999998</v>
      </c>
      <c r="M528" s="314">
        <v>117.99991199999999</v>
      </c>
      <c r="N528" s="314">
        <v>17818.8</v>
      </c>
      <c r="O528" s="314">
        <v>17806.109280000001</v>
      </c>
      <c r="P528" s="314">
        <v>2050.7159999999999</v>
      </c>
      <c r="Q528" s="313" t="s">
        <v>469</v>
      </c>
      <c r="R528" s="313"/>
      <c r="S528" s="314">
        <v>15</v>
      </c>
      <c r="T528" s="314">
        <v>5</v>
      </c>
      <c r="U528" s="314">
        <v>0.7</v>
      </c>
      <c r="V528" s="314">
        <v>0.7</v>
      </c>
      <c r="W528" s="314">
        <v>0.7</v>
      </c>
      <c r="X528" s="314">
        <v>1700</v>
      </c>
      <c r="Y528" s="313" t="s">
        <v>470</v>
      </c>
      <c r="Z528" s="314">
        <v>0.85</v>
      </c>
      <c r="AA528" s="313" t="s">
        <v>471</v>
      </c>
      <c r="AB528" s="313" t="s">
        <v>472</v>
      </c>
      <c r="AC528" s="316">
        <v>220</v>
      </c>
    </row>
    <row r="529" spans="1:29">
      <c r="A529" s="307" t="s">
        <v>803</v>
      </c>
      <c r="B529" s="308">
        <v>13</v>
      </c>
      <c r="C529" s="308">
        <v>434</v>
      </c>
      <c r="D529" s="308" t="s">
        <v>420</v>
      </c>
      <c r="E529" s="309">
        <v>1.5</v>
      </c>
      <c r="F529" s="310">
        <v>45226.793055555558</v>
      </c>
      <c r="G529" s="309">
        <v>1</v>
      </c>
      <c r="H529" s="309">
        <v>51.3675</v>
      </c>
      <c r="I529" s="309">
        <v>5.6661599999999996</v>
      </c>
      <c r="J529" s="309">
        <v>-16.574413</v>
      </c>
      <c r="K529" s="309">
        <v>-15.737188</v>
      </c>
      <c r="L529" s="309">
        <v>989.46600000000001</v>
      </c>
      <c r="M529" s="309">
        <v>121.999415</v>
      </c>
      <c r="N529" s="309">
        <v>17812.87</v>
      </c>
      <c r="O529" s="309">
        <v>17806.109280000001</v>
      </c>
      <c r="P529" s="309">
        <v>2050.7159999999999</v>
      </c>
      <c r="Q529" s="308" t="s">
        <v>469</v>
      </c>
      <c r="R529" s="308"/>
      <c r="S529" s="309">
        <v>15</v>
      </c>
      <c r="T529" s="309">
        <v>5</v>
      </c>
      <c r="U529" s="309">
        <v>0.7</v>
      </c>
      <c r="V529" s="309">
        <v>0.7</v>
      </c>
      <c r="W529" s="309">
        <v>0.7</v>
      </c>
      <c r="X529" s="309">
        <v>1700</v>
      </c>
      <c r="Y529" s="308" t="s">
        <v>470</v>
      </c>
      <c r="Z529" s="309">
        <v>0.85</v>
      </c>
      <c r="AA529" s="308" t="s">
        <v>471</v>
      </c>
      <c r="AB529" s="308" t="s">
        <v>472</v>
      </c>
      <c r="AC529" s="311">
        <v>220</v>
      </c>
    </row>
    <row r="530" spans="1:29">
      <c r="A530" s="312" t="s">
        <v>804</v>
      </c>
      <c r="B530" s="313">
        <v>14</v>
      </c>
      <c r="C530" s="313"/>
      <c r="D530" s="313" t="s">
        <v>421</v>
      </c>
      <c r="E530" s="314">
        <v>1.5</v>
      </c>
      <c r="F530" s="315">
        <v>45226.797222222223</v>
      </c>
      <c r="G530" s="314">
        <v>1</v>
      </c>
      <c r="H530" s="314">
        <v>51.370800000000003</v>
      </c>
      <c r="I530" s="314">
        <v>5.6666100000000004</v>
      </c>
      <c r="J530" s="314">
        <v>-16.576194000000001</v>
      </c>
      <c r="K530" s="314">
        <v>-15.734268999999999</v>
      </c>
      <c r="L530" s="314">
        <v>1000.32</v>
      </c>
      <c r="M530" s="314">
        <v>126.000316</v>
      </c>
      <c r="N530" s="314">
        <v>17784.150000000001</v>
      </c>
      <c r="O530" s="314">
        <v>0</v>
      </c>
      <c r="P530" s="314">
        <v>0</v>
      </c>
      <c r="Q530" s="313" t="s">
        <v>479</v>
      </c>
      <c r="R530" s="313"/>
      <c r="S530" s="314">
        <v>15</v>
      </c>
      <c r="T530" s="314">
        <v>5</v>
      </c>
      <c r="U530" s="314">
        <v>0.7</v>
      </c>
      <c r="V530" s="314">
        <v>0.7</v>
      </c>
      <c r="W530" s="314">
        <v>0.7</v>
      </c>
      <c r="X530" s="314">
        <v>1700</v>
      </c>
      <c r="Y530" s="313" t="s">
        <v>470</v>
      </c>
      <c r="Z530" s="314">
        <v>0.85</v>
      </c>
      <c r="AA530" s="313" t="s">
        <v>471</v>
      </c>
      <c r="AB530" s="313" t="s">
        <v>472</v>
      </c>
      <c r="AC530" s="316">
        <v>220</v>
      </c>
    </row>
    <row r="531" spans="1:29">
      <c r="A531" s="307" t="s">
        <v>805</v>
      </c>
      <c r="B531" s="308">
        <v>14</v>
      </c>
      <c r="C531" s="308"/>
      <c r="D531" s="308" t="s">
        <v>421</v>
      </c>
      <c r="E531" s="309">
        <v>1.5</v>
      </c>
      <c r="F531" s="310">
        <v>45226.801388888889</v>
      </c>
      <c r="G531" s="309">
        <v>1</v>
      </c>
      <c r="H531" s="309">
        <v>51.370800000000003</v>
      </c>
      <c r="I531" s="309">
        <v>5.6599399999999997</v>
      </c>
      <c r="J531" s="309">
        <v>-16.616268999999999</v>
      </c>
      <c r="K531" s="309">
        <v>-15.77445</v>
      </c>
      <c r="L531" s="309">
        <v>1015.68</v>
      </c>
      <c r="M531" s="309">
        <v>131.99911800000001</v>
      </c>
      <c r="N531" s="309">
        <v>17824.32</v>
      </c>
      <c r="O531" s="309">
        <v>0</v>
      </c>
      <c r="P531" s="309">
        <v>0</v>
      </c>
      <c r="Q531" s="308" t="s">
        <v>479</v>
      </c>
      <c r="R531" s="308"/>
      <c r="S531" s="309">
        <v>15</v>
      </c>
      <c r="T531" s="309">
        <v>5</v>
      </c>
      <c r="U531" s="309">
        <v>0.7</v>
      </c>
      <c r="V531" s="309">
        <v>0.7</v>
      </c>
      <c r="W531" s="309">
        <v>0.7</v>
      </c>
      <c r="X531" s="309">
        <v>1700</v>
      </c>
      <c r="Y531" s="308" t="s">
        <v>470</v>
      </c>
      <c r="Z531" s="309">
        <v>0.85</v>
      </c>
      <c r="AA531" s="308" t="s">
        <v>471</v>
      </c>
      <c r="AB531" s="308" t="s">
        <v>472</v>
      </c>
      <c r="AC531" s="311">
        <v>220</v>
      </c>
    </row>
    <row r="532" spans="1:29">
      <c r="A532" s="312" t="s">
        <v>806</v>
      </c>
      <c r="B532" s="313">
        <v>14</v>
      </c>
      <c r="C532" s="313"/>
      <c r="D532" s="313" t="s">
        <v>421</v>
      </c>
      <c r="E532" s="314">
        <v>1.5</v>
      </c>
      <c r="F532" s="315">
        <v>45226.804861111108</v>
      </c>
      <c r="G532" s="314">
        <v>1</v>
      </c>
      <c r="H532" s="314">
        <v>51.370800000000003</v>
      </c>
      <c r="I532" s="314">
        <v>5.5738000000000003</v>
      </c>
      <c r="J532" s="314">
        <v>-16.574331000000001</v>
      </c>
      <c r="K532" s="314">
        <v>-15.750375</v>
      </c>
      <c r="L532" s="314">
        <v>1017.86</v>
      </c>
      <c r="M532" s="314">
        <v>123.99883699999999</v>
      </c>
      <c r="N532" s="314">
        <v>18016.57</v>
      </c>
      <c r="O532" s="314">
        <v>0</v>
      </c>
      <c r="P532" s="314">
        <v>0</v>
      </c>
      <c r="Q532" s="313" t="s">
        <v>479</v>
      </c>
      <c r="R532" s="313"/>
      <c r="S532" s="314">
        <v>15</v>
      </c>
      <c r="T532" s="314">
        <v>5</v>
      </c>
      <c r="U532" s="314">
        <v>0.7</v>
      </c>
      <c r="V532" s="314">
        <v>0.7</v>
      </c>
      <c r="W532" s="314">
        <v>0.7</v>
      </c>
      <c r="X532" s="314">
        <v>1700</v>
      </c>
      <c r="Y532" s="313" t="s">
        <v>470</v>
      </c>
      <c r="Z532" s="314">
        <v>0.85</v>
      </c>
      <c r="AA532" s="313" t="s">
        <v>471</v>
      </c>
      <c r="AB532" s="313" t="s">
        <v>472</v>
      </c>
      <c r="AC532" s="316">
        <v>220</v>
      </c>
    </row>
    <row r="533" spans="1:29">
      <c r="A533" s="307" t="s">
        <v>807</v>
      </c>
      <c r="B533" s="308">
        <v>14</v>
      </c>
      <c r="C533" s="308"/>
      <c r="D533" s="308" t="s">
        <v>421</v>
      </c>
      <c r="E533" s="309">
        <v>1.5</v>
      </c>
      <c r="F533" s="310">
        <v>45226.808333333334</v>
      </c>
      <c r="G533" s="309">
        <v>1</v>
      </c>
      <c r="H533" s="309">
        <v>51.370800000000003</v>
      </c>
      <c r="I533" s="309">
        <v>5.5522900000000002</v>
      </c>
      <c r="J533" s="309">
        <v>-16.423956</v>
      </c>
      <c r="K533" s="309">
        <v>-15.598056</v>
      </c>
      <c r="L533" s="309">
        <v>1038.75</v>
      </c>
      <c r="M533" s="309">
        <v>116.500625</v>
      </c>
      <c r="N533" s="309">
        <v>18305.52</v>
      </c>
      <c r="O533" s="309">
        <v>0</v>
      </c>
      <c r="P533" s="309">
        <v>0</v>
      </c>
      <c r="Q533" s="308" t="s">
        <v>479</v>
      </c>
      <c r="R533" s="308"/>
      <c r="S533" s="309">
        <v>15</v>
      </c>
      <c r="T533" s="309">
        <v>5</v>
      </c>
      <c r="U533" s="309">
        <v>0.7</v>
      </c>
      <c r="V533" s="309">
        <v>0.7</v>
      </c>
      <c r="W533" s="309">
        <v>0.7</v>
      </c>
      <c r="X533" s="309">
        <v>1700</v>
      </c>
      <c r="Y533" s="308" t="s">
        <v>470</v>
      </c>
      <c r="Z533" s="309">
        <v>0.85</v>
      </c>
      <c r="AA533" s="308" t="s">
        <v>471</v>
      </c>
      <c r="AB533" s="308" t="s">
        <v>472</v>
      </c>
      <c r="AC533" s="311">
        <v>220</v>
      </c>
    </row>
    <row r="534" spans="1:29">
      <c r="A534" s="312" t="s">
        <v>808</v>
      </c>
      <c r="B534" s="313">
        <v>14</v>
      </c>
      <c r="C534" s="313"/>
      <c r="D534" s="313" t="s">
        <v>421</v>
      </c>
      <c r="E534" s="314">
        <v>1.5</v>
      </c>
      <c r="F534" s="315">
        <v>45226.811805555553</v>
      </c>
      <c r="G534" s="314">
        <v>1</v>
      </c>
      <c r="H534" s="314">
        <v>51.3675</v>
      </c>
      <c r="I534" s="314">
        <v>5.51356</v>
      </c>
      <c r="J534" s="314">
        <v>-16.508655999999998</v>
      </c>
      <c r="K534" s="314">
        <v>-15.668125</v>
      </c>
      <c r="L534" s="314">
        <v>1013.21</v>
      </c>
      <c r="M534" s="314">
        <v>117.99943500000001</v>
      </c>
      <c r="N534" s="314">
        <v>18118.68</v>
      </c>
      <c r="O534" s="314">
        <v>0</v>
      </c>
      <c r="P534" s="314">
        <v>0</v>
      </c>
      <c r="Q534" s="313" t="s">
        <v>479</v>
      </c>
      <c r="R534" s="313"/>
      <c r="S534" s="314">
        <v>15</v>
      </c>
      <c r="T534" s="314">
        <v>5</v>
      </c>
      <c r="U534" s="314">
        <v>0.7</v>
      </c>
      <c r="V534" s="314">
        <v>0.7</v>
      </c>
      <c r="W534" s="314">
        <v>0.7</v>
      </c>
      <c r="X534" s="314">
        <v>1700</v>
      </c>
      <c r="Y534" s="313" t="s">
        <v>470</v>
      </c>
      <c r="Z534" s="314">
        <v>0.85</v>
      </c>
      <c r="AA534" s="313" t="s">
        <v>471</v>
      </c>
      <c r="AB534" s="313" t="s">
        <v>472</v>
      </c>
      <c r="AC534" s="316">
        <v>220</v>
      </c>
    </row>
    <row r="535" spans="1:29">
      <c r="A535" s="307" t="s">
        <v>809</v>
      </c>
      <c r="B535" s="308">
        <v>14</v>
      </c>
      <c r="C535" s="308"/>
      <c r="D535" s="308" t="s">
        <v>421</v>
      </c>
      <c r="E535" s="309">
        <v>1.5</v>
      </c>
      <c r="F535" s="310">
        <v>45226.81527777778</v>
      </c>
      <c r="G535" s="309">
        <v>2</v>
      </c>
      <c r="H535" s="309">
        <v>51.370800000000003</v>
      </c>
      <c r="I535" s="309">
        <v>5.5550800000000002</v>
      </c>
      <c r="J535" s="309">
        <v>-16.654869000000001</v>
      </c>
      <c r="K535" s="309">
        <v>-15.813874999999999</v>
      </c>
      <c r="L535" s="309">
        <v>1020.71</v>
      </c>
      <c r="M535" s="309">
        <v>127.001087</v>
      </c>
      <c r="N535" s="309">
        <v>18191.57</v>
      </c>
      <c r="O535" s="309">
        <v>0</v>
      </c>
      <c r="P535" s="309">
        <v>0</v>
      </c>
      <c r="Q535" s="308" t="s">
        <v>479</v>
      </c>
      <c r="R535" s="308"/>
      <c r="S535" s="309">
        <v>15</v>
      </c>
      <c r="T535" s="309">
        <v>5</v>
      </c>
      <c r="U535" s="309">
        <v>0.7</v>
      </c>
      <c r="V535" s="309">
        <v>0.7</v>
      </c>
      <c r="W535" s="309">
        <v>0.7</v>
      </c>
      <c r="X535" s="309">
        <v>1700</v>
      </c>
      <c r="Y535" s="308" t="s">
        <v>470</v>
      </c>
      <c r="Z535" s="309">
        <v>0.85</v>
      </c>
      <c r="AA535" s="308" t="s">
        <v>471</v>
      </c>
      <c r="AB535" s="308" t="s">
        <v>472</v>
      </c>
      <c r="AC535" s="311">
        <v>220</v>
      </c>
    </row>
    <row r="536" spans="1:29">
      <c r="A536" s="312" t="s">
        <v>810</v>
      </c>
      <c r="B536" s="313">
        <v>14</v>
      </c>
      <c r="C536" s="313"/>
      <c r="D536" s="313" t="s">
        <v>421</v>
      </c>
      <c r="E536" s="314">
        <v>1.5</v>
      </c>
      <c r="F536" s="315">
        <v>45226.818749999999</v>
      </c>
      <c r="G536" s="314">
        <v>2</v>
      </c>
      <c r="H536" s="314">
        <v>51.3675</v>
      </c>
      <c r="I536" s="314">
        <v>5.6262999999999996</v>
      </c>
      <c r="J536" s="314">
        <v>-16.476806</v>
      </c>
      <c r="K536" s="314">
        <v>-15.639975</v>
      </c>
      <c r="L536" s="314">
        <v>1016.22</v>
      </c>
      <c r="M536" s="314">
        <v>117.999183</v>
      </c>
      <c r="N536" s="314">
        <v>18100.990000000002</v>
      </c>
      <c r="O536" s="314">
        <v>0</v>
      </c>
      <c r="P536" s="314">
        <v>0</v>
      </c>
      <c r="Q536" s="313" t="s">
        <v>479</v>
      </c>
      <c r="R536" s="313"/>
      <c r="S536" s="314">
        <v>15</v>
      </c>
      <c r="T536" s="314">
        <v>5</v>
      </c>
      <c r="U536" s="314">
        <v>0.7</v>
      </c>
      <c r="V536" s="314">
        <v>0.7</v>
      </c>
      <c r="W536" s="314">
        <v>0.7</v>
      </c>
      <c r="X536" s="314">
        <v>1700</v>
      </c>
      <c r="Y536" s="313" t="s">
        <v>470</v>
      </c>
      <c r="Z536" s="314">
        <v>0.85</v>
      </c>
      <c r="AA536" s="313" t="s">
        <v>471</v>
      </c>
      <c r="AB536" s="313" t="s">
        <v>472</v>
      </c>
      <c r="AC536" s="316">
        <v>220</v>
      </c>
    </row>
    <row r="537" spans="1:29">
      <c r="A537" s="307" t="s">
        <v>811</v>
      </c>
      <c r="B537" s="308">
        <v>14</v>
      </c>
      <c r="C537" s="308"/>
      <c r="D537" s="308" t="s">
        <v>421</v>
      </c>
      <c r="E537" s="309">
        <v>1.5</v>
      </c>
      <c r="F537" s="310">
        <v>45226.822916666664</v>
      </c>
      <c r="G537" s="309">
        <v>2</v>
      </c>
      <c r="H537" s="309">
        <v>51.370800000000003</v>
      </c>
      <c r="I537" s="309">
        <v>5.6730499999999999</v>
      </c>
      <c r="J537" s="309">
        <v>-16.665230999999999</v>
      </c>
      <c r="K537" s="309">
        <v>-15.820444</v>
      </c>
      <c r="L537" s="309">
        <v>1015.11</v>
      </c>
      <c r="M537" s="309">
        <v>128.50140500000001</v>
      </c>
      <c r="N537" s="309">
        <v>18217.45</v>
      </c>
      <c r="O537" s="309">
        <v>0</v>
      </c>
      <c r="P537" s="309">
        <v>0</v>
      </c>
      <c r="Q537" s="308" t="s">
        <v>479</v>
      </c>
      <c r="R537" s="308"/>
      <c r="S537" s="309">
        <v>15</v>
      </c>
      <c r="T537" s="309">
        <v>5</v>
      </c>
      <c r="U537" s="309">
        <v>0.7</v>
      </c>
      <c r="V537" s="309">
        <v>0.7</v>
      </c>
      <c r="W537" s="309">
        <v>0.7</v>
      </c>
      <c r="X537" s="309">
        <v>1700</v>
      </c>
      <c r="Y537" s="308" t="s">
        <v>470</v>
      </c>
      <c r="Z537" s="309">
        <v>0.85</v>
      </c>
      <c r="AA537" s="308" t="s">
        <v>471</v>
      </c>
      <c r="AB537" s="308" t="s">
        <v>472</v>
      </c>
      <c r="AC537" s="311">
        <v>220</v>
      </c>
    </row>
    <row r="538" spans="1:29">
      <c r="A538" s="312" t="s">
        <v>812</v>
      </c>
      <c r="B538" s="313">
        <v>14</v>
      </c>
      <c r="C538" s="313"/>
      <c r="D538" s="313" t="s">
        <v>421</v>
      </c>
      <c r="E538" s="314">
        <v>1.5</v>
      </c>
      <c r="F538" s="315">
        <v>45226.826388888891</v>
      </c>
      <c r="G538" s="314">
        <v>2</v>
      </c>
      <c r="H538" s="314">
        <v>51.377400000000002</v>
      </c>
      <c r="I538" s="314">
        <v>5.70228</v>
      </c>
      <c r="J538" s="314">
        <v>-16.640650000000001</v>
      </c>
      <c r="K538" s="314">
        <v>-15.801863000000001</v>
      </c>
      <c r="L538" s="314">
        <v>1015.07</v>
      </c>
      <c r="M538" s="314">
        <v>121.500247</v>
      </c>
      <c r="N538" s="314">
        <v>18104.330000000002</v>
      </c>
      <c r="O538" s="314">
        <v>0</v>
      </c>
      <c r="P538" s="314">
        <v>0</v>
      </c>
      <c r="Q538" s="313" t="s">
        <v>479</v>
      </c>
      <c r="R538" s="313"/>
      <c r="S538" s="314">
        <v>15</v>
      </c>
      <c r="T538" s="314">
        <v>5</v>
      </c>
      <c r="U538" s="314">
        <v>0.7</v>
      </c>
      <c r="V538" s="314">
        <v>0.7</v>
      </c>
      <c r="W538" s="314">
        <v>0.7</v>
      </c>
      <c r="X538" s="314">
        <v>1700</v>
      </c>
      <c r="Y538" s="313" t="s">
        <v>470</v>
      </c>
      <c r="Z538" s="314">
        <v>0.85</v>
      </c>
      <c r="AA538" s="313" t="s">
        <v>471</v>
      </c>
      <c r="AB538" s="313" t="s">
        <v>472</v>
      </c>
      <c r="AC538" s="316">
        <v>220</v>
      </c>
    </row>
    <row r="539" spans="1:29">
      <c r="A539" s="307" t="s">
        <v>813</v>
      </c>
      <c r="B539" s="308">
        <v>14</v>
      </c>
      <c r="C539" s="308"/>
      <c r="D539" s="308" t="s">
        <v>421</v>
      </c>
      <c r="E539" s="309">
        <v>1.5</v>
      </c>
      <c r="F539" s="310">
        <v>45226.829861111109</v>
      </c>
      <c r="G539" s="309">
        <v>2</v>
      </c>
      <c r="H539" s="309">
        <v>51.370800000000003</v>
      </c>
      <c r="I539" s="309">
        <v>5.6901400000000004</v>
      </c>
      <c r="J539" s="309">
        <v>-16.627369000000002</v>
      </c>
      <c r="K539" s="309">
        <v>-15.780381</v>
      </c>
      <c r="L539" s="309">
        <v>1024.7</v>
      </c>
      <c r="M539" s="309">
        <v>119.49974400000001</v>
      </c>
      <c r="N539" s="309">
        <v>18037.78</v>
      </c>
      <c r="O539" s="309">
        <v>0</v>
      </c>
      <c r="P539" s="309">
        <v>0</v>
      </c>
      <c r="Q539" s="308" t="s">
        <v>479</v>
      </c>
      <c r="R539" s="308"/>
      <c r="S539" s="309">
        <v>15</v>
      </c>
      <c r="T539" s="309">
        <v>5</v>
      </c>
      <c r="U539" s="309">
        <v>0.7</v>
      </c>
      <c r="V539" s="309">
        <v>0.7</v>
      </c>
      <c r="W539" s="309">
        <v>0.7</v>
      </c>
      <c r="X539" s="309">
        <v>1700</v>
      </c>
      <c r="Y539" s="308" t="s">
        <v>470</v>
      </c>
      <c r="Z539" s="309">
        <v>0.85</v>
      </c>
      <c r="AA539" s="308" t="s">
        <v>471</v>
      </c>
      <c r="AB539" s="308" t="s">
        <v>472</v>
      </c>
      <c r="AC539" s="311">
        <v>220</v>
      </c>
    </row>
    <row r="540" spans="1:29">
      <c r="A540" s="312" t="s">
        <v>814</v>
      </c>
      <c r="B540" s="313">
        <v>15</v>
      </c>
      <c r="C540" s="313"/>
      <c r="D540" s="313" t="s">
        <v>422</v>
      </c>
      <c r="E540" s="314">
        <v>1.5</v>
      </c>
      <c r="F540" s="315">
        <v>45226.834027777775</v>
      </c>
      <c r="G540" s="314">
        <v>1</v>
      </c>
      <c r="H540" s="314">
        <v>51.3675</v>
      </c>
      <c r="I540" s="314">
        <v>5.6357299999999997</v>
      </c>
      <c r="J540" s="314">
        <v>-16.658200000000001</v>
      </c>
      <c r="K540" s="314">
        <v>-15.813675</v>
      </c>
      <c r="L540" s="314">
        <v>1023.31</v>
      </c>
      <c r="M540" s="314">
        <v>125.499509</v>
      </c>
      <c r="N540" s="314">
        <v>18135.02</v>
      </c>
      <c r="O540" s="314">
        <v>0</v>
      </c>
      <c r="P540" s="314">
        <v>0</v>
      </c>
      <c r="Q540" s="313" t="s">
        <v>479</v>
      </c>
      <c r="R540" s="313"/>
      <c r="S540" s="314">
        <v>15</v>
      </c>
      <c r="T540" s="314">
        <v>5</v>
      </c>
      <c r="U540" s="314">
        <v>0.7</v>
      </c>
      <c r="V540" s="314">
        <v>0.7</v>
      </c>
      <c r="W540" s="314">
        <v>0.7</v>
      </c>
      <c r="X540" s="314">
        <v>1700</v>
      </c>
      <c r="Y540" s="313" t="s">
        <v>470</v>
      </c>
      <c r="Z540" s="314">
        <v>0.85</v>
      </c>
      <c r="AA540" s="313" t="s">
        <v>471</v>
      </c>
      <c r="AB540" s="313" t="s">
        <v>472</v>
      </c>
      <c r="AC540" s="316">
        <v>220</v>
      </c>
    </row>
    <row r="541" spans="1:29">
      <c r="A541" s="307" t="s">
        <v>815</v>
      </c>
      <c r="B541" s="308">
        <v>15</v>
      </c>
      <c r="C541" s="308"/>
      <c r="D541" s="308" t="s">
        <v>422</v>
      </c>
      <c r="E541" s="309">
        <v>1.5</v>
      </c>
      <c r="F541" s="310">
        <v>45226.837500000001</v>
      </c>
      <c r="G541" s="309">
        <v>1</v>
      </c>
      <c r="H541" s="309">
        <v>51.370800000000003</v>
      </c>
      <c r="I541" s="309">
        <v>5.5581399999999999</v>
      </c>
      <c r="J541" s="309">
        <v>-16.57865</v>
      </c>
      <c r="K541" s="309">
        <v>-15.768687999999999</v>
      </c>
      <c r="L541" s="309">
        <v>1038.82</v>
      </c>
      <c r="M541" s="309">
        <v>117.999499</v>
      </c>
      <c r="N541" s="309">
        <v>18264.71</v>
      </c>
      <c r="O541" s="309">
        <v>0</v>
      </c>
      <c r="P541" s="309">
        <v>0</v>
      </c>
      <c r="Q541" s="308" t="s">
        <v>479</v>
      </c>
      <c r="R541" s="308"/>
      <c r="S541" s="309">
        <v>15</v>
      </c>
      <c r="T541" s="309">
        <v>5</v>
      </c>
      <c r="U541" s="309">
        <v>0.7</v>
      </c>
      <c r="V541" s="309">
        <v>0.7</v>
      </c>
      <c r="W541" s="309">
        <v>0.7</v>
      </c>
      <c r="X541" s="309">
        <v>1700</v>
      </c>
      <c r="Y541" s="308" t="s">
        <v>470</v>
      </c>
      <c r="Z541" s="309">
        <v>0.85</v>
      </c>
      <c r="AA541" s="308" t="s">
        <v>471</v>
      </c>
      <c r="AB541" s="308" t="s">
        <v>472</v>
      </c>
      <c r="AC541" s="311">
        <v>220</v>
      </c>
    </row>
    <row r="542" spans="1:29">
      <c r="A542" s="312" t="s">
        <v>816</v>
      </c>
      <c r="B542" s="313">
        <v>15</v>
      </c>
      <c r="C542" s="313"/>
      <c r="D542" s="313" t="s">
        <v>422</v>
      </c>
      <c r="E542" s="314">
        <v>1.5</v>
      </c>
      <c r="F542" s="315">
        <v>45226.84097222222</v>
      </c>
      <c r="G542" s="314">
        <v>1</v>
      </c>
      <c r="H542" s="314">
        <v>51.370800000000003</v>
      </c>
      <c r="I542" s="314">
        <v>5.5530999999999997</v>
      </c>
      <c r="J542" s="314">
        <v>-16.655538</v>
      </c>
      <c r="K542" s="314">
        <v>-15.815250000000001</v>
      </c>
      <c r="L542" s="314">
        <v>1027.6099999999999</v>
      </c>
      <c r="M542" s="314">
        <v>124.500174</v>
      </c>
      <c r="N542" s="314">
        <v>18297.75</v>
      </c>
      <c r="O542" s="314">
        <v>0</v>
      </c>
      <c r="P542" s="314">
        <v>0</v>
      </c>
      <c r="Q542" s="313" t="s">
        <v>479</v>
      </c>
      <c r="R542" s="313"/>
      <c r="S542" s="314">
        <v>15</v>
      </c>
      <c r="T542" s="314">
        <v>5</v>
      </c>
      <c r="U542" s="314">
        <v>0.7</v>
      </c>
      <c r="V542" s="314">
        <v>0.7</v>
      </c>
      <c r="W542" s="314">
        <v>0.7</v>
      </c>
      <c r="X542" s="314">
        <v>1700</v>
      </c>
      <c r="Y542" s="313" t="s">
        <v>470</v>
      </c>
      <c r="Z542" s="314">
        <v>0.85</v>
      </c>
      <c r="AA542" s="313" t="s">
        <v>471</v>
      </c>
      <c r="AB542" s="313" t="s">
        <v>472</v>
      </c>
      <c r="AC542" s="316">
        <v>220</v>
      </c>
    </row>
    <row r="543" spans="1:29">
      <c r="A543" s="307" t="s">
        <v>817</v>
      </c>
      <c r="B543" s="308">
        <v>15</v>
      </c>
      <c r="C543" s="308"/>
      <c r="D543" s="308" t="s">
        <v>422</v>
      </c>
      <c r="E543" s="309">
        <v>1.5</v>
      </c>
      <c r="F543" s="310">
        <v>45226.844444444447</v>
      </c>
      <c r="G543" s="309">
        <v>1</v>
      </c>
      <c r="H543" s="309">
        <v>51.370800000000003</v>
      </c>
      <c r="I543" s="309">
        <v>5.5735299999999999</v>
      </c>
      <c r="J543" s="309">
        <v>-16.616455999999999</v>
      </c>
      <c r="K543" s="309">
        <v>-15.767006</v>
      </c>
      <c r="L543" s="309">
        <v>1015.37</v>
      </c>
      <c r="M543" s="309">
        <v>123.000567</v>
      </c>
      <c r="N543" s="309">
        <v>18152.900000000001</v>
      </c>
      <c r="O543" s="309">
        <v>0</v>
      </c>
      <c r="P543" s="309">
        <v>0</v>
      </c>
      <c r="Q543" s="308" t="s">
        <v>479</v>
      </c>
      <c r="R543" s="308"/>
      <c r="S543" s="309">
        <v>15</v>
      </c>
      <c r="T543" s="309">
        <v>5</v>
      </c>
      <c r="U543" s="309">
        <v>0.7</v>
      </c>
      <c r="V543" s="309">
        <v>0.7</v>
      </c>
      <c r="W543" s="309">
        <v>0.7</v>
      </c>
      <c r="X543" s="309">
        <v>1700</v>
      </c>
      <c r="Y543" s="308" t="s">
        <v>470</v>
      </c>
      <c r="Z543" s="309">
        <v>0.85</v>
      </c>
      <c r="AA543" s="308" t="s">
        <v>471</v>
      </c>
      <c r="AB543" s="308" t="s">
        <v>472</v>
      </c>
      <c r="AC543" s="311">
        <v>220</v>
      </c>
    </row>
    <row r="544" spans="1:29">
      <c r="A544" s="312" t="s">
        <v>818</v>
      </c>
      <c r="B544" s="313">
        <v>15</v>
      </c>
      <c r="C544" s="313"/>
      <c r="D544" s="313" t="s">
        <v>422</v>
      </c>
      <c r="E544" s="314">
        <v>1.5</v>
      </c>
      <c r="F544" s="315">
        <v>45226.847916666666</v>
      </c>
      <c r="G544" s="314">
        <v>1</v>
      </c>
      <c r="H544" s="314">
        <v>51.377400000000002</v>
      </c>
      <c r="I544" s="314">
        <v>5.5863500000000004</v>
      </c>
      <c r="J544" s="314">
        <v>-16.593062</v>
      </c>
      <c r="K544" s="314">
        <v>-15.755906</v>
      </c>
      <c r="L544" s="314">
        <v>1034.7</v>
      </c>
      <c r="M544" s="314">
        <v>119.001493</v>
      </c>
      <c r="N544" s="314">
        <v>18358.66</v>
      </c>
      <c r="O544" s="314">
        <v>0</v>
      </c>
      <c r="P544" s="314">
        <v>0</v>
      </c>
      <c r="Q544" s="313" t="s">
        <v>479</v>
      </c>
      <c r="R544" s="313"/>
      <c r="S544" s="314">
        <v>15</v>
      </c>
      <c r="T544" s="314">
        <v>5</v>
      </c>
      <c r="U544" s="314">
        <v>0.7</v>
      </c>
      <c r="V544" s="314">
        <v>0.7</v>
      </c>
      <c r="W544" s="314">
        <v>0.7</v>
      </c>
      <c r="X544" s="314">
        <v>1700</v>
      </c>
      <c r="Y544" s="313" t="s">
        <v>470</v>
      </c>
      <c r="Z544" s="314">
        <v>0.85</v>
      </c>
      <c r="AA544" s="313" t="s">
        <v>471</v>
      </c>
      <c r="AB544" s="313" t="s">
        <v>472</v>
      </c>
      <c r="AC544" s="316">
        <v>220</v>
      </c>
    </row>
    <row r="545" spans="1:29">
      <c r="A545" s="307" t="s">
        <v>819</v>
      </c>
      <c r="B545" s="308">
        <v>15</v>
      </c>
      <c r="C545" s="308"/>
      <c r="D545" s="308" t="s">
        <v>422</v>
      </c>
      <c r="E545" s="309">
        <v>1.5</v>
      </c>
      <c r="F545" s="310">
        <v>45226.851388888892</v>
      </c>
      <c r="G545" s="309">
        <v>2</v>
      </c>
      <c r="H545" s="309">
        <v>51.374099999999999</v>
      </c>
      <c r="I545" s="309">
        <v>5.5744199999999999</v>
      </c>
      <c r="J545" s="309">
        <v>-16.636581</v>
      </c>
      <c r="K545" s="309">
        <v>-15.787481</v>
      </c>
      <c r="L545" s="309">
        <v>1078.0899999999999</v>
      </c>
      <c r="M545" s="309">
        <v>125.49983899999999</v>
      </c>
      <c r="N545" s="309">
        <v>18919.41</v>
      </c>
      <c r="O545" s="309">
        <v>0</v>
      </c>
      <c r="P545" s="309">
        <v>0</v>
      </c>
      <c r="Q545" s="308" t="s">
        <v>479</v>
      </c>
      <c r="R545" s="308"/>
      <c r="S545" s="309">
        <v>15</v>
      </c>
      <c r="T545" s="309">
        <v>5</v>
      </c>
      <c r="U545" s="309">
        <v>0.7</v>
      </c>
      <c r="V545" s="309">
        <v>0.7</v>
      </c>
      <c r="W545" s="309">
        <v>0.7</v>
      </c>
      <c r="X545" s="309">
        <v>1700</v>
      </c>
      <c r="Y545" s="308" t="s">
        <v>470</v>
      </c>
      <c r="Z545" s="309">
        <v>0.85</v>
      </c>
      <c r="AA545" s="308" t="s">
        <v>471</v>
      </c>
      <c r="AB545" s="308" t="s">
        <v>472</v>
      </c>
      <c r="AC545" s="311">
        <v>215</v>
      </c>
    </row>
    <row r="546" spans="1:29">
      <c r="A546" s="312" t="s">
        <v>820</v>
      </c>
      <c r="B546" s="313">
        <v>15</v>
      </c>
      <c r="C546" s="313"/>
      <c r="D546" s="313" t="s">
        <v>422</v>
      </c>
      <c r="E546" s="314">
        <v>1.5</v>
      </c>
      <c r="F546" s="315">
        <v>45226.855555555558</v>
      </c>
      <c r="G546" s="314">
        <v>2</v>
      </c>
      <c r="H546" s="314">
        <v>51.370800000000003</v>
      </c>
      <c r="I546" s="314">
        <v>5.4921899999999999</v>
      </c>
      <c r="J546" s="314">
        <v>-16.617875000000002</v>
      </c>
      <c r="K546" s="314">
        <v>-15.772925000000001</v>
      </c>
      <c r="L546" s="314">
        <v>1052.6600000000001</v>
      </c>
      <c r="M546" s="314">
        <v>123.50052700000001</v>
      </c>
      <c r="N546" s="314">
        <v>18666.39</v>
      </c>
      <c r="O546" s="314">
        <v>0</v>
      </c>
      <c r="P546" s="314">
        <v>0</v>
      </c>
      <c r="Q546" s="313" t="s">
        <v>479</v>
      </c>
      <c r="R546" s="313"/>
      <c r="S546" s="314">
        <v>15</v>
      </c>
      <c r="T546" s="314">
        <v>5</v>
      </c>
      <c r="U546" s="314">
        <v>0.7</v>
      </c>
      <c r="V546" s="314">
        <v>0.7</v>
      </c>
      <c r="W546" s="314">
        <v>0.7</v>
      </c>
      <c r="X546" s="314">
        <v>1700</v>
      </c>
      <c r="Y546" s="313" t="s">
        <v>470</v>
      </c>
      <c r="Z546" s="314">
        <v>0.85</v>
      </c>
      <c r="AA546" s="313" t="s">
        <v>471</v>
      </c>
      <c r="AB546" s="313" t="s">
        <v>472</v>
      </c>
      <c r="AC546" s="316">
        <v>217</v>
      </c>
    </row>
    <row r="547" spans="1:29">
      <c r="A547" s="307" t="s">
        <v>821</v>
      </c>
      <c r="B547" s="308">
        <v>15</v>
      </c>
      <c r="C547" s="308"/>
      <c r="D547" s="308" t="s">
        <v>422</v>
      </c>
      <c r="E547" s="309">
        <v>1.5</v>
      </c>
      <c r="F547" s="310">
        <v>45226.859027777777</v>
      </c>
      <c r="G547" s="309">
        <v>2</v>
      </c>
      <c r="H547" s="309">
        <v>51.3675</v>
      </c>
      <c r="I547" s="309">
        <v>5.5162100000000001</v>
      </c>
      <c r="J547" s="309">
        <v>-16.621462000000001</v>
      </c>
      <c r="K547" s="309">
        <v>-15.78435</v>
      </c>
      <c r="L547" s="309">
        <v>1033.05</v>
      </c>
      <c r="M547" s="309">
        <v>118.00002499999999</v>
      </c>
      <c r="N547" s="309">
        <v>18422.03</v>
      </c>
      <c r="O547" s="309">
        <v>0</v>
      </c>
      <c r="P547" s="309">
        <v>0</v>
      </c>
      <c r="Q547" s="308" t="s">
        <v>479</v>
      </c>
      <c r="R547" s="308"/>
      <c r="S547" s="309">
        <v>15</v>
      </c>
      <c r="T547" s="309">
        <v>5</v>
      </c>
      <c r="U547" s="309">
        <v>0.7</v>
      </c>
      <c r="V547" s="309">
        <v>0.7</v>
      </c>
      <c r="W547" s="309">
        <v>0.7</v>
      </c>
      <c r="X547" s="309">
        <v>1700</v>
      </c>
      <c r="Y547" s="308" t="s">
        <v>470</v>
      </c>
      <c r="Z547" s="309">
        <v>0.85</v>
      </c>
      <c r="AA547" s="308" t="s">
        <v>471</v>
      </c>
      <c r="AB547" s="308" t="s">
        <v>472</v>
      </c>
      <c r="AC547" s="311">
        <v>217</v>
      </c>
    </row>
    <row r="548" spans="1:29">
      <c r="A548" s="312" t="s">
        <v>822</v>
      </c>
      <c r="B548" s="313">
        <v>15</v>
      </c>
      <c r="C548" s="313"/>
      <c r="D548" s="313" t="s">
        <v>422</v>
      </c>
      <c r="E548" s="314">
        <v>1.5</v>
      </c>
      <c r="F548" s="315">
        <v>45226.862500000003</v>
      </c>
      <c r="G548" s="314">
        <v>2</v>
      </c>
      <c r="H548" s="314">
        <v>51.370800000000003</v>
      </c>
      <c r="I548" s="314">
        <v>5.5433399999999997</v>
      </c>
      <c r="J548" s="314">
        <v>-16.562794</v>
      </c>
      <c r="K548" s="314">
        <v>-15.718756000000001</v>
      </c>
      <c r="L548" s="314">
        <v>1025.93</v>
      </c>
      <c r="M548" s="314">
        <v>122.000035</v>
      </c>
      <c r="N548" s="314">
        <v>18408.05</v>
      </c>
      <c r="O548" s="314">
        <v>0</v>
      </c>
      <c r="P548" s="314">
        <v>0</v>
      </c>
      <c r="Q548" s="313" t="s">
        <v>479</v>
      </c>
      <c r="R548" s="313"/>
      <c r="S548" s="314">
        <v>15</v>
      </c>
      <c r="T548" s="314">
        <v>5</v>
      </c>
      <c r="U548" s="314">
        <v>0.7</v>
      </c>
      <c r="V548" s="314">
        <v>0.7</v>
      </c>
      <c r="W548" s="314">
        <v>0.7</v>
      </c>
      <c r="X548" s="314">
        <v>1700</v>
      </c>
      <c r="Y548" s="313" t="s">
        <v>470</v>
      </c>
      <c r="Z548" s="314">
        <v>0.85</v>
      </c>
      <c r="AA548" s="313" t="s">
        <v>471</v>
      </c>
      <c r="AB548" s="313" t="s">
        <v>472</v>
      </c>
      <c r="AC548" s="316">
        <v>220</v>
      </c>
    </row>
    <row r="549" spans="1:29">
      <c r="A549" s="307" t="s">
        <v>823</v>
      </c>
      <c r="B549" s="308">
        <v>15</v>
      </c>
      <c r="C549" s="308"/>
      <c r="D549" s="308" t="s">
        <v>422</v>
      </c>
      <c r="E549" s="309">
        <v>1.5</v>
      </c>
      <c r="F549" s="310">
        <v>45226.865972222222</v>
      </c>
      <c r="G549" s="309">
        <v>2</v>
      </c>
      <c r="H549" s="309">
        <v>51.374099999999999</v>
      </c>
      <c r="I549" s="309">
        <v>5.5694900000000001</v>
      </c>
      <c r="J549" s="309">
        <v>-16.643450000000001</v>
      </c>
      <c r="K549" s="309">
        <v>-15.810625</v>
      </c>
      <c r="L549" s="309">
        <v>1042.46</v>
      </c>
      <c r="M549" s="309">
        <v>124.49881000000001</v>
      </c>
      <c r="N549" s="309">
        <v>18540.89</v>
      </c>
      <c r="O549" s="309">
        <v>0</v>
      </c>
      <c r="P549" s="309">
        <v>0</v>
      </c>
      <c r="Q549" s="308" t="s">
        <v>479</v>
      </c>
      <c r="R549" s="308"/>
      <c r="S549" s="309">
        <v>15</v>
      </c>
      <c r="T549" s="309">
        <v>5</v>
      </c>
      <c r="U549" s="309">
        <v>0.7</v>
      </c>
      <c r="V549" s="309">
        <v>0.7</v>
      </c>
      <c r="W549" s="309">
        <v>0.7</v>
      </c>
      <c r="X549" s="309">
        <v>1700</v>
      </c>
      <c r="Y549" s="308" t="s">
        <v>470</v>
      </c>
      <c r="Z549" s="309">
        <v>0.85</v>
      </c>
      <c r="AA549" s="308" t="s">
        <v>471</v>
      </c>
      <c r="AB549" s="308" t="s">
        <v>472</v>
      </c>
      <c r="AC549" s="311">
        <v>217</v>
      </c>
    </row>
    <row r="550" spans="1:29">
      <c r="A550" s="312" t="s">
        <v>824</v>
      </c>
      <c r="B550" s="313">
        <v>16</v>
      </c>
      <c r="C550" s="313"/>
      <c r="D550" s="313" t="s">
        <v>423</v>
      </c>
      <c r="E550" s="314">
        <v>1.5</v>
      </c>
      <c r="F550" s="315">
        <v>45226.924305555556</v>
      </c>
      <c r="G550" s="314">
        <v>1</v>
      </c>
      <c r="H550" s="314">
        <v>51.374099999999999</v>
      </c>
      <c r="I550" s="314">
        <v>5.62</v>
      </c>
      <c r="J550" s="314">
        <v>-16.386399999999998</v>
      </c>
      <c r="K550" s="314">
        <v>-15.559531</v>
      </c>
      <c r="L550" s="314">
        <v>1022.62</v>
      </c>
      <c r="M550" s="314">
        <v>121.500281</v>
      </c>
      <c r="N550" s="314">
        <v>18134.400000000001</v>
      </c>
      <c r="O550" s="314">
        <v>0</v>
      </c>
      <c r="P550" s="314">
        <v>0</v>
      </c>
      <c r="Q550" s="313" t="s">
        <v>479</v>
      </c>
      <c r="R550" s="313"/>
      <c r="S550" s="314">
        <v>15</v>
      </c>
      <c r="T550" s="314">
        <v>5</v>
      </c>
      <c r="U550" s="314">
        <v>0.7</v>
      </c>
      <c r="V550" s="314">
        <v>0.7</v>
      </c>
      <c r="W550" s="314">
        <v>0.7</v>
      </c>
      <c r="X550" s="314">
        <v>1700</v>
      </c>
      <c r="Y550" s="313" t="s">
        <v>470</v>
      </c>
      <c r="Z550" s="314">
        <v>0.85</v>
      </c>
      <c r="AA550" s="313" t="s">
        <v>471</v>
      </c>
      <c r="AB550" s="313" t="s">
        <v>472</v>
      </c>
      <c r="AC550" s="316">
        <v>220</v>
      </c>
    </row>
    <row r="551" spans="1:29">
      <c r="A551" s="307" t="s">
        <v>825</v>
      </c>
      <c r="B551" s="308">
        <v>16</v>
      </c>
      <c r="C551" s="308"/>
      <c r="D551" s="308" t="s">
        <v>423</v>
      </c>
      <c r="E551" s="309">
        <v>1.5</v>
      </c>
      <c r="F551" s="310">
        <v>45226.927777777775</v>
      </c>
      <c r="G551" s="309">
        <v>1</v>
      </c>
      <c r="H551" s="309">
        <v>51.370800000000003</v>
      </c>
      <c r="I551" s="309">
        <v>5.7170300000000003</v>
      </c>
      <c r="J551" s="309">
        <v>-16.550325000000001</v>
      </c>
      <c r="K551" s="309">
        <v>-15.701556</v>
      </c>
      <c r="L551" s="309">
        <v>1038.74</v>
      </c>
      <c r="M551" s="309">
        <v>122.49953499999999</v>
      </c>
      <c r="N551" s="309">
        <v>18365.57</v>
      </c>
      <c r="O551" s="309">
        <v>0</v>
      </c>
      <c r="P551" s="309">
        <v>0</v>
      </c>
      <c r="Q551" s="308" t="s">
        <v>479</v>
      </c>
      <c r="R551" s="308"/>
      <c r="S551" s="309">
        <v>15</v>
      </c>
      <c r="T551" s="309">
        <v>5</v>
      </c>
      <c r="U551" s="309">
        <v>0.7</v>
      </c>
      <c r="V551" s="309">
        <v>0.7</v>
      </c>
      <c r="W551" s="309">
        <v>0.7</v>
      </c>
      <c r="X551" s="309">
        <v>1700</v>
      </c>
      <c r="Y551" s="308" t="s">
        <v>470</v>
      </c>
      <c r="Z551" s="309">
        <v>0.85</v>
      </c>
      <c r="AA551" s="308" t="s">
        <v>471</v>
      </c>
      <c r="AB551" s="308" t="s">
        <v>472</v>
      </c>
      <c r="AC551" s="311">
        <v>218</v>
      </c>
    </row>
    <row r="552" spans="1:29">
      <c r="A552" s="312" t="s">
        <v>826</v>
      </c>
      <c r="B552" s="313">
        <v>16</v>
      </c>
      <c r="C552" s="313"/>
      <c r="D552" s="313" t="s">
        <v>423</v>
      </c>
      <c r="E552" s="314">
        <v>1.5</v>
      </c>
      <c r="F552" s="315">
        <v>45226.931250000001</v>
      </c>
      <c r="G552" s="314">
        <v>1</v>
      </c>
      <c r="H552" s="314">
        <v>51.370800000000003</v>
      </c>
      <c r="I552" s="314">
        <v>5.69991</v>
      </c>
      <c r="J552" s="314">
        <v>-16.516112</v>
      </c>
      <c r="K552" s="314">
        <v>-15.677819</v>
      </c>
      <c r="L552" s="314">
        <v>1033.47</v>
      </c>
      <c r="M552" s="314">
        <v>118.99974</v>
      </c>
      <c r="N552" s="314">
        <v>18192.96</v>
      </c>
      <c r="O552" s="314">
        <v>0</v>
      </c>
      <c r="P552" s="314">
        <v>0</v>
      </c>
      <c r="Q552" s="313" t="s">
        <v>479</v>
      </c>
      <c r="R552" s="313"/>
      <c r="S552" s="314">
        <v>15</v>
      </c>
      <c r="T552" s="314">
        <v>5</v>
      </c>
      <c r="U552" s="314">
        <v>0.7</v>
      </c>
      <c r="V552" s="314">
        <v>0.7</v>
      </c>
      <c r="W552" s="314">
        <v>0.7</v>
      </c>
      <c r="X552" s="314">
        <v>1700</v>
      </c>
      <c r="Y552" s="313" t="s">
        <v>470</v>
      </c>
      <c r="Z552" s="314">
        <v>0.85</v>
      </c>
      <c r="AA552" s="313" t="s">
        <v>471</v>
      </c>
      <c r="AB552" s="313" t="s">
        <v>472</v>
      </c>
      <c r="AC552" s="316">
        <v>220</v>
      </c>
    </row>
    <row r="553" spans="1:29">
      <c r="A553" s="307" t="s">
        <v>827</v>
      </c>
      <c r="B553" s="308">
        <v>16</v>
      </c>
      <c r="C553" s="308"/>
      <c r="D553" s="308" t="s">
        <v>423</v>
      </c>
      <c r="E553" s="309">
        <v>1.5</v>
      </c>
      <c r="F553" s="310">
        <v>45226.93472222222</v>
      </c>
      <c r="G553" s="309">
        <v>1</v>
      </c>
      <c r="H553" s="309">
        <v>51.3675</v>
      </c>
      <c r="I553" s="309">
        <v>5.7281399999999998</v>
      </c>
      <c r="J553" s="309">
        <v>-16.334325</v>
      </c>
      <c r="K553" s="309">
        <v>-15.502219</v>
      </c>
      <c r="L553" s="309">
        <v>1043.6400000000001</v>
      </c>
      <c r="M553" s="309">
        <v>118.50039099999999</v>
      </c>
      <c r="N553" s="309">
        <v>18402.55</v>
      </c>
      <c r="O553" s="309">
        <v>0</v>
      </c>
      <c r="P553" s="309">
        <v>0</v>
      </c>
      <c r="Q553" s="308" t="s">
        <v>479</v>
      </c>
      <c r="R553" s="308"/>
      <c r="S553" s="309">
        <v>15</v>
      </c>
      <c r="T553" s="309">
        <v>5</v>
      </c>
      <c r="U553" s="309">
        <v>0.7</v>
      </c>
      <c r="V553" s="309">
        <v>0.7</v>
      </c>
      <c r="W553" s="309">
        <v>0.7</v>
      </c>
      <c r="X553" s="309">
        <v>1700</v>
      </c>
      <c r="Y553" s="308" t="s">
        <v>470</v>
      </c>
      <c r="Z553" s="309">
        <v>0.85</v>
      </c>
      <c r="AA553" s="308" t="s">
        <v>471</v>
      </c>
      <c r="AB553" s="308" t="s">
        <v>472</v>
      </c>
      <c r="AC553" s="311">
        <v>218</v>
      </c>
    </row>
    <row r="554" spans="1:29">
      <c r="A554" s="312" t="s">
        <v>828</v>
      </c>
      <c r="B554" s="313">
        <v>16</v>
      </c>
      <c r="C554" s="313"/>
      <c r="D554" s="313" t="s">
        <v>423</v>
      </c>
      <c r="E554" s="314">
        <v>1.5</v>
      </c>
      <c r="F554" s="315">
        <v>45226.938194444447</v>
      </c>
      <c r="G554" s="314">
        <v>1</v>
      </c>
      <c r="H554" s="314">
        <v>51.3675</v>
      </c>
      <c r="I554" s="314">
        <v>5.8019400000000001</v>
      </c>
      <c r="J554" s="314">
        <v>-16.615894000000001</v>
      </c>
      <c r="K554" s="314">
        <v>-15.773486999999999</v>
      </c>
      <c r="L554" s="314">
        <v>1051.44</v>
      </c>
      <c r="M554" s="314">
        <v>137.49946299999999</v>
      </c>
      <c r="N554" s="314">
        <v>18762.740000000002</v>
      </c>
      <c r="O554" s="314">
        <v>0</v>
      </c>
      <c r="P554" s="314">
        <v>0</v>
      </c>
      <c r="Q554" s="313" t="s">
        <v>479</v>
      </c>
      <c r="R554" s="313"/>
      <c r="S554" s="314">
        <v>15</v>
      </c>
      <c r="T554" s="314">
        <v>5</v>
      </c>
      <c r="U554" s="314">
        <v>0.7</v>
      </c>
      <c r="V554" s="314">
        <v>0.7</v>
      </c>
      <c r="W554" s="314">
        <v>0.7</v>
      </c>
      <c r="X554" s="314">
        <v>1700</v>
      </c>
      <c r="Y554" s="313" t="s">
        <v>470</v>
      </c>
      <c r="Z554" s="314">
        <v>0.85</v>
      </c>
      <c r="AA554" s="313" t="s">
        <v>471</v>
      </c>
      <c r="AB554" s="313" t="s">
        <v>472</v>
      </c>
      <c r="AC554" s="316">
        <v>216</v>
      </c>
    </row>
    <row r="555" spans="1:29">
      <c r="A555" s="307" t="s">
        <v>829</v>
      </c>
      <c r="B555" s="308">
        <v>16</v>
      </c>
      <c r="C555" s="308"/>
      <c r="D555" s="308" t="s">
        <v>423</v>
      </c>
      <c r="E555" s="309">
        <v>1.5</v>
      </c>
      <c r="F555" s="317"/>
      <c r="G555" s="309">
        <v>2</v>
      </c>
      <c r="H555" s="309">
        <v>0</v>
      </c>
      <c r="I555" s="309">
        <v>0</v>
      </c>
      <c r="J555" s="309">
        <v>0</v>
      </c>
      <c r="K555" s="309">
        <v>0</v>
      </c>
      <c r="L555" s="309">
        <v>0</v>
      </c>
      <c r="M555" s="309">
        <v>0</v>
      </c>
      <c r="N555" s="309">
        <v>0</v>
      </c>
      <c r="O555" s="309">
        <v>0</v>
      </c>
      <c r="P555" s="309">
        <v>0</v>
      </c>
      <c r="Q555" s="308" t="s">
        <v>503</v>
      </c>
      <c r="R555" s="308"/>
      <c r="S555" s="309">
        <v>15</v>
      </c>
      <c r="T555" s="309">
        <v>5</v>
      </c>
      <c r="U555" s="309">
        <v>0.7</v>
      </c>
      <c r="V555" s="309">
        <v>0.7</v>
      </c>
      <c r="W555" s="309">
        <v>0.7</v>
      </c>
      <c r="X555" s="309">
        <v>1700</v>
      </c>
      <c r="Y555" s="308"/>
      <c r="Z555" s="308"/>
      <c r="AA555" s="308" t="s">
        <v>471</v>
      </c>
      <c r="AB555" s="308" t="s">
        <v>472</v>
      </c>
      <c r="AC555" s="311">
        <v>216</v>
      </c>
    </row>
    <row r="556" spans="1:29">
      <c r="A556" s="343"/>
      <c r="B556" s="343"/>
      <c r="C556" s="343"/>
      <c r="D556" s="343"/>
      <c r="E556" s="343"/>
      <c r="F556" s="344"/>
      <c r="G556" s="343"/>
      <c r="H556" s="343"/>
      <c r="I556" s="343"/>
      <c r="J556" s="343"/>
      <c r="K556" s="343"/>
      <c r="L556" s="343"/>
      <c r="M556" s="343"/>
      <c r="N556" s="343"/>
      <c r="O556" s="343"/>
      <c r="P556" s="343"/>
      <c r="Q556" s="343"/>
      <c r="R556" s="343"/>
      <c r="S556" s="343"/>
      <c r="T556" s="343"/>
      <c r="U556" s="343"/>
      <c r="V556" s="343"/>
      <c r="W556" s="343"/>
      <c r="X556" s="343"/>
      <c r="Y556" s="343"/>
      <c r="Z556" s="343"/>
      <c r="AA556" s="343"/>
      <c r="AB556" s="343"/>
      <c r="AC556" s="343"/>
    </row>
    <row r="557" spans="1:29">
      <c r="A557" s="307" t="s">
        <v>466</v>
      </c>
      <c r="B557" s="308" t="s">
        <v>467</v>
      </c>
      <c r="C557" s="308"/>
      <c r="D557" s="308" t="s">
        <v>468</v>
      </c>
      <c r="E557" s="309">
        <v>1</v>
      </c>
      <c r="F557" s="310">
        <v>45229.388888888891</v>
      </c>
      <c r="G557" s="309">
        <v>1</v>
      </c>
      <c r="H557" s="309">
        <v>51.370800000000003</v>
      </c>
      <c r="I557" s="309">
        <v>9.7494700000000005</v>
      </c>
      <c r="J557" s="309">
        <v>-15.681369</v>
      </c>
      <c r="K557" s="309">
        <v>-14.832356000000001</v>
      </c>
      <c r="L557" s="309">
        <v>892.86699999999996</v>
      </c>
      <c r="M557" s="309">
        <v>91.999308999999997</v>
      </c>
      <c r="N557" s="309">
        <v>11570.51</v>
      </c>
      <c r="O557" s="309">
        <v>11570.50973</v>
      </c>
      <c r="P557" s="309">
        <v>2004.7809999999999</v>
      </c>
      <c r="Q557" s="308" t="s">
        <v>469</v>
      </c>
      <c r="R557" s="308"/>
      <c r="S557" s="309">
        <v>15</v>
      </c>
      <c r="T557" s="309">
        <v>5</v>
      </c>
      <c r="U557" s="309">
        <v>0.7</v>
      </c>
      <c r="V557" s="309">
        <v>0.7</v>
      </c>
      <c r="W557" s="309">
        <v>0.7</v>
      </c>
      <c r="X557" s="309">
        <v>1700</v>
      </c>
      <c r="Y557" s="308" t="s">
        <v>470</v>
      </c>
      <c r="Z557" s="309">
        <v>0.85</v>
      </c>
      <c r="AA557" s="308" t="s">
        <v>471</v>
      </c>
      <c r="AB557" s="308" t="s">
        <v>472</v>
      </c>
      <c r="AC557" s="311">
        <v>220</v>
      </c>
    </row>
    <row r="558" spans="1:29">
      <c r="A558" s="326" t="s">
        <v>473</v>
      </c>
      <c r="B558" s="327" t="s">
        <v>467</v>
      </c>
      <c r="C558" s="327"/>
      <c r="D558" s="327" t="s">
        <v>468</v>
      </c>
      <c r="E558" s="328">
        <v>1</v>
      </c>
      <c r="F558" s="329">
        <v>45229.39166666667</v>
      </c>
      <c r="G558" s="328">
        <v>1</v>
      </c>
      <c r="H558" s="328">
        <v>51.3675</v>
      </c>
      <c r="I558" s="328">
        <v>10.357100000000001</v>
      </c>
      <c r="J558" s="328">
        <v>-15.978788</v>
      </c>
      <c r="K558" s="328">
        <v>-15.129731</v>
      </c>
      <c r="L558" s="328">
        <v>898.06700000000001</v>
      </c>
      <c r="M558" s="328">
        <v>94.499988999999999</v>
      </c>
      <c r="N558" s="328">
        <v>11624.82</v>
      </c>
      <c r="O558" s="328">
        <v>11624.823479999999</v>
      </c>
      <c r="P558" s="328">
        <v>2014.1120000000001</v>
      </c>
      <c r="Q558" s="327" t="s">
        <v>469</v>
      </c>
      <c r="R558" s="327"/>
      <c r="S558" s="328">
        <v>15</v>
      </c>
      <c r="T558" s="328">
        <v>5</v>
      </c>
      <c r="U558" s="328">
        <v>0.7</v>
      </c>
      <c r="V558" s="328">
        <v>0.7</v>
      </c>
      <c r="W558" s="328">
        <v>0.7</v>
      </c>
      <c r="X558" s="328">
        <v>1700</v>
      </c>
      <c r="Y558" s="327" t="s">
        <v>470</v>
      </c>
      <c r="Z558" s="328">
        <v>0.85</v>
      </c>
      <c r="AA558" s="327" t="s">
        <v>471</v>
      </c>
      <c r="AB558" s="327" t="s">
        <v>472</v>
      </c>
      <c r="AC558" s="330">
        <v>220</v>
      </c>
    </row>
    <row r="559" spans="1:29">
      <c r="A559" s="331" t="s">
        <v>474</v>
      </c>
      <c r="B559" s="332" t="s">
        <v>467</v>
      </c>
      <c r="C559" s="332"/>
      <c r="D559" s="332" t="s">
        <v>468</v>
      </c>
      <c r="E559" s="333">
        <v>1</v>
      </c>
      <c r="F559" s="334">
        <v>45229.395138888889</v>
      </c>
      <c r="G559" s="333">
        <v>1</v>
      </c>
      <c r="H559" s="333">
        <v>51.3675</v>
      </c>
      <c r="I559" s="333">
        <v>9.5788600000000006</v>
      </c>
      <c r="J559" s="333">
        <v>-15.980487</v>
      </c>
      <c r="K559" s="333">
        <v>-15.138031</v>
      </c>
      <c r="L559" s="333">
        <v>889.52800000000002</v>
      </c>
      <c r="M559" s="333">
        <v>92.499818000000005</v>
      </c>
      <c r="N559" s="333">
        <v>11646.02</v>
      </c>
      <c r="O559" s="333">
        <v>11646.016540000001</v>
      </c>
      <c r="P559" s="333">
        <v>2017.7529999999999</v>
      </c>
      <c r="Q559" s="332" t="s">
        <v>469</v>
      </c>
      <c r="R559" s="332"/>
      <c r="S559" s="333">
        <v>15</v>
      </c>
      <c r="T559" s="333">
        <v>5</v>
      </c>
      <c r="U559" s="333">
        <v>0.7</v>
      </c>
      <c r="V559" s="333">
        <v>0.7</v>
      </c>
      <c r="W559" s="333">
        <v>0.7</v>
      </c>
      <c r="X559" s="333">
        <v>1700</v>
      </c>
      <c r="Y559" s="332" t="s">
        <v>470</v>
      </c>
      <c r="Z559" s="333">
        <v>0.85</v>
      </c>
      <c r="AA559" s="332" t="s">
        <v>471</v>
      </c>
      <c r="AB559" s="332" t="s">
        <v>472</v>
      </c>
      <c r="AC559" s="335">
        <v>220</v>
      </c>
    </row>
    <row r="560" spans="1:29">
      <c r="A560" s="326" t="s">
        <v>475</v>
      </c>
      <c r="B560" s="327" t="s">
        <v>467</v>
      </c>
      <c r="C560" s="327"/>
      <c r="D560" s="327" t="s">
        <v>468</v>
      </c>
      <c r="E560" s="328">
        <v>1</v>
      </c>
      <c r="F560" s="329">
        <v>45229.397916666669</v>
      </c>
      <c r="G560" s="328">
        <v>1</v>
      </c>
      <c r="H560" s="328">
        <v>51.374099999999999</v>
      </c>
      <c r="I560" s="328">
        <v>8.7463800000000003</v>
      </c>
      <c r="J560" s="328">
        <v>-16.203019000000001</v>
      </c>
      <c r="K560" s="328">
        <v>-15.382987</v>
      </c>
      <c r="L560" s="328">
        <v>884.61800000000005</v>
      </c>
      <c r="M560" s="328">
        <v>102.49972699999999</v>
      </c>
      <c r="N560" s="328">
        <v>11684.41</v>
      </c>
      <c r="O560" s="328">
        <v>11684.40886</v>
      </c>
      <c r="P560" s="328">
        <v>2024.3489999999999</v>
      </c>
      <c r="Q560" s="327" t="s">
        <v>469</v>
      </c>
      <c r="R560" s="327"/>
      <c r="S560" s="328">
        <v>15</v>
      </c>
      <c r="T560" s="328">
        <v>5</v>
      </c>
      <c r="U560" s="328">
        <v>0.7</v>
      </c>
      <c r="V560" s="328">
        <v>0.7</v>
      </c>
      <c r="W560" s="328">
        <v>0.7</v>
      </c>
      <c r="X560" s="328">
        <v>1700</v>
      </c>
      <c r="Y560" s="327" t="s">
        <v>470</v>
      </c>
      <c r="Z560" s="328">
        <v>0.85</v>
      </c>
      <c r="AA560" s="327" t="s">
        <v>471</v>
      </c>
      <c r="AB560" s="327" t="s">
        <v>472</v>
      </c>
      <c r="AC560" s="330">
        <v>220</v>
      </c>
    </row>
    <row r="561" spans="1:29">
      <c r="A561" s="331" t="s">
        <v>476</v>
      </c>
      <c r="B561" s="332" t="s">
        <v>467</v>
      </c>
      <c r="C561" s="332"/>
      <c r="D561" s="332" t="s">
        <v>468</v>
      </c>
      <c r="E561" s="333">
        <v>1</v>
      </c>
      <c r="F561" s="334">
        <v>45229.400694444441</v>
      </c>
      <c r="G561" s="333">
        <v>1</v>
      </c>
      <c r="H561" s="333">
        <v>51.3675</v>
      </c>
      <c r="I561" s="333">
        <v>7.9541700000000004</v>
      </c>
      <c r="J561" s="333">
        <v>-16.198</v>
      </c>
      <c r="K561" s="333">
        <v>-15.351819000000001</v>
      </c>
      <c r="L561" s="333">
        <v>887.43899999999996</v>
      </c>
      <c r="M561" s="333">
        <v>95.500212000000005</v>
      </c>
      <c r="N561" s="333">
        <v>11681.98</v>
      </c>
      <c r="O561" s="333">
        <v>11681.980670000001</v>
      </c>
      <c r="P561" s="333">
        <v>2023.932</v>
      </c>
      <c r="Q561" s="332" t="s">
        <v>469</v>
      </c>
      <c r="R561" s="332"/>
      <c r="S561" s="333">
        <v>15</v>
      </c>
      <c r="T561" s="333">
        <v>5</v>
      </c>
      <c r="U561" s="333">
        <v>0.7</v>
      </c>
      <c r="V561" s="333">
        <v>0.7</v>
      </c>
      <c r="W561" s="333">
        <v>0.7</v>
      </c>
      <c r="X561" s="333">
        <v>1700</v>
      </c>
      <c r="Y561" s="332" t="s">
        <v>470</v>
      </c>
      <c r="Z561" s="333">
        <v>0.85</v>
      </c>
      <c r="AA561" s="332" t="s">
        <v>471</v>
      </c>
      <c r="AB561" s="332" t="s">
        <v>472</v>
      </c>
      <c r="AC561" s="335">
        <v>220</v>
      </c>
    </row>
    <row r="562" spans="1:29">
      <c r="A562" s="326" t="s">
        <v>589</v>
      </c>
      <c r="B562" s="327" t="s">
        <v>467</v>
      </c>
      <c r="C562" s="327"/>
      <c r="D562" s="327" t="s">
        <v>468</v>
      </c>
      <c r="E562" s="328">
        <v>1</v>
      </c>
      <c r="F562" s="329">
        <v>45229.40347222222</v>
      </c>
      <c r="G562" s="328">
        <v>1</v>
      </c>
      <c r="H562" s="328">
        <v>51.370800000000003</v>
      </c>
      <c r="I562" s="328">
        <v>7.1361400000000001</v>
      </c>
      <c r="J562" s="328">
        <v>-16.301749999999998</v>
      </c>
      <c r="K562" s="328">
        <v>-15.458462000000001</v>
      </c>
      <c r="L562" s="328">
        <v>883.476</v>
      </c>
      <c r="M562" s="328">
        <v>103.999337</v>
      </c>
      <c r="N562" s="328">
        <v>11679.64</v>
      </c>
      <c r="O562" s="328">
        <v>11679.64351</v>
      </c>
      <c r="P562" s="328">
        <v>2023.53</v>
      </c>
      <c r="Q562" s="327" t="s">
        <v>469</v>
      </c>
      <c r="R562" s="327"/>
      <c r="S562" s="328">
        <v>15</v>
      </c>
      <c r="T562" s="328">
        <v>5</v>
      </c>
      <c r="U562" s="328">
        <v>0.7</v>
      </c>
      <c r="V562" s="328">
        <v>0.7</v>
      </c>
      <c r="W562" s="328">
        <v>0.7</v>
      </c>
      <c r="X562" s="328">
        <v>1700</v>
      </c>
      <c r="Y562" s="327" t="s">
        <v>470</v>
      </c>
      <c r="Z562" s="328">
        <v>0.85</v>
      </c>
      <c r="AA562" s="327" t="s">
        <v>471</v>
      </c>
      <c r="AB562" s="327" t="s">
        <v>472</v>
      </c>
      <c r="AC562" s="330">
        <v>220</v>
      </c>
    </row>
    <row r="563" spans="1:29">
      <c r="A563" s="331" t="s">
        <v>497</v>
      </c>
      <c r="B563" s="332" t="s">
        <v>467</v>
      </c>
      <c r="C563" s="332"/>
      <c r="D563" s="332" t="s">
        <v>468</v>
      </c>
      <c r="E563" s="333">
        <v>1</v>
      </c>
      <c r="F563" s="334">
        <v>45229.406944444447</v>
      </c>
      <c r="G563" s="333">
        <v>1</v>
      </c>
      <c r="H563" s="333">
        <v>51.374099999999999</v>
      </c>
      <c r="I563" s="333">
        <v>6.5526200000000001</v>
      </c>
      <c r="J563" s="333">
        <v>-16.377099999999999</v>
      </c>
      <c r="K563" s="333">
        <v>-15.534630999999999</v>
      </c>
      <c r="L563" s="333">
        <v>882.36099999999999</v>
      </c>
      <c r="M563" s="333">
        <v>98.000303000000002</v>
      </c>
      <c r="N563" s="333">
        <v>11687.13</v>
      </c>
      <c r="O563" s="333">
        <v>11687.12898</v>
      </c>
      <c r="P563" s="333">
        <v>2024.816</v>
      </c>
      <c r="Q563" s="332" t="s">
        <v>469</v>
      </c>
      <c r="R563" s="332"/>
      <c r="S563" s="333">
        <v>15</v>
      </c>
      <c r="T563" s="333">
        <v>5</v>
      </c>
      <c r="U563" s="333">
        <v>0.7</v>
      </c>
      <c r="V563" s="333">
        <v>0.7</v>
      </c>
      <c r="W563" s="333">
        <v>0.7</v>
      </c>
      <c r="X563" s="333">
        <v>1700</v>
      </c>
      <c r="Y563" s="332" t="s">
        <v>470</v>
      </c>
      <c r="Z563" s="333">
        <v>0.85</v>
      </c>
      <c r="AA563" s="332" t="s">
        <v>471</v>
      </c>
      <c r="AB563" s="332" t="s">
        <v>472</v>
      </c>
      <c r="AC563" s="335">
        <v>220</v>
      </c>
    </row>
    <row r="564" spans="1:29">
      <c r="A564" s="326" t="s">
        <v>504</v>
      </c>
      <c r="B564" s="327" t="s">
        <v>478</v>
      </c>
      <c r="C564" s="327" t="s">
        <v>435</v>
      </c>
      <c r="D564" s="327" t="s">
        <v>468</v>
      </c>
      <c r="E564" s="328">
        <v>1.2</v>
      </c>
      <c r="F564" s="329">
        <v>45229.412499999999</v>
      </c>
      <c r="G564" s="328">
        <v>1</v>
      </c>
      <c r="H564" s="328">
        <v>51.370800000000003</v>
      </c>
      <c r="I564" s="328">
        <v>6.2455499999999997</v>
      </c>
      <c r="J564" s="328">
        <v>-16.358981</v>
      </c>
      <c r="K564" s="328">
        <v>-15.514669</v>
      </c>
      <c r="L564" s="328">
        <v>965.02700000000004</v>
      </c>
      <c r="M564" s="328">
        <v>106.50035</v>
      </c>
      <c r="N564" s="328">
        <v>14245.85</v>
      </c>
      <c r="O564" s="328">
        <v>14337.535830000001</v>
      </c>
      <c r="P564" s="328">
        <v>2074.08</v>
      </c>
      <c r="Q564" s="327" t="s">
        <v>542</v>
      </c>
      <c r="R564" s="327"/>
      <c r="S564" s="328">
        <v>15</v>
      </c>
      <c r="T564" s="328">
        <v>5</v>
      </c>
      <c r="U564" s="328">
        <v>0.7</v>
      </c>
      <c r="V564" s="328">
        <v>0.7</v>
      </c>
      <c r="W564" s="328">
        <v>0.7</v>
      </c>
      <c r="X564" s="328">
        <v>1700</v>
      </c>
      <c r="Y564" s="327" t="s">
        <v>470</v>
      </c>
      <c r="Z564" s="328">
        <v>0.85</v>
      </c>
      <c r="AA564" s="327" t="s">
        <v>471</v>
      </c>
      <c r="AB564" s="327" t="s">
        <v>472</v>
      </c>
      <c r="AC564" s="330">
        <v>220</v>
      </c>
    </row>
    <row r="565" spans="1:29">
      <c r="A565" s="331" t="s">
        <v>505</v>
      </c>
      <c r="B565" s="332" t="s">
        <v>478</v>
      </c>
      <c r="C565" s="332" t="s">
        <v>435</v>
      </c>
      <c r="D565" s="332" t="s">
        <v>468</v>
      </c>
      <c r="E565" s="333">
        <v>1.2</v>
      </c>
      <c r="F565" s="334">
        <v>45229.415972222225</v>
      </c>
      <c r="G565" s="333">
        <v>1</v>
      </c>
      <c r="H565" s="333">
        <v>51.370800000000003</v>
      </c>
      <c r="I565" s="333">
        <v>6.0375199999999998</v>
      </c>
      <c r="J565" s="333">
        <v>-16.479856000000002</v>
      </c>
      <c r="K565" s="333">
        <v>-15.664763000000001</v>
      </c>
      <c r="L565" s="333">
        <v>956.35199999999998</v>
      </c>
      <c r="M565" s="333">
        <v>115.499945</v>
      </c>
      <c r="N565" s="333">
        <v>14338.07</v>
      </c>
      <c r="O565" s="333">
        <v>14337.535830000001</v>
      </c>
      <c r="P565" s="333">
        <v>2074.08</v>
      </c>
      <c r="Q565" s="332" t="s">
        <v>469</v>
      </c>
      <c r="R565" s="332"/>
      <c r="S565" s="333">
        <v>15</v>
      </c>
      <c r="T565" s="333">
        <v>5</v>
      </c>
      <c r="U565" s="333">
        <v>0.7</v>
      </c>
      <c r="V565" s="333">
        <v>0.7</v>
      </c>
      <c r="W565" s="333">
        <v>0.7</v>
      </c>
      <c r="X565" s="333">
        <v>1700</v>
      </c>
      <c r="Y565" s="332" t="s">
        <v>470</v>
      </c>
      <c r="Z565" s="333">
        <v>0.85</v>
      </c>
      <c r="AA565" s="332" t="s">
        <v>471</v>
      </c>
      <c r="AB565" s="332" t="s">
        <v>472</v>
      </c>
      <c r="AC565" s="335">
        <v>220</v>
      </c>
    </row>
    <row r="566" spans="1:29">
      <c r="A566" s="326" t="s">
        <v>506</v>
      </c>
      <c r="B566" s="327" t="s">
        <v>478</v>
      </c>
      <c r="C566" s="327" t="s">
        <v>435</v>
      </c>
      <c r="D566" s="327" t="s">
        <v>468</v>
      </c>
      <c r="E566" s="328">
        <v>1.2</v>
      </c>
      <c r="F566" s="329">
        <v>45229.419444444444</v>
      </c>
      <c r="G566" s="328">
        <v>1</v>
      </c>
      <c r="H566" s="328">
        <v>51.3675</v>
      </c>
      <c r="I566" s="328">
        <v>5.8472499999999998</v>
      </c>
      <c r="J566" s="328">
        <v>-16.493531000000001</v>
      </c>
      <c r="K566" s="328">
        <v>-15.644418999999999</v>
      </c>
      <c r="L566" s="328">
        <v>954.99099999999999</v>
      </c>
      <c r="M566" s="328">
        <v>96.499843999999996</v>
      </c>
      <c r="N566" s="328">
        <v>14342.94</v>
      </c>
      <c r="O566" s="328">
        <v>14337.535830000001</v>
      </c>
      <c r="P566" s="328">
        <v>2074.08</v>
      </c>
      <c r="Q566" s="327" t="s">
        <v>469</v>
      </c>
      <c r="R566" s="327"/>
      <c r="S566" s="328">
        <v>15</v>
      </c>
      <c r="T566" s="328">
        <v>5</v>
      </c>
      <c r="U566" s="328">
        <v>0.7</v>
      </c>
      <c r="V566" s="328">
        <v>0.7</v>
      </c>
      <c r="W566" s="328">
        <v>0.7</v>
      </c>
      <c r="X566" s="328">
        <v>1700</v>
      </c>
      <c r="Y566" s="327" t="s">
        <v>470</v>
      </c>
      <c r="Z566" s="328">
        <v>0.85</v>
      </c>
      <c r="AA566" s="327" t="s">
        <v>471</v>
      </c>
      <c r="AB566" s="327" t="s">
        <v>472</v>
      </c>
      <c r="AC566" s="330">
        <v>220</v>
      </c>
    </row>
    <row r="567" spans="1:29">
      <c r="A567" s="331" t="s">
        <v>507</v>
      </c>
      <c r="B567" s="332" t="s">
        <v>478</v>
      </c>
      <c r="C567" s="332" t="s">
        <v>435</v>
      </c>
      <c r="D567" s="332" t="s">
        <v>468</v>
      </c>
      <c r="E567" s="333">
        <v>1.2</v>
      </c>
      <c r="F567" s="334">
        <v>45229.422222222223</v>
      </c>
      <c r="G567" s="333">
        <v>1</v>
      </c>
      <c r="H567" s="333">
        <v>51.377400000000002</v>
      </c>
      <c r="I567" s="333">
        <v>5.8097700000000003</v>
      </c>
      <c r="J567" s="333">
        <v>-16.487594000000001</v>
      </c>
      <c r="K567" s="333">
        <v>-15.640356000000001</v>
      </c>
      <c r="L567" s="333">
        <v>963.577</v>
      </c>
      <c r="M567" s="333">
        <v>106.499469</v>
      </c>
      <c r="N567" s="333">
        <v>14331.59</v>
      </c>
      <c r="O567" s="333">
        <v>14337.535830000001</v>
      </c>
      <c r="P567" s="333">
        <v>2074.08</v>
      </c>
      <c r="Q567" s="332" t="s">
        <v>469</v>
      </c>
      <c r="R567" s="332"/>
      <c r="S567" s="333">
        <v>15</v>
      </c>
      <c r="T567" s="333">
        <v>5</v>
      </c>
      <c r="U567" s="333">
        <v>0.7</v>
      </c>
      <c r="V567" s="333">
        <v>0.7</v>
      </c>
      <c r="W567" s="333">
        <v>0.7</v>
      </c>
      <c r="X567" s="333">
        <v>1700</v>
      </c>
      <c r="Y567" s="332" t="s">
        <v>470</v>
      </c>
      <c r="Z567" s="333">
        <v>0.85</v>
      </c>
      <c r="AA567" s="332" t="s">
        <v>471</v>
      </c>
      <c r="AB567" s="332" t="s">
        <v>472</v>
      </c>
      <c r="AC567" s="335">
        <v>220</v>
      </c>
    </row>
    <row r="568" spans="1:29">
      <c r="A568" s="326" t="s">
        <v>514</v>
      </c>
      <c r="B568" s="327" t="s">
        <v>490</v>
      </c>
      <c r="C568" s="327" t="s">
        <v>435</v>
      </c>
      <c r="D568" s="327" t="s">
        <v>468</v>
      </c>
      <c r="E568" s="328">
        <v>1.5</v>
      </c>
      <c r="F568" s="329">
        <v>45229.425694444442</v>
      </c>
      <c r="G568" s="328">
        <v>1</v>
      </c>
      <c r="H568" s="328">
        <v>51.3675</v>
      </c>
      <c r="I568" s="328">
        <v>5.8245100000000001</v>
      </c>
      <c r="J568" s="328">
        <v>-16.478719000000002</v>
      </c>
      <c r="K568" s="328">
        <v>-15.637912999999999</v>
      </c>
      <c r="L568" s="328">
        <v>993.50400000000002</v>
      </c>
      <c r="M568" s="328">
        <v>120.999798</v>
      </c>
      <c r="N568" s="328">
        <v>17995.36</v>
      </c>
      <c r="O568" s="328">
        <v>17983.191500000001</v>
      </c>
      <c r="P568" s="328">
        <v>2074.08</v>
      </c>
      <c r="Q568" s="327" t="s">
        <v>469</v>
      </c>
      <c r="R568" s="327"/>
      <c r="S568" s="328">
        <v>15</v>
      </c>
      <c r="T568" s="328">
        <v>5</v>
      </c>
      <c r="U568" s="328">
        <v>0.7</v>
      </c>
      <c r="V568" s="328">
        <v>0.7</v>
      </c>
      <c r="W568" s="328">
        <v>0.7</v>
      </c>
      <c r="X568" s="328">
        <v>1700</v>
      </c>
      <c r="Y568" s="327" t="s">
        <v>470</v>
      </c>
      <c r="Z568" s="328">
        <v>0.85</v>
      </c>
      <c r="AA568" s="327" t="s">
        <v>471</v>
      </c>
      <c r="AB568" s="327" t="s">
        <v>472</v>
      </c>
      <c r="AC568" s="330">
        <v>220</v>
      </c>
    </row>
    <row r="569" spans="1:29">
      <c r="A569" s="331" t="s">
        <v>515</v>
      </c>
      <c r="B569" s="332" t="s">
        <v>490</v>
      </c>
      <c r="C569" s="332" t="s">
        <v>435</v>
      </c>
      <c r="D569" s="332" t="s">
        <v>468</v>
      </c>
      <c r="E569" s="333">
        <v>1.5</v>
      </c>
      <c r="F569" s="334">
        <v>45229.429166666669</v>
      </c>
      <c r="G569" s="333">
        <v>1</v>
      </c>
      <c r="H569" s="333">
        <v>51.374099999999999</v>
      </c>
      <c r="I569" s="333">
        <v>5.8390700000000004</v>
      </c>
      <c r="J569" s="333">
        <v>-16.459918999999999</v>
      </c>
      <c r="K569" s="333">
        <v>-15.613068999999999</v>
      </c>
      <c r="L569" s="333">
        <v>975.68100000000004</v>
      </c>
      <c r="M569" s="333">
        <v>119.500113</v>
      </c>
      <c r="N569" s="333">
        <v>17971.53</v>
      </c>
      <c r="O569" s="333">
        <v>17983.191500000001</v>
      </c>
      <c r="P569" s="333">
        <v>2074.08</v>
      </c>
      <c r="Q569" s="332" t="s">
        <v>469</v>
      </c>
      <c r="R569" s="332"/>
      <c r="S569" s="333">
        <v>15</v>
      </c>
      <c r="T569" s="333">
        <v>5</v>
      </c>
      <c r="U569" s="333">
        <v>0.7</v>
      </c>
      <c r="V569" s="333">
        <v>0.7</v>
      </c>
      <c r="W569" s="333">
        <v>0.7</v>
      </c>
      <c r="X569" s="333">
        <v>1700</v>
      </c>
      <c r="Y569" s="332" t="s">
        <v>470</v>
      </c>
      <c r="Z569" s="333">
        <v>0.85</v>
      </c>
      <c r="AA569" s="332" t="s">
        <v>471</v>
      </c>
      <c r="AB569" s="332" t="s">
        <v>472</v>
      </c>
      <c r="AC569" s="335">
        <v>221</v>
      </c>
    </row>
    <row r="570" spans="1:29">
      <c r="A570" s="326" t="s">
        <v>516</v>
      </c>
      <c r="B570" s="327" t="s">
        <v>490</v>
      </c>
      <c r="C570" s="327" t="s">
        <v>435</v>
      </c>
      <c r="D570" s="327" t="s">
        <v>468</v>
      </c>
      <c r="E570" s="328">
        <v>1.5</v>
      </c>
      <c r="F570" s="329">
        <v>45229.432638888888</v>
      </c>
      <c r="G570" s="328">
        <v>1</v>
      </c>
      <c r="H570" s="328">
        <v>51.370800000000003</v>
      </c>
      <c r="I570" s="328">
        <v>5.8386699999999996</v>
      </c>
      <c r="J570" s="328">
        <v>-16.631125000000001</v>
      </c>
      <c r="K570" s="328">
        <v>-15.788836999999999</v>
      </c>
      <c r="L570" s="328">
        <v>981.07500000000005</v>
      </c>
      <c r="M570" s="328">
        <v>126.499213</v>
      </c>
      <c r="N570" s="328">
        <v>17982.68</v>
      </c>
      <c r="O570" s="328">
        <v>17983.191500000001</v>
      </c>
      <c r="P570" s="328">
        <v>2074.08</v>
      </c>
      <c r="Q570" s="327" t="s">
        <v>469</v>
      </c>
      <c r="R570" s="327"/>
      <c r="S570" s="328">
        <v>15</v>
      </c>
      <c r="T570" s="328">
        <v>5</v>
      </c>
      <c r="U570" s="328">
        <v>0.7</v>
      </c>
      <c r="V570" s="328">
        <v>0.7</v>
      </c>
      <c r="W570" s="328">
        <v>0.7</v>
      </c>
      <c r="X570" s="328">
        <v>1700</v>
      </c>
      <c r="Y570" s="327" t="s">
        <v>470</v>
      </c>
      <c r="Z570" s="328">
        <v>0.85</v>
      </c>
      <c r="AA570" s="327" t="s">
        <v>471</v>
      </c>
      <c r="AB570" s="327" t="s">
        <v>472</v>
      </c>
      <c r="AC570" s="330">
        <v>220</v>
      </c>
    </row>
    <row r="571" spans="1:29">
      <c r="A571" s="331" t="s">
        <v>524</v>
      </c>
      <c r="B571" s="332" t="s">
        <v>494</v>
      </c>
      <c r="C571" s="332" t="s">
        <v>435</v>
      </c>
      <c r="D571" s="332" t="s">
        <v>468</v>
      </c>
      <c r="E571" s="333">
        <v>1.8</v>
      </c>
      <c r="F571" s="334">
        <v>45229.436805555553</v>
      </c>
      <c r="G571" s="333">
        <v>1</v>
      </c>
      <c r="H571" s="333">
        <v>51.377400000000002</v>
      </c>
      <c r="I571" s="333">
        <v>5.8133699999999999</v>
      </c>
      <c r="J571" s="333">
        <v>-16.559661999999999</v>
      </c>
      <c r="K571" s="333">
        <v>-15.717388</v>
      </c>
      <c r="L571" s="333">
        <v>999.25300000000004</v>
      </c>
      <c r="M571" s="333">
        <v>148.49893</v>
      </c>
      <c r="N571" s="333">
        <v>21512.65</v>
      </c>
      <c r="O571" s="333">
        <v>21510.86593</v>
      </c>
      <c r="P571" s="333">
        <v>2074.08</v>
      </c>
      <c r="Q571" s="332" t="s">
        <v>469</v>
      </c>
      <c r="R571" s="332"/>
      <c r="S571" s="333">
        <v>15</v>
      </c>
      <c r="T571" s="333">
        <v>5</v>
      </c>
      <c r="U571" s="333">
        <v>0.7</v>
      </c>
      <c r="V571" s="333">
        <v>0.7</v>
      </c>
      <c r="W571" s="333">
        <v>0.7</v>
      </c>
      <c r="X571" s="333">
        <v>1700</v>
      </c>
      <c r="Y571" s="332" t="s">
        <v>470</v>
      </c>
      <c r="Z571" s="333">
        <v>0.85</v>
      </c>
      <c r="AA571" s="332" t="s">
        <v>471</v>
      </c>
      <c r="AB571" s="332" t="s">
        <v>472</v>
      </c>
      <c r="AC571" s="335">
        <v>220</v>
      </c>
    </row>
    <row r="572" spans="1:29">
      <c r="A572" s="326" t="s">
        <v>690</v>
      </c>
      <c r="B572" s="327" t="s">
        <v>494</v>
      </c>
      <c r="C572" s="327" t="s">
        <v>435</v>
      </c>
      <c r="D572" s="327" t="s">
        <v>468</v>
      </c>
      <c r="E572" s="328">
        <v>1.8</v>
      </c>
      <c r="F572" s="329">
        <v>45229.44027777778</v>
      </c>
      <c r="G572" s="328">
        <v>1</v>
      </c>
      <c r="H572" s="328">
        <v>51.374099999999999</v>
      </c>
      <c r="I572" s="328">
        <v>5.7833100000000002</v>
      </c>
      <c r="J572" s="328">
        <v>-16.461175000000001</v>
      </c>
      <c r="K572" s="328">
        <v>-15.626188000000001</v>
      </c>
      <c r="L572" s="328">
        <v>1007.55</v>
      </c>
      <c r="M572" s="328">
        <v>140.49896000000001</v>
      </c>
      <c r="N572" s="328">
        <v>21474.28</v>
      </c>
      <c r="O572" s="328">
        <v>21510.86593</v>
      </c>
      <c r="P572" s="328">
        <v>2074.08</v>
      </c>
      <c r="Q572" s="327" t="s">
        <v>542</v>
      </c>
      <c r="R572" s="327"/>
      <c r="S572" s="328">
        <v>15</v>
      </c>
      <c r="T572" s="328">
        <v>5</v>
      </c>
      <c r="U572" s="328">
        <v>0.7</v>
      </c>
      <c r="V572" s="328">
        <v>0.7</v>
      </c>
      <c r="W572" s="328">
        <v>0.7</v>
      </c>
      <c r="X572" s="328">
        <v>1700</v>
      </c>
      <c r="Y572" s="327" t="s">
        <v>470</v>
      </c>
      <c r="Z572" s="328">
        <v>0.85</v>
      </c>
      <c r="AA572" s="327" t="s">
        <v>471</v>
      </c>
      <c r="AB572" s="327" t="s">
        <v>472</v>
      </c>
      <c r="AC572" s="330">
        <v>220</v>
      </c>
    </row>
    <row r="573" spans="1:29">
      <c r="A573" s="331" t="s">
        <v>691</v>
      </c>
      <c r="B573" s="332" t="s">
        <v>494</v>
      </c>
      <c r="C573" s="332" t="s">
        <v>435</v>
      </c>
      <c r="D573" s="332" t="s">
        <v>468</v>
      </c>
      <c r="E573" s="333">
        <v>1.8</v>
      </c>
      <c r="F573" s="334">
        <v>45229.444444444445</v>
      </c>
      <c r="G573" s="333">
        <v>1</v>
      </c>
      <c r="H573" s="333">
        <v>51.374099999999999</v>
      </c>
      <c r="I573" s="333">
        <v>5.71957</v>
      </c>
      <c r="J573" s="333">
        <v>-16.506287</v>
      </c>
      <c r="K573" s="333">
        <v>-15.693406</v>
      </c>
      <c r="L573" s="333">
        <v>1006.85</v>
      </c>
      <c r="M573" s="333">
        <v>137.50014300000001</v>
      </c>
      <c r="N573" s="333">
        <v>21512.12</v>
      </c>
      <c r="O573" s="333">
        <v>21510.86593</v>
      </c>
      <c r="P573" s="333">
        <v>2074.08</v>
      </c>
      <c r="Q573" s="332" t="s">
        <v>469</v>
      </c>
      <c r="R573" s="332"/>
      <c r="S573" s="333">
        <v>15</v>
      </c>
      <c r="T573" s="333">
        <v>5</v>
      </c>
      <c r="U573" s="333">
        <v>0.7</v>
      </c>
      <c r="V573" s="333">
        <v>0.7</v>
      </c>
      <c r="W573" s="333">
        <v>0.7</v>
      </c>
      <c r="X573" s="333">
        <v>1700</v>
      </c>
      <c r="Y573" s="332" t="s">
        <v>470</v>
      </c>
      <c r="Z573" s="333">
        <v>0.85</v>
      </c>
      <c r="AA573" s="332" t="s">
        <v>471</v>
      </c>
      <c r="AB573" s="332" t="s">
        <v>472</v>
      </c>
      <c r="AC573" s="335">
        <v>220</v>
      </c>
    </row>
    <row r="574" spans="1:29">
      <c r="A574" s="326" t="s">
        <v>830</v>
      </c>
      <c r="B574" s="327" t="s">
        <v>494</v>
      </c>
      <c r="C574" s="327" t="s">
        <v>435</v>
      </c>
      <c r="D574" s="327" t="s">
        <v>468</v>
      </c>
      <c r="E574" s="328">
        <v>1.8</v>
      </c>
      <c r="F574" s="329">
        <v>45229.448611111111</v>
      </c>
      <c r="G574" s="328">
        <v>1</v>
      </c>
      <c r="H574" s="328">
        <v>51.370800000000003</v>
      </c>
      <c r="I574" s="328">
        <v>5.7151100000000001</v>
      </c>
      <c r="J574" s="328">
        <v>-16.478861999999999</v>
      </c>
      <c r="K574" s="328">
        <v>-15.642613000000001</v>
      </c>
      <c r="L574" s="328">
        <v>1013.88</v>
      </c>
      <c r="M574" s="328">
        <v>129.50122200000001</v>
      </c>
      <c r="N574" s="328">
        <v>21507.83</v>
      </c>
      <c r="O574" s="328">
        <v>21510.86593</v>
      </c>
      <c r="P574" s="328">
        <v>2074.08</v>
      </c>
      <c r="Q574" s="327" t="s">
        <v>469</v>
      </c>
      <c r="R574" s="327"/>
      <c r="S574" s="328">
        <v>15</v>
      </c>
      <c r="T574" s="328">
        <v>5</v>
      </c>
      <c r="U574" s="328">
        <v>0.7</v>
      </c>
      <c r="V574" s="328">
        <v>0.7</v>
      </c>
      <c r="W574" s="328">
        <v>0.7</v>
      </c>
      <c r="X574" s="328">
        <v>1700</v>
      </c>
      <c r="Y574" s="327" t="s">
        <v>470</v>
      </c>
      <c r="Z574" s="328">
        <v>0.85</v>
      </c>
      <c r="AA574" s="327" t="s">
        <v>471</v>
      </c>
      <c r="AB574" s="327" t="s">
        <v>472</v>
      </c>
      <c r="AC574" s="330">
        <v>220</v>
      </c>
    </row>
    <row r="575" spans="1:29">
      <c r="A575" s="336" t="s">
        <v>591</v>
      </c>
      <c r="B575" s="337">
        <v>2</v>
      </c>
      <c r="C575" s="337" t="s">
        <v>435</v>
      </c>
      <c r="D575" s="337" t="s">
        <v>468</v>
      </c>
      <c r="E575" s="338">
        <v>1.5</v>
      </c>
      <c r="F575" s="339">
        <v>45229.45208333333</v>
      </c>
      <c r="G575" s="338">
        <v>1</v>
      </c>
      <c r="H575" s="338">
        <v>51.374099999999999</v>
      </c>
      <c r="I575" s="338">
        <v>5.6036400000000004</v>
      </c>
      <c r="J575" s="338">
        <v>-16.609605999999999</v>
      </c>
      <c r="K575" s="338">
        <v>-15.762155999999999</v>
      </c>
      <c r="L575" s="338">
        <v>985.75699999999995</v>
      </c>
      <c r="M575" s="338">
        <v>136.50028900000001</v>
      </c>
      <c r="N575" s="338">
        <v>17920.240000000002</v>
      </c>
      <c r="O575" s="338">
        <v>17931.03614</v>
      </c>
      <c r="P575" s="338">
        <v>2068.145</v>
      </c>
      <c r="Q575" s="337" t="s">
        <v>469</v>
      </c>
      <c r="R575" s="337"/>
      <c r="S575" s="338">
        <v>15</v>
      </c>
      <c r="T575" s="338">
        <v>5</v>
      </c>
      <c r="U575" s="338">
        <v>0.7</v>
      </c>
      <c r="V575" s="338">
        <v>0.7</v>
      </c>
      <c r="W575" s="338">
        <v>0.7</v>
      </c>
      <c r="X575" s="338">
        <v>1700</v>
      </c>
      <c r="Y575" s="337" t="s">
        <v>470</v>
      </c>
      <c r="Z575" s="338">
        <v>0.85</v>
      </c>
      <c r="AA575" s="337" t="s">
        <v>471</v>
      </c>
      <c r="AB575" s="337" t="s">
        <v>472</v>
      </c>
      <c r="AC575" s="340">
        <v>220</v>
      </c>
    </row>
    <row r="576" spans="1:29">
      <c r="A576" s="326" t="s">
        <v>692</v>
      </c>
      <c r="B576" s="327">
        <v>2</v>
      </c>
      <c r="C576" s="327" t="s">
        <v>435</v>
      </c>
      <c r="D576" s="327" t="s">
        <v>468</v>
      </c>
      <c r="E576" s="328">
        <v>1.5</v>
      </c>
      <c r="F576" s="329">
        <v>45229.455555555556</v>
      </c>
      <c r="G576" s="328">
        <v>1</v>
      </c>
      <c r="H576" s="328">
        <v>51.370800000000003</v>
      </c>
      <c r="I576" s="328">
        <v>5.5653100000000002</v>
      </c>
      <c r="J576" s="328">
        <v>-16.368794000000001</v>
      </c>
      <c r="K576" s="328">
        <v>-15.538550000000001</v>
      </c>
      <c r="L576" s="328">
        <v>995.452</v>
      </c>
      <c r="M576" s="328">
        <v>123.501046</v>
      </c>
      <c r="N576" s="328">
        <v>17970.009999999998</v>
      </c>
      <c r="O576" s="328">
        <v>17931.03614</v>
      </c>
      <c r="P576" s="328">
        <v>2068.145</v>
      </c>
      <c r="Q576" s="327" t="s">
        <v>542</v>
      </c>
      <c r="R576" s="327"/>
      <c r="S576" s="328">
        <v>15</v>
      </c>
      <c r="T576" s="328">
        <v>5</v>
      </c>
      <c r="U576" s="328">
        <v>0.7</v>
      </c>
      <c r="V576" s="328">
        <v>0.7</v>
      </c>
      <c r="W576" s="328">
        <v>0.7</v>
      </c>
      <c r="X576" s="328">
        <v>1700</v>
      </c>
      <c r="Y576" s="327" t="s">
        <v>470</v>
      </c>
      <c r="Z576" s="328">
        <v>0.85</v>
      </c>
      <c r="AA576" s="327" t="s">
        <v>471</v>
      </c>
      <c r="AB576" s="327" t="s">
        <v>472</v>
      </c>
      <c r="AC576" s="330">
        <v>220</v>
      </c>
    </row>
    <row r="577" spans="1:29">
      <c r="A577" s="331" t="s">
        <v>693</v>
      </c>
      <c r="B577" s="332">
        <v>2</v>
      </c>
      <c r="C577" s="332" t="s">
        <v>435</v>
      </c>
      <c r="D577" s="332" t="s">
        <v>468</v>
      </c>
      <c r="E577" s="333">
        <v>1.5</v>
      </c>
      <c r="F577" s="334">
        <v>45229.459027777775</v>
      </c>
      <c r="G577" s="333">
        <v>1</v>
      </c>
      <c r="H577" s="333">
        <v>51.3675</v>
      </c>
      <c r="I577" s="333">
        <v>5.5922299999999998</v>
      </c>
      <c r="J577" s="333">
        <v>-16.534288</v>
      </c>
      <c r="K577" s="333">
        <v>-15.694063</v>
      </c>
      <c r="L577" s="333">
        <v>995.59</v>
      </c>
      <c r="M577" s="333">
        <v>120.000063</v>
      </c>
      <c r="N577" s="333">
        <v>17934.259999999998</v>
      </c>
      <c r="O577" s="333">
        <v>17931.03614</v>
      </c>
      <c r="P577" s="333">
        <v>2068.145</v>
      </c>
      <c r="Q577" s="332" t="s">
        <v>469</v>
      </c>
      <c r="R577" s="332"/>
      <c r="S577" s="333">
        <v>15</v>
      </c>
      <c r="T577" s="333">
        <v>5</v>
      </c>
      <c r="U577" s="333">
        <v>0.7</v>
      </c>
      <c r="V577" s="333">
        <v>0.7</v>
      </c>
      <c r="W577" s="333">
        <v>0.7</v>
      </c>
      <c r="X577" s="333">
        <v>1700</v>
      </c>
      <c r="Y577" s="332" t="s">
        <v>470</v>
      </c>
      <c r="Z577" s="333">
        <v>0.85</v>
      </c>
      <c r="AA577" s="332" t="s">
        <v>471</v>
      </c>
      <c r="AB577" s="332" t="s">
        <v>472</v>
      </c>
      <c r="AC577" s="335">
        <v>220</v>
      </c>
    </row>
    <row r="578" spans="1:29">
      <c r="A578" s="326" t="s">
        <v>694</v>
      </c>
      <c r="B578" s="327">
        <v>2</v>
      </c>
      <c r="C578" s="327" t="s">
        <v>435</v>
      </c>
      <c r="D578" s="327" t="s">
        <v>468</v>
      </c>
      <c r="E578" s="328">
        <v>1.5</v>
      </c>
      <c r="F578" s="329">
        <v>45229.463194444441</v>
      </c>
      <c r="G578" s="328">
        <v>1</v>
      </c>
      <c r="H578" s="328">
        <v>51.370800000000003</v>
      </c>
      <c r="I578" s="328">
        <v>5.6549500000000004</v>
      </c>
      <c r="J578" s="328">
        <v>-16.513456000000001</v>
      </c>
      <c r="K578" s="328">
        <v>-15.665687999999999</v>
      </c>
      <c r="L578" s="328">
        <v>989.45600000000002</v>
      </c>
      <c r="M578" s="328">
        <v>116.500669</v>
      </c>
      <c r="N578" s="328">
        <v>17938.599999999999</v>
      </c>
      <c r="O578" s="328">
        <v>17931.03614</v>
      </c>
      <c r="P578" s="328">
        <v>2068.145</v>
      </c>
      <c r="Q578" s="327" t="s">
        <v>469</v>
      </c>
      <c r="R578" s="327"/>
      <c r="S578" s="328">
        <v>15</v>
      </c>
      <c r="T578" s="328">
        <v>5</v>
      </c>
      <c r="U578" s="328">
        <v>0.7</v>
      </c>
      <c r="V578" s="328">
        <v>0.7</v>
      </c>
      <c r="W578" s="328">
        <v>0.7</v>
      </c>
      <c r="X578" s="328">
        <v>1700</v>
      </c>
      <c r="Y578" s="327" t="s">
        <v>470</v>
      </c>
      <c r="Z578" s="328">
        <v>0.85</v>
      </c>
      <c r="AA578" s="327" t="s">
        <v>471</v>
      </c>
      <c r="AB578" s="327" t="s">
        <v>472</v>
      </c>
      <c r="AC578" s="330">
        <v>220</v>
      </c>
    </row>
    <row r="579" spans="1:29">
      <c r="A579" s="331" t="s">
        <v>592</v>
      </c>
      <c r="B579" s="332">
        <v>3</v>
      </c>
      <c r="C579" s="332">
        <v>412</v>
      </c>
      <c r="D579" s="332" t="s">
        <v>419</v>
      </c>
      <c r="E579" s="333">
        <v>1.5</v>
      </c>
      <c r="F579" s="334">
        <v>45229.466666666667</v>
      </c>
      <c r="G579" s="333">
        <v>1</v>
      </c>
      <c r="H579" s="333">
        <v>51.370800000000003</v>
      </c>
      <c r="I579" s="333">
        <v>5.5882300000000003</v>
      </c>
      <c r="J579" s="333">
        <v>-16.562118999999999</v>
      </c>
      <c r="K579" s="333">
        <v>-15.748737999999999</v>
      </c>
      <c r="L579" s="333">
        <v>988.58299999999997</v>
      </c>
      <c r="M579" s="333">
        <v>117.99894399999999</v>
      </c>
      <c r="N579" s="333">
        <v>17883.29</v>
      </c>
      <c r="O579" s="333">
        <v>0</v>
      </c>
      <c r="P579" s="333">
        <v>0</v>
      </c>
      <c r="Q579" s="332" t="s">
        <v>479</v>
      </c>
      <c r="R579" s="332"/>
      <c r="S579" s="333">
        <v>15</v>
      </c>
      <c r="T579" s="333">
        <v>5</v>
      </c>
      <c r="U579" s="333">
        <v>0.7</v>
      </c>
      <c r="V579" s="333">
        <v>0.7</v>
      </c>
      <c r="W579" s="333">
        <v>0.7</v>
      </c>
      <c r="X579" s="333">
        <v>1700</v>
      </c>
      <c r="Y579" s="332" t="s">
        <v>470</v>
      </c>
      <c r="Z579" s="333">
        <v>0.85</v>
      </c>
      <c r="AA579" s="332" t="s">
        <v>471</v>
      </c>
      <c r="AB579" s="332" t="s">
        <v>472</v>
      </c>
      <c r="AC579" s="335">
        <v>220</v>
      </c>
    </row>
    <row r="580" spans="1:29">
      <c r="A580" s="326" t="s">
        <v>695</v>
      </c>
      <c r="B580" s="327">
        <v>3</v>
      </c>
      <c r="C580" s="327">
        <v>412</v>
      </c>
      <c r="D580" s="327" t="s">
        <v>419</v>
      </c>
      <c r="E580" s="328">
        <v>1.5</v>
      </c>
      <c r="F580" s="329">
        <v>45229.470138888886</v>
      </c>
      <c r="G580" s="328">
        <v>1</v>
      </c>
      <c r="H580" s="328">
        <v>51.370800000000003</v>
      </c>
      <c r="I580" s="328">
        <v>5.6099300000000003</v>
      </c>
      <c r="J580" s="328">
        <v>-16.630744</v>
      </c>
      <c r="K580" s="328">
        <v>-15.820181</v>
      </c>
      <c r="L580" s="328">
        <v>1018.19</v>
      </c>
      <c r="M580" s="328">
        <v>118.50177100000001</v>
      </c>
      <c r="N580" s="328">
        <v>18007.97</v>
      </c>
      <c r="O580" s="328">
        <v>0</v>
      </c>
      <c r="P580" s="328">
        <v>0</v>
      </c>
      <c r="Q580" s="327" t="s">
        <v>479</v>
      </c>
      <c r="R580" s="327"/>
      <c r="S580" s="328">
        <v>15</v>
      </c>
      <c r="T580" s="328">
        <v>5</v>
      </c>
      <c r="U580" s="328">
        <v>0.7</v>
      </c>
      <c r="V580" s="328">
        <v>0.7</v>
      </c>
      <c r="W580" s="328">
        <v>0.7</v>
      </c>
      <c r="X580" s="328">
        <v>1700</v>
      </c>
      <c r="Y580" s="327" t="s">
        <v>470</v>
      </c>
      <c r="Z580" s="328">
        <v>0.85</v>
      </c>
      <c r="AA580" s="327" t="s">
        <v>471</v>
      </c>
      <c r="AB580" s="327" t="s">
        <v>472</v>
      </c>
      <c r="AC580" s="330">
        <v>220</v>
      </c>
    </row>
    <row r="581" spans="1:29">
      <c r="A581" s="331" t="s">
        <v>696</v>
      </c>
      <c r="B581" s="332">
        <v>3</v>
      </c>
      <c r="C581" s="332">
        <v>412</v>
      </c>
      <c r="D581" s="332" t="s">
        <v>419</v>
      </c>
      <c r="E581" s="333">
        <v>1.5</v>
      </c>
      <c r="F581" s="334">
        <v>45229.473611111112</v>
      </c>
      <c r="G581" s="333">
        <v>1</v>
      </c>
      <c r="H581" s="333">
        <v>51.370800000000003</v>
      </c>
      <c r="I581" s="333">
        <v>5.5847699999999998</v>
      </c>
      <c r="J581" s="333">
        <v>-16.521062000000001</v>
      </c>
      <c r="K581" s="333">
        <v>-15.682675</v>
      </c>
      <c r="L581" s="333">
        <v>967.149</v>
      </c>
      <c r="M581" s="333">
        <v>115.498728</v>
      </c>
      <c r="N581" s="333">
        <v>17895.41</v>
      </c>
      <c r="O581" s="333">
        <v>0</v>
      </c>
      <c r="P581" s="333">
        <v>0</v>
      </c>
      <c r="Q581" s="332" t="s">
        <v>479</v>
      </c>
      <c r="R581" s="332"/>
      <c r="S581" s="333">
        <v>15</v>
      </c>
      <c r="T581" s="333">
        <v>5</v>
      </c>
      <c r="U581" s="333">
        <v>0.7</v>
      </c>
      <c r="V581" s="333">
        <v>0.7</v>
      </c>
      <c r="W581" s="333">
        <v>0.7</v>
      </c>
      <c r="X581" s="333">
        <v>1700</v>
      </c>
      <c r="Y581" s="332" t="s">
        <v>470</v>
      </c>
      <c r="Z581" s="333">
        <v>0.85</v>
      </c>
      <c r="AA581" s="332" t="s">
        <v>471</v>
      </c>
      <c r="AB581" s="332" t="s">
        <v>472</v>
      </c>
      <c r="AC581" s="335">
        <v>220</v>
      </c>
    </row>
    <row r="582" spans="1:29">
      <c r="A582" s="326" t="s">
        <v>831</v>
      </c>
      <c r="B582" s="327">
        <v>3</v>
      </c>
      <c r="C582" s="327">
        <v>412</v>
      </c>
      <c r="D582" s="327" t="s">
        <v>419</v>
      </c>
      <c r="E582" s="328">
        <v>1.5</v>
      </c>
      <c r="F582" s="329">
        <v>45229.477777777778</v>
      </c>
      <c r="G582" s="328">
        <v>1</v>
      </c>
      <c r="H582" s="328">
        <v>51.374099999999999</v>
      </c>
      <c r="I582" s="328">
        <v>5.5570500000000003</v>
      </c>
      <c r="J582" s="328">
        <v>-16.567312000000001</v>
      </c>
      <c r="K582" s="328">
        <v>-15.727</v>
      </c>
      <c r="L582" s="328">
        <v>1021.27</v>
      </c>
      <c r="M582" s="328">
        <v>122.000777</v>
      </c>
      <c r="N582" s="328">
        <v>18001.849999999999</v>
      </c>
      <c r="O582" s="328">
        <v>0</v>
      </c>
      <c r="P582" s="328">
        <v>0</v>
      </c>
      <c r="Q582" s="327" t="s">
        <v>479</v>
      </c>
      <c r="R582" s="327"/>
      <c r="S582" s="328">
        <v>15</v>
      </c>
      <c r="T582" s="328">
        <v>5</v>
      </c>
      <c r="U582" s="328">
        <v>0.7</v>
      </c>
      <c r="V582" s="328">
        <v>0.7</v>
      </c>
      <c r="W582" s="328">
        <v>0.7</v>
      </c>
      <c r="X582" s="328">
        <v>1700</v>
      </c>
      <c r="Y582" s="327" t="s">
        <v>470</v>
      </c>
      <c r="Z582" s="328">
        <v>0.85</v>
      </c>
      <c r="AA582" s="327" t="s">
        <v>471</v>
      </c>
      <c r="AB582" s="327" t="s">
        <v>472</v>
      </c>
      <c r="AC582" s="330">
        <v>220</v>
      </c>
    </row>
    <row r="583" spans="1:29">
      <c r="A583" s="331" t="s">
        <v>832</v>
      </c>
      <c r="B583" s="332">
        <v>3</v>
      </c>
      <c r="C583" s="332">
        <v>412</v>
      </c>
      <c r="D583" s="332" t="s">
        <v>419</v>
      </c>
      <c r="E583" s="333">
        <v>1.5</v>
      </c>
      <c r="F583" s="334">
        <v>45229.481249999997</v>
      </c>
      <c r="G583" s="333">
        <v>1</v>
      </c>
      <c r="H583" s="333">
        <v>51.370800000000003</v>
      </c>
      <c r="I583" s="333">
        <v>5.6200299999999999</v>
      </c>
      <c r="J583" s="333">
        <v>-16.429956000000001</v>
      </c>
      <c r="K583" s="333">
        <v>-15.583894000000001</v>
      </c>
      <c r="L583" s="333">
        <v>1037.6099999999999</v>
      </c>
      <c r="M583" s="333">
        <v>124.00024999999999</v>
      </c>
      <c r="N583" s="333">
        <v>18123.53</v>
      </c>
      <c r="O583" s="333">
        <v>0</v>
      </c>
      <c r="P583" s="333">
        <v>0</v>
      </c>
      <c r="Q583" s="332" t="s">
        <v>479</v>
      </c>
      <c r="R583" s="332"/>
      <c r="S583" s="333">
        <v>15</v>
      </c>
      <c r="T583" s="333">
        <v>5</v>
      </c>
      <c r="U583" s="333">
        <v>0.7</v>
      </c>
      <c r="V583" s="333">
        <v>0.7</v>
      </c>
      <c r="W583" s="333">
        <v>0.7</v>
      </c>
      <c r="X583" s="333">
        <v>1700</v>
      </c>
      <c r="Y583" s="332" t="s">
        <v>470</v>
      </c>
      <c r="Z583" s="333">
        <v>0.85</v>
      </c>
      <c r="AA583" s="332" t="s">
        <v>471</v>
      </c>
      <c r="AB583" s="332" t="s">
        <v>472</v>
      </c>
      <c r="AC583" s="335">
        <v>220</v>
      </c>
    </row>
    <row r="584" spans="1:29">
      <c r="A584" s="326" t="s">
        <v>833</v>
      </c>
      <c r="B584" s="327">
        <v>3</v>
      </c>
      <c r="C584" s="327">
        <v>412</v>
      </c>
      <c r="D584" s="327" t="s">
        <v>419</v>
      </c>
      <c r="E584" s="328">
        <v>1.5</v>
      </c>
      <c r="F584" s="329">
        <v>45229.484722222223</v>
      </c>
      <c r="G584" s="328">
        <v>2</v>
      </c>
      <c r="H584" s="328">
        <v>51.3675</v>
      </c>
      <c r="I584" s="328">
        <v>5.5952700000000002</v>
      </c>
      <c r="J584" s="328">
        <v>-16.476330999999998</v>
      </c>
      <c r="K584" s="328">
        <v>-15.632381000000001</v>
      </c>
      <c r="L584" s="328">
        <v>1014.6</v>
      </c>
      <c r="M584" s="328">
        <v>113.99967100000001</v>
      </c>
      <c r="N584" s="328">
        <v>18054.310000000001</v>
      </c>
      <c r="O584" s="328">
        <v>0</v>
      </c>
      <c r="P584" s="328">
        <v>0</v>
      </c>
      <c r="Q584" s="327" t="s">
        <v>479</v>
      </c>
      <c r="R584" s="327"/>
      <c r="S584" s="328">
        <v>15</v>
      </c>
      <c r="T584" s="328">
        <v>5</v>
      </c>
      <c r="U584" s="328">
        <v>0.7</v>
      </c>
      <c r="V584" s="328">
        <v>0.7</v>
      </c>
      <c r="W584" s="328">
        <v>0.7</v>
      </c>
      <c r="X584" s="328">
        <v>1700</v>
      </c>
      <c r="Y584" s="327" t="s">
        <v>470</v>
      </c>
      <c r="Z584" s="328">
        <v>0.85</v>
      </c>
      <c r="AA584" s="327" t="s">
        <v>471</v>
      </c>
      <c r="AB584" s="327" t="s">
        <v>472</v>
      </c>
      <c r="AC584" s="330">
        <v>220</v>
      </c>
    </row>
    <row r="585" spans="1:29">
      <c r="A585" s="331" t="s">
        <v>834</v>
      </c>
      <c r="B585" s="332">
        <v>3</v>
      </c>
      <c r="C585" s="332">
        <v>412</v>
      </c>
      <c r="D585" s="332" t="s">
        <v>419</v>
      </c>
      <c r="E585" s="333">
        <v>1.5</v>
      </c>
      <c r="F585" s="334">
        <v>45229.488194444442</v>
      </c>
      <c r="G585" s="333">
        <v>2</v>
      </c>
      <c r="H585" s="333">
        <v>51.374099999999999</v>
      </c>
      <c r="I585" s="333">
        <v>5.6321599999999998</v>
      </c>
      <c r="J585" s="333">
        <v>-16.544913000000001</v>
      </c>
      <c r="K585" s="333">
        <v>-15.715387</v>
      </c>
      <c r="L585" s="333">
        <v>1032.55</v>
      </c>
      <c r="M585" s="333">
        <v>120.00144899999999</v>
      </c>
      <c r="N585" s="333">
        <v>18193.73</v>
      </c>
      <c r="O585" s="333">
        <v>0</v>
      </c>
      <c r="P585" s="333">
        <v>0</v>
      </c>
      <c r="Q585" s="332" t="s">
        <v>479</v>
      </c>
      <c r="R585" s="332"/>
      <c r="S585" s="333">
        <v>15</v>
      </c>
      <c r="T585" s="333">
        <v>5</v>
      </c>
      <c r="U585" s="333">
        <v>0.7</v>
      </c>
      <c r="V585" s="333">
        <v>0.7</v>
      </c>
      <c r="W585" s="333">
        <v>0.7</v>
      </c>
      <c r="X585" s="333">
        <v>1700</v>
      </c>
      <c r="Y585" s="332" t="s">
        <v>470</v>
      </c>
      <c r="Z585" s="333">
        <v>0.85</v>
      </c>
      <c r="AA585" s="332" t="s">
        <v>471</v>
      </c>
      <c r="AB585" s="332" t="s">
        <v>472</v>
      </c>
      <c r="AC585" s="335">
        <v>221</v>
      </c>
    </row>
    <row r="586" spans="1:29">
      <c r="A586" s="326" t="s">
        <v>835</v>
      </c>
      <c r="B586" s="327">
        <v>3</v>
      </c>
      <c r="C586" s="327">
        <v>412</v>
      </c>
      <c r="D586" s="327" t="s">
        <v>419</v>
      </c>
      <c r="E586" s="328">
        <v>1.5</v>
      </c>
      <c r="F586" s="329">
        <v>45229.491666666669</v>
      </c>
      <c r="G586" s="328">
        <v>2</v>
      </c>
      <c r="H586" s="328">
        <v>51.3675</v>
      </c>
      <c r="I586" s="328">
        <v>5.6545800000000002</v>
      </c>
      <c r="J586" s="328">
        <v>-16.527944000000002</v>
      </c>
      <c r="K586" s="328">
        <v>-15.683237999999999</v>
      </c>
      <c r="L586" s="328">
        <v>1050.1600000000001</v>
      </c>
      <c r="M586" s="328">
        <v>125.499544</v>
      </c>
      <c r="N586" s="328">
        <v>18747.5</v>
      </c>
      <c r="O586" s="328">
        <v>0</v>
      </c>
      <c r="P586" s="328">
        <v>0</v>
      </c>
      <c r="Q586" s="327" t="s">
        <v>479</v>
      </c>
      <c r="R586" s="327"/>
      <c r="S586" s="328">
        <v>15</v>
      </c>
      <c r="T586" s="328">
        <v>5</v>
      </c>
      <c r="U586" s="328">
        <v>0.7</v>
      </c>
      <c r="V586" s="328">
        <v>0.7</v>
      </c>
      <c r="W586" s="328">
        <v>0.7</v>
      </c>
      <c r="X586" s="328">
        <v>1700</v>
      </c>
      <c r="Y586" s="327" t="s">
        <v>470</v>
      </c>
      <c r="Z586" s="328">
        <v>0.85</v>
      </c>
      <c r="AA586" s="327" t="s">
        <v>471</v>
      </c>
      <c r="AB586" s="327" t="s">
        <v>472</v>
      </c>
      <c r="AC586" s="330">
        <v>218</v>
      </c>
    </row>
    <row r="587" spans="1:29">
      <c r="A587" s="331" t="s">
        <v>836</v>
      </c>
      <c r="B587" s="332">
        <v>3</v>
      </c>
      <c r="C587" s="332">
        <v>412</v>
      </c>
      <c r="D587" s="332" t="s">
        <v>419</v>
      </c>
      <c r="E587" s="333">
        <v>1.5</v>
      </c>
      <c r="F587" s="334">
        <v>45229.495138888888</v>
      </c>
      <c r="G587" s="333">
        <v>2</v>
      </c>
      <c r="H587" s="333">
        <v>51.370800000000003</v>
      </c>
      <c r="I587" s="333">
        <v>5.6177099999999998</v>
      </c>
      <c r="J587" s="333">
        <v>-16.681581000000001</v>
      </c>
      <c r="K587" s="333">
        <v>-15.852368999999999</v>
      </c>
      <c r="L587" s="333">
        <v>1043.8900000000001</v>
      </c>
      <c r="M587" s="333">
        <v>123.000767</v>
      </c>
      <c r="N587" s="333">
        <v>18438.61</v>
      </c>
      <c r="O587" s="333">
        <v>0</v>
      </c>
      <c r="P587" s="333">
        <v>0</v>
      </c>
      <c r="Q587" s="332" t="s">
        <v>479</v>
      </c>
      <c r="R587" s="332"/>
      <c r="S587" s="333">
        <v>15</v>
      </c>
      <c r="T587" s="333">
        <v>5</v>
      </c>
      <c r="U587" s="333">
        <v>0.7</v>
      </c>
      <c r="V587" s="333">
        <v>0.7</v>
      </c>
      <c r="W587" s="333">
        <v>0.7</v>
      </c>
      <c r="X587" s="333">
        <v>1700</v>
      </c>
      <c r="Y587" s="332" t="s">
        <v>470</v>
      </c>
      <c r="Z587" s="333">
        <v>0.85</v>
      </c>
      <c r="AA587" s="332" t="s">
        <v>471</v>
      </c>
      <c r="AB587" s="332" t="s">
        <v>472</v>
      </c>
      <c r="AC587" s="335">
        <v>220</v>
      </c>
    </row>
    <row r="588" spans="1:29">
      <c r="A588" s="326" t="s">
        <v>837</v>
      </c>
      <c r="B588" s="327">
        <v>3</v>
      </c>
      <c r="C588" s="327">
        <v>412</v>
      </c>
      <c r="D588" s="327" t="s">
        <v>419</v>
      </c>
      <c r="E588" s="328">
        <v>1.5</v>
      </c>
      <c r="F588" s="329">
        <v>45229.498611111114</v>
      </c>
      <c r="G588" s="328">
        <v>2</v>
      </c>
      <c r="H588" s="328">
        <v>51.374099999999999</v>
      </c>
      <c r="I588" s="328">
        <v>5.6107500000000003</v>
      </c>
      <c r="J588" s="328">
        <v>-16.446725000000001</v>
      </c>
      <c r="K588" s="328">
        <v>-15.60345</v>
      </c>
      <c r="L588" s="328">
        <v>1054.6300000000001</v>
      </c>
      <c r="M588" s="328">
        <v>119.000862</v>
      </c>
      <c r="N588" s="328">
        <v>18768.61</v>
      </c>
      <c r="O588" s="328">
        <v>0</v>
      </c>
      <c r="P588" s="328">
        <v>0</v>
      </c>
      <c r="Q588" s="327" t="s">
        <v>479</v>
      </c>
      <c r="R588" s="327"/>
      <c r="S588" s="328">
        <v>15</v>
      </c>
      <c r="T588" s="328">
        <v>5</v>
      </c>
      <c r="U588" s="328">
        <v>0.7</v>
      </c>
      <c r="V588" s="328">
        <v>0.7</v>
      </c>
      <c r="W588" s="328">
        <v>0.7</v>
      </c>
      <c r="X588" s="328">
        <v>1700</v>
      </c>
      <c r="Y588" s="327" t="s">
        <v>470</v>
      </c>
      <c r="Z588" s="328">
        <v>0.85</v>
      </c>
      <c r="AA588" s="327" t="s">
        <v>471</v>
      </c>
      <c r="AB588" s="327" t="s">
        <v>472</v>
      </c>
      <c r="AC588" s="330">
        <v>217</v>
      </c>
    </row>
    <row r="589" spans="1:29">
      <c r="A589" s="331" t="s">
        <v>593</v>
      </c>
      <c r="B589" s="332">
        <v>4</v>
      </c>
      <c r="C589" s="332">
        <v>411</v>
      </c>
      <c r="D589" s="332" t="s">
        <v>420</v>
      </c>
      <c r="E589" s="333">
        <v>1.5</v>
      </c>
      <c r="F589" s="334">
        <v>45229.50277777778</v>
      </c>
      <c r="G589" s="333">
        <v>1</v>
      </c>
      <c r="H589" s="333">
        <v>51.374099999999999</v>
      </c>
      <c r="I589" s="333">
        <v>5.5748100000000003</v>
      </c>
      <c r="J589" s="333">
        <v>-16.588768999999999</v>
      </c>
      <c r="K589" s="333">
        <v>-15.747643999999999</v>
      </c>
      <c r="L589" s="333">
        <v>1043.28</v>
      </c>
      <c r="M589" s="333">
        <v>122.49905</v>
      </c>
      <c r="N589" s="333">
        <v>18367.36</v>
      </c>
      <c r="O589" s="333">
        <v>0</v>
      </c>
      <c r="P589" s="333">
        <v>0</v>
      </c>
      <c r="Q589" s="332" t="s">
        <v>479</v>
      </c>
      <c r="R589" s="332"/>
      <c r="S589" s="333">
        <v>15</v>
      </c>
      <c r="T589" s="333">
        <v>5</v>
      </c>
      <c r="U589" s="333">
        <v>0.7</v>
      </c>
      <c r="V589" s="333">
        <v>0.7</v>
      </c>
      <c r="W589" s="333">
        <v>0.7</v>
      </c>
      <c r="X589" s="333">
        <v>1700</v>
      </c>
      <c r="Y589" s="332" t="s">
        <v>470</v>
      </c>
      <c r="Z589" s="333">
        <v>0.85</v>
      </c>
      <c r="AA589" s="332" t="s">
        <v>471</v>
      </c>
      <c r="AB589" s="332" t="s">
        <v>472</v>
      </c>
      <c r="AC589" s="335">
        <v>220</v>
      </c>
    </row>
    <row r="590" spans="1:29">
      <c r="A590" s="326" t="s">
        <v>697</v>
      </c>
      <c r="B590" s="327">
        <v>4</v>
      </c>
      <c r="C590" s="327">
        <v>411</v>
      </c>
      <c r="D590" s="327" t="s">
        <v>420</v>
      </c>
      <c r="E590" s="328">
        <v>1.5</v>
      </c>
      <c r="F590" s="329">
        <v>45229.506249999999</v>
      </c>
      <c r="G590" s="328">
        <v>1</v>
      </c>
      <c r="H590" s="328">
        <v>51.370800000000003</v>
      </c>
      <c r="I590" s="328">
        <v>5.5128000000000004</v>
      </c>
      <c r="J590" s="328">
        <v>-16.621580999999999</v>
      </c>
      <c r="K590" s="328">
        <v>-15.790819000000001</v>
      </c>
      <c r="L590" s="328">
        <v>1053.3599999999999</v>
      </c>
      <c r="M590" s="328">
        <v>138.50056499999999</v>
      </c>
      <c r="N590" s="328">
        <v>18563.89</v>
      </c>
      <c r="O590" s="328">
        <v>0</v>
      </c>
      <c r="P590" s="328">
        <v>0</v>
      </c>
      <c r="Q590" s="327" t="s">
        <v>479</v>
      </c>
      <c r="R590" s="327"/>
      <c r="S590" s="328">
        <v>15</v>
      </c>
      <c r="T590" s="328">
        <v>5</v>
      </c>
      <c r="U590" s="328">
        <v>0.7</v>
      </c>
      <c r="V590" s="328">
        <v>0.7</v>
      </c>
      <c r="W590" s="328">
        <v>0.7</v>
      </c>
      <c r="X590" s="328">
        <v>1700</v>
      </c>
      <c r="Y590" s="327" t="s">
        <v>470</v>
      </c>
      <c r="Z590" s="328">
        <v>0.85</v>
      </c>
      <c r="AA590" s="327" t="s">
        <v>471</v>
      </c>
      <c r="AB590" s="327" t="s">
        <v>472</v>
      </c>
      <c r="AC590" s="330">
        <v>220</v>
      </c>
    </row>
    <row r="591" spans="1:29">
      <c r="A591" s="331" t="s">
        <v>698</v>
      </c>
      <c r="B591" s="332">
        <v>4</v>
      </c>
      <c r="C591" s="332">
        <v>411</v>
      </c>
      <c r="D591" s="332" t="s">
        <v>420</v>
      </c>
      <c r="E591" s="333">
        <v>1.5</v>
      </c>
      <c r="F591" s="334">
        <v>45229.510416666664</v>
      </c>
      <c r="G591" s="333">
        <v>1</v>
      </c>
      <c r="H591" s="333">
        <v>51.370800000000003</v>
      </c>
      <c r="I591" s="333">
        <v>5.5472799999999998</v>
      </c>
      <c r="J591" s="333">
        <v>-16.661987</v>
      </c>
      <c r="K591" s="333">
        <v>-15.822100000000001</v>
      </c>
      <c r="L591" s="333">
        <v>1048.43</v>
      </c>
      <c r="M591" s="333">
        <v>119.50038499999999</v>
      </c>
      <c r="N591" s="333">
        <v>18430.900000000001</v>
      </c>
      <c r="O591" s="333">
        <v>0</v>
      </c>
      <c r="P591" s="333">
        <v>0</v>
      </c>
      <c r="Q591" s="332" t="s">
        <v>479</v>
      </c>
      <c r="R591" s="332"/>
      <c r="S591" s="333">
        <v>15</v>
      </c>
      <c r="T591" s="333">
        <v>5</v>
      </c>
      <c r="U591" s="333">
        <v>0.7</v>
      </c>
      <c r="V591" s="333">
        <v>0.7</v>
      </c>
      <c r="W591" s="333">
        <v>0.7</v>
      </c>
      <c r="X591" s="333">
        <v>1700</v>
      </c>
      <c r="Y591" s="332" t="s">
        <v>470</v>
      </c>
      <c r="Z591" s="333">
        <v>0.85</v>
      </c>
      <c r="AA591" s="332" t="s">
        <v>471</v>
      </c>
      <c r="AB591" s="332" t="s">
        <v>472</v>
      </c>
      <c r="AC591" s="335">
        <v>220</v>
      </c>
    </row>
    <row r="592" spans="1:29">
      <c r="A592" s="326" t="s">
        <v>745</v>
      </c>
      <c r="B592" s="327">
        <v>4</v>
      </c>
      <c r="C592" s="327">
        <v>411</v>
      </c>
      <c r="D592" s="327" t="s">
        <v>420</v>
      </c>
      <c r="E592" s="328">
        <v>1.5</v>
      </c>
      <c r="F592" s="329">
        <v>45229.513888888891</v>
      </c>
      <c r="G592" s="328">
        <v>1</v>
      </c>
      <c r="H592" s="328">
        <v>51.374099999999999</v>
      </c>
      <c r="I592" s="328">
        <v>5.55</v>
      </c>
      <c r="J592" s="328">
        <v>-16.657931000000001</v>
      </c>
      <c r="K592" s="328">
        <v>-15.814969</v>
      </c>
      <c r="L592" s="328">
        <v>1055.5</v>
      </c>
      <c r="M592" s="328">
        <v>125.500034</v>
      </c>
      <c r="N592" s="328">
        <v>18841.71</v>
      </c>
      <c r="O592" s="328">
        <v>0</v>
      </c>
      <c r="P592" s="328">
        <v>0</v>
      </c>
      <c r="Q592" s="327" t="s">
        <v>479</v>
      </c>
      <c r="R592" s="327"/>
      <c r="S592" s="328">
        <v>15</v>
      </c>
      <c r="T592" s="328">
        <v>5</v>
      </c>
      <c r="U592" s="328">
        <v>0.7</v>
      </c>
      <c r="V592" s="328">
        <v>0.7</v>
      </c>
      <c r="W592" s="328">
        <v>0.7</v>
      </c>
      <c r="X592" s="328">
        <v>1700</v>
      </c>
      <c r="Y592" s="327" t="s">
        <v>470</v>
      </c>
      <c r="Z592" s="328">
        <v>0.85</v>
      </c>
      <c r="AA592" s="327" t="s">
        <v>471</v>
      </c>
      <c r="AB592" s="327" t="s">
        <v>472</v>
      </c>
      <c r="AC592" s="330">
        <v>216</v>
      </c>
    </row>
    <row r="593" spans="1:29">
      <c r="A593" s="331" t="s">
        <v>838</v>
      </c>
      <c r="B593" s="332">
        <v>4</v>
      </c>
      <c r="C593" s="332">
        <v>411</v>
      </c>
      <c r="D593" s="332" t="s">
        <v>420</v>
      </c>
      <c r="E593" s="333">
        <v>1.5</v>
      </c>
      <c r="F593" s="334">
        <v>45229.517361111109</v>
      </c>
      <c r="G593" s="333">
        <v>1</v>
      </c>
      <c r="H593" s="333">
        <v>51.370800000000003</v>
      </c>
      <c r="I593" s="333">
        <v>5.5046400000000002</v>
      </c>
      <c r="J593" s="333">
        <v>-16.579374999999999</v>
      </c>
      <c r="K593" s="333">
        <v>-15.762969</v>
      </c>
      <c r="L593" s="333">
        <v>1053.95</v>
      </c>
      <c r="M593" s="333">
        <v>120.500165</v>
      </c>
      <c r="N593" s="333">
        <v>18618.64</v>
      </c>
      <c r="O593" s="333">
        <v>0</v>
      </c>
      <c r="P593" s="333">
        <v>0</v>
      </c>
      <c r="Q593" s="332" t="s">
        <v>479</v>
      </c>
      <c r="R593" s="332"/>
      <c r="S593" s="333">
        <v>15</v>
      </c>
      <c r="T593" s="333">
        <v>5</v>
      </c>
      <c r="U593" s="333">
        <v>0.7</v>
      </c>
      <c r="V593" s="333">
        <v>0.7</v>
      </c>
      <c r="W593" s="333">
        <v>0.7</v>
      </c>
      <c r="X593" s="333">
        <v>1700</v>
      </c>
      <c r="Y593" s="332" t="s">
        <v>470</v>
      </c>
      <c r="Z593" s="333">
        <v>0.85</v>
      </c>
      <c r="AA593" s="332" t="s">
        <v>471</v>
      </c>
      <c r="AB593" s="332" t="s">
        <v>472</v>
      </c>
      <c r="AC593" s="335">
        <v>217</v>
      </c>
    </row>
    <row r="594" spans="1:29">
      <c r="A594" s="326" t="s">
        <v>839</v>
      </c>
      <c r="B594" s="327">
        <v>4</v>
      </c>
      <c r="C594" s="327">
        <v>411</v>
      </c>
      <c r="D594" s="327" t="s">
        <v>420</v>
      </c>
      <c r="E594" s="328">
        <v>1.5</v>
      </c>
      <c r="F594" s="329">
        <v>45229.520833333336</v>
      </c>
      <c r="G594" s="328">
        <v>2</v>
      </c>
      <c r="H594" s="328">
        <v>51.370800000000003</v>
      </c>
      <c r="I594" s="328">
        <v>5.5066499999999996</v>
      </c>
      <c r="J594" s="328">
        <v>-16.620663</v>
      </c>
      <c r="K594" s="328">
        <v>-15.780362999999999</v>
      </c>
      <c r="L594" s="328">
        <v>1057.32</v>
      </c>
      <c r="M594" s="328">
        <v>124.00091399999999</v>
      </c>
      <c r="N594" s="328">
        <v>18794.400000000001</v>
      </c>
      <c r="O594" s="328">
        <v>0</v>
      </c>
      <c r="P594" s="328">
        <v>0</v>
      </c>
      <c r="Q594" s="327" t="s">
        <v>479</v>
      </c>
      <c r="R594" s="327"/>
      <c r="S594" s="328">
        <v>15</v>
      </c>
      <c r="T594" s="328">
        <v>5</v>
      </c>
      <c r="U594" s="328">
        <v>0.7</v>
      </c>
      <c r="V594" s="328">
        <v>0.7</v>
      </c>
      <c r="W594" s="328">
        <v>0.7</v>
      </c>
      <c r="X594" s="328">
        <v>1700</v>
      </c>
      <c r="Y594" s="327" t="s">
        <v>470</v>
      </c>
      <c r="Z594" s="328">
        <v>0.85</v>
      </c>
      <c r="AA594" s="327" t="s">
        <v>471</v>
      </c>
      <c r="AB594" s="327" t="s">
        <v>472</v>
      </c>
      <c r="AC594" s="330">
        <v>217</v>
      </c>
    </row>
    <row r="595" spans="1:29">
      <c r="A595" s="331" t="s">
        <v>840</v>
      </c>
      <c r="B595" s="332">
        <v>4</v>
      </c>
      <c r="C595" s="332">
        <v>411</v>
      </c>
      <c r="D595" s="332" t="s">
        <v>420</v>
      </c>
      <c r="E595" s="333">
        <v>1.5</v>
      </c>
      <c r="F595" s="334">
        <v>45229.524305555555</v>
      </c>
      <c r="G595" s="333">
        <v>2</v>
      </c>
      <c r="H595" s="333">
        <v>51.374099999999999</v>
      </c>
      <c r="I595" s="333">
        <v>5.4825699999999999</v>
      </c>
      <c r="J595" s="333">
        <v>-16.681531</v>
      </c>
      <c r="K595" s="333">
        <v>-15.833306</v>
      </c>
      <c r="L595" s="333">
        <v>1061.23</v>
      </c>
      <c r="M595" s="333">
        <v>121.000107</v>
      </c>
      <c r="N595" s="333">
        <v>18654.2</v>
      </c>
      <c r="O595" s="333">
        <v>0</v>
      </c>
      <c r="P595" s="333">
        <v>0</v>
      </c>
      <c r="Q595" s="332" t="s">
        <v>479</v>
      </c>
      <c r="R595" s="332"/>
      <c r="S595" s="333">
        <v>15</v>
      </c>
      <c r="T595" s="333">
        <v>5</v>
      </c>
      <c r="U595" s="333">
        <v>0.7</v>
      </c>
      <c r="V595" s="333">
        <v>0.7</v>
      </c>
      <c r="W595" s="333">
        <v>0.7</v>
      </c>
      <c r="X595" s="333">
        <v>1700</v>
      </c>
      <c r="Y595" s="332" t="s">
        <v>470</v>
      </c>
      <c r="Z595" s="333">
        <v>0.85</v>
      </c>
      <c r="AA595" s="332" t="s">
        <v>471</v>
      </c>
      <c r="AB595" s="332" t="s">
        <v>472</v>
      </c>
      <c r="AC595" s="335">
        <v>219</v>
      </c>
    </row>
    <row r="596" spans="1:29">
      <c r="A596" s="326" t="s">
        <v>841</v>
      </c>
      <c r="B596" s="327">
        <v>4</v>
      </c>
      <c r="C596" s="327">
        <v>411</v>
      </c>
      <c r="D596" s="327" t="s">
        <v>420</v>
      </c>
      <c r="E596" s="328">
        <v>1.5</v>
      </c>
      <c r="F596" s="329">
        <v>45229.52847222222</v>
      </c>
      <c r="G596" s="328">
        <v>2</v>
      </c>
      <c r="H596" s="328">
        <v>51.370800000000003</v>
      </c>
      <c r="I596" s="328">
        <v>5.4464199999999998</v>
      </c>
      <c r="J596" s="328">
        <v>-16.714486999999998</v>
      </c>
      <c r="K596" s="328">
        <v>-15.882250000000001</v>
      </c>
      <c r="L596" s="328">
        <v>1030.1500000000001</v>
      </c>
      <c r="M596" s="328">
        <v>115.49973300000001</v>
      </c>
      <c r="N596" s="328">
        <v>18407.689999999999</v>
      </c>
      <c r="O596" s="328">
        <v>0</v>
      </c>
      <c r="P596" s="328">
        <v>0</v>
      </c>
      <c r="Q596" s="327" t="s">
        <v>479</v>
      </c>
      <c r="R596" s="327"/>
      <c r="S596" s="328">
        <v>15</v>
      </c>
      <c r="T596" s="328">
        <v>5</v>
      </c>
      <c r="U596" s="328">
        <v>0.7</v>
      </c>
      <c r="V596" s="328">
        <v>0.7</v>
      </c>
      <c r="W596" s="328">
        <v>0.7</v>
      </c>
      <c r="X596" s="328">
        <v>1700</v>
      </c>
      <c r="Y596" s="327" t="s">
        <v>470</v>
      </c>
      <c r="Z596" s="328">
        <v>0.85</v>
      </c>
      <c r="AA596" s="327" t="s">
        <v>471</v>
      </c>
      <c r="AB596" s="327" t="s">
        <v>472</v>
      </c>
      <c r="AC596" s="330">
        <v>220</v>
      </c>
    </row>
    <row r="597" spans="1:29">
      <c r="A597" s="331" t="s">
        <v>842</v>
      </c>
      <c r="B597" s="332">
        <v>4</v>
      </c>
      <c r="C597" s="332">
        <v>411</v>
      </c>
      <c r="D597" s="332" t="s">
        <v>420</v>
      </c>
      <c r="E597" s="333">
        <v>1.5</v>
      </c>
      <c r="F597" s="334">
        <v>45229.531944444447</v>
      </c>
      <c r="G597" s="333">
        <v>2</v>
      </c>
      <c r="H597" s="333">
        <v>51.370800000000003</v>
      </c>
      <c r="I597" s="333">
        <v>5.3795000000000002</v>
      </c>
      <c r="J597" s="333">
        <v>-16.664406</v>
      </c>
      <c r="K597" s="333">
        <v>-15.825594000000001</v>
      </c>
      <c r="L597" s="333">
        <v>1058.29</v>
      </c>
      <c r="M597" s="333">
        <v>115.49938899999999</v>
      </c>
      <c r="N597" s="333">
        <v>18790.919999999998</v>
      </c>
      <c r="O597" s="333">
        <v>0</v>
      </c>
      <c r="P597" s="333">
        <v>0</v>
      </c>
      <c r="Q597" s="332" t="s">
        <v>479</v>
      </c>
      <c r="R597" s="332"/>
      <c r="S597" s="333">
        <v>15</v>
      </c>
      <c r="T597" s="333">
        <v>5</v>
      </c>
      <c r="U597" s="333">
        <v>0.7</v>
      </c>
      <c r="V597" s="333">
        <v>0.7</v>
      </c>
      <c r="W597" s="333">
        <v>0.7</v>
      </c>
      <c r="X597" s="333">
        <v>1700</v>
      </c>
      <c r="Y597" s="332" t="s">
        <v>470</v>
      </c>
      <c r="Z597" s="333">
        <v>0.85</v>
      </c>
      <c r="AA597" s="332" t="s">
        <v>471</v>
      </c>
      <c r="AB597" s="332" t="s">
        <v>472</v>
      </c>
      <c r="AC597" s="335">
        <v>216</v>
      </c>
    </row>
    <row r="598" spans="1:29">
      <c r="A598" s="326" t="s">
        <v>843</v>
      </c>
      <c r="B598" s="327">
        <v>4</v>
      </c>
      <c r="C598" s="327">
        <v>411</v>
      </c>
      <c r="D598" s="327" t="s">
        <v>420</v>
      </c>
      <c r="E598" s="328">
        <v>1.5</v>
      </c>
      <c r="F598" s="329">
        <v>45229.535416666666</v>
      </c>
      <c r="G598" s="328">
        <v>2</v>
      </c>
      <c r="H598" s="328">
        <v>51.374099999999999</v>
      </c>
      <c r="I598" s="328">
        <v>5.4540199999999999</v>
      </c>
      <c r="J598" s="328">
        <v>-16.731531</v>
      </c>
      <c r="K598" s="328">
        <v>-15.902037999999999</v>
      </c>
      <c r="L598" s="328">
        <v>1049.1500000000001</v>
      </c>
      <c r="M598" s="328">
        <v>128.99962600000001</v>
      </c>
      <c r="N598" s="328">
        <v>18723.75</v>
      </c>
      <c r="O598" s="328">
        <v>0</v>
      </c>
      <c r="P598" s="328">
        <v>0</v>
      </c>
      <c r="Q598" s="327" t="s">
        <v>479</v>
      </c>
      <c r="R598" s="327"/>
      <c r="S598" s="328">
        <v>15</v>
      </c>
      <c r="T598" s="328">
        <v>5</v>
      </c>
      <c r="U598" s="328">
        <v>0.7</v>
      </c>
      <c r="V598" s="328">
        <v>0.7</v>
      </c>
      <c r="W598" s="328">
        <v>0.7</v>
      </c>
      <c r="X598" s="328">
        <v>1700</v>
      </c>
      <c r="Y598" s="327" t="s">
        <v>470</v>
      </c>
      <c r="Z598" s="328">
        <v>0.85</v>
      </c>
      <c r="AA598" s="327" t="s">
        <v>471</v>
      </c>
      <c r="AB598" s="327" t="s">
        <v>472</v>
      </c>
      <c r="AC598" s="330">
        <v>216</v>
      </c>
    </row>
    <row r="599" spans="1:29">
      <c r="A599" s="331" t="s">
        <v>595</v>
      </c>
      <c r="B599" s="332">
        <v>5</v>
      </c>
      <c r="C599" s="332">
        <v>422</v>
      </c>
      <c r="D599" s="332" t="s">
        <v>421</v>
      </c>
      <c r="E599" s="333">
        <v>1.5</v>
      </c>
      <c r="F599" s="334">
        <v>45229.540972222225</v>
      </c>
      <c r="G599" s="333">
        <v>1</v>
      </c>
      <c r="H599" s="333">
        <v>51.3675</v>
      </c>
      <c r="I599" s="333">
        <v>5.3200200000000004</v>
      </c>
      <c r="J599" s="333">
        <v>-16.388249999999999</v>
      </c>
      <c r="K599" s="333">
        <v>-15.541356</v>
      </c>
      <c r="L599" s="333">
        <v>1070.6300000000001</v>
      </c>
      <c r="M599" s="333">
        <v>115.49988999999999</v>
      </c>
      <c r="N599" s="333">
        <v>18942.439999999999</v>
      </c>
      <c r="O599" s="333">
        <v>0</v>
      </c>
      <c r="P599" s="333">
        <v>0</v>
      </c>
      <c r="Q599" s="332" t="s">
        <v>479</v>
      </c>
      <c r="R599" s="332"/>
      <c r="S599" s="333">
        <v>15</v>
      </c>
      <c r="T599" s="333">
        <v>5</v>
      </c>
      <c r="U599" s="333">
        <v>0.7</v>
      </c>
      <c r="V599" s="333">
        <v>0.7</v>
      </c>
      <c r="W599" s="333">
        <v>0.7</v>
      </c>
      <c r="X599" s="333">
        <v>1700</v>
      </c>
      <c r="Y599" s="332" t="s">
        <v>470</v>
      </c>
      <c r="Z599" s="333">
        <v>0.85</v>
      </c>
      <c r="AA599" s="332" t="s">
        <v>471</v>
      </c>
      <c r="AB599" s="332" t="s">
        <v>472</v>
      </c>
      <c r="AC599" s="335">
        <v>214</v>
      </c>
    </row>
    <row r="600" spans="1:29">
      <c r="A600" s="326" t="s">
        <v>699</v>
      </c>
      <c r="B600" s="327">
        <v>5</v>
      </c>
      <c r="C600" s="327">
        <v>422</v>
      </c>
      <c r="D600" s="327" t="s">
        <v>421</v>
      </c>
      <c r="E600" s="328">
        <v>1.5</v>
      </c>
      <c r="F600" s="329">
        <v>45229.544444444444</v>
      </c>
      <c r="G600" s="328">
        <v>1</v>
      </c>
      <c r="H600" s="328">
        <v>51.374099999999999</v>
      </c>
      <c r="I600" s="328">
        <v>5.3379300000000001</v>
      </c>
      <c r="J600" s="328">
        <v>-16.489594</v>
      </c>
      <c r="K600" s="328">
        <v>-15.640831</v>
      </c>
      <c r="L600" s="328">
        <v>1016.33</v>
      </c>
      <c r="M600" s="328">
        <v>107.999534</v>
      </c>
      <c r="N600" s="328">
        <v>18265.59</v>
      </c>
      <c r="O600" s="328">
        <v>0</v>
      </c>
      <c r="P600" s="328">
        <v>0</v>
      </c>
      <c r="Q600" s="327" t="s">
        <v>479</v>
      </c>
      <c r="R600" s="327"/>
      <c r="S600" s="328">
        <v>15</v>
      </c>
      <c r="T600" s="328">
        <v>5</v>
      </c>
      <c r="U600" s="328">
        <v>0.7</v>
      </c>
      <c r="V600" s="328">
        <v>0.7</v>
      </c>
      <c r="W600" s="328">
        <v>0.7</v>
      </c>
      <c r="X600" s="328">
        <v>1700</v>
      </c>
      <c r="Y600" s="327" t="s">
        <v>470</v>
      </c>
      <c r="Z600" s="328">
        <v>0.85</v>
      </c>
      <c r="AA600" s="327" t="s">
        <v>471</v>
      </c>
      <c r="AB600" s="327" t="s">
        <v>472</v>
      </c>
      <c r="AC600" s="330">
        <v>219</v>
      </c>
    </row>
    <row r="601" spans="1:29">
      <c r="A601" s="331" t="s">
        <v>700</v>
      </c>
      <c r="B601" s="332">
        <v>5</v>
      </c>
      <c r="C601" s="332">
        <v>422</v>
      </c>
      <c r="D601" s="332" t="s">
        <v>421</v>
      </c>
      <c r="E601" s="333">
        <v>1.5</v>
      </c>
      <c r="F601" s="334">
        <v>45229.54791666667</v>
      </c>
      <c r="G601" s="333">
        <v>1</v>
      </c>
      <c r="H601" s="333">
        <v>51.370800000000003</v>
      </c>
      <c r="I601" s="333">
        <v>5.3717100000000002</v>
      </c>
      <c r="J601" s="333">
        <v>-16.729913</v>
      </c>
      <c r="K601" s="333">
        <v>-15.883718999999999</v>
      </c>
      <c r="L601" s="333">
        <v>1012.88</v>
      </c>
      <c r="M601" s="333">
        <v>121.49964300000001</v>
      </c>
      <c r="N601" s="333">
        <v>17834.240000000002</v>
      </c>
      <c r="O601" s="333">
        <v>0</v>
      </c>
      <c r="P601" s="333">
        <v>0</v>
      </c>
      <c r="Q601" s="332" t="s">
        <v>479</v>
      </c>
      <c r="R601" s="332"/>
      <c r="S601" s="333">
        <v>15</v>
      </c>
      <c r="T601" s="333">
        <v>5</v>
      </c>
      <c r="U601" s="333">
        <v>0.7</v>
      </c>
      <c r="V601" s="333">
        <v>0.7</v>
      </c>
      <c r="W601" s="333">
        <v>0.7</v>
      </c>
      <c r="X601" s="333">
        <v>1700</v>
      </c>
      <c r="Y601" s="332" t="s">
        <v>470</v>
      </c>
      <c r="Z601" s="333">
        <v>0.85</v>
      </c>
      <c r="AA601" s="332" t="s">
        <v>471</v>
      </c>
      <c r="AB601" s="332" t="s">
        <v>472</v>
      </c>
      <c r="AC601" s="335">
        <v>220</v>
      </c>
    </row>
    <row r="602" spans="1:29">
      <c r="A602" s="326" t="s">
        <v>844</v>
      </c>
      <c r="B602" s="327">
        <v>5</v>
      </c>
      <c r="C602" s="327">
        <v>422</v>
      </c>
      <c r="D602" s="327" t="s">
        <v>421</v>
      </c>
      <c r="E602" s="328">
        <v>1.5</v>
      </c>
      <c r="F602" s="329">
        <v>45229.551388888889</v>
      </c>
      <c r="G602" s="328">
        <v>1</v>
      </c>
      <c r="H602" s="328">
        <v>51.3675</v>
      </c>
      <c r="I602" s="328">
        <v>5.4079499999999996</v>
      </c>
      <c r="J602" s="328">
        <v>-16.763625000000001</v>
      </c>
      <c r="K602" s="328">
        <v>-15.917787000000001</v>
      </c>
      <c r="L602" s="328">
        <v>992.26</v>
      </c>
      <c r="M602" s="328">
        <v>121.999109</v>
      </c>
      <c r="N602" s="328">
        <v>17697.669999999998</v>
      </c>
      <c r="O602" s="328">
        <v>0</v>
      </c>
      <c r="P602" s="328">
        <v>0</v>
      </c>
      <c r="Q602" s="327" t="s">
        <v>479</v>
      </c>
      <c r="R602" s="327"/>
      <c r="S602" s="328">
        <v>15</v>
      </c>
      <c r="T602" s="328">
        <v>5</v>
      </c>
      <c r="U602" s="328">
        <v>0.7</v>
      </c>
      <c r="V602" s="328">
        <v>0.7</v>
      </c>
      <c r="W602" s="328">
        <v>0.7</v>
      </c>
      <c r="X602" s="328">
        <v>1700</v>
      </c>
      <c r="Y602" s="327" t="s">
        <v>470</v>
      </c>
      <c r="Z602" s="328">
        <v>0.85</v>
      </c>
      <c r="AA602" s="327" t="s">
        <v>471</v>
      </c>
      <c r="AB602" s="327" t="s">
        <v>472</v>
      </c>
      <c r="AC602" s="330">
        <v>220</v>
      </c>
    </row>
    <row r="603" spans="1:29">
      <c r="A603" s="331" t="s">
        <v>845</v>
      </c>
      <c r="B603" s="332">
        <v>5</v>
      </c>
      <c r="C603" s="332">
        <v>422</v>
      </c>
      <c r="D603" s="332" t="s">
        <v>421</v>
      </c>
      <c r="E603" s="333">
        <v>1.5</v>
      </c>
      <c r="F603" s="334">
        <v>45229.554861111108</v>
      </c>
      <c r="G603" s="333">
        <v>1</v>
      </c>
      <c r="H603" s="333">
        <v>51.374099999999999</v>
      </c>
      <c r="I603" s="333">
        <v>5.4491300000000003</v>
      </c>
      <c r="J603" s="333">
        <v>-16.740649999999999</v>
      </c>
      <c r="K603" s="333">
        <v>-15.892656000000001</v>
      </c>
      <c r="L603" s="333">
        <v>1007.34</v>
      </c>
      <c r="M603" s="333">
        <v>115.001588</v>
      </c>
      <c r="N603" s="333">
        <v>17726.29</v>
      </c>
      <c r="O603" s="333">
        <v>0</v>
      </c>
      <c r="P603" s="333">
        <v>0</v>
      </c>
      <c r="Q603" s="332" t="s">
        <v>479</v>
      </c>
      <c r="R603" s="332"/>
      <c r="S603" s="333">
        <v>15</v>
      </c>
      <c r="T603" s="333">
        <v>5</v>
      </c>
      <c r="U603" s="333">
        <v>0.7</v>
      </c>
      <c r="V603" s="333">
        <v>0.7</v>
      </c>
      <c r="W603" s="333">
        <v>0.7</v>
      </c>
      <c r="X603" s="333">
        <v>1700</v>
      </c>
      <c r="Y603" s="332" t="s">
        <v>470</v>
      </c>
      <c r="Z603" s="333">
        <v>0.85</v>
      </c>
      <c r="AA603" s="332" t="s">
        <v>471</v>
      </c>
      <c r="AB603" s="332" t="s">
        <v>472</v>
      </c>
      <c r="AC603" s="335">
        <v>220</v>
      </c>
    </row>
    <row r="604" spans="1:29">
      <c r="A604" s="326" t="s">
        <v>846</v>
      </c>
      <c r="B604" s="327">
        <v>5</v>
      </c>
      <c r="C604" s="327">
        <v>422</v>
      </c>
      <c r="D604" s="327" t="s">
        <v>421</v>
      </c>
      <c r="E604" s="328">
        <v>1.5</v>
      </c>
      <c r="F604" s="341"/>
      <c r="G604" s="328">
        <v>2</v>
      </c>
      <c r="H604" s="328">
        <v>0</v>
      </c>
      <c r="I604" s="328">
        <v>0</v>
      </c>
      <c r="J604" s="328">
        <v>0</v>
      </c>
      <c r="K604" s="328">
        <v>0</v>
      </c>
      <c r="L604" s="328">
        <v>0</v>
      </c>
      <c r="M604" s="328">
        <v>0</v>
      </c>
      <c r="N604" s="328">
        <v>0</v>
      </c>
      <c r="O604" s="328">
        <v>0</v>
      </c>
      <c r="P604" s="328">
        <v>0</v>
      </c>
      <c r="Q604" s="327" t="s">
        <v>503</v>
      </c>
      <c r="R604" s="327"/>
      <c r="S604" s="328">
        <v>15</v>
      </c>
      <c r="T604" s="328">
        <v>5</v>
      </c>
      <c r="U604" s="328">
        <v>0.7</v>
      </c>
      <c r="V604" s="328">
        <v>0.7</v>
      </c>
      <c r="W604" s="328">
        <v>0.7</v>
      </c>
      <c r="X604" s="328">
        <v>1700</v>
      </c>
      <c r="Y604" s="327"/>
      <c r="Z604" s="327"/>
      <c r="AA604" s="327" t="s">
        <v>471</v>
      </c>
      <c r="AB604" s="327" t="s">
        <v>472</v>
      </c>
      <c r="AC604" s="330">
        <v>220</v>
      </c>
    </row>
    <row r="605" spans="1:29">
      <c r="A605" s="331" t="s">
        <v>847</v>
      </c>
      <c r="B605" s="332" t="s">
        <v>478</v>
      </c>
      <c r="C605" s="332" t="s">
        <v>435</v>
      </c>
      <c r="D605" s="332" t="s">
        <v>468</v>
      </c>
      <c r="E605" s="333">
        <v>1.2</v>
      </c>
      <c r="F605" s="334">
        <v>45229.561805555553</v>
      </c>
      <c r="G605" s="333">
        <v>1</v>
      </c>
      <c r="H605" s="333">
        <v>51.370800000000003</v>
      </c>
      <c r="I605" s="333">
        <v>4.9184799999999997</v>
      </c>
      <c r="J605" s="333">
        <v>-16.867937999999999</v>
      </c>
      <c r="K605" s="333">
        <v>-16.018025000000002</v>
      </c>
      <c r="L605" s="333">
        <v>957.35400000000004</v>
      </c>
      <c r="M605" s="333">
        <v>108.000094</v>
      </c>
      <c r="N605" s="333">
        <v>14259.36</v>
      </c>
      <c r="O605" s="333">
        <v>14252.082490000001</v>
      </c>
      <c r="P605" s="333">
        <v>2074.08</v>
      </c>
      <c r="Q605" s="332" t="s">
        <v>469</v>
      </c>
      <c r="R605" s="332"/>
      <c r="S605" s="333">
        <v>15</v>
      </c>
      <c r="T605" s="333">
        <v>5</v>
      </c>
      <c r="U605" s="333">
        <v>0.7</v>
      </c>
      <c r="V605" s="333">
        <v>0.7</v>
      </c>
      <c r="W605" s="333">
        <v>0.7</v>
      </c>
      <c r="X605" s="333">
        <v>1700</v>
      </c>
      <c r="Y605" s="332" t="s">
        <v>470</v>
      </c>
      <c r="Z605" s="333">
        <v>0.85</v>
      </c>
      <c r="AA605" s="332" t="s">
        <v>471</v>
      </c>
      <c r="AB605" s="332" t="s">
        <v>472</v>
      </c>
      <c r="AC605" s="335">
        <v>220</v>
      </c>
    </row>
    <row r="606" spans="1:29">
      <c r="A606" s="326" t="s">
        <v>848</v>
      </c>
      <c r="B606" s="327" t="s">
        <v>478</v>
      </c>
      <c r="C606" s="327" t="s">
        <v>435</v>
      </c>
      <c r="D606" s="327" t="s">
        <v>468</v>
      </c>
      <c r="E606" s="328">
        <v>1.2</v>
      </c>
      <c r="F606" s="329">
        <v>45229.56527777778</v>
      </c>
      <c r="G606" s="328">
        <v>1</v>
      </c>
      <c r="H606" s="328">
        <v>51.370800000000003</v>
      </c>
      <c r="I606" s="328">
        <v>5.27895</v>
      </c>
      <c r="J606" s="328">
        <v>-16.765174999999999</v>
      </c>
      <c r="K606" s="328">
        <v>-15.9436</v>
      </c>
      <c r="L606" s="328">
        <v>965.17700000000002</v>
      </c>
      <c r="M606" s="328">
        <v>103.500531</v>
      </c>
      <c r="N606" s="328">
        <v>14255.09</v>
      </c>
      <c r="O606" s="328">
        <v>14252.082490000001</v>
      </c>
      <c r="P606" s="328">
        <v>2074.08</v>
      </c>
      <c r="Q606" s="327" t="s">
        <v>469</v>
      </c>
      <c r="R606" s="327"/>
      <c r="S606" s="328">
        <v>15</v>
      </c>
      <c r="T606" s="328">
        <v>5</v>
      </c>
      <c r="U606" s="328">
        <v>0.7</v>
      </c>
      <c r="V606" s="328">
        <v>0.7</v>
      </c>
      <c r="W606" s="328">
        <v>0.7</v>
      </c>
      <c r="X606" s="328">
        <v>1700</v>
      </c>
      <c r="Y606" s="327" t="s">
        <v>470</v>
      </c>
      <c r="Z606" s="328">
        <v>0.85</v>
      </c>
      <c r="AA606" s="327" t="s">
        <v>471</v>
      </c>
      <c r="AB606" s="327" t="s">
        <v>472</v>
      </c>
      <c r="AC606" s="330">
        <v>220</v>
      </c>
    </row>
    <row r="607" spans="1:29">
      <c r="A607" s="331" t="s">
        <v>849</v>
      </c>
      <c r="B607" s="332" t="s">
        <v>478</v>
      </c>
      <c r="C607" s="332" t="s">
        <v>435</v>
      </c>
      <c r="D607" s="332" t="s">
        <v>468</v>
      </c>
      <c r="E607" s="333">
        <v>1.2</v>
      </c>
      <c r="F607" s="334">
        <v>45229.568749999999</v>
      </c>
      <c r="G607" s="333">
        <v>1</v>
      </c>
      <c r="H607" s="333">
        <v>51.3675</v>
      </c>
      <c r="I607" s="333">
        <v>5.3287000000000004</v>
      </c>
      <c r="J607" s="333">
        <v>-16.728193999999998</v>
      </c>
      <c r="K607" s="333">
        <v>-15.886087</v>
      </c>
      <c r="L607" s="333">
        <v>969.90200000000004</v>
      </c>
      <c r="M607" s="333">
        <v>111.999388</v>
      </c>
      <c r="N607" s="333">
        <v>14241.8</v>
      </c>
      <c r="O607" s="333">
        <v>14252.082490000001</v>
      </c>
      <c r="P607" s="333">
        <v>2074.08</v>
      </c>
      <c r="Q607" s="332" t="s">
        <v>469</v>
      </c>
      <c r="R607" s="332"/>
      <c r="S607" s="333">
        <v>15</v>
      </c>
      <c r="T607" s="333">
        <v>5</v>
      </c>
      <c r="U607" s="333">
        <v>0.7</v>
      </c>
      <c r="V607" s="333">
        <v>0.7</v>
      </c>
      <c r="W607" s="333">
        <v>0.7</v>
      </c>
      <c r="X607" s="333">
        <v>1700</v>
      </c>
      <c r="Y607" s="332" t="s">
        <v>470</v>
      </c>
      <c r="Z607" s="333">
        <v>0.85</v>
      </c>
      <c r="AA607" s="332" t="s">
        <v>471</v>
      </c>
      <c r="AB607" s="332" t="s">
        <v>472</v>
      </c>
      <c r="AC607" s="335">
        <v>220</v>
      </c>
    </row>
    <row r="608" spans="1:29">
      <c r="A608" s="336" t="s">
        <v>850</v>
      </c>
      <c r="B608" s="337" t="s">
        <v>490</v>
      </c>
      <c r="C608" s="337" t="s">
        <v>435</v>
      </c>
      <c r="D608" s="337" t="s">
        <v>468</v>
      </c>
      <c r="E608" s="338">
        <v>1.5</v>
      </c>
      <c r="F608" s="339">
        <v>45229.572222222225</v>
      </c>
      <c r="G608" s="338">
        <v>1</v>
      </c>
      <c r="H608" s="338">
        <v>51.370800000000003</v>
      </c>
      <c r="I608" s="338">
        <v>5.4004000000000003</v>
      </c>
      <c r="J608" s="338">
        <v>-16.549524999999999</v>
      </c>
      <c r="K608" s="338">
        <v>-15.703761999999999</v>
      </c>
      <c r="L608" s="338">
        <v>995.596</v>
      </c>
      <c r="M608" s="338">
        <v>108.99971499999999</v>
      </c>
      <c r="N608" s="338">
        <v>17822.98</v>
      </c>
      <c r="O608" s="338">
        <v>17835.319940000001</v>
      </c>
      <c r="P608" s="338">
        <v>2074.08</v>
      </c>
      <c r="Q608" s="337" t="s">
        <v>469</v>
      </c>
      <c r="R608" s="337"/>
      <c r="S608" s="338">
        <v>15</v>
      </c>
      <c r="T608" s="338">
        <v>5</v>
      </c>
      <c r="U608" s="338">
        <v>0.7</v>
      </c>
      <c r="V608" s="338">
        <v>0.7</v>
      </c>
      <c r="W608" s="338">
        <v>0.7</v>
      </c>
      <c r="X608" s="338">
        <v>1700</v>
      </c>
      <c r="Y608" s="337" t="s">
        <v>470</v>
      </c>
      <c r="Z608" s="338">
        <v>0.85</v>
      </c>
      <c r="AA608" s="337" t="s">
        <v>471</v>
      </c>
      <c r="AB608" s="337" t="s">
        <v>472</v>
      </c>
      <c r="AC608" s="340">
        <v>220</v>
      </c>
    </row>
    <row r="609" spans="1:29">
      <c r="A609" s="331" t="s">
        <v>851</v>
      </c>
      <c r="B609" s="332" t="s">
        <v>490</v>
      </c>
      <c r="C609" s="332" t="s">
        <v>435</v>
      </c>
      <c r="D609" s="332" t="s">
        <v>468</v>
      </c>
      <c r="E609" s="333">
        <v>1.5</v>
      </c>
      <c r="F609" s="334">
        <v>45229.574999999997</v>
      </c>
      <c r="G609" s="333">
        <v>1</v>
      </c>
      <c r="H609" s="333">
        <v>51.370800000000003</v>
      </c>
      <c r="I609" s="333">
        <v>5.3956799999999996</v>
      </c>
      <c r="J609" s="333">
        <v>-16.733781</v>
      </c>
      <c r="K609" s="333">
        <v>-15.913156000000001</v>
      </c>
      <c r="L609" s="333">
        <v>999.02300000000002</v>
      </c>
      <c r="M609" s="333">
        <v>118.99879799999999</v>
      </c>
      <c r="N609" s="333">
        <v>17863.04</v>
      </c>
      <c r="O609" s="333">
        <v>17835.319940000001</v>
      </c>
      <c r="P609" s="333">
        <v>2074.08</v>
      </c>
      <c r="Q609" s="332" t="s">
        <v>542</v>
      </c>
      <c r="R609" s="332"/>
      <c r="S609" s="333">
        <v>15</v>
      </c>
      <c r="T609" s="333">
        <v>5</v>
      </c>
      <c r="U609" s="333">
        <v>0.7</v>
      </c>
      <c r="V609" s="333">
        <v>0.7</v>
      </c>
      <c r="W609" s="333">
        <v>0.7</v>
      </c>
      <c r="X609" s="333">
        <v>1700</v>
      </c>
      <c r="Y609" s="332" t="s">
        <v>470</v>
      </c>
      <c r="Z609" s="333">
        <v>0.85</v>
      </c>
      <c r="AA609" s="332" t="s">
        <v>471</v>
      </c>
      <c r="AB609" s="332" t="s">
        <v>472</v>
      </c>
      <c r="AC609" s="335">
        <v>220</v>
      </c>
    </row>
    <row r="610" spans="1:29">
      <c r="A610" s="326" t="s">
        <v>852</v>
      </c>
      <c r="B610" s="327" t="s">
        <v>490</v>
      </c>
      <c r="C610" s="327" t="s">
        <v>435</v>
      </c>
      <c r="D610" s="327" t="s">
        <v>468</v>
      </c>
      <c r="E610" s="328">
        <v>1.5</v>
      </c>
      <c r="F610" s="329">
        <v>45229.57916666667</v>
      </c>
      <c r="G610" s="328">
        <v>1</v>
      </c>
      <c r="H610" s="328">
        <v>51.3675</v>
      </c>
      <c r="I610" s="328">
        <v>5.4321000000000002</v>
      </c>
      <c r="J610" s="328">
        <v>-16.713256000000001</v>
      </c>
      <c r="K610" s="328">
        <v>-15.865887000000001</v>
      </c>
      <c r="L610" s="328">
        <v>1010</v>
      </c>
      <c r="M610" s="328">
        <v>127.49911400000001</v>
      </c>
      <c r="N610" s="328">
        <v>17854.099999999999</v>
      </c>
      <c r="O610" s="328">
        <v>17835.319940000001</v>
      </c>
      <c r="P610" s="328">
        <v>2074.08</v>
      </c>
      <c r="Q610" s="327" t="s">
        <v>469</v>
      </c>
      <c r="R610" s="327"/>
      <c r="S610" s="328">
        <v>15</v>
      </c>
      <c r="T610" s="328">
        <v>5</v>
      </c>
      <c r="U610" s="328">
        <v>0.7</v>
      </c>
      <c r="V610" s="328">
        <v>0.7</v>
      </c>
      <c r="W610" s="328">
        <v>0.7</v>
      </c>
      <c r="X610" s="328">
        <v>1700</v>
      </c>
      <c r="Y610" s="327" t="s">
        <v>470</v>
      </c>
      <c r="Z610" s="328">
        <v>0.85</v>
      </c>
      <c r="AA610" s="327" t="s">
        <v>471</v>
      </c>
      <c r="AB610" s="327" t="s">
        <v>472</v>
      </c>
      <c r="AC610" s="330">
        <v>220</v>
      </c>
    </row>
    <row r="611" spans="1:29">
      <c r="A611" s="331" t="s">
        <v>853</v>
      </c>
      <c r="B611" s="332" t="s">
        <v>490</v>
      </c>
      <c r="C611" s="332" t="s">
        <v>435</v>
      </c>
      <c r="D611" s="332" t="s">
        <v>468</v>
      </c>
      <c r="E611" s="333">
        <v>1.5</v>
      </c>
      <c r="F611" s="334">
        <v>45229.582638888889</v>
      </c>
      <c r="G611" s="333">
        <v>1</v>
      </c>
      <c r="H611" s="333">
        <v>51.374099999999999</v>
      </c>
      <c r="I611" s="333">
        <v>5.4321200000000003</v>
      </c>
      <c r="J611" s="333">
        <v>-16.747174999999999</v>
      </c>
      <c r="K611" s="333">
        <v>-15.899756</v>
      </c>
      <c r="L611" s="333">
        <v>994.21500000000003</v>
      </c>
      <c r="M611" s="333">
        <v>118.99858</v>
      </c>
      <c r="N611" s="333">
        <v>17828.88</v>
      </c>
      <c r="O611" s="333">
        <v>17835.319940000001</v>
      </c>
      <c r="P611" s="333">
        <v>2074.08</v>
      </c>
      <c r="Q611" s="332" t="s">
        <v>469</v>
      </c>
      <c r="R611" s="332"/>
      <c r="S611" s="333">
        <v>15</v>
      </c>
      <c r="T611" s="333">
        <v>5</v>
      </c>
      <c r="U611" s="333">
        <v>0.7</v>
      </c>
      <c r="V611" s="333">
        <v>0.7</v>
      </c>
      <c r="W611" s="333">
        <v>0.7</v>
      </c>
      <c r="X611" s="333">
        <v>1700</v>
      </c>
      <c r="Y611" s="332" t="s">
        <v>470</v>
      </c>
      <c r="Z611" s="333">
        <v>0.85</v>
      </c>
      <c r="AA611" s="332" t="s">
        <v>471</v>
      </c>
      <c r="AB611" s="332" t="s">
        <v>472</v>
      </c>
      <c r="AC611" s="335">
        <v>220</v>
      </c>
    </row>
    <row r="612" spans="1:29">
      <c r="A612" s="326" t="s">
        <v>854</v>
      </c>
      <c r="B612" s="327" t="s">
        <v>494</v>
      </c>
      <c r="C612" s="327" t="s">
        <v>435</v>
      </c>
      <c r="D612" s="327" t="s">
        <v>468</v>
      </c>
      <c r="E612" s="328">
        <v>1.8</v>
      </c>
      <c r="F612" s="329">
        <v>45229.586111111108</v>
      </c>
      <c r="G612" s="328">
        <v>1</v>
      </c>
      <c r="H612" s="328">
        <v>51.370800000000003</v>
      </c>
      <c r="I612" s="328">
        <v>5.4792300000000003</v>
      </c>
      <c r="J612" s="328">
        <v>-16.770837</v>
      </c>
      <c r="K612" s="328">
        <v>-15.930949999999999</v>
      </c>
      <c r="L612" s="328">
        <v>994.41899999999998</v>
      </c>
      <c r="M612" s="328">
        <v>132.997984</v>
      </c>
      <c r="N612" s="328">
        <v>21406.23</v>
      </c>
      <c r="O612" s="328">
        <v>0</v>
      </c>
      <c r="P612" s="328">
        <v>2074.08</v>
      </c>
      <c r="Q612" s="327" t="s">
        <v>479</v>
      </c>
      <c r="R612" s="327"/>
      <c r="S612" s="328">
        <v>15</v>
      </c>
      <c r="T612" s="328">
        <v>5</v>
      </c>
      <c r="U612" s="328">
        <v>0.7</v>
      </c>
      <c r="V612" s="328">
        <v>0.7</v>
      </c>
      <c r="W612" s="328">
        <v>0.7</v>
      </c>
      <c r="X612" s="328">
        <v>1700</v>
      </c>
      <c r="Y612" s="327" t="s">
        <v>470</v>
      </c>
      <c r="Z612" s="328">
        <v>0.85</v>
      </c>
      <c r="AA612" s="327" t="s">
        <v>471</v>
      </c>
      <c r="AB612" s="327" t="s">
        <v>472</v>
      </c>
      <c r="AC612" s="330">
        <v>220</v>
      </c>
    </row>
    <row r="613" spans="1:29">
      <c r="A613" s="331" t="s">
        <v>855</v>
      </c>
      <c r="B613" s="332" t="s">
        <v>494</v>
      </c>
      <c r="C613" s="332" t="s">
        <v>435</v>
      </c>
      <c r="D613" s="332" t="s">
        <v>468</v>
      </c>
      <c r="E613" s="333">
        <v>1.8</v>
      </c>
      <c r="F613" s="334">
        <v>45229.589583333334</v>
      </c>
      <c r="G613" s="333">
        <v>1</v>
      </c>
      <c r="H613" s="333">
        <v>51.370800000000003</v>
      </c>
      <c r="I613" s="333">
        <v>5.4411399999999999</v>
      </c>
      <c r="J613" s="333">
        <v>-16.684556000000001</v>
      </c>
      <c r="K613" s="333">
        <v>-15.835088000000001</v>
      </c>
      <c r="L613" s="333">
        <v>1014.7</v>
      </c>
      <c r="M613" s="333">
        <v>130.999495</v>
      </c>
      <c r="N613" s="333">
        <v>21434.9</v>
      </c>
      <c r="O613" s="333">
        <v>0</v>
      </c>
      <c r="P613" s="333">
        <v>2074.08</v>
      </c>
      <c r="Q613" s="332" t="s">
        <v>479</v>
      </c>
      <c r="R613" s="332"/>
      <c r="S613" s="333">
        <v>15</v>
      </c>
      <c r="T613" s="333">
        <v>5</v>
      </c>
      <c r="U613" s="333">
        <v>0.7</v>
      </c>
      <c r="V613" s="333">
        <v>0.7</v>
      </c>
      <c r="W613" s="333">
        <v>0.7</v>
      </c>
      <c r="X613" s="333">
        <v>1700</v>
      </c>
      <c r="Y613" s="332" t="s">
        <v>470</v>
      </c>
      <c r="Z613" s="333">
        <v>0.85</v>
      </c>
      <c r="AA613" s="332" t="s">
        <v>471</v>
      </c>
      <c r="AB613" s="332" t="s">
        <v>472</v>
      </c>
      <c r="AC613" s="335">
        <v>220</v>
      </c>
    </row>
    <row r="614" spans="1:29">
      <c r="A614" s="326" t="s">
        <v>856</v>
      </c>
      <c r="B614" s="327" t="s">
        <v>494</v>
      </c>
      <c r="C614" s="327" t="s">
        <v>435</v>
      </c>
      <c r="D614" s="327" t="s">
        <v>468</v>
      </c>
      <c r="E614" s="328">
        <v>1.8</v>
      </c>
      <c r="F614" s="329">
        <v>45229.59375</v>
      </c>
      <c r="G614" s="328">
        <v>1</v>
      </c>
      <c r="H614" s="328">
        <v>51.370800000000003</v>
      </c>
      <c r="I614" s="328">
        <v>5.4831500000000002</v>
      </c>
      <c r="J614" s="328">
        <v>-16.839981000000002</v>
      </c>
      <c r="K614" s="328">
        <v>-15.993494</v>
      </c>
      <c r="L614" s="328">
        <v>1028.83</v>
      </c>
      <c r="M614" s="328">
        <v>136.501183</v>
      </c>
      <c r="N614" s="328">
        <v>21604.48</v>
      </c>
      <c r="O614" s="328">
        <v>0</v>
      </c>
      <c r="P614" s="328">
        <v>2074.08</v>
      </c>
      <c r="Q614" s="327" t="s">
        <v>479</v>
      </c>
      <c r="R614" s="327"/>
      <c r="S614" s="328">
        <v>15</v>
      </c>
      <c r="T614" s="328">
        <v>5</v>
      </c>
      <c r="U614" s="328">
        <v>0.7</v>
      </c>
      <c r="V614" s="328">
        <v>0.7</v>
      </c>
      <c r="W614" s="328">
        <v>0.7</v>
      </c>
      <c r="X614" s="328">
        <v>1700</v>
      </c>
      <c r="Y614" s="327" t="s">
        <v>470</v>
      </c>
      <c r="Z614" s="328">
        <v>0.85</v>
      </c>
      <c r="AA614" s="327" t="s">
        <v>471</v>
      </c>
      <c r="AB614" s="327" t="s">
        <v>472</v>
      </c>
      <c r="AC614" s="330">
        <v>221</v>
      </c>
    </row>
    <row r="615" spans="1:29">
      <c r="A615" s="331" t="s">
        <v>857</v>
      </c>
      <c r="B615" s="332" t="s">
        <v>494</v>
      </c>
      <c r="C615" s="332" t="s">
        <v>435</v>
      </c>
      <c r="D615" s="332" t="s">
        <v>468</v>
      </c>
      <c r="E615" s="333">
        <v>1.8</v>
      </c>
      <c r="F615" s="334">
        <v>45229.597222222219</v>
      </c>
      <c r="G615" s="333">
        <v>1</v>
      </c>
      <c r="H615" s="333">
        <v>51.370800000000003</v>
      </c>
      <c r="I615" s="333">
        <v>5.4218000000000002</v>
      </c>
      <c r="J615" s="333">
        <v>-16.716512000000002</v>
      </c>
      <c r="K615" s="333">
        <v>-15.874181</v>
      </c>
      <c r="L615" s="333">
        <v>1033.43</v>
      </c>
      <c r="M615" s="333">
        <v>127.4996</v>
      </c>
      <c r="N615" s="333">
        <v>21634.639999999999</v>
      </c>
      <c r="O615" s="333">
        <v>0</v>
      </c>
      <c r="P615" s="333">
        <v>2074.08</v>
      </c>
      <c r="Q615" s="332" t="s">
        <v>479</v>
      </c>
      <c r="R615" s="332"/>
      <c r="S615" s="333">
        <v>15</v>
      </c>
      <c r="T615" s="333">
        <v>5</v>
      </c>
      <c r="U615" s="333">
        <v>0.7</v>
      </c>
      <c r="V615" s="333">
        <v>0.7</v>
      </c>
      <c r="W615" s="333">
        <v>0.7</v>
      </c>
      <c r="X615" s="333">
        <v>1700</v>
      </c>
      <c r="Y615" s="332" t="s">
        <v>470</v>
      </c>
      <c r="Z615" s="333">
        <v>0.85</v>
      </c>
      <c r="AA615" s="332" t="s">
        <v>471</v>
      </c>
      <c r="AB615" s="332" t="s">
        <v>472</v>
      </c>
      <c r="AC615" s="335">
        <v>220</v>
      </c>
    </row>
    <row r="616" spans="1:29">
      <c r="A616" s="326" t="s">
        <v>858</v>
      </c>
      <c r="B616" s="327" t="s">
        <v>494</v>
      </c>
      <c r="C616" s="327" t="s">
        <v>435</v>
      </c>
      <c r="D616" s="327" t="s">
        <v>468</v>
      </c>
      <c r="E616" s="328">
        <v>1.8</v>
      </c>
      <c r="F616" s="329">
        <v>45229.601388888892</v>
      </c>
      <c r="G616" s="328">
        <v>1</v>
      </c>
      <c r="H616" s="328">
        <v>51.374099999999999</v>
      </c>
      <c r="I616" s="328">
        <v>5.4300699999999997</v>
      </c>
      <c r="J616" s="328">
        <v>-16.705500000000001</v>
      </c>
      <c r="K616" s="328">
        <v>-15.868461999999999</v>
      </c>
      <c r="L616" s="328">
        <v>1042.6199999999999</v>
      </c>
      <c r="M616" s="328">
        <v>131.00056599999999</v>
      </c>
      <c r="N616" s="328">
        <v>21896.81</v>
      </c>
      <c r="O616" s="328">
        <v>0</v>
      </c>
      <c r="P616" s="328">
        <v>2074.08</v>
      </c>
      <c r="Q616" s="327" t="s">
        <v>479</v>
      </c>
      <c r="R616" s="327"/>
      <c r="S616" s="328">
        <v>15</v>
      </c>
      <c r="T616" s="328">
        <v>5</v>
      </c>
      <c r="U616" s="328">
        <v>0.7</v>
      </c>
      <c r="V616" s="328">
        <v>0.7</v>
      </c>
      <c r="W616" s="328">
        <v>0.7</v>
      </c>
      <c r="X616" s="328">
        <v>1700</v>
      </c>
      <c r="Y616" s="327" t="s">
        <v>470</v>
      </c>
      <c r="Z616" s="328">
        <v>0.85</v>
      </c>
      <c r="AA616" s="327" t="s">
        <v>471</v>
      </c>
      <c r="AB616" s="327" t="s">
        <v>472</v>
      </c>
      <c r="AC616" s="330">
        <v>223</v>
      </c>
    </row>
    <row r="617" spans="1:29">
      <c r="A617" s="331" t="s">
        <v>859</v>
      </c>
      <c r="B617" s="332" t="s">
        <v>494</v>
      </c>
      <c r="C617" s="332" t="s">
        <v>435</v>
      </c>
      <c r="D617" s="332" t="s">
        <v>468</v>
      </c>
      <c r="E617" s="333">
        <v>1.8</v>
      </c>
      <c r="F617" s="334">
        <v>45229.604861111111</v>
      </c>
      <c r="G617" s="333">
        <v>2</v>
      </c>
      <c r="H617" s="333">
        <v>51.370800000000003</v>
      </c>
      <c r="I617" s="333">
        <v>5.4032900000000001</v>
      </c>
      <c r="J617" s="333">
        <v>-16.784744</v>
      </c>
      <c r="K617" s="333">
        <v>-15.947269</v>
      </c>
      <c r="L617" s="333">
        <v>1062.5899999999999</v>
      </c>
      <c r="M617" s="333">
        <v>145.502387</v>
      </c>
      <c r="N617" s="333">
        <v>22180.26</v>
      </c>
      <c r="O617" s="333">
        <v>0</v>
      </c>
      <c r="P617" s="333">
        <v>2074.08</v>
      </c>
      <c r="Q617" s="332" t="s">
        <v>479</v>
      </c>
      <c r="R617" s="332"/>
      <c r="S617" s="333">
        <v>15</v>
      </c>
      <c r="T617" s="333">
        <v>5</v>
      </c>
      <c r="U617" s="333">
        <v>0.7</v>
      </c>
      <c r="V617" s="333">
        <v>0.7</v>
      </c>
      <c r="W617" s="333">
        <v>0.7</v>
      </c>
      <c r="X617" s="333">
        <v>1700</v>
      </c>
      <c r="Y617" s="332" t="s">
        <v>470</v>
      </c>
      <c r="Z617" s="333">
        <v>0.85</v>
      </c>
      <c r="AA617" s="332" t="s">
        <v>471</v>
      </c>
      <c r="AB617" s="332" t="s">
        <v>472</v>
      </c>
      <c r="AC617" s="335">
        <v>220</v>
      </c>
    </row>
    <row r="618" spans="1:29">
      <c r="A618" s="326" t="s">
        <v>860</v>
      </c>
      <c r="B618" s="327" t="s">
        <v>494</v>
      </c>
      <c r="C618" s="327" t="s">
        <v>435</v>
      </c>
      <c r="D618" s="327" t="s">
        <v>468</v>
      </c>
      <c r="E618" s="328">
        <v>1.8</v>
      </c>
      <c r="F618" s="329">
        <v>45229.609027777777</v>
      </c>
      <c r="G618" s="328">
        <v>2</v>
      </c>
      <c r="H618" s="328">
        <v>51.374099999999999</v>
      </c>
      <c r="I618" s="328">
        <v>5.3672300000000002</v>
      </c>
      <c r="J618" s="328">
        <v>-16.697562999999999</v>
      </c>
      <c r="K618" s="328">
        <v>-15.854711999999999</v>
      </c>
      <c r="L618" s="328">
        <v>1068.75</v>
      </c>
      <c r="M618" s="328">
        <v>130.000215</v>
      </c>
      <c r="N618" s="328">
        <v>22454.13</v>
      </c>
      <c r="O618" s="328">
        <v>0</v>
      </c>
      <c r="P618" s="328">
        <v>2074.08</v>
      </c>
      <c r="Q618" s="327" t="s">
        <v>479</v>
      </c>
      <c r="R618" s="327"/>
      <c r="S618" s="328">
        <v>15</v>
      </c>
      <c r="T618" s="328">
        <v>5</v>
      </c>
      <c r="U618" s="328">
        <v>0.7</v>
      </c>
      <c r="V618" s="328">
        <v>0.7</v>
      </c>
      <c r="W618" s="328">
        <v>0.7</v>
      </c>
      <c r="X618" s="328">
        <v>1700</v>
      </c>
      <c r="Y618" s="327" t="s">
        <v>470</v>
      </c>
      <c r="Z618" s="328">
        <v>0.85</v>
      </c>
      <c r="AA618" s="327" t="s">
        <v>471</v>
      </c>
      <c r="AB618" s="327" t="s">
        <v>472</v>
      </c>
      <c r="AC618" s="330">
        <v>216</v>
      </c>
    </row>
    <row r="619" spans="1:29">
      <c r="A619" s="331" t="s">
        <v>861</v>
      </c>
      <c r="B619" s="332" t="s">
        <v>494</v>
      </c>
      <c r="C619" s="332" t="s">
        <v>435</v>
      </c>
      <c r="D619" s="332" t="s">
        <v>468</v>
      </c>
      <c r="E619" s="333">
        <v>1.8</v>
      </c>
      <c r="F619" s="334">
        <v>45229.612500000003</v>
      </c>
      <c r="G619" s="333">
        <v>2</v>
      </c>
      <c r="H619" s="333">
        <v>51.370800000000003</v>
      </c>
      <c r="I619" s="333">
        <v>5.3807600000000004</v>
      </c>
      <c r="J619" s="333">
        <v>-16.684211999999999</v>
      </c>
      <c r="K619" s="333">
        <v>-15.837531</v>
      </c>
      <c r="L619" s="333">
        <v>1076.93</v>
      </c>
      <c r="M619" s="333">
        <v>131.99990399999999</v>
      </c>
      <c r="N619" s="333">
        <v>22428.61</v>
      </c>
      <c r="O619" s="333">
        <v>0</v>
      </c>
      <c r="P619" s="333">
        <v>2074.08</v>
      </c>
      <c r="Q619" s="332" t="s">
        <v>479</v>
      </c>
      <c r="R619" s="332"/>
      <c r="S619" s="333">
        <v>15</v>
      </c>
      <c r="T619" s="333">
        <v>5</v>
      </c>
      <c r="U619" s="333">
        <v>0.7</v>
      </c>
      <c r="V619" s="333">
        <v>0.7</v>
      </c>
      <c r="W619" s="333">
        <v>0.7</v>
      </c>
      <c r="X619" s="333">
        <v>1700</v>
      </c>
      <c r="Y619" s="332" t="s">
        <v>470</v>
      </c>
      <c r="Z619" s="333">
        <v>0.85</v>
      </c>
      <c r="AA619" s="332" t="s">
        <v>471</v>
      </c>
      <c r="AB619" s="332" t="s">
        <v>472</v>
      </c>
      <c r="AC619" s="335">
        <v>214</v>
      </c>
    </row>
    <row r="620" spans="1:29">
      <c r="A620" s="326" t="s">
        <v>862</v>
      </c>
      <c r="B620" s="327" t="s">
        <v>494</v>
      </c>
      <c r="C620" s="327" t="s">
        <v>435</v>
      </c>
      <c r="D620" s="327" t="s">
        <v>468</v>
      </c>
      <c r="E620" s="328">
        <v>1.8</v>
      </c>
      <c r="F620" s="329">
        <v>45229.616666666669</v>
      </c>
      <c r="G620" s="328">
        <v>2</v>
      </c>
      <c r="H620" s="328">
        <v>51.3675</v>
      </c>
      <c r="I620" s="328">
        <v>5.4085299999999998</v>
      </c>
      <c r="J620" s="328">
        <v>-16.696275</v>
      </c>
      <c r="K620" s="328">
        <v>-15.858186999999999</v>
      </c>
      <c r="L620" s="328">
        <v>1087.57</v>
      </c>
      <c r="M620" s="328">
        <v>136</v>
      </c>
      <c r="N620" s="328">
        <v>22502.76</v>
      </c>
      <c r="O620" s="328">
        <v>0</v>
      </c>
      <c r="P620" s="328">
        <v>2074.08</v>
      </c>
      <c r="Q620" s="327" t="s">
        <v>479</v>
      </c>
      <c r="R620" s="327"/>
      <c r="S620" s="328">
        <v>15</v>
      </c>
      <c r="T620" s="328">
        <v>5</v>
      </c>
      <c r="U620" s="328">
        <v>0.7</v>
      </c>
      <c r="V620" s="328">
        <v>0.7</v>
      </c>
      <c r="W620" s="328">
        <v>0.7</v>
      </c>
      <c r="X620" s="328">
        <v>1700</v>
      </c>
      <c r="Y620" s="327" t="s">
        <v>470</v>
      </c>
      <c r="Z620" s="328">
        <v>0.85</v>
      </c>
      <c r="AA620" s="327" t="s">
        <v>471</v>
      </c>
      <c r="AB620" s="327" t="s">
        <v>472</v>
      </c>
      <c r="AC620" s="330">
        <v>215</v>
      </c>
    </row>
    <row r="621" spans="1:29">
      <c r="A621" s="331" t="s">
        <v>863</v>
      </c>
      <c r="B621" s="332" t="s">
        <v>494</v>
      </c>
      <c r="C621" s="332" t="s">
        <v>435</v>
      </c>
      <c r="D621" s="332" t="s">
        <v>468</v>
      </c>
      <c r="E621" s="333">
        <v>1.8</v>
      </c>
      <c r="F621" s="334">
        <v>45229.620138888888</v>
      </c>
      <c r="G621" s="333">
        <v>2</v>
      </c>
      <c r="H621" s="333">
        <v>51.364100000000001</v>
      </c>
      <c r="I621" s="333">
        <v>5.3773999999999997</v>
      </c>
      <c r="J621" s="333">
        <v>-16.662037999999999</v>
      </c>
      <c r="K621" s="333">
        <v>-15.812806</v>
      </c>
      <c r="L621" s="333">
        <v>1090.98</v>
      </c>
      <c r="M621" s="333">
        <v>136.99991600000001</v>
      </c>
      <c r="N621" s="333">
        <v>22670.74</v>
      </c>
      <c r="O621" s="333">
        <v>0</v>
      </c>
      <c r="P621" s="333">
        <v>2074.08</v>
      </c>
      <c r="Q621" s="332" t="s">
        <v>479</v>
      </c>
      <c r="R621" s="332"/>
      <c r="S621" s="333">
        <v>15</v>
      </c>
      <c r="T621" s="333">
        <v>5</v>
      </c>
      <c r="U621" s="333">
        <v>0.7</v>
      </c>
      <c r="V621" s="333">
        <v>0.7</v>
      </c>
      <c r="W621" s="333">
        <v>0.7</v>
      </c>
      <c r="X621" s="333">
        <v>1700</v>
      </c>
      <c r="Y621" s="332" t="s">
        <v>470</v>
      </c>
      <c r="Z621" s="333">
        <v>0.85</v>
      </c>
      <c r="AA621" s="332" t="s">
        <v>471</v>
      </c>
      <c r="AB621" s="332" t="s">
        <v>472</v>
      </c>
      <c r="AC621" s="335">
        <v>212</v>
      </c>
    </row>
    <row r="622" spans="1:29">
      <c r="A622" s="326" t="s">
        <v>599</v>
      </c>
      <c r="B622" s="327">
        <v>2</v>
      </c>
      <c r="C622" s="327">
        <v>499</v>
      </c>
      <c r="D622" s="327" t="s">
        <v>422</v>
      </c>
      <c r="E622" s="328">
        <v>1.5</v>
      </c>
      <c r="F622" s="329">
        <v>45229.635416666664</v>
      </c>
      <c r="G622" s="328">
        <v>1</v>
      </c>
      <c r="H622" s="328">
        <v>51.3675</v>
      </c>
      <c r="I622" s="328">
        <v>5.2387100000000002</v>
      </c>
      <c r="J622" s="328">
        <v>-16.607019000000001</v>
      </c>
      <c r="K622" s="328">
        <v>-15.779605999999999</v>
      </c>
      <c r="L622" s="328">
        <v>1027.18</v>
      </c>
      <c r="M622" s="328">
        <v>119.50053800000001</v>
      </c>
      <c r="N622" s="328">
        <v>18376.400000000001</v>
      </c>
      <c r="O622" s="328">
        <v>0</v>
      </c>
      <c r="P622" s="328">
        <v>0</v>
      </c>
      <c r="Q622" s="327" t="s">
        <v>479</v>
      </c>
      <c r="R622" s="327"/>
      <c r="S622" s="328">
        <v>15</v>
      </c>
      <c r="T622" s="328">
        <v>5</v>
      </c>
      <c r="U622" s="328">
        <v>0.7</v>
      </c>
      <c r="V622" s="328">
        <v>0.7</v>
      </c>
      <c r="W622" s="328">
        <v>0.7</v>
      </c>
      <c r="X622" s="328">
        <v>1700</v>
      </c>
      <c r="Y622" s="327" t="s">
        <v>470</v>
      </c>
      <c r="Z622" s="328">
        <v>0.85</v>
      </c>
      <c r="AA622" s="327" t="s">
        <v>471</v>
      </c>
      <c r="AB622" s="327" t="s">
        <v>472</v>
      </c>
      <c r="AC622" s="330">
        <v>215</v>
      </c>
    </row>
    <row r="623" spans="1:29">
      <c r="A623" s="331" t="s">
        <v>705</v>
      </c>
      <c r="B623" s="332">
        <v>2</v>
      </c>
      <c r="C623" s="332">
        <v>499</v>
      </c>
      <c r="D623" s="332" t="s">
        <v>422</v>
      </c>
      <c r="E623" s="333">
        <v>1.5</v>
      </c>
      <c r="F623" s="334">
        <v>45229.63958333333</v>
      </c>
      <c r="G623" s="333">
        <v>1</v>
      </c>
      <c r="H623" s="333">
        <v>51.370800000000003</v>
      </c>
      <c r="I623" s="333">
        <v>5.4093499999999999</v>
      </c>
      <c r="J623" s="333">
        <v>-16.647794000000001</v>
      </c>
      <c r="K623" s="333">
        <v>-15.809675</v>
      </c>
      <c r="L623" s="333">
        <v>1060.6300000000001</v>
      </c>
      <c r="M623" s="333">
        <v>131.49989400000001</v>
      </c>
      <c r="N623" s="333">
        <v>18539.349999999999</v>
      </c>
      <c r="O623" s="333">
        <v>0</v>
      </c>
      <c r="P623" s="333">
        <v>0</v>
      </c>
      <c r="Q623" s="332" t="s">
        <v>479</v>
      </c>
      <c r="R623" s="332"/>
      <c r="S623" s="333">
        <v>15</v>
      </c>
      <c r="T623" s="333">
        <v>5</v>
      </c>
      <c r="U623" s="333">
        <v>0.7</v>
      </c>
      <c r="V623" s="333">
        <v>0.7</v>
      </c>
      <c r="W623" s="333">
        <v>0.7</v>
      </c>
      <c r="X623" s="333">
        <v>1700</v>
      </c>
      <c r="Y623" s="332" t="s">
        <v>470</v>
      </c>
      <c r="Z623" s="333">
        <v>0.85</v>
      </c>
      <c r="AA623" s="332" t="s">
        <v>471</v>
      </c>
      <c r="AB623" s="332" t="s">
        <v>472</v>
      </c>
      <c r="AC623" s="335">
        <v>211</v>
      </c>
    </row>
    <row r="624" spans="1:29">
      <c r="A624" s="326" t="s">
        <v>706</v>
      </c>
      <c r="B624" s="327">
        <v>2</v>
      </c>
      <c r="C624" s="327">
        <v>499</v>
      </c>
      <c r="D624" s="327" t="s">
        <v>422</v>
      </c>
      <c r="E624" s="328">
        <v>1.5</v>
      </c>
      <c r="F624" s="329">
        <v>45229.643055555556</v>
      </c>
      <c r="G624" s="328">
        <v>1</v>
      </c>
      <c r="H624" s="328">
        <v>51.370800000000003</v>
      </c>
      <c r="I624" s="328">
        <v>5.4740900000000003</v>
      </c>
      <c r="J624" s="328">
        <v>-16.607250000000001</v>
      </c>
      <c r="K624" s="328">
        <v>-15.761825</v>
      </c>
      <c r="L624" s="328">
        <v>1040.5899999999999</v>
      </c>
      <c r="M624" s="328">
        <v>121.00019899999999</v>
      </c>
      <c r="N624" s="328">
        <v>18651.57</v>
      </c>
      <c r="O624" s="328">
        <v>0</v>
      </c>
      <c r="P624" s="328">
        <v>0</v>
      </c>
      <c r="Q624" s="327" t="s">
        <v>479</v>
      </c>
      <c r="R624" s="327"/>
      <c r="S624" s="328">
        <v>15</v>
      </c>
      <c r="T624" s="328">
        <v>5</v>
      </c>
      <c r="U624" s="328">
        <v>0.7</v>
      </c>
      <c r="V624" s="328">
        <v>0.7</v>
      </c>
      <c r="W624" s="328">
        <v>0.7</v>
      </c>
      <c r="X624" s="328">
        <v>1700</v>
      </c>
      <c r="Y624" s="327" t="s">
        <v>470</v>
      </c>
      <c r="Z624" s="328">
        <v>0.85</v>
      </c>
      <c r="AA624" s="327" t="s">
        <v>471</v>
      </c>
      <c r="AB624" s="327" t="s">
        <v>472</v>
      </c>
      <c r="AC624" s="330">
        <v>210</v>
      </c>
    </row>
    <row r="625" spans="1:29">
      <c r="A625" s="331" t="s">
        <v>864</v>
      </c>
      <c r="B625" s="332">
        <v>2</v>
      </c>
      <c r="C625" s="332">
        <v>499</v>
      </c>
      <c r="D625" s="332" t="s">
        <v>422</v>
      </c>
      <c r="E625" s="333">
        <v>1.5</v>
      </c>
      <c r="F625" s="334">
        <v>45229.646527777775</v>
      </c>
      <c r="G625" s="333">
        <v>1</v>
      </c>
      <c r="H625" s="333">
        <v>51.374099999999999</v>
      </c>
      <c r="I625" s="333">
        <v>5.5375699999999997</v>
      </c>
      <c r="J625" s="333">
        <v>-16.522769</v>
      </c>
      <c r="K625" s="333">
        <v>-15.698644</v>
      </c>
      <c r="L625" s="333">
        <v>1039.47</v>
      </c>
      <c r="M625" s="333">
        <v>115.499898</v>
      </c>
      <c r="N625" s="333">
        <v>18421.87</v>
      </c>
      <c r="O625" s="333">
        <v>0</v>
      </c>
      <c r="P625" s="333">
        <v>0</v>
      </c>
      <c r="Q625" s="332" t="s">
        <v>479</v>
      </c>
      <c r="R625" s="332"/>
      <c r="S625" s="333">
        <v>15</v>
      </c>
      <c r="T625" s="333">
        <v>5</v>
      </c>
      <c r="U625" s="333">
        <v>0.7</v>
      </c>
      <c r="V625" s="333">
        <v>0.7</v>
      </c>
      <c r="W625" s="333">
        <v>0.7</v>
      </c>
      <c r="X625" s="333">
        <v>1700</v>
      </c>
      <c r="Y625" s="332" t="s">
        <v>470</v>
      </c>
      <c r="Z625" s="333">
        <v>0.85</v>
      </c>
      <c r="AA625" s="332" t="s">
        <v>471</v>
      </c>
      <c r="AB625" s="332" t="s">
        <v>472</v>
      </c>
      <c r="AC625" s="335">
        <v>213</v>
      </c>
    </row>
    <row r="626" spans="1:29">
      <c r="A626" s="326" t="s">
        <v>865</v>
      </c>
      <c r="B626" s="327">
        <v>2</v>
      </c>
      <c r="C626" s="327">
        <v>499</v>
      </c>
      <c r="D626" s="327" t="s">
        <v>422</v>
      </c>
      <c r="E626" s="328">
        <v>1.5</v>
      </c>
      <c r="F626" s="329">
        <v>45229.65</v>
      </c>
      <c r="G626" s="328">
        <v>1</v>
      </c>
      <c r="H626" s="328">
        <v>51.370800000000003</v>
      </c>
      <c r="I626" s="328">
        <v>5.5714300000000003</v>
      </c>
      <c r="J626" s="328">
        <v>-16.590150000000001</v>
      </c>
      <c r="K626" s="328">
        <v>-15.751644000000001</v>
      </c>
      <c r="L626" s="328">
        <v>1041.6500000000001</v>
      </c>
      <c r="M626" s="328">
        <v>122.500536</v>
      </c>
      <c r="N626" s="328">
        <v>18612.34</v>
      </c>
      <c r="O626" s="328">
        <v>0</v>
      </c>
      <c r="P626" s="328">
        <v>0</v>
      </c>
      <c r="Q626" s="327" t="s">
        <v>479</v>
      </c>
      <c r="R626" s="327"/>
      <c r="S626" s="328">
        <v>15</v>
      </c>
      <c r="T626" s="328">
        <v>5</v>
      </c>
      <c r="U626" s="328">
        <v>0.7</v>
      </c>
      <c r="V626" s="328">
        <v>0.7</v>
      </c>
      <c r="W626" s="328">
        <v>0.7</v>
      </c>
      <c r="X626" s="328">
        <v>1700</v>
      </c>
      <c r="Y626" s="327" t="s">
        <v>470</v>
      </c>
      <c r="Z626" s="328">
        <v>0.85</v>
      </c>
      <c r="AA626" s="327" t="s">
        <v>471</v>
      </c>
      <c r="AB626" s="327" t="s">
        <v>472</v>
      </c>
      <c r="AC626" s="330">
        <v>209</v>
      </c>
    </row>
    <row r="627" spans="1:29">
      <c r="A627" s="331" t="s">
        <v>866</v>
      </c>
      <c r="B627" s="332">
        <v>2</v>
      </c>
      <c r="C627" s="332">
        <v>499</v>
      </c>
      <c r="D627" s="332" t="s">
        <v>422</v>
      </c>
      <c r="E627" s="333">
        <v>1.5</v>
      </c>
      <c r="F627" s="334">
        <v>45229.65347222222</v>
      </c>
      <c r="G627" s="333">
        <v>2</v>
      </c>
      <c r="H627" s="333">
        <v>51.3675</v>
      </c>
      <c r="I627" s="333">
        <v>5.5739900000000002</v>
      </c>
      <c r="J627" s="333">
        <v>-16.682725000000001</v>
      </c>
      <c r="K627" s="333">
        <v>-15.8498</v>
      </c>
      <c r="L627" s="333">
        <v>1038.3800000000001</v>
      </c>
      <c r="M627" s="333">
        <v>128.000067</v>
      </c>
      <c r="N627" s="333">
        <v>18485.09</v>
      </c>
      <c r="O627" s="333">
        <v>0</v>
      </c>
      <c r="P627" s="333">
        <v>0</v>
      </c>
      <c r="Q627" s="332" t="s">
        <v>479</v>
      </c>
      <c r="R627" s="332"/>
      <c r="S627" s="333">
        <v>15</v>
      </c>
      <c r="T627" s="333">
        <v>5</v>
      </c>
      <c r="U627" s="333">
        <v>0.7</v>
      </c>
      <c r="V627" s="333">
        <v>0.7</v>
      </c>
      <c r="W627" s="333">
        <v>0.7</v>
      </c>
      <c r="X627" s="333">
        <v>1700</v>
      </c>
      <c r="Y627" s="332" t="s">
        <v>470</v>
      </c>
      <c r="Z627" s="333">
        <v>0.85</v>
      </c>
      <c r="AA627" s="332" t="s">
        <v>471</v>
      </c>
      <c r="AB627" s="332" t="s">
        <v>472</v>
      </c>
      <c r="AC627" s="335">
        <v>211</v>
      </c>
    </row>
    <row r="628" spans="1:29">
      <c r="A628" s="326" t="s">
        <v>867</v>
      </c>
      <c r="B628" s="327">
        <v>2</v>
      </c>
      <c r="C628" s="327">
        <v>499</v>
      </c>
      <c r="D628" s="327" t="s">
        <v>422</v>
      </c>
      <c r="E628" s="328">
        <v>1.5</v>
      </c>
      <c r="F628" s="329">
        <v>45229.656944444447</v>
      </c>
      <c r="G628" s="328">
        <v>2</v>
      </c>
      <c r="H628" s="328">
        <v>51.370800000000003</v>
      </c>
      <c r="I628" s="328">
        <v>5.5207699999999997</v>
      </c>
      <c r="J628" s="328">
        <v>-16.560181</v>
      </c>
      <c r="K628" s="328">
        <v>-15.740325</v>
      </c>
      <c r="L628" s="328">
        <v>1044.24</v>
      </c>
      <c r="M628" s="328">
        <v>126.00107800000001</v>
      </c>
      <c r="N628" s="328">
        <v>18695.349999999999</v>
      </c>
      <c r="O628" s="328">
        <v>0</v>
      </c>
      <c r="P628" s="328">
        <v>0</v>
      </c>
      <c r="Q628" s="327" t="s">
        <v>479</v>
      </c>
      <c r="R628" s="327"/>
      <c r="S628" s="328">
        <v>15</v>
      </c>
      <c r="T628" s="328">
        <v>5</v>
      </c>
      <c r="U628" s="328">
        <v>0.7</v>
      </c>
      <c r="V628" s="328">
        <v>0.7</v>
      </c>
      <c r="W628" s="328">
        <v>0.7</v>
      </c>
      <c r="X628" s="328">
        <v>1700</v>
      </c>
      <c r="Y628" s="327" t="s">
        <v>470</v>
      </c>
      <c r="Z628" s="328">
        <v>0.85</v>
      </c>
      <c r="AA628" s="327" t="s">
        <v>471</v>
      </c>
      <c r="AB628" s="327" t="s">
        <v>472</v>
      </c>
      <c r="AC628" s="330">
        <v>210</v>
      </c>
    </row>
    <row r="629" spans="1:29">
      <c r="A629" s="331" t="s">
        <v>868</v>
      </c>
      <c r="B629" s="332">
        <v>2</v>
      </c>
      <c r="C629" s="332">
        <v>499</v>
      </c>
      <c r="D629" s="332" t="s">
        <v>422</v>
      </c>
      <c r="E629" s="333">
        <v>1.5</v>
      </c>
      <c r="F629" s="334">
        <v>45229.661111111112</v>
      </c>
      <c r="G629" s="333">
        <v>2</v>
      </c>
      <c r="H629" s="333">
        <v>51.370800000000003</v>
      </c>
      <c r="I629" s="333">
        <v>5.49803</v>
      </c>
      <c r="J629" s="333">
        <v>-16.593150000000001</v>
      </c>
      <c r="K629" s="333">
        <v>-15.753056000000001</v>
      </c>
      <c r="L629" s="333">
        <v>1066.21</v>
      </c>
      <c r="M629" s="333">
        <v>128.49925200000001</v>
      </c>
      <c r="N629" s="333">
        <v>19039.189999999999</v>
      </c>
      <c r="O629" s="333">
        <v>0</v>
      </c>
      <c r="P629" s="333">
        <v>0</v>
      </c>
      <c r="Q629" s="332" t="s">
        <v>479</v>
      </c>
      <c r="R629" s="332"/>
      <c r="S629" s="333">
        <v>15</v>
      </c>
      <c r="T629" s="333">
        <v>5</v>
      </c>
      <c r="U629" s="333">
        <v>0.7</v>
      </c>
      <c r="V629" s="333">
        <v>0.7</v>
      </c>
      <c r="W629" s="333">
        <v>0.7</v>
      </c>
      <c r="X629" s="333">
        <v>1700</v>
      </c>
      <c r="Y629" s="332" t="s">
        <v>470</v>
      </c>
      <c r="Z629" s="333">
        <v>0.85</v>
      </c>
      <c r="AA629" s="332" t="s">
        <v>471</v>
      </c>
      <c r="AB629" s="332" t="s">
        <v>472</v>
      </c>
      <c r="AC629" s="335">
        <v>206</v>
      </c>
    </row>
    <row r="630" spans="1:29">
      <c r="A630" s="326" t="s">
        <v>869</v>
      </c>
      <c r="B630" s="327">
        <v>2</v>
      </c>
      <c r="C630" s="327">
        <v>499</v>
      </c>
      <c r="D630" s="327" t="s">
        <v>422</v>
      </c>
      <c r="E630" s="328">
        <v>1.5</v>
      </c>
      <c r="F630" s="329">
        <v>45229.664583333331</v>
      </c>
      <c r="G630" s="328">
        <v>2</v>
      </c>
      <c r="H630" s="328">
        <v>51.3675</v>
      </c>
      <c r="I630" s="328">
        <v>5.4752200000000002</v>
      </c>
      <c r="J630" s="328">
        <v>-16.628343999999998</v>
      </c>
      <c r="K630" s="328">
        <v>-15.780431</v>
      </c>
      <c r="L630" s="328">
        <v>1072.9000000000001</v>
      </c>
      <c r="M630" s="328">
        <v>134.499774</v>
      </c>
      <c r="N630" s="328">
        <v>19299.490000000002</v>
      </c>
      <c r="O630" s="328">
        <v>0</v>
      </c>
      <c r="P630" s="328">
        <v>0</v>
      </c>
      <c r="Q630" s="327" t="s">
        <v>479</v>
      </c>
      <c r="R630" s="327"/>
      <c r="S630" s="328">
        <v>15</v>
      </c>
      <c r="T630" s="328">
        <v>5</v>
      </c>
      <c r="U630" s="328">
        <v>0.7</v>
      </c>
      <c r="V630" s="328">
        <v>0.7</v>
      </c>
      <c r="W630" s="328">
        <v>0.7</v>
      </c>
      <c r="X630" s="328">
        <v>1700</v>
      </c>
      <c r="Y630" s="327" t="s">
        <v>470</v>
      </c>
      <c r="Z630" s="328">
        <v>0.85</v>
      </c>
      <c r="AA630" s="327" t="s">
        <v>471</v>
      </c>
      <c r="AB630" s="327" t="s">
        <v>472</v>
      </c>
      <c r="AC630" s="330">
        <v>204</v>
      </c>
    </row>
    <row r="631" spans="1:29">
      <c r="A631" s="331" t="s">
        <v>870</v>
      </c>
      <c r="B631" s="332">
        <v>2</v>
      </c>
      <c r="C631" s="332">
        <v>499</v>
      </c>
      <c r="D631" s="332" t="s">
        <v>422</v>
      </c>
      <c r="E631" s="333">
        <v>1.5</v>
      </c>
      <c r="F631" s="334">
        <v>45229.668055555558</v>
      </c>
      <c r="G631" s="333">
        <v>2</v>
      </c>
      <c r="H631" s="333">
        <v>51.374099999999999</v>
      </c>
      <c r="I631" s="333">
        <v>5.4262899999999998</v>
      </c>
      <c r="J631" s="333">
        <v>-16.649981</v>
      </c>
      <c r="K631" s="333">
        <v>-15.805262000000001</v>
      </c>
      <c r="L631" s="333">
        <v>1076.5999999999999</v>
      </c>
      <c r="M631" s="333">
        <v>128.00002599999999</v>
      </c>
      <c r="N631" s="333">
        <v>19086.099999999999</v>
      </c>
      <c r="O631" s="333">
        <v>0</v>
      </c>
      <c r="P631" s="333">
        <v>0</v>
      </c>
      <c r="Q631" s="332" t="s">
        <v>479</v>
      </c>
      <c r="R631" s="332"/>
      <c r="S631" s="333">
        <v>15</v>
      </c>
      <c r="T631" s="333">
        <v>5</v>
      </c>
      <c r="U631" s="333">
        <v>0.7</v>
      </c>
      <c r="V631" s="333">
        <v>0.7</v>
      </c>
      <c r="W631" s="333">
        <v>0.7</v>
      </c>
      <c r="X631" s="333">
        <v>1700</v>
      </c>
      <c r="Y631" s="332" t="s">
        <v>470</v>
      </c>
      <c r="Z631" s="333">
        <v>0.85</v>
      </c>
      <c r="AA631" s="332" t="s">
        <v>471</v>
      </c>
      <c r="AB631" s="332" t="s">
        <v>472</v>
      </c>
      <c r="AC631" s="335">
        <v>205</v>
      </c>
    </row>
    <row r="632" spans="1:29">
      <c r="A632" s="326" t="s">
        <v>600</v>
      </c>
      <c r="B632" s="327">
        <v>3</v>
      </c>
      <c r="C632" s="327">
        <v>500</v>
      </c>
      <c r="D632" s="327" t="s">
        <v>423</v>
      </c>
      <c r="E632" s="328">
        <v>1.5</v>
      </c>
      <c r="F632" s="329">
        <v>45229.672222222223</v>
      </c>
      <c r="G632" s="328">
        <v>1</v>
      </c>
      <c r="H632" s="328">
        <v>51.3675</v>
      </c>
      <c r="I632" s="328">
        <v>5.3809699999999996</v>
      </c>
      <c r="J632" s="328">
        <v>-16.594124999999998</v>
      </c>
      <c r="K632" s="328">
        <v>-15.756875000000001</v>
      </c>
      <c r="L632" s="328">
        <v>1076.79</v>
      </c>
      <c r="M632" s="328">
        <v>122.50107199999999</v>
      </c>
      <c r="N632" s="328">
        <v>19341.560000000001</v>
      </c>
      <c r="O632" s="328">
        <v>0</v>
      </c>
      <c r="P632" s="328">
        <v>0</v>
      </c>
      <c r="Q632" s="327" t="s">
        <v>479</v>
      </c>
      <c r="R632" s="327"/>
      <c r="S632" s="328">
        <v>15</v>
      </c>
      <c r="T632" s="328">
        <v>5</v>
      </c>
      <c r="U632" s="328">
        <v>0.7</v>
      </c>
      <c r="V632" s="328">
        <v>0.7</v>
      </c>
      <c r="W632" s="328">
        <v>0.7</v>
      </c>
      <c r="X632" s="328">
        <v>1700</v>
      </c>
      <c r="Y632" s="327" t="s">
        <v>470</v>
      </c>
      <c r="Z632" s="328">
        <v>0.85</v>
      </c>
      <c r="AA632" s="327" t="s">
        <v>471</v>
      </c>
      <c r="AB632" s="327" t="s">
        <v>472</v>
      </c>
      <c r="AC632" s="330">
        <v>203</v>
      </c>
    </row>
    <row r="633" spans="1:29">
      <c r="A633" s="331" t="s">
        <v>707</v>
      </c>
      <c r="B633" s="332">
        <v>3</v>
      </c>
      <c r="C633" s="332">
        <v>500</v>
      </c>
      <c r="D633" s="332" t="s">
        <v>423</v>
      </c>
      <c r="E633" s="333">
        <v>1.5</v>
      </c>
      <c r="F633" s="334">
        <v>45229.675694444442</v>
      </c>
      <c r="G633" s="333">
        <v>1</v>
      </c>
      <c r="H633" s="333">
        <v>51.3675</v>
      </c>
      <c r="I633" s="333">
        <v>5.3600099999999999</v>
      </c>
      <c r="J633" s="333">
        <v>-16.564931000000001</v>
      </c>
      <c r="K633" s="333">
        <v>-15.718813000000001</v>
      </c>
      <c r="L633" s="333">
        <v>1043.75</v>
      </c>
      <c r="M633" s="333">
        <v>123.498981</v>
      </c>
      <c r="N633" s="333">
        <v>18920.689999999999</v>
      </c>
      <c r="O633" s="333">
        <v>0</v>
      </c>
      <c r="P633" s="333">
        <v>0</v>
      </c>
      <c r="Q633" s="332" t="s">
        <v>479</v>
      </c>
      <c r="R633" s="332"/>
      <c r="S633" s="333">
        <v>15</v>
      </c>
      <c r="T633" s="333">
        <v>5</v>
      </c>
      <c r="U633" s="333">
        <v>0.7</v>
      </c>
      <c r="V633" s="333">
        <v>0.7</v>
      </c>
      <c r="W633" s="333">
        <v>0.7</v>
      </c>
      <c r="X633" s="333">
        <v>1700</v>
      </c>
      <c r="Y633" s="332" t="s">
        <v>470</v>
      </c>
      <c r="Z633" s="333">
        <v>0.85</v>
      </c>
      <c r="AA633" s="332" t="s">
        <v>471</v>
      </c>
      <c r="AB633" s="332" t="s">
        <v>472</v>
      </c>
      <c r="AC633" s="335">
        <v>205</v>
      </c>
    </row>
    <row r="634" spans="1:29">
      <c r="A634" s="326" t="s">
        <v>708</v>
      </c>
      <c r="B634" s="327">
        <v>3</v>
      </c>
      <c r="C634" s="327">
        <v>500</v>
      </c>
      <c r="D634" s="327" t="s">
        <v>423</v>
      </c>
      <c r="E634" s="328">
        <v>1.5</v>
      </c>
      <c r="F634" s="329">
        <v>45229.679861111108</v>
      </c>
      <c r="G634" s="328">
        <v>1</v>
      </c>
      <c r="H634" s="328">
        <v>51.370800000000003</v>
      </c>
      <c r="I634" s="328">
        <v>5.34084</v>
      </c>
      <c r="J634" s="328">
        <v>-16.592894000000001</v>
      </c>
      <c r="K634" s="328">
        <v>-15.743418999999999</v>
      </c>
      <c r="L634" s="328">
        <v>1046.92</v>
      </c>
      <c r="M634" s="328">
        <v>120.499994</v>
      </c>
      <c r="N634" s="328">
        <v>18825.95</v>
      </c>
      <c r="O634" s="328">
        <v>0</v>
      </c>
      <c r="P634" s="328">
        <v>0</v>
      </c>
      <c r="Q634" s="327" t="s">
        <v>479</v>
      </c>
      <c r="R634" s="327"/>
      <c r="S634" s="328">
        <v>15</v>
      </c>
      <c r="T634" s="328">
        <v>5</v>
      </c>
      <c r="U634" s="328">
        <v>0.7</v>
      </c>
      <c r="V634" s="328">
        <v>0.7</v>
      </c>
      <c r="W634" s="328">
        <v>0.7</v>
      </c>
      <c r="X634" s="328">
        <v>1700</v>
      </c>
      <c r="Y634" s="327" t="s">
        <v>470</v>
      </c>
      <c r="Z634" s="328">
        <v>0.85</v>
      </c>
      <c r="AA634" s="327" t="s">
        <v>471</v>
      </c>
      <c r="AB634" s="327" t="s">
        <v>472</v>
      </c>
      <c r="AC634" s="330">
        <v>207</v>
      </c>
    </row>
    <row r="635" spans="1:29">
      <c r="A635" s="331" t="s">
        <v>871</v>
      </c>
      <c r="B635" s="332">
        <v>3</v>
      </c>
      <c r="C635" s="332">
        <v>500</v>
      </c>
      <c r="D635" s="332" t="s">
        <v>423</v>
      </c>
      <c r="E635" s="333">
        <v>1.5</v>
      </c>
      <c r="F635" s="334">
        <v>45229.683333333334</v>
      </c>
      <c r="G635" s="333">
        <v>1</v>
      </c>
      <c r="H635" s="333">
        <v>51.370800000000003</v>
      </c>
      <c r="I635" s="333">
        <v>5.3803099999999997</v>
      </c>
      <c r="J635" s="333">
        <v>-16.748925</v>
      </c>
      <c r="K635" s="333">
        <v>-15.915374999999999</v>
      </c>
      <c r="L635" s="333">
        <v>1046.3499999999999</v>
      </c>
      <c r="M635" s="333">
        <v>132.499663</v>
      </c>
      <c r="N635" s="333">
        <v>18845.16</v>
      </c>
      <c r="O635" s="333">
        <v>0</v>
      </c>
      <c r="P635" s="333">
        <v>0</v>
      </c>
      <c r="Q635" s="332" t="s">
        <v>479</v>
      </c>
      <c r="R635" s="332"/>
      <c r="S635" s="333">
        <v>15</v>
      </c>
      <c r="T635" s="333">
        <v>5</v>
      </c>
      <c r="U635" s="333">
        <v>0.7</v>
      </c>
      <c r="V635" s="333">
        <v>0.7</v>
      </c>
      <c r="W635" s="333">
        <v>0.7</v>
      </c>
      <c r="X635" s="333">
        <v>1700</v>
      </c>
      <c r="Y635" s="332" t="s">
        <v>470</v>
      </c>
      <c r="Z635" s="333">
        <v>0.85</v>
      </c>
      <c r="AA635" s="332" t="s">
        <v>471</v>
      </c>
      <c r="AB635" s="332" t="s">
        <v>472</v>
      </c>
      <c r="AC635" s="335">
        <v>206</v>
      </c>
    </row>
    <row r="636" spans="1:29">
      <c r="A636" s="326" t="s">
        <v>872</v>
      </c>
      <c r="B636" s="327">
        <v>3</v>
      </c>
      <c r="C636" s="327">
        <v>500</v>
      </c>
      <c r="D636" s="327" t="s">
        <v>423</v>
      </c>
      <c r="E636" s="328">
        <v>1.5</v>
      </c>
      <c r="F636" s="329">
        <v>45229.686805555553</v>
      </c>
      <c r="G636" s="328">
        <v>1</v>
      </c>
      <c r="H636" s="328">
        <v>51.374099999999999</v>
      </c>
      <c r="I636" s="328">
        <v>5.2921199999999997</v>
      </c>
      <c r="J636" s="328">
        <v>-16.571525000000001</v>
      </c>
      <c r="K636" s="328">
        <v>-15.743281</v>
      </c>
      <c r="L636" s="328">
        <v>1056.8900000000001</v>
      </c>
      <c r="M636" s="328">
        <v>117.500235</v>
      </c>
      <c r="N636" s="328">
        <v>18732.599999999999</v>
      </c>
      <c r="O636" s="328">
        <v>0</v>
      </c>
      <c r="P636" s="328">
        <v>0</v>
      </c>
      <c r="Q636" s="327" t="s">
        <v>479</v>
      </c>
      <c r="R636" s="327"/>
      <c r="S636" s="328">
        <v>15</v>
      </c>
      <c r="T636" s="328">
        <v>5</v>
      </c>
      <c r="U636" s="328">
        <v>0.7</v>
      </c>
      <c r="V636" s="328">
        <v>0.7</v>
      </c>
      <c r="W636" s="328">
        <v>0.7</v>
      </c>
      <c r="X636" s="328">
        <v>1700</v>
      </c>
      <c r="Y636" s="327" t="s">
        <v>470</v>
      </c>
      <c r="Z636" s="328">
        <v>0.85</v>
      </c>
      <c r="AA636" s="327" t="s">
        <v>471</v>
      </c>
      <c r="AB636" s="327" t="s">
        <v>472</v>
      </c>
      <c r="AC636" s="330">
        <v>207</v>
      </c>
    </row>
    <row r="637" spans="1:29">
      <c r="A637" s="331" t="s">
        <v>873</v>
      </c>
      <c r="B637" s="332">
        <v>3</v>
      </c>
      <c r="C637" s="332">
        <v>500</v>
      </c>
      <c r="D637" s="332" t="s">
        <v>423</v>
      </c>
      <c r="E637" s="333">
        <v>1.5</v>
      </c>
      <c r="F637" s="334">
        <v>45229.69027777778</v>
      </c>
      <c r="G637" s="333">
        <v>2</v>
      </c>
      <c r="H637" s="333">
        <v>51.3675</v>
      </c>
      <c r="I637" s="333">
        <v>5.33711</v>
      </c>
      <c r="J637" s="333">
        <v>-16.642250000000001</v>
      </c>
      <c r="K637" s="333">
        <v>-15.794444</v>
      </c>
      <c r="L637" s="333">
        <v>1061.51</v>
      </c>
      <c r="M637" s="333">
        <v>125.00009300000001</v>
      </c>
      <c r="N637" s="333">
        <v>19067.240000000002</v>
      </c>
      <c r="O637" s="333">
        <v>0</v>
      </c>
      <c r="P637" s="333">
        <v>0</v>
      </c>
      <c r="Q637" s="332" t="s">
        <v>874</v>
      </c>
      <c r="R637" s="332"/>
      <c r="S637" s="333">
        <v>15</v>
      </c>
      <c r="T637" s="333">
        <v>5</v>
      </c>
      <c r="U637" s="333">
        <v>0.7</v>
      </c>
      <c r="V637" s="333">
        <v>0.7</v>
      </c>
      <c r="W637" s="333">
        <v>0.7</v>
      </c>
      <c r="X637" s="333">
        <v>1700</v>
      </c>
      <c r="Y637" s="332" t="s">
        <v>470</v>
      </c>
      <c r="Z637" s="333">
        <v>0.85</v>
      </c>
      <c r="AA637" s="332" t="s">
        <v>471</v>
      </c>
      <c r="AB637" s="332" t="s">
        <v>472</v>
      </c>
      <c r="AC637" s="335">
        <v>205</v>
      </c>
    </row>
    <row r="638" spans="1:29">
      <c r="A638" s="326" t="s">
        <v>875</v>
      </c>
      <c r="B638" s="327">
        <v>3</v>
      </c>
      <c r="C638" s="327">
        <v>500</v>
      </c>
      <c r="D638" s="327" t="s">
        <v>423</v>
      </c>
      <c r="E638" s="328">
        <v>1.5</v>
      </c>
      <c r="F638" s="329">
        <v>45229.693749999999</v>
      </c>
      <c r="G638" s="328">
        <v>2</v>
      </c>
      <c r="H638" s="328">
        <v>51.3675</v>
      </c>
      <c r="I638" s="328">
        <v>5.3136900000000002</v>
      </c>
      <c r="J638" s="328">
        <v>-16.651855999999999</v>
      </c>
      <c r="K638" s="328">
        <v>-15.804569000000001</v>
      </c>
      <c r="L638" s="328">
        <v>1063.8800000000001</v>
      </c>
      <c r="M638" s="328">
        <v>123.50167399999999</v>
      </c>
      <c r="N638" s="328">
        <v>19022.14</v>
      </c>
      <c r="O638" s="328">
        <v>0</v>
      </c>
      <c r="P638" s="328">
        <v>0</v>
      </c>
      <c r="Q638" s="327" t="s">
        <v>874</v>
      </c>
      <c r="R638" s="327"/>
      <c r="S638" s="328">
        <v>15</v>
      </c>
      <c r="T638" s="328">
        <v>5</v>
      </c>
      <c r="U638" s="328">
        <v>0.7</v>
      </c>
      <c r="V638" s="328">
        <v>0.7</v>
      </c>
      <c r="W638" s="328">
        <v>0.7</v>
      </c>
      <c r="X638" s="328">
        <v>1700</v>
      </c>
      <c r="Y638" s="327" t="s">
        <v>470</v>
      </c>
      <c r="Z638" s="328">
        <v>0.85</v>
      </c>
      <c r="AA638" s="327" t="s">
        <v>471</v>
      </c>
      <c r="AB638" s="327" t="s">
        <v>472</v>
      </c>
      <c r="AC638" s="330">
        <v>204</v>
      </c>
    </row>
    <row r="639" spans="1:29">
      <c r="A639" s="331" t="s">
        <v>876</v>
      </c>
      <c r="B639" s="332">
        <v>3</v>
      </c>
      <c r="C639" s="332">
        <v>500</v>
      </c>
      <c r="D639" s="332" t="s">
        <v>423</v>
      </c>
      <c r="E639" s="333">
        <v>1.5</v>
      </c>
      <c r="F639" s="334">
        <v>45229.697222222225</v>
      </c>
      <c r="G639" s="333">
        <v>2</v>
      </c>
      <c r="H639" s="333">
        <v>51.374099999999999</v>
      </c>
      <c r="I639" s="333">
        <v>5.3746900000000002</v>
      </c>
      <c r="J639" s="333">
        <v>-16.686437999999999</v>
      </c>
      <c r="K639" s="333">
        <v>-15.852669000000001</v>
      </c>
      <c r="L639" s="333">
        <v>1067.01</v>
      </c>
      <c r="M639" s="333">
        <v>121.99980600000001</v>
      </c>
      <c r="N639" s="333">
        <v>19080.82</v>
      </c>
      <c r="O639" s="333">
        <v>0</v>
      </c>
      <c r="P639" s="333">
        <v>0</v>
      </c>
      <c r="Q639" s="332" t="s">
        <v>874</v>
      </c>
      <c r="R639" s="332"/>
      <c r="S639" s="333">
        <v>15</v>
      </c>
      <c r="T639" s="333">
        <v>5</v>
      </c>
      <c r="U639" s="333">
        <v>0.7</v>
      </c>
      <c r="V639" s="333">
        <v>0.7</v>
      </c>
      <c r="W639" s="333">
        <v>0.7</v>
      </c>
      <c r="X639" s="333">
        <v>1700</v>
      </c>
      <c r="Y639" s="332" t="s">
        <v>470</v>
      </c>
      <c r="Z639" s="333">
        <v>0.85</v>
      </c>
      <c r="AA639" s="332" t="s">
        <v>471</v>
      </c>
      <c r="AB639" s="332" t="s">
        <v>472</v>
      </c>
      <c r="AC639" s="335">
        <v>205</v>
      </c>
    </row>
    <row r="640" spans="1:29">
      <c r="A640" s="326" t="s">
        <v>877</v>
      </c>
      <c r="B640" s="327">
        <v>3</v>
      </c>
      <c r="C640" s="327">
        <v>500</v>
      </c>
      <c r="D640" s="327" t="s">
        <v>423</v>
      </c>
      <c r="E640" s="328">
        <v>1.5</v>
      </c>
      <c r="F640" s="329">
        <v>45229.701388888891</v>
      </c>
      <c r="G640" s="328">
        <v>2</v>
      </c>
      <c r="H640" s="328">
        <v>51.3675</v>
      </c>
      <c r="I640" s="328">
        <v>5.36714</v>
      </c>
      <c r="J640" s="328">
        <v>-16.743131000000002</v>
      </c>
      <c r="K640" s="328">
        <v>-15.907087000000001</v>
      </c>
      <c r="L640" s="328">
        <v>1061.5999999999999</v>
      </c>
      <c r="M640" s="328">
        <v>120.49936</v>
      </c>
      <c r="N640" s="328">
        <v>18716.8</v>
      </c>
      <c r="O640" s="328">
        <v>0</v>
      </c>
      <c r="P640" s="328">
        <v>0</v>
      </c>
      <c r="Q640" s="327" t="s">
        <v>874</v>
      </c>
      <c r="R640" s="327"/>
      <c r="S640" s="328">
        <v>15</v>
      </c>
      <c r="T640" s="328">
        <v>5</v>
      </c>
      <c r="U640" s="328">
        <v>0.7</v>
      </c>
      <c r="V640" s="328">
        <v>0.7</v>
      </c>
      <c r="W640" s="328">
        <v>0.7</v>
      </c>
      <c r="X640" s="328">
        <v>1700</v>
      </c>
      <c r="Y640" s="327" t="s">
        <v>470</v>
      </c>
      <c r="Z640" s="328">
        <v>0.85</v>
      </c>
      <c r="AA640" s="327" t="s">
        <v>471</v>
      </c>
      <c r="AB640" s="327" t="s">
        <v>472</v>
      </c>
      <c r="AC640" s="330">
        <v>207</v>
      </c>
    </row>
    <row r="641" spans="1:29">
      <c r="A641" s="331" t="s">
        <v>878</v>
      </c>
      <c r="B641" s="332">
        <v>3</v>
      </c>
      <c r="C641" s="332">
        <v>500</v>
      </c>
      <c r="D641" s="332" t="s">
        <v>423</v>
      </c>
      <c r="E641" s="333">
        <v>1.5</v>
      </c>
      <c r="F641" s="334">
        <v>45229.704861111109</v>
      </c>
      <c r="G641" s="333">
        <v>2</v>
      </c>
      <c r="H641" s="333">
        <v>51.370800000000003</v>
      </c>
      <c r="I641" s="333">
        <v>5.3675600000000001</v>
      </c>
      <c r="J641" s="333">
        <v>-16.606444</v>
      </c>
      <c r="K641" s="333">
        <v>-15.769937000000001</v>
      </c>
      <c r="L641" s="333">
        <v>1051.52</v>
      </c>
      <c r="M641" s="333">
        <v>123.50044200000001</v>
      </c>
      <c r="N641" s="333">
        <v>18758.23</v>
      </c>
      <c r="O641" s="333">
        <v>0</v>
      </c>
      <c r="P641" s="333">
        <v>0</v>
      </c>
      <c r="Q641" s="332" t="s">
        <v>503</v>
      </c>
      <c r="R641" s="332"/>
      <c r="S641" s="333">
        <v>15</v>
      </c>
      <c r="T641" s="333">
        <v>5</v>
      </c>
      <c r="U641" s="333">
        <v>0.7</v>
      </c>
      <c r="V641" s="333">
        <v>0.7</v>
      </c>
      <c r="W641" s="333">
        <v>0.7</v>
      </c>
      <c r="X641" s="333">
        <v>1700</v>
      </c>
      <c r="Y641" s="332" t="s">
        <v>470</v>
      </c>
      <c r="Z641" s="333">
        <v>0.85</v>
      </c>
      <c r="AA641" s="332" t="s">
        <v>471</v>
      </c>
      <c r="AB641" s="332" t="s">
        <v>472</v>
      </c>
      <c r="AC641" s="335">
        <v>208</v>
      </c>
    </row>
    <row r="642" spans="1:29">
      <c r="A642" s="326" t="s">
        <v>879</v>
      </c>
      <c r="B642" s="327">
        <v>3</v>
      </c>
      <c r="C642" s="327">
        <v>500</v>
      </c>
      <c r="D642" s="327" t="s">
        <v>423</v>
      </c>
      <c r="E642" s="328">
        <v>1.5</v>
      </c>
      <c r="F642" s="329">
        <v>45229.709027777775</v>
      </c>
      <c r="G642" s="328">
        <v>2</v>
      </c>
      <c r="H642" s="328">
        <v>51.370800000000003</v>
      </c>
      <c r="I642" s="328">
        <v>5.2504900000000001</v>
      </c>
      <c r="J642" s="328">
        <v>-16.810393999999999</v>
      </c>
      <c r="K642" s="328">
        <v>-15.963812000000001</v>
      </c>
      <c r="L642" s="328">
        <v>1026.45</v>
      </c>
      <c r="M642" s="328">
        <v>122.49969299999999</v>
      </c>
      <c r="N642" s="328">
        <v>18404.57</v>
      </c>
      <c r="O642" s="328">
        <v>0</v>
      </c>
      <c r="P642" s="328">
        <v>0</v>
      </c>
      <c r="Q642" s="327" t="s">
        <v>874</v>
      </c>
      <c r="R642" s="327"/>
      <c r="S642" s="328">
        <v>15</v>
      </c>
      <c r="T642" s="328">
        <v>5</v>
      </c>
      <c r="U642" s="328">
        <v>0.7</v>
      </c>
      <c r="V642" s="328">
        <v>0.7</v>
      </c>
      <c r="W642" s="328">
        <v>0.7</v>
      </c>
      <c r="X642" s="328">
        <v>1700</v>
      </c>
      <c r="Y642" s="327" t="s">
        <v>470</v>
      </c>
      <c r="Z642" s="328">
        <v>0.85</v>
      </c>
      <c r="AA642" s="327" t="s">
        <v>471</v>
      </c>
      <c r="AB642" s="327" t="s">
        <v>472</v>
      </c>
      <c r="AC642" s="330">
        <v>210</v>
      </c>
    </row>
    <row r="643" spans="1:29">
      <c r="A643" s="331" t="s">
        <v>880</v>
      </c>
      <c r="B643" s="332">
        <v>3</v>
      </c>
      <c r="C643" s="332">
        <v>500</v>
      </c>
      <c r="D643" s="332" t="s">
        <v>423</v>
      </c>
      <c r="E643" s="333">
        <v>1.5</v>
      </c>
      <c r="F643" s="334">
        <v>45229.712500000001</v>
      </c>
      <c r="G643" s="333">
        <v>2</v>
      </c>
      <c r="H643" s="333">
        <v>51.374099999999999</v>
      </c>
      <c r="I643" s="333">
        <v>5.3462100000000001</v>
      </c>
      <c r="J643" s="333">
        <v>-16.812187999999999</v>
      </c>
      <c r="K643" s="333">
        <v>-15.979962</v>
      </c>
      <c r="L643" s="333">
        <v>1045.29</v>
      </c>
      <c r="M643" s="333">
        <v>126.49994599999999</v>
      </c>
      <c r="N643" s="333">
        <v>18662.849999999999</v>
      </c>
      <c r="O643" s="333">
        <v>0</v>
      </c>
      <c r="P643" s="333">
        <v>0</v>
      </c>
      <c r="Q643" s="332" t="s">
        <v>874</v>
      </c>
      <c r="R643" s="332"/>
      <c r="S643" s="333">
        <v>15</v>
      </c>
      <c r="T643" s="333">
        <v>5</v>
      </c>
      <c r="U643" s="333">
        <v>0.7</v>
      </c>
      <c r="V643" s="333">
        <v>0.7</v>
      </c>
      <c r="W643" s="333">
        <v>0.7</v>
      </c>
      <c r="X643" s="333">
        <v>1700</v>
      </c>
      <c r="Y643" s="332" t="s">
        <v>470</v>
      </c>
      <c r="Z643" s="333">
        <v>0.85</v>
      </c>
      <c r="AA643" s="332" t="s">
        <v>471</v>
      </c>
      <c r="AB643" s="332" t="s">
        <v>472</v>
      </c>
      <c r="AC643" s="335">
        <v>208</v>
      </c>
    </row>
    <row r="644" spans="1:29">
      <c r="A644" s="326" t="s">
        <v>881</v>
      </c>
      <c r="B644" s="327">
        <v>3</v>
      </c>
      <c r="C644" s="327">
        <v>500</v>
      </c>
      <c r="D644" s="327" t="s">
        <v>423</v>
      </c>
      <c r="E644" s="328">
        <v>1.5</v>
      </c>
      <c r="F644" s="329">
        <v>45229.71597222222</v>
      </c>
      <c r="G644" s="328">
        <v>2</v>
      </c>
      <c r="H644" s="328">
        <v>51.3675</v>
      </c>
      <c r="I644" s="328">
        <v>5.3223700000000003</v>
      </c>
      <c r="J644" s="328">
        <v>-16.711662</v>
      </c>
      <c r="K644" s="328">
        <v>-15.879281000000001</v>
      </c>
      <c r="L644" s="328">
        <v>1045.82</v>
      </c>
      <c r="M644" s="328">
        <v>118.999666</v>
      </c>
      <c r="N644" s="328">
        <v>18690.89</v>
      </c>
      <c r="O644" s="328">
        <v>0</v>
      </c>
      <c r="P644" s="328">
        <v>0</v>
      </c>
      <c r="Q644" s="327" t="s">
        <v>874</v>
      </c>
      <c r="R644" s="327"/>
      <c r="S644" s="328">
        <v>15</v>
      </c>
      <c r="T644" s="328">
        <v>5</v>
      </c>
      <c r="U644" s="328">
        <v>0.7</v>
      </c>
      <c r="V644" s="328">
        <v>0.7</v>
      </c>
      <c r="W644" s="328">
        <v>0.7</v>
      </c>
      <c r="X644" s="328">
        <v>1700</v>
      </c>
      <c r="Y644" s="327" t="s">
        <v>470</v>
      </c>
      <c r="Z644" s="328">
        <v>0.85</v>
      </c>
      <c r="AA644" s="327" t="s">
        <v>471</v>
      </c>
      <c r="AB644" s="327" t="s">
        <v>472</v>
      </c>
      <c r="AC644" s="330">
        <v>208</v>
      </c>
    </row>
    <row r="645" spans="1:29">
      <c r="A645" s="331" t="s">
        <v>882</v>
      </c>
      <c r="B645" s="332">
        <v>3</v>
      </c>
      <c r="C645" s="332">
        <v>500</v>
      </c>
      <c r="D645" s="332" t="s">
        <v>423</v>
      </c>
      <c r="E645" s="333">
        <v>1.5</v>
      </c>
      <c r="F645" s="334">
        <v>45229.720138888886</v>
      </c>
      <c r="G645" s="333">
        <v>2</v>
      </c>
      <c r="H645" s="333">
        <v>51.374099999999999</v>
      </c>
      <c r="I645" s="333">
        <v>5.3325300000000002</v>
      </c>
      <c r="J645" s="333">
        <v>-16.712325</v>
      </c>
      <c r="K645" s="333">
        <v>-15.881349999999999</v>
      </c>
      <c r="L645" s="333">
        <v>1062.94</v>
      </c>
      <c r="M645" s="333">
        <v>123.49977199999999</v>
      </c>
      <c r="N645" s="333">
        <v>19011.64</v>
      </c>
      <c r="O645" s="333">
        <v>0</v>
      </c>
      <c r="P645" s="333">
        <v>0</v>
      </c>
      <c r="Q645" s="332" t="s">
        <v>874</v>
      </c>
      <c r="R645" s="332"/>
      <c r="S645" s="333">
        <v>15</v>
      </c>
      <c r="T645" s="333">
        <v>5</v>
      </c>
      <c r="U645" s="333">
        <v>0.7</v>
      </c>
      <c r="V645" s="333">
        <v>0.7</v>
      </c>
      <c r="W645" s="333">
        <v>0.7</v>
      </c>
      <c r="X645" s="333">
        <v>1700</v>
      </c>
      <c r="Y645" s="332" t="s">
        <v>470</v>
      </c>
      <c r="Z645" s="333">
        <v>0.85</v>
      </c>
      <c r="AA645" s="332" t="s">
        <v>471</v>
      </c>
      <c r="AB645" s="332" t="s">
        <v>472</v>
      </c>
      <c r="AC645" s="335">
        <v>205</v>
      </c>
    </row>
    <row r="646" spans="1:29">
      <c r="A646" s="326" t="s">
        <v>883</v>
      </c>
      <c r="B646" s="327">
        <v>3</v>
      </c>
      <c r="C646" s="327">
        <v>500</v>
      </c>
      <c r="D646" s="327" t="s">
        <v>423</v>
      </c>
      <c r="E646" s="328">
        <v>1.5</v>
      </c>
      <c r="F646" s="329">
        <v>45229.723611111112</v>
      </c>
      <c r="G646" s="328">
        <v>2</v>
      </c>
      <c r="H646" s="328">
        <v>51.3675</v>
      </c>
      <c r="I646" s="328">
        <v>5.3455500000000002</v>
      </c>
      <c r="J646" s="328">
        <v>-16.745988000000001</v>
      </c>
      <c r="K646" s="328">
        <v>-15.899725</v>
      </c>
      <c r="L646" s="328">
        <v>1063.73</v>
      </c>
      <c r="M646" s="328">
        <v>127.498857</v>
      </c>
      <c r="N646" s="328">
        <v>19053.650000000001</v>
      </c>
      <c r="O646" s="328">
        <v>0</v>
      </c>
      <c r="P646" s="328">
        <v>0</v>
      </c>
      <c r="Q646" s="327" t="s">
        <v>503</v>
      </c>
      <c r="R646" s="327"/>
      <c r="S646" s="328">
        <v>15</v>
      </c>
      <c r="T646" s="328">
        <v>5</v>
      </c>
      <c r="U646" s="328">
        <v>0.7</v>
      </c>
      <c r="V646" s="328">
        <v>0.7</v>
      </c>
      <c r="W646" s="328">
        <v>0.7</v>
      </c>
      <c r="X646" s="328">
        <v>1700</v>
      </c>
      <c r="Y646" s="327" t="s">
        <v>470</v>
      </c>
      <c r="Z646" s="328">
        <v>0.85</v>
      </c>
      <c r="AA646" s="327" t="s">
        <v>471</v>
      </c>
      <c r="AB646" s="327" t="s">
        <v>472</v>
      </c>
      <c r="AC646" s="330">
        <v>204</v>
      </c>
    </row>
    <row r="647" spans="1:29">
      <c r="A647" s="331" t="s">
        <v>884</v>
      </c>
      <c r="B647" s="332">
        <v>3</v>
      </c>
      <c r="C647" s="332">
        <v>500</v>
      </c>
      <c r="D647" s="332" t="s">
        <v>423</v>
      </c>
      <c r="E647" s="333">
        <v>1.5</v>
      </c>
      <c r="F647" s="345"/>
      <c r="G647" s="333">
        <v>2</v>
      </c>
      <c r="H647" s="333">
        <v>0</v>
      </c>
      <c r="I647" s="333">
        <v>0</v>
      </c>
      <c r="J647" s="333">
        <v>0</v>
      </c>
      <c r="K647" s="333">
        <v>0</v>
      </c>
      <c r="L647" s="333">
        <v>0</v>
      </c>
      <c r="M647" s="333">
        <v>0</v>
      </c>
      <c r="N647" s="333">
        <v>0</v>
      </c>
      <c r="O647" s="333">
        <v>0</v>
      </c>
      <c r="P647" s="333">
        <v>0</v>
      </c>
      <c r="Q647" s="332" t="s">
        <v>503</v>
      </c>
      <c r="R647" s="332"/>
      <c r="S647" s="333">
        <v>15</v>
      </c>
      <c r="T647" s="333">
        <v>5</v>
      </c>
      <c r="U647" s="333">
        <v>0.7</v>
      </c>
      <c r="V647" s="333">
        <v>0.7</v>
      </c>
      <c r="W647" s="333">
        <v>0.7</v>
      </c>
      <c r="X647" s="333">
        <v>1700</v>
      </c>
      <c r="Y647" s="332"/>
      <c r="Z647" s="332"/>
      <c r="AA647" s="332" t="s">
        <v>471</v>
      </c>
      <c r="AB647" s="332" t="s">
        <v>472</v>
      </c>
      <c r="AC647" s="335">
        <v>50</v>
      </c>
    </row>
    <row r="648" spans="1:29">
      <c r="A648" s="326" t="s">
        <v>885</v>
      </c>
      <c r="B648" s="327">
        <v>3</v>
      </c>
      <c r="C648" s="327">
        <v>500</v>
      </c>
      <c r="D648" s="327" t="s">
        <v>423</v>
      </c>
      <c r="E648" s="328">
        <v>1.5</v>
      </c>
      <c r="F648" s="341"/>
      <c r="G648" s="328">
        <v>2</v>
      </c>
      <c r="H648" s="328">
        <v>0</v>
      </c>
      <c r="I648" s="328">
        <v>0</v>
      </c>
      <c r="J648" s="328">
        <v>0</v>
      </c>
      <c r="K648" s="328">
        <v>0</v>
      </c>
      <c r="L648" s="328">
        <v>0</v>
      </c>
      <c r="M648" s="328">
        <v>0</v>
      </c>
      <c r="N648" s="328">
        <v>0</v>
      </c>
      <c r="O648" s="328">
        <v>0</v>
      </c>
      <c r="P648" s="328">
        <v>0</v>
      </c>
      <c r="Q648" s="327" t="s">
        <v>503</v>
      </c>
      <c r="R648" s="327"/>
      <c r="S648" s="328">
        <v>15</v>
      </c>
      <c r="T648" s="328">
        <v>5</v>
      </c>
      <c r="U648" s="328">
        <v>0.7</v>
      </c>
      <c r="V648" s="328">
        <v>0.7</v>
      </c>
      <c r="W648" s="328">
        <v>0.7</v>
      </c>
      <c r="X648" s="328">
        <v>1700</v>
      </c>
      <c r="Y648" s="327"/>
      <c r="Z648" s="327"/>
      <c r="AA648" s="327" t="s">
        <v>471</v>
      </c>
      <c r="AB648" s="327" t="s">
        <v>472</v>
      </c>
      <c r="AC648" s="330">
        <v>220</v>
      </c>
    </row>
    <row r="649" spans="1:29">
      <c r="A649" s="331" t="s">
        <v>886</v>
      </c>
      <c r="B649" s="332">
        <v>3</v>
      </c>
      <c r="C649" s="332">
        <v>500</v>
      </c>
      <c r="D649" s="332" t="s">
        <v>423</v>
      </c>
      <c r="E649" s="333">
        <v>1.5</v>
      </c>
      <c r="F649" s="345"/>
      <c r="G649" s="333">
        <v>2</v>
      </c>
      <c r="H649" s="333">
        <v>0</v>
      </c>
      <c r="I649" s="333">
        <v>0</v>
      </c>
      <c r="J649" s="333">
        <v>0</v>
      </c>
      <c r="K649" s="333">
        <v>0</v>
      </c>
      <c r="L649" s="333">
        <v>0</v>
      </c>
      <c r="M649" s="333">
        <v>0</v>
      </c>
      <c r="N649" s="333">
        <v>0</v>
      </c>
      <c r="O649" s="333">
        <v>0</v>
      </c>
      <c r="P649" s="333">
        <v>0</v>
      </c>
      <c r="Q649" s="332" t="s">
        <v>503</v>
      </c>
      <c r="R649" s="332"/>
      <c r="S649" s="333">
        <v>15</v>
      </c>
      <c r="T649" s="333">
        <v>5</v>
      </c>
      <c r="U649" s="333">
        <v>0.7</v>
      </c>
      <c r="V649" s="333">
        <v>0.7</v>
      </c>
      <c r="W649" s="333">
        <v>0.7</v>
      </c>
      <c r="X649" s="333">
        <v>1700</v>
      </c>
      <c r="Y649" s="332"/>
      <c r="Z649" s="332"/>
      <c r="AA649" s="332" t="s">
        <v>471</v>
      </c>
      <c r="AB649" s="332" t="s">
        <v>472</v>
      </c>
      <c r="AC649" s="335">
        <v>49</v>
      </c>
    </row>
    <row r="650" spans="1:29">
      <c r="A650" s="326" t="s">
        <v>601</v>
      </c>
      <c r="B650" s="327" t="s">
        <v>467</v>
      </c>
      <c r="C650" s="327"/>
      <c r="D650" s="327" t="s">
        <v>468</v>
      </c>
      <c r="E650" s="328">
        <v>1</v>
      </c>
      <c r="F650" s="341"/>
      <c r="G650" s="328">
        <v>1</v>
      </c>
      <c r="H650" s="328">
        <v>0</v>
      </c>
      <c r="I650" s="328">
        <v>0</v>
      </c>
      <c r="J650" s="328">
        <v>0</v>
      </c>
      <c r="K650" s="328">
        <v>0</v>
      </c>
      <c r="L650" s="328">
        <v>0</v>
      </c>
      <c r="M650" s="328">
        <v>0</v>
      </c>
      <c r="N650" s="328">
        <v>0</v>
      </c>
      <c r="O650" s="328">
        <v>0</v>
      </c>
      <c r="P650" s="328">
        <v>0</v>
      </c>
      <c r="Q650" s="327" t="s">
        <v>503</v>
      </c>
      <c r="R650" s="327"/>
      <c r="S650" s="328">
        <v>15</v>
      </c>
      <c r="T650" s="328">
        <v>5</v>
      </c>
      <c r="U650" s="328">
        <v>0.7</v>
      </c>
      <c r="V650" s="328">
        <v>0.7</v>
      </c>
      <c r="W650" s="328">
        <v>0.7</v>
      </c>
      <c r="X650" s="328">
        <v>1700</v>
      </c>
      <c r="Y650" s="327"/>
      <c r="Z650" s="327"/>
      <c r="AA650" s="327" t="s">
        <v>471</v>
      </c>
      <c r="AB650" s="327" t="s">
        <v>472</v>
      </c>
      <c r="AC650" s="330">
        <v>50</v>
      </c>
    </row>
    <row r="651" spans="1:29">
      <c r="A651" s="331" t="s">
        <v>602</v>
      </c>
      <c r="B651" s="332" t="s">
        <v>467</v>
      </c>
      <c r="C651" s="332">
        <v>544</v>
      </c>
      <c r="D651" s="332" t="s">
        <v>419</v>
      </c>
      <c r="E651" s="333">
        <v>1.5</v>
      </c>
      <c r="F651" s="334">
        <v>45229.732638888891</v>
      </c>
      <c r="G651" s="333">
        <v>1</v>
      </c>
      <c r="H651" s="333">
        <v>51.370800000000003</v>
      </c>
      <c r="I651" s="333">
        <v>4.80002</v>
      </c>
      <c r="J651" s="333">
        <v>-16.974074999999999</v>
      </c>
      <c r="K651" s="333">
        <v>-16.126294000000001</v>
      </c>
      <c r="L651" s="333">
        <v>970.94200000000001</v>
      </c>
      <c r="M651" s="333">
        <v>110.00008200000001</v>
      </c>
      <c r="N651" s="333">
        <v>17644.509999999998</v>
      </c>
      <c r="O651" s="333">
        <v>17644.505239999999</v>
      </c>
      <c r="P651" s="333">
        <v>2035.5429999999999</v>
      </c>
      <c r="Q651" s="332" t="s">
        <v>469</v>
      </c>
      <c r="R651" s="332"/>
      <c r="S651" s="333">
        <v>15</v>
      </c>
      <c r="T651" s="333">
        <v>5</v>
      </c>
      <c r="U651" s="333">
        <v>0.7</v>
      </c>
      <c r="V651" s="333">
        <v>0.7</v>
      </c>
      <c r="W651" s="333">
        <v>0.7</v>
      </c>
      <c r="X651" s="333">
        <v>1700</v>
      </c>
      <c r="Y651" s="332" t="s">
        <v>470</v>
      </c>
      <c r="Z651" s="333">
        <v>0.85</v>
      </c>
      <c r="AA651" s="332" t="s">
        <v>471</v>
      </c>
      <c r="AB651" s="332" t="s">
        <v>472</v>
      </c>
      <c r="AC651" s="335">
        <v>220</v>
      </c>
    </row>
    <row r="652" spans="1:29">
      <c r="A652" s="326" t="s">
        <v>714</v>
      </c>
      <c r="B652" s="327" t="s">
        <v>467</v>
      </c>
      <c r="C652" s="327">
        <v>411</v>
      </c>
      <c r="D652" s="327" t="s">
        <v>420</v>
      </c>
      <c r="E652" s="328">
        <v>1.5</v>
      </c>
      <c r="F652" s="329">
        <v>45229.738194444442</v>
      </c>
      <c r="G652" s="328">
        <v>1</v>
      </c>
      <c r="H652" s="328">
        <v>51.374099999999999</v>
      </c>
      <c r="I652" s="328">
        <v>5.28742</v>
      </c>
      <c r="J652" s="328">
        <v>-16.975206</v>
      </c>
      <c r="K652" s="328">
        <v>-16.126162000000001</v>
      </c>
      <c r="L652" s="328">
        <v>993.49300000000005</v>
      </c>
      <c r="M652" s="328">
        <v>123.49938899999999</v>
      </c>
      <c r="N652" s="328">
        <v>17946.12</v>
      </c>
      <c r="O652" s="328">
        <v>17946.120729999999</v>
      </c>
      <c r="P652" s="328">
        <v>2069.8620000000001</v>
      </c>
      <c r="Q652" s="327" t="s">
        <v>469</v>
      </c>
      <c r="R652" s="327"/>
      <c r="S652" s="328">
        <v>15</v>
      </c>
      <c r="T652" s="328">
        <v>5</v>
      </c>
      <c r="U652" s="328">
        <v>0.7</v>
      </c>
      <c r="V652" s="328">
        <v>0.7</v>
      </c>
      <c r="W652" s="328">
        <v>0.7</v>
      </c>
      <c r="X652" s="328">
        <v>1700</v>
      </c>
      <c r="Y652" s="327" t="s">
        <v>470</v>
      </c>
      <c r="Z652" s="328">
        <v>0.85</v>
      </c>
      <c r="AA652" s="327" t="s">
        <v>471</v>
      </c>
      <c r="AB652" s="327" t="s">
        <v>472</v>
      </c>
      <c r="AC652" s="330">
        <v>220</v>
      </c>
    </row>
    <row r="653" spans="1:29">
      <c r="A653" s="331" t="s">
        <v>613</v>
      </c>
      <c r="B653" s="332" t="s">
        <v>467</v>
      </c>
      <c r="C653" s="332">
        <v>422</v>
      </c>
      <c r="D653" s="332" t="s">
        <v>421</v>
      </c>
      <c r="E653" s="333">
        <v>1.5</v>
      </c>
      <c r="F653" s="334">
        <v>45229.745138888888</v>
      </c>
      <c r="G653" s="333">
        <v>1</v>
      </c>
      <c r="H653" s="333">
        <v>51.370800000000003</v>
      </c>
      <c r="I653" s="333">
        <v>5.2336600000000004</v>
      </c>
      <c r="J653" s="333">
        <v>-16.947555999999999</v>
      </c>
      <c r="K653" s="333">
        <v>-16.103974999999998</v>
      </c>
      <c r="L653" s="333">
        <v>1023.13</v>
      </c>
      <c r="M653" s="333">
        <v>124.99963</v>
      </c>
      <c r="N653" s="333">
        <v>18154.77</v>
      </c>
      <c r="O653" s="333">
        <v>18154.766500000002</v>
      </c>
      <c r="P653" s="333">
        <v>2094.2550000000001</v>
      </c>
      <c r="Q653" s="332" t="s">
        <v>469</v>
      </c>
      <c r="R653" s="332"/>
      <c r="S653" s="333">
        <v>15</v>
      </c>
      <c r="T653" s="333">
        <v>5</v>
      </c>
      <c r="U653" s="333">
        <v>0.7</v>
      </c>
      <c r="V653" s="333">
        <v>0.7</v>
      </c>
      <c r="W653" s="333">
        <v>0.7</v>
      </c>
      <c r="X653" s="333">
        <v>1700</v>
      </c>
      <c r="Y653" s="332" t="s">
        <v>470</v>
      </c>
      <c r="Z653" s="333">
        <v>0.85</v>
      </c>
      <c r="AA653" s="332" t="s">
        <v>471</v>
      </c>
      <c r="AB653" s="332" t="s">
        <v>472</v>
      </c>
      <c r="AC653" s="335">
        <v>216</v>
      </c>
    </row>
    <row r="654" spans="1:29">
      <c r="A654" s="326" t="s">
        <v>616</v>
      </c>
      <c r="B654" s="327" t="s">
        <v>467</v>
      </c>
      <c r="C654" s="327">
        <v>499</v>
      </c>
      <c r="D654" s="327" t="s">
        <v>422</v>
      </c>
      <c r="E654" s="328">
        <v>1.5</v>
      </c>
      <c r="F654" s="329">
        <v>45229.75</v>
      </c>
      <c r="G654" s="328">
        <v>1</v>
      </c>
      <c r="H654" s="328">
        <v>51.370800000000003</v>
      </c>
      <c r="I654" s="328">
        <v>5.2638699999999998</v>
      </c>
      <c r="J654" s="328">
        <v>-16.774525000000001</v>
      </c>
      <c r="K654" s="328">
        <v>-15.938119</v>
      </c>
      <c r="L654" s="328">
        <v>1012.64</v>
      </c>
      <c r="M654" s="328">
        <v>116.49959200000001</v>
      </c>
      <c r="N654" s="328">
        <v>17932.240000000002</v>
      </c>
      <c r="O654" s="328">
        <v>17932.23691</v>
      </c>
      <c r="P654" s="328">
        <v>2068.2820000000002</v>
      </c>
      <c r="Q654" s="327" t="s">
        <v>469</v>
      </c>
      <c r="R654" s="327"/>
      <c r="S654" s="328">
        <v>15</v>
      </c>
      <c r="T654" s="328">
        <v>5</v>
      </c>
      <c r="U654" s="328">
        <v>0.7</v>
      </c>
      <c r="V654" s="328">
        <v>0.7</v>
      </c>
      <c r="W654" s="328">
        <v>0.7</v>
      </c>
      <c r="X654" s="328">
        <v>1700</v>
      </c>
      <c r="Y654" s="327" t="s">
        <v>470</v>
      </c>
      <c r="Z654" s="328">
        <v>0.85</v>
      </c>
      <c r="AA654" s="327" t="s">
        <v>471</v>
      </c>
      <c r="AB654" s="327" t="s">
        <v>472</v>
      </c>
      <c r="AC654" s="330">
        <v>218</v>
      </c>
    </row>
    <row r="655" spans="1:29">
      <c r="A655" s="331" t="s">
        <v>620</v>
      </c>
      <c r="B655" s="332" t="s">
        <v>467</v>
      </c>
      <c r="C655" s="332">
        <v>500</v>
      </c>
      <c r="D655" s="332" t="s">
        <v>423</v>
      </c>
      <c r="E655" s="333">
        <v>1.5</v>
      </c>
      <c r="F655" s="334">
        <v>45229.754166666666</v>
      </c>
      <c r="G655" s="333">
        <v>1</v>
      </c>
      <c r="H655" s="333">
        <v>51.374099999999999</v>
      </c>
      <c r="I655" s="333">
        <v>5.3332800000000002</v>
      </c>
      <c r="J655" s="333">
        <v>-16.926569000000001</v>
      </c>
      <c r="K655" s="333">
        <v>-16.088363000000001</v>
      </c>
      <c r="L655" s="333">
        <v>1017.54</v>
      </c>
      <c r="M655" s="333">
        <v>124.00086400000001</v>
      </c>
      <c r="N655" s="333">
        <v>18218.669999999998</v>
      </c>
      <c r="O655" s="333">
        <v>18218.671060000001</v>
      </c>
      <c r="P655" s="333">
        <v>2101.77</v>
      </c>
      <c r="Q655" s="332" t="s">
        <v>469</v>
      </c>
      <c r="R655" s="332"/>
      <c r="S655" s="333">
        <v>15</v>
      </c>
      <c r="T655" s="333">
        <v>5</v>
      </c>
      <c r="U655" s="333">
        <v>0.7</v>
      </c>
      <c r="V655" s="333">
        <v>0.7</v>
      </c>
      <c r="W655" s="333">
        <v>0.7</v>
      </c>
      <c r="X655" s="333">
        <v>1700</v>
      </c>
      <c r="Y655" s="332" t="s">
        <v>470</v>
      </c>
      <c r="Z655" s="333">
        <v>0.85</v>
      </c>
      <c r="AA655" s="332" t="s">
        <v>471</v>
      </c>
      <c r="AB655" s="332" t="s">
        <v>472</v>
      </c>
      <c r="AC655" s="335">
        <v>216</v>
      </c>
    </row>
    <row r="656" spans="1:29">
      <c r="A656" s="326" t="s">
        <v>624</v>
      </c>
      <c r="B656" s="327" t="s">
        <v>467</v>
      </c>
      <c r="C656" s="327">
        <v>521</v>
      </c>
      <c r="D656" s="327" t="s">
        <v>424</v>
      </c>
      <c r="E656" s="328">
        <v>1.5</v>
      </c>
      <c r="F656" s="329">
        <v>45229.757638888892</v>
      </c>
      <c r="G656" s="328">
        <v>1</v>
      </c>
      <c r="H656" s="328">
        <v>51.370800000000003</v>
      </c>
      <c r="I656" s="328">
        <v>5.3281000000000001</v>
      </c>
      <c r="J656" s="328">
        <v>-16.843250000000001</v>
      </c>
      <c r="K656" s="328">
        <v>-16.008030999999999</v>
      </c>
      <c r="L656" s="328">
        <v>1044.01</v>
      </c>
      <c r="M656" s="328">
        <v>125.499645</v>
      </c>
      <c r="N656" s="328">
        <v>18794.330000000002</v>
      </c>
      <c r="O656" s="328">
        <v>18794.33236</v>
      </c>
      <c r="P656" s="328">
        <v>2169.4609999999998</v>
      </c>
      <c r="Q656" s="327" t="s">
        <v>469</v>
      </c>
      <c r="R656" s="327"/>
      <c r="S656" s="328">
        <v>15</v>
      </c>
      <c r="T656" s="328">
        <v>5</v>
      </c>
      <c r="U656" s="328">
        <v>0.7</v>
      </c>
      <c r="V656" s="328">
        <v>0.7</v>
      </c>
      <c r="W656" s="328">
        <v>0.7</v>
      </c>
      <c r="X656" s="328">
        <v>1700</v>
      </c>
      <c r="Y656" s="327" t="s">
        <v>470</v>
      </c>
      <c r="Z656" s="328">
        <v>0.85</v>
      </c>
      <c r="AA656" s="327" t="s">
        <v>471</v>
      </c>
      <c r="AB656" s="327" t="s">
        <v>472</v>
      </c>
      <c r="AC656" s="330">
        <v>211</v>
      </c>
    </row>
    <row r="657" spans="1:29">
      <c r="A657" s="331" t="s">
        <v>627</v>
      </c>
      <c r="B657" s="332" t="s">
        <v>467</v>
      </c>
      <c r="C657" s="332">
        <v>533</v>
      </c>
      <c r="D657" s="332" t="s">
        <v>425</v>
      </c>
      <c r="E657" s="333">
        <v>1.5</v>
      </c>
      <c r="F657" s="334">
        <v>45229.761805555558</v>
      </c>
      <c r="G657" s="333">
        <v>1</v>
      </c>
      <c r="H657" s="333">
        <v>51.370800000000003</v>
      </c>
      <c r="I657" s="333">
        <v>5.31365</v>
      </c>
      <c r="J657" s="333">
        <v>-16.854918999999999</v>
      </c>
      <c r="K657" s="333">
        <v>-16.008424999999999</v>
      </c>
      <c r="L657" s="333">
        <v>1057.8399999999999</v>
      </c>
      <c r="M657" s="333">
        <v>119.49987</v>
      </c>
      <c r="N657" s="333">
        <v>18748.43</v>
      </c>
      <c r="O657" s="333">
        <v>18748.431700000001</v>
      </c>
      <c r="P657" s="333">
        <v>2164.0639999999999</v>
      </c>
      <c r="Q657" s="332" t="s">
        <v>469</v>
      </c>
      <c r="R657" s="332"/>
      <c r="S657" s="333">
        <v>15</v>
      </c>
      <c r="T657" s="333">
        <v>5</v>
      </c>
      <c r="U657" s="333">
        <v>0.7</v>
      </c>
      <c r="V657" s="333">
        <v>0.7</v>
      </c>
      <c r="W657" s="333">
        <v>0.7</v>
      </c>
      <c r="X657" s="333">
        <v>1700</v>
      </c>
      <c r="Y657" s="332" t="s">
        <v>470</v>
      </c>
      <c r="Z657" s="333">
        <v>0.85</v>
      </c>
      <c r="AA657" s="332" t="s">
        <v>471</v>
      </c>
      <c r="AB657" s="332" t="s">
        <v>472</v>
      </c>
      <c r="AC657" s="335">
        <v>213</v>
      </c>
    </row>
    <row r="658" spans="1:29">
      <c r="A658" s="326" t="s">
        <v>636</v>
      </c>
      <c r="B658" s="327" t="s">
        <v>467</v>
      </c>
      <c r="C658" s="327">
        <v>543</v>
      </c>
      <c r="D658" s="327" t="s">
        <v>426</v>
      </c>
      <c r="E658" s="328">
        <v>1.5</v>
      </c>
      <c r="F658" s="329">
        <v>45229.765972222223</v>
      </c>
      <c r="G658" s="328">
        <v>1</v>
      </c>
      <c r="H658" s="328">
        <v>51.3675</v>
      </c>
      <c r="I658" s="328">
        <v>5.3089700000000004</v>
      </c>
      <c r="J658" s="328">
        <v>-16.873049999999999</v>
      </c>
      <c r="K658" s="328">
        <v>-16.023337999999999</v>
      </c>
      <c r="L658" s="328">
        <v>1024.8800000000001</v>
      </c>
      <c r="M658" s="328">
        <v>121.50104</v>
      </c>
      <c r="N658" s="328">
        <v>18514.54</v>
      </c>
      <c r="O658" s="328">
        <v>18514.544829999999</v>
      </c>
      <c r="P658" s="328">
        <v>2136.5610000000001</v>
      </c>
      <c r="Q658" s="327" t="s">
        <v>469</v>
      </c>
      <c r="R658" s="327"/>
      <c r="S658" s="328">
        <v>15</v>
      </c>
      <c r="T658" s="328">
        <v>5</v>
      </c>
      <c r="U658" s="328">
        <v>0.7</v>
      </c>
      <c r="V658" s="328">
        <v>0.7</v>
      </c>
      <c r="W658" s="328">
        <v>0.7</v>
      </c>
      <c r="X658" s="328">
        <v>1700</v>
      </c>
      <c r="Y658" s="327" t="s">
        <v>470</v>
      </c>
      <c r="Z658" s="328">
        <v>0.85</v>
      </c>
      <c r="AA658" s="327" t="s">
        <v>471</v>
      </c>
      <c r="AB658" s="327" t="s">
        <v>472</v>
      </c>
      <c r="AC658" s="330">
        <v>211</v>
      </c>
    </row>
    <row r="659" spans="1:29">
      <c r="A659" s="331" t="s">
        <v>639</v>
      </c>
      <c r="B659" s="332" t="s">
        <v>467</v>
      </c>
      <c r="C659" s="332" t="s">
        <v>435</v>
      </c>
      <c r="D659" s="332" t="s">
        <v>468</v>
      </c>
      <c r="E659" s="333">
        <v>1.5</v>
      </c>
      <c r="F659" s="334">
        <v>45229.770138888889</v>
      </c>
      <c r="G659" s="333">
        <v>1</v>
      </c>
      <c r="H659" s="333">
        <v>51.370800000000003</v>
      </c>
      <c r="I659" s="333">
        <v>5.3383599999999998</v>
      </c>
      <c r="J659" s="333">
        <v>-16.891444</v>
      </c>
      <c r="K659" s="333">
        <v>-16.058005999999999</v>
      </c>
      <c r="L659" s="333">
        <v>1076.1300000000001</v>
      </c>
      <c r="M659" s="333">
        <v>128.99884900000001</v>
      </c>
      <c r="N659" s="333">
        <v>19161.490000000002</v>
      </c>
      <c r="O659" s="333">
        <v>19161.491730000002</v>
      </c>
      <c r="P659" s="333">
        <v>2212.6350000000002</v>
      </c>
      <c r="Q659" s="332" t="s">
        <v>469</v>
      </c>
      <c r="R659" s="332"/>
      <c r="S659" s="333">
        <v>15</v>
      </c>
      <c r="T659" s="333">
        <v>5</v>
      </c>
      <c r="U659" s="333">
        <v>0.7</v>
      </c>
      <c r="V659" s="333">
        <v>0.7</v>
      </c>
      <c r="W659" s="333">
        <v>0.7</v>
      </c>
      <c r="X659" s="333">
        <v>1700</v>
      </c>
      <c r="Y659" s="332" t="s">
        <v>470</v>
      </c>
      <c r="Z659" s="333">
        <v>0.85</v>
      </c>
      <c r="AA659" s="332" t="s">
        <v>471</v>
      </c>
      <c r="AB659" s="332" t="s">
        <v>472</v>
      </c>
      <c r="AC659" s="335">
        <v>208</v>
      </c>
    </row>
    <row r="660" spans="1:29">
      <c r="A660" s="324"/>
      <c r="B660" s="324"/>
      <c r="C660" s="324"/>
      <c r="D660" s="324"/>
      <c r="E660" s="324"/>
      <c r="F660" s="325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  <c r="AA660" s="324"/>
      <c r="AB660" s="324"/>
      <c r="AC660" s="324"/>
    </row>
    <row r="661" spans="1:29">
      <c r="A661" s="304" t="s">
        <v>0</v>
      </c>
      <c r="B661" s="305" t="s">
        <v>440</v>
      </c>
      <c r="C661" s="305" t="s">
        <v>441</v>
      </c>
      <c r="D661" s="305" t="s">
        <v>413</v>
      </c>
      <c r="E661" s="305" t="s">
        <v>442</v>
      </c>
      <c r="F661" s="305" t="s">
        <v>443</v>
      </c>
      <c r="G661" s="305" t="s">
        <v>444</v>
      </c>
      <c r="H661" s="305" t="s">
        <v>445</v>
      </c>
      <c r="I661" s="305" t="s">
        <v>446</v>
      </c>
      <c r="J661" s="305" t="s">
        <v>447</v>
      </c>
      <c r="K661" s="305" t="s">
        <v>448</v>
      </c>
      <c r="L661" s="305" t="s">
        <v>449</v>
      </c>
      <c r="M661" s="305" t="s">
        <v>450</v>
      </c>
      <c r="N661" s="305" t="s">
        <v>451</v>
      </c>
      <c r="O661" s="305" t="s">
        <v>452</v>
      </c>
      <c r="P661" s="305" t="s">
        <v>416</v>
      </c>
      <c r="Q661" s="305" t="s">
        <v>453</v>
      </c>
      <c r="R661" s="305" t="s">
        <v>454</v>
      </c>
      <c r="S661" s="305" t="s">
        <v>455</v>
      </c>
      <c r="T661" s="305" t="s">
        <v>456</v>
      </c>
      <c r="U661" s="305" t="s">
        <v>457</v>
      </c>
      <c r="V661" s="305" t="s">
        <v>458</v>
      </c>
      <c r="W661" s="305" t="s">
        <v>459</v>
      </c>
      <c r="X661" s="305" t="s">
        <v>460</v>
      </c>
      <c r="Y661" s="305" t="s">
        <v>461</v>
      </c>
      <c r="Z661" s="305" t="s">
        <v>462</v>
      </c>
      <c r="AA661" s="305" t="s">
        <v>463</v>
      </c>
      <c r="AB661" s="305" t="s">
        <v>464</v>
      </c>
      <c r="AC661" s="306" t="s">
        <v>465</v>
      </c>
    </row>
    <row r="662" spans="1:29">
      <c r="A662" s="307" t="s">
        <v>466</v>
      </c>
      <c r="B662" s="308" t="s">
        <v>467</v>
      </c>
      <c r="C662" s="308" t="s">
        <v>588</v>
      </c>
      <c r="D662" s="308" t="s">
        <v>468</v>
      </c>
      <c r="E662" s="309">
        <v>1</v>
      </c>
      <c r="F662" s="310">
        <v>45230.398611111108</v>
      </c>
      <c r="G662" s="309">
        <v>1</v>
      </c>
      <c r="H662" s="309">
        <v>51.3675</v>
      </c>
      <c r="I662" s="309">
        <v>8.0006900000000005</v>
      </c>
      <c r="J662" s="309">
        <v>-16.312169000000001</v>
      </c>
      <c r="K662" s="309">
        <v>-15.463981</v>
      </c>
      <c r="L662" s="309">
        <v>896.09799999999996</v>
      </c>
      <c r="M662" s="309">
        <v>98.000990000000002</v>
      </c>
      <c r="N662" s="309">
        <v>11727.26</v>
      </c>
      <c r="O662" s="309">
        <v>11727.25741</v>
      </c>
      <c r="P662" s="309">
        <v>2043.385</v>
      </c>
      <c r="Q662" s="308" t="s">
        <v>469</v>
      </c>
      <c r="R662" s="308"/>
      <c r="S662" s="309">
        <v>15</v>
      </c>
      <c r="T662" s="309">
        <v>5</v>
      </c>
      <c r="U662" s="309">
        <v>0.7</v>
      </c>
      <c r="V662" s="309">
        <v>0.7</v>
      </c>
      <c r="W662" s="309">
        <v>0.7</v>
      </c>
      <c r="X662" s="309">
        <v>1700</v>
      </c>
      <c r="Y662" s="308" t="s">
        <v>470</v>
      </c>
      <c r="Z662" s="309">
        <v>0.85</v>
      </c>
      <c r="AA662" s="308" t="s">
        <v>471</v>
      </c>
      <c r="AB662" s="308" t="s">
        <v>472</v>
      </c>
      <c r="AC662" s="311">
        <v>220</v>
      </c>
    </row>
    <row r="663" spans="1:29">
      <c r="A663" s="312" t="s">
        <v>473</v>
      </c>
      <c r="B663" s="313" t="s">
        <v>467</v>
      </c>
      <c r="C663" s="313" t="s">
        <v>588</v>
      </c>
      <c r="D663" s="313" t="s">
        <v>468</v>
      </c>
      <c r="E663" s="314">
        <v>1</v>
      </c>
      <c r="F663" s="315">
        <v>45230.401388888888</v>
      </c>
      <c r="G663" s="314">
        <v>1</v>
      </c>
      <c r="H663" s="314">
        <v>51.3675</v>
      </c>
      <c r="I663" s="314">
        <v>8.02454</v>
      </c>
      <c r="J663" s="314">
        <v>-16.414719000000002</v>
      </c>
      <c r="K663" s="314">
        <v>-15.57255</v>
      </c>
      <c r="L663" s="314">
        <v>893.58100000000002</v>
      </c>
      <c r="M663" s="314">
        <v>94.499761000000007</v>
      </c>
      <c r="N663" s="314">
        <v>11666.17</v>
      </c>
      <c r="O663" s="314">
        <v>11666.166139999999</v>
      </c>
      <c r="P663" s="314">
        <v>2032.9590000000001</v>
      </c>
      <c r="Q663" s="313" t="s">
        <v>469</v>
      </c>
      <c r="R663" s="313"/>
      <c r="S663" s="314">
        <v>15</v>
      </c>
      <c r="T663" s="314">
        <v>5</v>
      </c>
      <c r="U663" s="314">
        <v>0.7</v>
      </c>
      <c r="V663" s="314">
        <v>0.7</v>
      </c>
      <c r="W663" s="314">
        <v>0.7</v>
      </c>
      <c r="X663" s="314">
        <v>1700</v>
      </c>
      <c r="Y663" s="313" t="s">
        <v>470</v>
      </c>
      <c r="Z663" s="314">
        <v>0.85</v>
      </c>
      <c r="AA663" s="313" t="s">
        <v>471</v>
      </c>
      <c r="AB663" s="313" t="s">
        <v>472</v>
      </c>
      <c r="AC663" s="316">
        <v>220</v>
      </c>
    </row>
    <row r="664" spans="1:29">
      <c r="A664" s="307" t="s">
        <v>474</v>
      </c>
      <c r="B664" s="308" t="s">
        <v>467</v>
      </c>
      <c r="C664" s="308" t="s">
        <v>588</v>
      </c>
      <c r="D664" s="308" t="s">
        <v>468</v>
      </c>
      <c r="E664" s="309">
        <v>1</v>
      </c>
      <c r="F664" s="310">
        <v>45230.404166666667</v>
      </c>
      <c r="G664" s="309">
        <v>1</v>
      </c>
      <c r="H664" s="309">
        <v>51.374099999999999</v>
      </c>
      <c r="I664" s="309">
        <v>7.25542</v>
      </c>
      <c r="J664" s="309">
        <v>-16.513968999999999</v>
      </c>
      <c r="K664" s="309">
        <v>-15.665156</v>
      </c>
      <c r="L664" s="309">
        <v>891.28599999999994</v>
      </c>
      <c r="M664" s="309">
        <v>94.000770000000003</v>
      </c>
      <c r="N664" s="309">
        <v>11684.94</v>
      </c>
      <c r="O664" s="309">
        <v>11684.940360000001</v>
      </c>
      <c r="P664" s="309">
        <v>2036.163</v>
      </c>
      <c r="Q664" s="308" t="s">
        <v>469</v>
      </c>
      <c r="R664" s="308"/>
      <c r="S664" s="309">
        <v>15</v>
      </c>
      <c r="T664" s="309">
        <v>5</v>
      </c>
      <c r="U664" s="309">
        <v>0.7</v>
      </c>
      <c r="V664" s="309">
        <v>0.7</v>
      </c>
      <c r="W664" s="309">
        <v>0.7</v>
      </c>
      <c r="X664" s="309">
        <v>1700</v>
      </c>
      <c r="Y664" s="308" t="s">
        <v>470</v>
      </c>
      <c r="Z664" s="309">
        <v>0.85</v>
      </c>
      <c r="AA664" s="308" t="s">
        <v>471</v>
      </c>
      <c r="AB664" s="308" t="s">
        <v>472</v>
      </c>
      <c r="AC664" s="311">
        <v>220</v>
      </c>
    </row>
    <row r="665" spans="1:29">
      <c r="A665" s="312" t="s">
        <v>475</v>
      </c>
      <c r="B665" s="313" t="s">
        <v>467</v>
      </c>
      <c r="C665" s="313" t="s">
        <v>588</v>
      </c>
      <c r="D665" s="313" t="s">
        <v>468</v>
      </c>
      <c r="E665" s="314">
        <v>1</v>
      </c>
      <c r="F665" s="315">
        <v>45230.407638888886</v>
      </c>
      <c r="G665" s="314">
        <v>1</v>
      </c>
      <c r="H665" s="314">
        <v>51.370800000000003</v>
      </c>
      <c r="I665" s="314">
        <v>6.4687400000000004</v>
      </c>
      <c r="J665" s="314">
        <v>-16.577537</v>
      </c>
      <c r="K665" s="314">
        <v>-15.734394</v>
      </c>
      <c r="L665" s="314">
        <v>894.53899999999999</v>
      </c>
      <c r="M665" s="314">
        <v>98.500705999999994</v>
      </c>
      <c r="N665" s="314">
        <v>11698.79</v>
      </c>
      <c r="O665" s="314">
        <v>11698.79306</v>
      </c>
      <c r="P665" s="314">
        <v>2038.527</v>
      </c>
      <c r="Q665" s="313" t="s">
        <v>469</v>
      </c>
      <c r="R665" s="313"/>
      <c r="S665" s="314">
        <v>15</v>
      </c>
      <c r="T665" s="314">
        <v>5</v>
      </c>
      <c r="U665" s="314">
        <v>0.7</v>
      </c>
      <c r="V665" s="314">
        <v>0.7</v>
      </c>
      <c r="W665" s="314">
        <v>0.7</v>
      </c>
      <c r="X665" s="314">
        <v>1700</v>
      </c>
      <c r="Y665" s="313" t="s">
        <v>470</v>
      </c>
      <c r="Z665" s="314">
        <v>0.85</v>
      </c>
      <c r="AA665" s="313" t="s">
        <v>471</v>
      </c>
      <c r="AB665" s="313" t="s">
        <v>472</v>
      </c>
      <c r="AC665" s="316">
        <v>220</v>
      </c>
    </row>
    <row r="666" spans="1:29">
      <c r="A666" s="307" t="s">
        <v>476</v>
      </c>
      <c r="B666" s="308" t="s">
        <v>467</v>
      </c>
      <c r="C666" s="308" t="s">
        <v>588</v>
      </c>
      <c r="D666" s="308" t="s">
        <v>468</v>
      </c>
      <c r="E666" s="309">
        <v>1</v>
      </c>
      <c r="F666" s="310">
        <v>45230.410416666666</v>
      </c>
      <c r="G666" s="309">
        <v>1</v>
      </c>
      <c r="H666" s="309">
        <v>51.364100000000001</v>
      </c>
      <c r="I666" s="309">
        <v>6.0458299999999996</v>
      </c>
      <c r="J666" s="309">
        <v>-16.643561999999999</v>
      </c>
      <c r="K666" s="309">
        <v>-15.798856000000001</v>
      </c>
      <c r="L666" s="309">
        <v>887.09</v>
      </c>
      <c r="M666" s="309">
        <v>100.000274</v>
      </c>
      <c r="N666" s="309">
        <v>11669.34</v>
      </c>
      <c r="O666" s="309">
        <v>11669.337460000001</v>
      </c>
      <c r="P666" s="309">
        <v>2033.5</v>
      </c>
      <c r="Q666" s="308" t="s">
        <v>469</v>
      </c>
      <c r="R666" s="308"/>
      <c r="S666" s="309">
        <v>15</v>
      </c>
      <c r="T666" s="309">
        <v>5</v>
      </c>
      <c r="U666" s="309">
        <v>0.7</v>
      </c>
      <c r="V666" s="309">
        <v>0.7</v>
      </c>
      <c r="W666" s="309">
        <v>0.7</v>
      </c>
      <c r="X666" s="309">
        <v>1700</v>
      </c>
      <c r="Y666" s="308" t="s">
        <v>470</v>
      </c>
      <c r="Z666" s="309">
        <v>0.85</v>
      </c>
      <c r="AA666" s="308" t="s">
        <v>471</v>
      </c>
      <c r="AB666" s="308" t="s">
        <v>472</v>
      </c>
      <c r="AC666" s="311">
        <v>220</v>
      </c>
    </row>
    <row r="667" spans="1:29">
      <c r="A667" s="312" t="s">
        <v>589</v>
      </c>
      <c r="B667" s="313" t="s">
        <v>467</v>
      </c>
      <c r="C667" s="313" t="s">
        <v>588</v>
      </c>
      <c r="D667" s="313" t="s">
        <v>468</v>
      </c>
      <c r="E667" s="314">
        <v>1</v>
      </c>
      <c r="F667" s="315">
        <v>45230.423611111109</v>
      </c>
      <c r="G667" s="314">
        <v>1</v>
      </c>
      <c r="H667" s="314">
        <v>51.370800000000003</v>
      </c>
      <c r="I667" s="314">
        <v>5.9895899999999997</v>
      </c>
      <c r="J667" s="314">
        <v>-16.646369</v>
      </c>
      <c r="K667" s="314">
        <v>-15.804487999999999</v>
      </c>
      <c r="L667" s="314">
        <v>885.952</v>
      </c>
      <c r="M667" s="314">
        <v>104.50067</v>
      </c>
      <c r="N667" s="314">
        <v>11640.64</v>
      </c>
      <c r="O667" s="314">
        <v>11640.63516</v>
      </c>
      <c r="P667" s="314">
        <v>2028.6010000000001</v>
      </c>
      <c r="Q667" s="313" t="s">
        <v>469</v>
      </c>
      <c r="R667" s="313"/>
      <c r="S667" s="314">
        <v>15</v>
      </c>
      <c r="T667" s="314">
        <v>5</v>
      </c>
      <c r="U667" s="314">
        <v>0.7</v>
      </c>
      <c r="V667" s="314">
        <v>0.7</v>
      </c>
      <c r="W667" s="314">
        <v>0.7</v>
      </c>
      <c r="X667" s="314">
        <v>1700</v>
      </c>
      <c r="Y667" s="313" t="s">
        <v>470</v>
      </c>
      <c r="Z667" s="314">
        <v>0.85</v>
      </c>
      <c r="AA667" s="313" t="s">
        <v>471</v>
      </c>
      <c r="AB667" s="313" t="s">
        <v>472</v>
      </c>
      <c r="AC667" s="316">
        <v>220</v>
      </c>
    </row>
    <row r="668" spans="1:29">
      <c r="A668" s="307" t="s">
        <v>497</v>
      </c>
      <c r="B668" s="308" t="s">
        <v>467</v>
      </c>
      <c r="C668" s="308" t="s">
        <v>588</v>
      </c>
      <c r="D668" s="308" t="s">
        <v>468</v>
      </c>
      <c r="E668" s="309">
        <v>1</v>
      </c>
      <c r="F668" s="310">
        <v>45230.426388888889</v>
      </c>
      <c r="G668" s="309">
        <v>1</v>
      </c>
      <c r="H668" s="309">
        <v>51.3675</v>
      </c>
      <c r="I668" s="309">
        <v>5.8745200000000004</v>
      </c>
      <c r="J668" s="309">
        <v>-16.670994</v>
      </c>
      <c r="K668" s="309">
        <v>-15.836619000000001</v>
      </c>
      <c r="L668" s="309">
        <v>884.72</v>
      </c>
      <c r="M668" s="309">
        <v>100.501318</v>
      </c>
      <c r="N668" s="309">
        <v>11625.85</v>
      </c>
      <c r="O668" s="309">
        <v>11625.852639999999</v>
      </c>
      <c r="P668" s="309">
        <v>2026.078</v>
      </c>
      <c r="Q668" s="308" t="s">
        <v>469</v>
      </c>
      <c r="R668" s="308"/>
      <c r="S668" s="309">
        <v>15</v>
      </c>
      <c r="T668" s="309">
        <v>5</v>
      </c>
      <c r="U668" s="309">
        <v>0.7</v>
      </c>
      <c r="V668" s="309">
        <v>0.7</v>
      </c>
      <c r="W668" s="309">
        <v>0.7</v>
      </c>
      <c r="X668" s="309">
        <v>1700</v>
      </c>
      <c r="Y668" s="308" t="s">
        <v>470</v>
      </c>
      <c r="Z668" s="309">
        <v>0.85</v>
      </c>
      <c r="AA668" s="308" t="s">
        <v>471</v>
      </c>
      <c r="AB668" s="308" t="s">
        <v>472</v>
      </c>
      <c r="AC668" s="311">
        <v>220</v>
      </c>
    </row>
    <row r="669" spans="1:29">
      <c r="A669" s="312" t="s">
        <v>590</v>
      </c>
      <c r="B669" s="313" t="s">
        <v>467</v>
      </c>
      <c r="C669" s="313" t="s">
        <v>588</v>
      </c>
      <c r="D669" s="313" t="s">
        <v>468</v>
      </c>
      <c r="E669" s="314">
        <v>1</v>
      </c>
      <c r="F669" s="315">
        <v>45230.429166666669</v>
      </c>
      <c r="G669" s="314">
        <v>1</v>
      </c>
      <c r="H669" s="314">
        <v>51.370800000000003</v>
      </c>
      <c r="I669" s="314">
        <v>5.7582399999999998</v>
      </c>
      <c r="J669" s="314">
        <v>-16.609718999999998</v>
      </c>
      <c r="K669" s="314">
        <v>-15.771668999999999</v>
      </c>
      <c r="L669" s="314">
        <v>878.58199999999999</v>
      </c>
      <c r="M669" s="314">
        <v>107.999667</v>
      </c>
      <c r="N669" s="314">
        <v>11640.02</v>
      </c>
      <c r="O669" s="314">
        <v>11640.018830000001</v>
      </c>
      <c r="P669" s="314">
        <v>2028.4960000000001</v>
      </c>
      <c r="Q669" s="313" t="s">
        <v>469</v>
      </c>
      <c r="R669" s="313"/>
      <c r="S669" s="314">
        <v>15</v>
      </c>
      <c r="T669" s="314">
        <v>5</v>
      </c>
      <c r="U669" s="314">
        <v>0.7</v>
      </c>
      <c r="V669" s="314">
        <v>0.7</v>
      </c>
      <c r="W669" s="314">
        <v>0.7</v>
      </c>
      <c r="X669" s="314">
        <v>1700</v>
      </c>
      <c r="Y669" s="313" t="s">
        <v>470</v>
      </c>
      <c r="Z669" s="314">
        <v>0.85</v>
      </c>
      <c r="AA669" s="313" t="s">
        <v>471</v>
      </c>
      <c r="AB669" s="313" t="s">
        <v>472</v>
      </c>
      <c r="AC669" s="316">
        <v>220</v>
      </c>
    </row>
    <row r="670" spans="1:29">
      <c r="A670" s="307" t="s">
        <v>591</v>
      </c>
      <c r="B670" s="308" t="s">
        <v>467</v>
      </c>
      <c r="C670" s="308" t="s">
        <v>588</v>
      </c>
      <c r="D670" s="308" t="s">
        <v>468</v>
      </c>
      <c r="E670" s="309">
        <v>1</v>
      </c>
      <c r="F670" s="310">
        <v>45230.432638888888</v>
      </c>
      <c r="G670" s="309">
        <v>1</v>
      </c>
      <c r="H670" s="309">
        <v>51.377400000000002</v>
      </c>
      <c r="I670" s="309">
        <v>5.6728399999999999</v>
      </c>
      <c r="J670" s="309">
        <v>-16.405055999999998</v>
      </c>
      <c r="K670" s="309">
        <v>-15.5663</v>
      </c>
      <c r="L670" s="309">
        <v>884.51</v>
      </c>
      <c r="M670" s="309">
        <v>95.499656000000002</v>
      </c>
      <c r="N670" s="309">
        <v>11634.36</v>
      </c>
      <c r="O670" s="309">
        <v>11634.35743</v>
      </c>
      <c r="P670" s="309">
        <v>2027.53</v>
      </c>
      <c r="Q670" s="308" t="s">
        <v>469</v>
      </c>
      <c r="R670" s="308"/>
      <c r="S670" s="309">
        <v>15</v>
      </c>
      <c r="T670" s="309">
        <v>5</v>
      </c>
      <c r="U670" s="309">
        <v>0.7</v>
      </c>
      <c r="V670" s="309">
        <v>0.7</v>
      </c>
      <c r="W670" s="309">
        <v>0.7</v>
      </c>
      <c r="X670" s="309">
        <v>1700</v>
      </c>
      <c r="Y670" s="308" t="s">
        <v>470</v>
      </c>
      <c r="Z670" s="309">
        <v>0.85</v>
      </c>
      <c r="AA670" s="308" t="s">
        <v>471</v>
      </c>
      <c r="AB670" s="308" t="s">
        <v>472</v>
      </c>
      <c r="AC670" s="311">
        <v>220</v>
      </c>
    </row>
    <row r="671" spans="1:29">
      <c r="A671" s="312" t="s">
        <v>887</v>
      </c>
      <c r="B671" s="313" t="s">
        <v>478</v>
      </c>
      <c r="C671" s="313" t="s">
        <v>888</v>
      </c>
      <c r="D671" s="313" t="s">
        <v>468</v>
      </c>
      <c r="E671" s="314">
        <v>1.2</v>
      </c>
      <c r="F671" s="315">
        <v>45230.447916666664</v>
      </c>
      <c r="G671" s="314">
        <v>1</v>
      </c>
      <c r="H671" s="314">
        <v>51.370800000000003</v>
      </c>
      <c r="I671" s="314">
        <v>5.5663499999999999</v>
      </c>
      <c r="J671" s="314">
        <v>-16.429449999999999</v>
      </c>
      <c r="K671" s="314">
        <v>-15.588369</v>
      </c>
      <c r="L671" s="314">
        <v>960.995</v>
      </c>
      <c r="M671" s="314">
        <v>100.499359</v>
      </c>
      <c r="N671" s="314">
        <v>14160.95</v>
      </c>
      <c r="O671" s="314">
        <v>14233.04722</v>
      </c>
      <c r="P671" s="314">
        <v>2067.0639999999999</v>
      </c>
      <c r="Q671" s="313" t="s">
        <v>542</v>
      </c>
      <c r="R671" s="313"/>
      <c r="S671" s="314">
        <v>15</v>
      </c>
      <c r="T671" s="314">
        <v>5</v>
      </c>
      <c r="U671" s="314">
        <v>0.7</v>
      </c>
      <c r="V671" s="314">
        <v>0.7</v>
      </c>
      <c r="W671" s="314">
        <v>0.7</v>
      </c>
      <c r="X671" s="314">
        <v>1700</v>
      </c>
      <c r="Y671" s="313" t="s">
        <v>470</v>
      </c>
      <c r="Z671" s="314">
        <v>0.85</v>
      </c>
      <c r="AA671" s="313" t="s">
        <v>471</v>
      </c>
      <c r="AB671" s="313" t="s">
        <v>472</v>
      </c>
      <c r="AC671" s="316">
        <v>220</v>
      </c>
    </row>
    <row r="672" spans="1:29">
      <c r="A672" s="307" t="s">
        <v>889</v>
      </c>
      <c r="B672" s="308" t="s">
        <v>478</v>
      </c>
      <c r="C672" s="308" t="s">
        <v>888</v>
      </c>
      <c r="D672" s="308" t="s">
        <v>468</v>
      </c>
      <c r="E672" s="309">
        <v>1.2</v>
      </c>
      <c r="F672" s="310">
        <v>45230.451388888891</v>
      </c>
      <c r="G672" s="309">
        <v>1</v>
      </c>
      <c r="H672" s="309">
        <v>51.370800000000003</v>
      </c>
      <c r="I672" s="309">
        <v>5.6269600000000004</v>
      </c>
      <c r="J672" s="309">
        <v>-16.74165</v>
      </c>
      <c r="K672" s="309">
        <v>-15.915687999999999</v>
      </c>
      <c r="L672" s="309">
        <v>954.822</v>
      </c>
      <c r="M672" s="309">
        <v>103.99853</v>
      </c>
      <c r="N672" s="309">
        <v>14235.44</v>
      </c>
      <c r="O672" s="309">
        <v>14233.04722</v>
      </c>
      <c r="P672" s="309">
        <v>2067.0639999999999</v>
      </c>
      <c r="Q672" s="308" t="s">
        <v>469</v>
      </c>
      <c r="R672" s="308"/>
      <c r="S672" s="309">
        <v>15</v>
      </c>
      <c r="T672" s="309">
        <v>5</v>
      </c>
      <c r="U672" s="309">
        <v>0.7</v>
      </c>
      <c r="V672" s="309">
        <v>0.7</v>
      </c>
      <c r="W672" s="309">
        <v>0.7</v>
      </c>
      <c r="X672" s="309">
        <v>1700</v>
      </c>
      <c r="Y672" s="308" t="s">
        <v>470</v>
      </c>
      <c r="Z672" s="309">
        <v>0.85</v>
      </c>
      <c r="AA672" s="308" t="s">
        <v>471</v>
      </c>
      <c r="AB672" s="308" t="s">
        <v>472</v>
      </c>
      <c r="AC672" s="311">
        <v>220</v>
      </c>
    </row>
    <row r="673" spans="1:29">
      <c r="A673" s="312" t="s">
        <v>890</v>
      </c>
      <c r="B673" s="313" t="s">
        <v>478</v>
      </c>
      <c r="C673" s="313" t="s">
        <v>888</v>
      </c>
      <c r="D673" s="313" t="s">
        <v>468</v>
      </c>
      <c r="E673" s="314">
        <v>1.2</v>
      </c>
      <c r="F673" s="315">
        <v>45230.454861111109</v>
      </c>
      <c r="G673" s="314">
        <v>1</v>
      </c>
      <c r="H673" s="314">
        <v>51.3675</v>
      </c>
      <c r="I673" s="314">
        <v>5.5472700000000001</v>
      </c>
      <c r="J673" s="314">
        <v>-16.770713000000001</v>
      </c>
      <c r="K673" s="314">
        <v>-15.924481</v>
      </c>
      <c r="L673" s="314">
        <v>964.38599999999997</v>
      </c>
      <c r="M673" s="314">
        <v>102.999453</v>
      </c>
      <c r="N673" s="314">
        <v>14242.51</v>
      </c>
      <c r="O673" s="314">
        <v>14233.04722</v>
      </c>
      <c r="P673" s="314">
        <v>2067.0639999999999</v>
      </c>
      <c r="Q673" s="313" t="s">
        <v>469</v>
      </c>
      <c r="R673" s="313"/>
      <c r="S673" s="314">
        <v>15</v>
      </c>
      <c r="T673" s="314">
        <v>5</v>
      </c>
      <c r="U673" s="314">
        <v>0.7</v>
      </c>
      <c r="V673" s="314">
        <v>0.7</v>
      </c>
      <c r="W673" s="314">
        <v>0.7</v>
      </c>
      <c r="X673" s="314">
        <v>1700</v>
      </c>
      <c r="Y673" s="313" t="s">
        <v>470</v>
      </c>
      <c r="Z673" s="314">
        <v>0.85</v>
      </c>
      <c r="AA673" s="313" t="s">
        <v>471</v>
      </c>
      <c r="AB673" s="313" t="s">
        <v>472</v>
      </c>
      <c r="AC673" s="316">
        <v>220</v>
      </c>
    </row>
    <row r="674" spans="1:29">
      <c r="A674" s="307" t="s">
        <v>891</v>
      </c>
      <c r="B674" s="308" t="s">
        <v>478</v>
      </c>
      <c r="C674" s="308" t="s">
        <v>888</v>
      </c>
      <c r="D674" s="308" t="s">
        <v>468</v>
      </c>
      <c r="E674" s="309">
        <v>1.2</v>
      </c>
      <c r="F674" s="310">
        <v>45230.458333333336</v>
      </c>
      <c r="G674" s="309">
        <v>1</v>
      </c>
      <c r="H674" s="309">
        <v>51.370800000000003</v>
      </c>
      <c r="I674" s="309">
        <v>5.5220900000000004</v>
      </c>
      <c r="J674" s="309">
        <v>-16.705956</v>
      </c>
      <c r="K674" s="309">
        <v>-15.887638000000001</v>
      </c>
      <c r="L674" s="309">
        <v>957.76199999999994</v>
      </c>
      <c r="M674" s="309">
        <v>101.001311</v>
      </c>
      <c r="N674" s="309">
        <v>14221.2</v>
      </c>
      <c r="O674" s="309">
        <v>14233.04722</v>
      </c>
      <c r="P674" s="309">
        <v>2067.0639999999999</v>
      </c>
      <c r="Q674" s="308" t="s">
        <v>469</v>
      </c>
      <c r="R674" s="308"/>
      <c r="S674" s="309">
        <v>15</v>
      </c>
      <c r="T674" s="309">
        <v>5</v>
      </c>
      <c r="U674" s="309">
        <v>0.7</v>
      </c>
      <c r="V674" s="309">
        <v>0.7</v>
      </c>
      <c r="W674" s="309">
        <v>0.7</v>
      </c>
      <c r="X674" s="309">
        <v>1700</v>
      </c>
      <c r="Y674" s="308" t="s">
        <v>470</v>
      </c>
      <c r="Z674" s="309">
        <v>0.85</v>
      </c>
      <c r="AA674" s="308" t="s">
        <v>471</v>
      </c>
      <c r="AB674" s="308" t="s">
        <v>472</v>
      </c>
      <c r="AC674" s="311">
        <v>220</v>
      </c>
    </row>
    <row r="675" spans="1:29">
      <c r="A675" s="312" t="s">
        <v>892</v>
      </c>
      <c r="B675" s="313" t="s">
        <v>490</v>
      </c>
      <c r="C675" s="313" t="s">
        <v>888</v>
      </c>
      <c r="D675" s="313" t="s">
        <v>468</v>
      </c>
      <c r="E675" s="314">
        <v>1.5</v>
      </c>
      <c r="F675" s="315">
        <v>45230.461111111108</v>
      </c>
      <c r="G675" s="314">
        <v>1</v>
      </c>
      <c r="H675" s="314">
        <v>51.370800000000003</v>
      </c>
      <c r="I675" s="314">
        <v>5.5507299999999997</v>
      </c>
      <c r="J675" s="314">
        <v>-16.792743999999999</v>
      </c>
      <c r="K675" s="314">
        <v>-15.947094</v>
      </c>
      <c r="L675" s="314">
        <v>982.67399999999998</v>
      </c>
      <c r="M675" s="314">
        <v>117.49939500000001</v>
      </c>
      <c r="N675" s="314">
        <v>17842.509999999998</v>
      </c>
      <c r="O675" s="314">
        <v>17826.853660000001</v>
      </c>
      <c r="P675" s="314">
        <v>2067.0639999999999</v>
      </c>
      <c r="Q675" s="313" t="s">
        <v>469</v>
      </c>
      <c r="R675" s="313"/>
      <c r="S675" s="314">
        <v>15</v>
      </c>
      <c r="T675" s="314">
        <v>5</v>
      </c>
      <c r="U675" s="314">
        <v>0.7</v>
      </c>
      <c r="V675" s="314">
        <v>0.7</v>
      </c>
      <c r="W675" s="314">
        <v>0.7</v>
      </c>
      <c r="X675" s="314">
        <v>1700</v>
      </c>
      <c r="Y675" s="313" t="s">
        <v>470</v>
      </c>
      <c r="Z675" s="314">
        <v>0.85</v>
      </c>
      <c r="AA675" s="313" t="s">
        <v>471</v>
      </c>
      <c r="AB675" s="313" t="s">
        <v>472</v>
      </c>
      <c r="AC675" s="316">
        <v>220</v>
      </c>
    </row>
    <row r="676" spans="1:29">
      <c r="A676" s="307" t="s">
        <v>893</v>
      </c>
      <c r="B676" s="308" t="s">
        <v>490</v>
      </c>
      <c r="C676" s="308" t="s">
        <v>888</v>
      </c>
      <c r="D676" s="308" t="s">
        <v>468</v>
      </c>
      <c r="E676" s="309">
        <v>1.5</v>
      </c>
      <c r="F676" s="310">
        <v>45230.465277777781</v>
      </c>
      <c r="G676" s="309">
        <v>1</v>
      </c>
      <c r="H676" s="309">
        <v>51.374099999999999</v>
      </c>
      <c r="I676" s="309">
        <v>5.5323000000000002</v>
      </c>
      <c r="J676" s="309">
        <v>-16.669799999999999</v>
      </c>
      <c r="K676" s="309">
        <v>-15.828225</v>
      </c>
      <c r="L676" s="309">
        <v>997.55700000000002</v>
      </c>
      <c r="M676" s="309">
        <v>117.49993499999999</v>
      </c>
      <c r="N676" s="309">
        <v>17830.54</v>
      </c>
      <c r="O676" s="309">
        <v>17826.853660000001</v>
      </c>
      <c r="P676" s="309">
        <v>2067.0639999999999</v>
      </c>
      <c r="Q676" s="308" t="s">
        <v>469</v>
      </c>
      <c r="R676" s="308"/>
      <c r="S676" s="309">
        <v>15</v>
      </c>
      <c r="T676" s="309">
        <v>5</v>
      </c>
      <c r="U676" s="309">
        <v>0.7</v>
      </c>
      <c r="V676" s="309">
        <v>0.7</v>
      </c>
      <c r="W676" s="309">
        <v>0.7</v>
      </c>
      <c r="X676" s="309">
        <v>1700</v>
      </c>
      <c r="Y676" s="308" t="s">
        <v>470</v>
      </c>
      <c r="Z676" s="309">
        <v>0.85</v>
      </c>
      <c r="AA676" s="308" t="s">
        <v>471</v>
      </c>
      <c r="AB676" s="308" t="s">
        <v>472</v>
      </c>
      <c r="AC676" s="311">
        <v>220</v>
      </c>
    </row>
    <row r="677" spans="1:29">
      <c r="A677" s="312" t="s">
        <v>894</v>
      </c>
      <c r="B677" s="313" t="s">
        <v>490</v>
      </c>
      <c r="C677" s="313" t="s">
        <v>888</v>
      </c>
      <c r="D677" s="313" t="s">
        <v>468</v>
      </c>
      <c r="E677" s="314">
        <v>1.5</v>
      </c>
      <c r="F677" s="315">
        <v>45230.46875</v>
      </c>
      <c r="G677" s="314">
        <v>1</v>
      </c>
      <c r="H677" s="314">
        <v>51.374099999999999</v>
      </c>
      <c r="I677" s="314">
        <v>5.5362099999999996</v>
      </c>
      <c r="J677" s="314">
        <v>-16.753419000000001</v>
      </c>
      <c r="K677" s="314">
        <v>-15.904844000000001</v>
      </c>
      <c r="L677" s="314">
        <v>990.13300000000004</v>
      </c>
      <c r="M677" s="314">
        <v>115.999382</v>
      </c>
      <c r="N677" s="314">
        <v>17807.5</v>
      </c>
      <c r="O677" s="314">
        <v>17826.853660000001</v>
      </c>
      <c r="P677" s="314">
        <v>2067.0639999999999</v>
      </c>
      <c r="Q677" s="313" t="s">
        <v>469</v>
      </c>
      <c r="R677" s="313"/>
      <c r="S677" s="314">
        <v>15</v>
      </c>
      <c r="T677" s="314">
        <v>5</v>
      </c>
      <c r="U677" s="314">
        <v>0.7</v>
      </c>
      <c r="V677" s="314">
        <v>0.7</v>
      </c>
      <c r="W677" s="314">
        <v>0.7</v>
      </c>
      <c r="X677" s="314">
        <v>1700</v>
      </c>
      <c r="Y677" s="313" t="s">
        <v>470</v>
      </c>
      <c r="Z677" s="314">
        <v>0.85</v>
      </c>
      <c r="AA677" s="313" t="s">
        <v>471</v>
      </c>
      <c r="AB677" s="313" t="s">
        <v>472</v>
      </c>
      <c r="AC677" s="316">
        <v>220</v>
      </c>
    </row>
    <row r="678" spans="1:29">
      <c r="A678" s="307" t="s">
        <v>895</v>
      </c>
      <c r="B678" s="308" t="s">
        <v>494</v>
      </c>
      <c r="C678" s="308" t="s">
        <v>888</v>
      </c>
      <c r="D678" s="308" t="s">
        <v>468</v>
      </c>
      <c r="E678" s="309">
        <v>1.8</v>
      </c>
      <c r="F678" s="310">
        <v>45230.472222222219</v>
      </c>
      <c r="G678" s="309">
        <v>1</v>
      </c>
      <c r="H678" s="309">
        <v>51.370800000000003</v>
      </c>
      <c r="I678" s="309">
        <v>5.5586900000000004</v>
      </c>
      <c r="J678" s="309">
        <v>-16.797205999999999</v>
      </c>
      <c r="K678" s="309">
        <v>-15.951687</v>
      </c>
      <c r="L678" s="309">
        <v>1009.78</v>
      </c>
      <c r="M678" s="309">
        <v>133.00063399999999</v>
      </c>
      <c r="N678" s="309">
        <v>21339.69</v>
      </c>
      <c r="O678" s="309">
        <v>21335.47092</v>
      </c>
      <c r="P678" s="309">
        <v>2067.0639999999999</v>
      </c>
      <c r="Q678" s="308" t="s">
        <v>469</v>
      </c>
      <c r="R678" s="308"/>
      <c r="S678" s="309">
        <v>15</v>
      </c>
      <c r="T678" s="309">
        <v>5</v>
      </c>
      <c r="U678" s="309">
        <v>0.7</v>
      </c>
      <c r="V678" s="309">
        <v>0.7</v>
      </c>
      <c r="W678" s="309">
        <v>0.7</v>
      </c>
      <c r="X678" s="309">
        <v>1700</v>
      </c>
      <c r="Y678" s="308" t="s">
        <v>470</v>
      </c>
      <c r="Z678" s="309">
        <v>0.85</v>
      </c>
      <c r="AA678" s="308" t="s">
        <v>471</v>
      </c>
      <c r="AB678" s="308" t="s">
        <v>472</v>
      </c>
      <c r="AC678" s="311">
        <v>220</v>
      </c>
    </row>
    <row r="679" spans="1:29">
      <c r="A679" s="312" t="s">
        <v>896</v>
      </c>
      <c r="B679" s="313" t="s">
        <v>494</v>
      </c>
      <c r="C679" s="313" t="s">
        <v>888</v>
      </c>
      <c r="D679" s="313" t="s">
        <v>468</v>
      </c>
      <c r="E679" s="314">
        <v>1.8</v>
      </c>
      <c r="F679" s="315">
        <v>45230.475694444445</v>
      </c>
      <c r="G679" s="314">
        <v>1</v>
      </c>
      <c r="H679" s="314">
        <v>51.3675</v>
      </c>
      <c r="I679" s="314">
        <v>5.5669500000000003</v>
      </c>
      <c r="J679" s="314">
        <v>-16.789244</v>
      </c>
      <c r="K679" s="314">
        <v>-15.948494</v>
      </c>
      <c r="L679" s="314">
        <v>1019.13</v>
      </c>
      <c r="M679" s="314">
        <v>127.499914</v>
      </c>
      <c r="N679" s="314">
        <v>21351.65</v>
      </c>
      <c r="O679" s="314">
        <v>21335.47092</v>
      </c>
      <c r="P679" s="314">
        <v>2067.0639999999999</v>
      </c>
      <c r="Q679" s="313" t="s">
        <v>469</v>
      </c>
      <c r="R679" s="313"/>
      <c r="S679" s="314">
        <v>15</v>
      </c>
      <c r="T679" s="314">
        <v>5</v>
      </c>
      <c r="U679" s="314">
        <v>0.7</v>
      </c>
      <c r="V679" s="314">
        <v>0.7</v>
      </c>
      <c r="W679" s="314">
        <v>0.7</v>
      </c>
      <c r="X679" s="314">
        <v>1700</v>
      </c>
      <c r="Y679" s="313" t="s">
        <v>470</v>
      </c>
      <c r="Z679" s="314">
        <v>0.85</v>
      </c>
      <c r="AA679" s="313" t="s">
        <v>471</v>
      </c>
      <c r="AB679" s="313" t="s">
        <v>472</v>
      </c>
      <c r="AC679" s="316">
        <v>220</v>
      </c>
    </row>
    <row r="680" spans="1:29">
      <c r="A680" s="307" t="s">
        <v>897</v>
      </c>
      <c r="B680" s="308" t="s">
        <v>494</v>
      </c>
      <c r="C680" s="308" t="s">
        <v>888</v>
      </c>
      <c r="D680" s="308" t="s">
        <v>468</v>
      </c>
      <c r="E680" s="309">
        <v>1.8</v>
      </c>
      <c r="F680" s="310">
        <v>45230.479861111111</v>
      </c>
      <c r="G680" s="309">
        <v>1</v>
      </c>
      <c r="H680" s="309">
        <v>51.370800000000003</v>
      </c>
      <c r="I680" s="309">
        <v>5.63734</v>
      </c>
      <c r="J680" s="309">
        <v>-16.745774999999998</v>
      </c>
      <c r="K680" s="309">
        <v>-15.914656000000001</v>
      </c>
      <c r="L680" s="309">
        <v>1014.8</v>
      </c>
      <c r="M680" s="309">
        <v>125.999416</v>
      </c>
      <c r="N680" s="309">
        <v>21315.07</v>
      </c>
      <c r="O680" s="309">
        <v>21335.47092</v>
      </c>
      <c r="P680" s="309">
        <v>2067.0639999999999</v>
      </c>
      <c r="Q680" s="308" t="s">
        <v>469</v>
      </c>
      <c r="R680" s="308"/>
      <c r="S680" s="309">
        <v>15</v>
      </c>
      <c r="T680" s="309">
        <v>5</v>
      </c>
      <c r="U680" s="309">
        <v>0.7</v>
      </c>
      <c r="V680" s="309">
        <v>0.7</v>
      </c>
      <c r="W680" s="309">
        <v>0.7</v>
      </c>
      <c r="X680" s="309">
        <v>1700</v>
      </c>
      <c r="Y680" s="308" t="s">
        <v>470</v>
      </c>
      <c r="Z680" s="309">
        <v>0.85</v>
      </c>
      <c r="AA680" s="308" t="s">
        <v>471</v>
      </c>
      <c r="AB680" s="308" t="s">
        <v>472</v>
      </c>
      <c r="AC680" s="311">
        <v>220</v>
      </c>
    </row>
    <row r="681" spans="1:29">
      <c r="A681" s="319" t="s">
        <v>593</v>
      </c>
      <c r="B681" s="320">
        <v>2</v>
      </c>
      <c r="C681" s="320" t="s">
        <v>888</v>
      </c>
      <c r="D681" s="320" t="s">
        <v>468</v>
      </c>
      <c r="E681" s="321">
        <v>1.5</v>
      </c>
      <c r="F681" s="322">
        <v>45230.48333333333</v>
      </c>
      <c r="G681" s="321">
        <v>1</v>
      </c>
      <c r="H681" s="321">
        <v>51.370800000000003</v>
      </c>
      <c r="I681" s="321">
        <v>5.6219099999999997</v>
      </c>
      <c r="J681" s="321">
        <v>-16.709762000000001</v>
      </c>
      <c r="K681" s="321">
        <v>-15.860312</v>
      </c>
      <c r="L681" s="321">
        <v>986.18</v>
      </c>
      <c r="M681" s="321">
        <v>115.50074600000001</v>
      </c>
      <c r="N681" s="321">
        <v>17835.36</v>
      </c>
      <c r="O681" s="321">
        <v>17828.255069999999</v>
      </c>
      <c r="P681" s="321">
        <v>2067.2289999999998</v>
      </c>
      <c r="Q681" s="320" t="s">
        <v>469</v>
      </c>
      <c r="R681" s="320"/>
      <c r="S681" s="321">
        <v>15</v>
      </c>
      <c r="T681" s="321">
        <v>5</v>
      </c>
      <c r="U681" s="321">
        <v>0.7</v>
      </c>
      <c r="V681" s="321">
        <v>0.7</v>
      </c>
      <c r="W681" s="321">
        <v>0.7</v>
      </c>
      <c r="X681" s="321">
        <v>1700</v>
      </c>
      <c r="Y681" s="320" t="s">
        <v>470</v>
      </c>
      <c r="Z681" s="321">
        <v>0.85</v>
      </c>
      <c r="AA681" s="320" t="s">
        <v>471</v>
      </c>
      <c r="AB681" s="320" t="s">
        <v>472</v>
      </c>
      <c r="AC681" s="323">
        <v>220</v>
      </c>
    </row>
    <row r="682" spans="1:29">
      <c r="A682" s="307" t="s">
        <v>697</v>
      </c>
      <c r="B682" s="308">
        <v>2</v>
      </c>
      <c r="C682" s="308" t="s">
        <v>888</v>
      </c>
      <c r="D682" s="308" t="s">
        <v>468</v>
      </c>
      <c r="E682" s="309">
        <v>1.5</v>
      </c>
      <c r="F682" s="310">
        <v>45230.486805555556</v>
      </c>
      <c r="G682" s="309">
        <v>1</v>
      </c>
      <c r="H682" s="309">
        <v>51.3675</v>
      </c>
      <c r="I682" s="309">
        <v>5.6455599999999997</v>
      </c>
      <c r="J682" s="309">
        <v>-16.902349999999998</v>
      </c>
      <c r="K682" s="309">
        <v>-16.059412999999999</v>
      </c>
      <c r="L682" s="309">
        <v>996.70799999999997</v>
      </c>
      <c r="M682" s="309">
        <v>126.499798</v>
      </c>
      <c r="N682" s="309">
        <v>17830.86</v>
      </c>
      <c r="O682" s="309">
        <v>17828.255069999999</v>
      </c>
      <c r="P682" s="309">
        <v>2067.2289999999998</v>
      </c>
      <c r="Q682" s="308" t="s">
        <v>469</v>
      </c>
      <c r="R682" s="308"/>
      <c r="S682" s="309">
        <v>15</v>
      </c>
      <c r="T682" s="309">
        <v>5</v>
      </c>
      <c r="U682" s="309">
        <v>0.7</v>
      </c>
      <c r="V682" s="309">
        <v>0.7</v>
      </c>
      <c r="W682" s="309">
        <v>0.7</v>
      </c>
      <c r="X682" s="309">
        <v>1700</v>
      </c>
      <c r="Y682" s="308" t="s">
        <v>470</v>
      </c>
      <c r="Z682" s="309">
        <v>0.85</v>
      </c>
      <c r="AA682" s="308" t="s">
        <v>471</v>
      </c>
      <c r="AB682" s="308" t="s">
        <v>472</v>
      </c>
      <c r="AC682" s="311">
        <v>220</v>
      </c>
    </row>
    <row r="683" spans="1:29">
      <c r="A683" s="312" t="s">
        <v>698</v>
      </c>
      <c r="B683" s="313">
        <v>2</v>
      </c>
      <c r="C683" s="313" t="s">
        <v>888</v>
      </c>
      <c r="D683" s="313" t="s">
        <v>468</v>
      </c>
      <c r="E683" s="314">
        <v>1.5</v>
      </c>
      <c r="F683" s="315">
        <v>45230.490277777775</v>
      </c>
      <c r="G683" s="314">
        <v>1</v>
      </c>
      <c r="H683" s="314">
        <v>51.370800000000003</v>
      </c>
      <c r="I683" s="314">
        <v>5.6032200000000003</v>
      </c>
      <c r="J683" s="314">
        <v>-16.929787000000001</v>
      </c>
      <c r="K683" s="314">
        <v>-16.082912</v>
      </c>
      <c r="L683" s="314">
        <v>997.20699999999999</v>
      </c>
      <c r="M683" s="314">
        <v>119.49955300000001</v>
      </c>
      <c r="N683" s="314">
        <v>17818.55</v>
      </c>
      <c r="O683" s="314">
        <v>17828.255069999999</v>
      </c>
      <c r="P683" s="314">
        <v>2067.2289999999998</v>
      </c>
      <c r="Q683" s="313" t="s">
        <v>469</v>
      </c>
      <c r="R683" s="313"/>
      <c r="S683" s="314">
        <v>15</v>
      </c>
      <c r="T683" s="314">
        <v>5</v>
      </c>
      <c r="U683" s="314">
        <v>0.7</v>
      </c>
      <c r="V683" s="314">
        <v>0.7</v>
      </c>
      <c r="W683" s="314">
        <v>0.7</v>
      </c>
      <c r="X683" s="314">
        <v>1700</v>
      </c>
      <c r="Y683" s="313" t="s">
        <v>470</v>
      </c>
      <c r="Z683" s="314">
        <v>0.85</v>
      </c>
      <c r="AA683" s="313" t="s">
        <v>471</v>
      </c>
      <c r="AB683" s="313" t="s">
        <v>472</v>
      </c>
      <c r="AC683" s="316">
        <v>220</v>
      </c>
    </row>
    <row r="684" spans="1:29">
      <c r="A684" s="307" t="s">
        <v>595</v>
      </c>
      <c r="B684" s="308">
        <v>3</v>
      </c>
      <c r="C684" s="308">
        <v>554</v>
      </c>
      <c r="D684" s="308" t="s">
        <v>419</v>
      </c>
      <c r="E684" s="309">
        <v>1.5</v>
      </c>
      <c r="F684" s="310">
        <v>45230.494444444441</v>
      </c>
      <c r="G684" s="309">
        <v>1</v>
      </c>
      <c r="H684" s="309">
        <v>51.370800000000003</v>
      </c>
      <c r="I684" s="309">
        <v>5.5500800000000003</v>
      </c>
      <c r="J684" s="309">
        <v>-16.912119000000001</v>
      </c>
      <c r="K684" s="309">
        <v>-16.065769</v>
      </c>
      <c r="L684" s="309">
        <v>993.68399999999997</v>
      </c>
      <c r="M684" s="309">
        <v>119.000135</v>
      </c>
      <c r="N684" s="309">
        <v>17600.38</v>
      </c>
      <c r="O684" s="309">
        <v>0</v>
      </c>
      <c r="P684" s="309">
        <v>0</v>
      </c>
      <c r="Q684" s="308" t="s">
        <v>479</v>
      </c>
      <c r="R684" s="308"/>
      <c r="S684" s="309">
        <v>15</v>
      </c>
      <c r="T684" s="309">
        <v>5</v>
      </c>
      <c r="U684" s="309">
        <v>0.7</v>
      </c>
      <c r="V684" s="309">
        <v>0.7</v>
      </c>
      <c r="W684" s="309">
        <v>0.7</v>
      </c>
      <c r="X684" s="309">
        <v>1700</v>
      </c>
      <c r="Y684" s="308" t="s">
        <v>470</v>
      </c>
      <c r="Z684" s="309">
        <v>0.85</v>
      </c>
      <c r="AA684" s="308" t="s">
        <v>471</v>
      </c>
      <c r="AB684" s="308" t="s">
        <v>472</v>
      </c>
      <c r="AC684" s="311">
        <v>220</v>
      </c>
    </row>
    <row r="685" spans="1:29">
      <c r="A685" s="312" t="s">
        <v>699</v>
      </c>
      <c r="B685" s="313">
        <v>3</v>
      </c>
      <c r="C685" s="313">
        <v>554</v>
      </c>
      <c r="D685" s="313" t="s">
        <v>419</v>
      </c>
      <c r="E685" s="314">
        <v>1.5</v>
      </c>
      <c r="F685" s="315">
        <v>45230.497916666667</v>
      </c>
      <c r="G685" s="314">
        <v>1</v>
      </c>
      <c r="H685" s="314">
        <v>51.3675</v>
      </c>
      <c r="I685" s="314">
        <v>5.5650199999999996</v>
      </c>
      <c r="J685" s="314">
        <v>-16.825050000000001</v>
      </c>
      <c r="K685" s="314">
        <v>-15.987425</v>
      </c>
      <c r="L685" s="314">
        <v>1005.42</v>
      </c>
      <c r="M685" s="314">
        <v>118.500716</v>
      </c>
      <c r="N685" s="314">
        <v>17808.91</v>
      </c>
      <c r="O685" s="314">
        <v>0</v>
      </c>
      <c r="P685" s="314">
        <v>0</v>
      </c>
      <c r="Q685" s="313" t="s">
        <v>479</v>
      </c>
      <c r="R685" s="313"/>
      <c r="S685" s="314">
        <v>15</v>
      </c>
      <c r="T685" s="314">
        <v>5</v>
      </c>
      <c r="U685" s="314">
        <v>0.7</v>
      </c>
      <c r="V685" s="314">
        <v>0.7</v>
      </c>
      <c r="W685" s="314">
        <v>0.7</v>
      </c>
      <c r="X685" s="314">
        <v>1700</v>
      </c>
      <c r="Y685" s="313" t="s">
        <v>470</v>
      </c>
      <c r="Z685" s="314">
        <v>0.85</v>
      </c>
      <c r="AA685" s="313" t="s">
        <v>471</v>
      </c>
      <c r="AB685" s="313" t="s">
        <v>472</v>
      </c>
      <c r="AC685" s="316">
        <v>217</v>
      </c>
    </row>
    <row r="686" spans="1:29">
      <c r="A686" s="307" t="s">
        <v>700</v>
      </c>
      <c r="B686" s="308">
        <v>3</v>
      </c>
      <c r="C686" s="308">
        <v>554</v>
      </c>
      <c r="D686" s="308" t="s">
        <v>419</v>
      </c>
      <c r="E686" s="309">
        <v>1.5</v>
      </c>
      <c r="F686" s="310">
        <v>45230.501388888886</v>
      </c>
      <c r="G686" s="309">
        <v>1</v>
      </c>
      <c r="H686" s="309">
        <v>51.370800000000003</v>
      </c>
      <c r="I686" s="309">
        <v>5.5594599999999996</v>
      </c>
      <c r="J686" s="309">
        <v>-16.858656</v>
      </c>
      <c r="K686" s="309">
        <v>-16.012988</v>
      </c>
      <c r="L686" s="309">
        <v>1003.71</v>
      </c>
      <c r="M686" s="309">
        <v>119.500499</v>
      </c>
      <c r="N686" s="309">
        <v>17856.599999999999</v>
      </c>
      <c r="O686" s="309">
        <v>0</v>
      </c>
      <c r="P686" s="309">
        <v>0</v>
      </c>
      <c r="Q686" s="308" t="s">
        <v>479</v>
      </c>
      <c r="R686" s="308"/>
      <c r="S686" s="309">
        <v>15</v>
      </c>
      <c r="T686" s="309">
        <v>5</v>
      </c>
      <c r="U686" s="309">
        <v>0.7</v>
      </c>
      <c r="V686" s="309">
        <v>0.7</v>
      </c>
      <c r="W686" s="309">
        <v>0.7</v>
      </c>
      <c r="X686" s="309">
        <v>1700</v>
      </c>
      <c r="Y686" s="308" t="s">
        <v>470</v>
      </c>
      <c r="Z686" s="309">
        <v>0.85</v>
      </c>
      <c r="AA686" s="308" t="s">
        <v>471</v>
      </c>
      <c r="AB686" s="308" t="s">
        <v>472</v>
      </c>
      <c r="AC686" s="311">
        <v>220</v>
      </c>
    </row>
    <row r="687" spans="1:29">
      <c r="A687" s="312" t="s">
        <v>844</v>
      </c>
      <c r="B687" s="313">
        <v>3</v>
      </c>
      <c r="C687" s="313">
        <v>554</v>
      </c>
      <c r="D687" s="313" t="s">
        <v>419</v>
      </c>
      <c r="E687" s="314">
        <v>1.5</v>
      </c>
      <c r="F687" s="315">
        <v>45230.504861111112</v>
      </c>
      <c r="G687" s="314">
        <v>1</v>
      </c>
      <c r="H687" s="314">
        <v>51.374099999999999</v>
      </c>
      <c r="I687" s="314">
        <v>5.5711899999999996</v>
      </c>
      <c r="J687" s="314">
        <v>-16.740387999999999</v>
      </c>
      <c r="K687" s="314">
        <v>-15.897468999999999</v>
      </c>
      <c r="L687" s="314">
        <v>991.23099999999999</v>
      </c>
      <c r="M687" s="314">
        <v>123.49987</v>
      </c>
      <c r="N687" s="314">
        <v>17740.66</v>
      </c>
      <c r="O687" s="314">
        <v>0</v>
      </c>
      <c r="P687" s="314">
        <v>0</v>
      </c>
      <c r="Q687" s="313" t="s">
        <v>479</v>
      </c>
      <c r="R687" s="313"/>
      <c r="S687" s="314">
        <v>15</v>
      </c>
      <c r="T687" s="314">
        <v>5</v>
      </c>
      <c r="U687" s="314">
        <v>0.7</v>
      </c>
      <c r="V687" s="314">
        <v>0.7</v>
      </c>
      <c r="W687" s="314">
        <v>0.7</v>
      </c>
      <c r="X687" s="314">
        <v>1700</v>
      </c>
      <c r="Y687" s="313" t="s">
        <v>470</v>
      </c>
      <c r="Z687" s="314">
        <v>0.85</v>
      </c>
      <c r="AA687" s="313" t="s">
        <v>471</v>
      </c>
      <c r="AB687" s="313" t="s">
        <v>472</v>
      </c>
      <c r="AC687" s="316">
        <v>219</v>
      </c>
    </row>
    <row r="688" spans="1:29">
      <c r="A688" s="307" t="s">
        <v>845</v>
      </c>
      <c r="B688" s="308">
        <v>3</v>
      </c>
      <c r="C688" s="308">
        <v>554</v>
      </c>
      <c r="D688" s="308" t="s">
        <v>419</v>
      </c>
      <c r="E688" s="309">
        <v>1.5</v>
      </c>
      <c r="F688" s="310">
        <v>45230.508333333331</v>
      </c>
      <c r="G688" s="309">
        <v>1</v>
      </c>
      <c r="H688" s="309">
        <v>51.3675</v>
      </c>
      <c r="I688" s="309">
        <v>5.5615300000000003</v>
      </c>
      <c r="J688" s="309">
        <v>-16.874700000000001</v>
      </c>
      <c r="K688" s="309">
        <v>-16.039694000000001</v>
      </c>
      <c r="L688" s="309">
        <v>1004.54</v>
      </c>
      <c r="M688" s="309">
        <v>125.499679</v>
      </c>
      <c r="N688" s="309">
        <v>17720.84</v>
      </c>
      <c r="O688" s="309">
        <v>0</v>
      </c>
      <c r="P688" s="309">
        <v>0</v>
      </c>
      <c r="Q688" s="308" t="s">
        <v>479</v>
      </c>
      <c r="R688" s="308"/>
      <c r="S688" s="309">
        <v>15</v>
      </c>
      <c r="T688" s="309">
        <v>5</v>
      </c>
      <c r="U688" s="309">
        <v>0.7</v>
      </c>
      <c r="V688" s="309">
        <v>0.7</v>
      </c>
      <c r="W688" s="309">
        <v>0.7</v>
      </c>
      <c r="X688" s="309">
        <v>1700</v>
      </c>
      <c r="Y688" s="308" t="s">
        <v>470</v>
      </c>
      <c r="Z688" s="309">
        <v>0.85</v>
      </c>
      <c r="AA688" s="308" t="s">
        <v>471</v>
      </c>
      <c r="AB688" s="308" t="s">
        <v>472</v>
      </c>
      <c r="AC688" s="311">
        <v>219</v>
      </c>
    </row>
    <row r="689" spans="1:29">
      <c r="A689" s="312" t="s">
        <v>846</v>
      </c>
      <c r="B689" s="313">
        <v>3</v>
      </c>
      <c r="C689" s="313">
        <v>554</v>
      </c>
      <c r="D689" s="313" t="s">
        <v>419</v>
      </c>
      <c r="E689" s="314">
        <v>1.5</v>
      </c>
      <c r="F689" s="315">
        <v>45230.512499999997</v>
      </c>
      <c r="G689" s="314">
        <v>2</v>
      </c>
      <c r="H689" s="314">
        <v>51.370800000000003</v>
      </c>
      <c r="I689" s="314">
        <v>5.5539199999999997</v>
      </c>
      <c r="J689" s="314">
        <v>-16.731431000000001</v>
      </c>
      <c r="K689" s="314">
        <v>-15.885130999999999</v>
      </c>
      <c r="L689" s="314">
        <v>1004.2</v>
      </c>
      <c r="M689" s="314">
        <v>115.001335</v>
      </c>
      <c r="N689" s="314">
        <v>17793.900000000001</v>
      </c>
      <c r="O689" s="314">
        <v>17793.787919999999</v>
      </c>
      <c r="P689" s="314">
        <v>2063.2600000000002</v>
      </c>
      <c r="Q689" s="313" t="s">
        <v>469</v>
      </c>
      <c r="R689" s="313"/>
      <c r="S689" s="314">
        <v>15</v>
      </c>
      <c r="T689" s="314">
        <v>5</v>
      </c>
      <c r="U689" s="314">
        <v>0.7</v>
      </c>
      <c r="V689" s="314">
        <v>0.7</v>
      </c>
      <c r="W689" s="314">
        <v>0.7</v>
      </c>
      <c r="X689" s="314">
        <v>1700</v>
      </c>
      <c r="Y689" s="313" t="s">
        <v>470</v>
      </c>
      <c r="Z689" s="314">
        <v>0.85</v>
      </c>
      <c r="AA689" s="313" t="s">
        <v>471</v>
      </c>
      <c r="AB689" s="313" t="s">
        <v>472</v>
      </c>
      <c r="AC689" s="316">
        <v>218</v>
      </c>
    </row>
    <row r="690" spans="1:29">
      <c r="A690" s="307" t="s">
        <v>898</v>
      </c>
      <c r="B690" s="308">
        <v>3</v>
      </c>
      <c r="C690" s="308">
        <v>554</v>
      </c>
      <c r="D690" s="308" t="s">
        <v>419</v>
      </c>
      <c r="E690" s="309">
        <v>1.5</v>
      </c>
      <c r="F690" s="310">
        <v>45230.515972222223</v>
      </c>
      <c r="G690" s="309">
        <v>2</v>
      </c>
      <c r="H690" s="309">
        <v>51.370800000000003</v>
      </c>
      <c r="I690" s="309">
        <v>5.5306600000000001</v>
      </c>
      <c r="J690" s="309">
        <v>-16.758880999999999</v>
      </c>
      <c r="K690" s="309">
        <v>-15.921049999999999</v>
      </c>
      <c r="L690" s="309">
        <v>1014.03</v>
      </c>
      <c r="M690" s="309">
        <v>116.99839</v>
      </c>
      <c r="N690" s="309">
        <v>17689.91</v>
      </c>
      <c r="O690" s="309">
        <v>17793.787919999999</v>
      </c>
      <c r="P690" s="309">
        <v>2063.2600000000002</v>
      </c>
      <c r="Q690" s="308" t="s">
        <v>542</v>
      </c>
      <c r="R690" s="308"/>
      <c r="S690" s="309">
        <v>15</v>
      </c>
      <c r="T690" s="309">
        <v>5</v>
      </c>
      <c r="U690" s="309">
        <v>0.7</v>
      </c>
      <c r="V690" s="309">
        <v>0.7</v>
      </c>
      <c r="W690" s="309">
        <v>0.7</v>
      </c>
      <c r="X690" s="309">
        <v>1700</v>
      </c>
      <c r="Y690" s="308" t="s">
        <v>470</v>
      </c>
      <c r="Z690" s="309">
        <v>0.85</v>
      </c>
      <c r="AA690" s="308" t="s">
        <v>471</v>
      </c>
      <c r="AB690" s="308" t="s">
        <v>472</v>
      </c>
      <c r="AC690" s="311">
        <v>218</v>
      </c>
    </row>
    <row r="691" spans="1:29">
      <c r="A691" s="312" t="s">
        <v>899</v>
      </c>
      <c r="B691" s="313">
        <v>3</v>
      </c>
      <c r="C691" s="313">
        <v>554</v>
      </c>
      <c r="D691" s="313" t="s">
        <v>419</v>
      </c>
      <c r="E691" s="314">
        <v>1.5</v>
      </c>
      <c r="F691" s="315">
        <v>45230.519444444442</v>
      </c>
      <c r="G691" s="314">
        <v>2</v>
      </c>
      <c r="H691" s="314">
        <v>51.374099999999999</v>
      </c>
      <c r="I691" s="314">
        <v>5.5540799999999999</v>
      </c>
      <c r="J691" s="314">
        <v>-16.751825</v>
      </c>
      <c r="K691" s="314">
        <v>-15.902981</v>
      </c>
      <c r="L691" s="314">
        <v>1015.92</v>
      </c>
      <c r="M691" s="314">
        <v>121.000384</v>
      </c>
      <c r="N691" s="314">
        <v>17795.689999999999</v>
      </c>
      <c r="O691" s="314">
        <v>17793.787919999999</v>
      </c>
      <c r="P691" s="314">
        <v>2063.2600000000002</v>
      </c>
      <c r="Q691" s="313" t="s">
        <v>469</v>
      </c>
      <c r="R691" s="313"/>
      <c r="S691" s="314">
        <v>15</v>
      </c>
      <c r="T691" s="314">
        <v>5</v>
      </c>
      <c r="U691" s="314">
        <v>0.7</v>
      </c>
      <c r="V691" s="314">
        <v>0.7</v>
      </c>
      <c r="W691" s="314">
        <v>0.7</v>
      </c>
      <c r="X691" s="314">
        <v>1700</v>
      </c>
      <c r="Y691" s="313" t="s">
        <v>470</v>
      </c>
      <c r="Z691" s="314">
        <v>0.85</v>
      </c>
      <c r="AA691" s="313" t="s">
        <v>471</v>
      </c>
      <c r="AB691" s="313" t="s">
        <v>472</v>
      </c>
      <c r="AC691" s="316">
        <v>219</v>
      </c>
    </row>
    <row r="692" spans="1:29">
      <c r="A692" s="307" t="s">
        <v>900</v>
      </c>
      <c r="B692" s="308">
        <v>3</v>
      </c>
      <c r="C692" s="308">
        <v>554</v>
      </c>
      <c r="D692" s="308" t="s">
        <v>419</v>
      </c>
      <c r="E692" s="309">
        <v>1.5</v>
      </c>
      <c r="F692" s="310">
        <v>45230.522916666669</v>
      </c>
      <c r="G692" s="309">
        <v>2</v>
      </c>
      <c r="H692" s="309">
        <v>51.370800000000003</v>
      </c>
      <c r="I692" s="309">
        <v>5.4974499999999997</v>
      </c>
      <c r="J692" s="309">
        <v>-16.723219</v>
      </c>
      <c r="K692" s="309">
        <v>-15.886494000000001</v>
      </c>
      <c r="L692" s="309">
        <v>1006.57</v>
      </c>
      <c r="M692" s="309">
        <v>119.500331</v>
      </c>
      <c r="N692" s="309">
        <v>17726.59</v>
      </c>
      <c r="O692" s="309">
        <v>17793.787919999999</v>
      </c>
      <c r="P692" s="309">
        <v>2063.2600000000002</v>
      </c>
      <c r="Q692" s="308" t="s">
        <v>542</v>
      </c>
      <c r="R692" s="308"/>
      <c r="S692" s="309">
        <v>15</v>
      </c>
      <c r="T692" s="309">
        <v>5</v>
      </c>
      <c r="U692" s="309">
        <v>0.7</v>
      </c>
      <c r="V692" s="309">
        <v>0.7</v>
      </c>
      <c r="W692" s="309">
        <v>0.7</v>
      </c>
      <c r="X692" s="309">
        <v>1700</v>
      </c>
      <c r="Y692" s="308" t="s">
        <v>470</v>
      </c>
      <c r="Z692" s="309">
        <v>0.85</v>
      </c>
      <c r="AA692" s="308" t="s">
        <v>471</v>
      </c>
      <c r="AB692" s="308" t="s">
        <v>472</v>
      </c>
      <c r="AC692" s="311">
        <v>219</v>
      </c>
    </row>
    <row r="693" spans="1:29">
      <c r="A693" s="312" t="s">
        <v>901</v>
      </c>
      <c r="B693" s="313">
        <v>3</v>
      </c>
      <c r="C693" s="313">
        <v>554</v>
      </c>
      <c r="D693" s="313" t="s">
        <v>419</v>
      </c>
      <c r="E693" s="314">
        <v>1.5</v>
      </c>
      <c r="F693" s="315">
        <v>45230.526388888888</v>
      </c>
      <c r="G693" s="314">
        <v>2</v>
      </c>
      <c r="H693" s="314">
        <v>51.374099999999999</v>
      </c>
      <c r="I693" s="314">
        <v>5.53592</v>
      </c>
      <c r="J693" s="314">
        <v>-16.617031000000001</v>
      </c>
      <c r="K693" s="314">
        <v>-15.792524999999999</v>
      </c>
      <c r="L693" s="314">
        <v>1010.86</v>
      </c>
      <c r="M693" s="314">
        <v>115.999816</v>
      </c>
      <c r="N693" s="314">
        <v>17791.77</v>
      </c>
      <c r="O693" s="314">
        <v>17793.787919999999</v>
      </c>
      <c r="P693" s="314">
        <v>2063.2600000000002</v>
      </c>
      <c r="Q693" s="313" t="s">
        <v>469</v>
      </c>
      <c r="R693" s="313"/>
      <c r="S693" s="314">
        <v>15</v>
      </c>
      <c r="T693" s="314">
        <v>5</v>
      </c>
      <c r="U693" s="314">
        <v>0.7</v>
      </c>
      <c r="V693" s="314">
        <v>0.7</v>
      </c>
      <c r="W693" s="314">
        <v>0.7</v>
      </c>
      <c r="X693" s="314">
        <v>1700</v>
      </c>
      <c r="Y693" s="313" t="s">
        <v>470</v>
      </c>
      <c r="Z693" s="314">
        <v>0.85</v>
      </c>
      <c r="AA693" s="313" t="s">
        <v>471</v>
      </c>
      <c r="AB693" s="313" t="s">
        <v>472</v>
      </c>
      <c r="AC693" s="316">
        <v>219</v>
      </c>
    </row>
    <row r="694" spans="1:29">
      <c r="A694" s="307" t="s">
        <v>597</v>
      </c>
      <c r="B694" s="308">
        <v>4</v>
      </c>
      <c r="C694" s="308">
        <v>555</v>
      </c>
      <c r="D694" s="308" t="s">
        <v>420</v>
      </c>
      <c r="E694" s="309">
        <v>1.5</v>
      </c>
      <c r="F694" s="310">
        <v>45230.530555555553</v>
      </c>
      <c r="G694" s="309">
        <v>1</v>
      </c>
      <c r="H694" s="309">
        <v>51.364100000000001</v>
      </c>
      <c r="I694" s="309">
        <v>5.51877</v>
      </c>
      <c r="J694" s="309">
        <v>-16.763569</v>
      </c>
      <c r="K694" s="309">
        <v>-15.923481000000001</v>
      </c>
      <c r="L694" s="309">
        <v>1009.26</v>
      </c>
      <c r="M694" s="309">
        <v>123.999763</v>
      </c>
      <c r="N694" s="309">
        <v>17883.84</v>
      </c>
      <c r="O694" s="309">
        <v>0</v>
      </c>
      <c r="P694" s="309">
        <v>0</v>
      </c>
      <c r="Q694" s="308" t="s">
        <v>479</v>
      </c>
      <c r="R694" s="308"/>
      <c r="S694" s="309">
        <v>15</v>
      </c>
      <c r="T694" s="309">
        <v>5</v>
      </c>
      <c r="U694" s="309">
        <v>0.7</v>
      </c>
      <c r="V694" s="309">
        <v>0.7</v>
      </c>
      <c r="W694" s="309">
        <v>0.7</v>
      </c>
      <c r="X694" s="309">
        <v>1700</v>
      </c>
      <c r="Y694" s="308" t="s">
        <v>470</v>
      </c>
      <c r="Z694" s="309">
        <v>0.85</v>
      </c>
      <c r="AA694" s="308" t="s">
        <v>471</v>
      </c>
      <c r="AB694" s="308" t="s">
        <v>472</v>
      </c>
      <c r="AC694" s="311">
        <v>218</v>
      </c>
    </row>
    <row r="695" spans="1:29">
      <c r="A695" s="312" t="s">
        <v>701</v>
      </c>
      <c r="B695" s="313">
        <v>4</v>
      </c>
      <c r="C695" s="313">
        <v>555</v>
      </c>
      <c r="D695" s="313" t="s">
        <v>420</v>
      </c>
      <c r="E695" s="314">
        <v>1.5</v>
      </c>
      <c r="F695" s="315">
        <v>45230.53402777778</v>
      </c>
      <c r="G695" s="314">
        <v>1</v>
      </c>
      <c r="H695" s="314">
        <v>51.374099999999999</v>
      </c>
      <c r="I695" s="314">
        <v>5.5638800000000002</v>
      </c>
      <c r="J695" s="314">
        <v>-16.691974999999999</v>
      </c>
      <c r="K695" s="314">
        <v>-15.843887</v>
      </c>
      <c r="L695" s="314">
        <v>1002.5</v>
      </c>
      <c r="M695" s="314">
        <v>124.49970500000001</v>
      </c>
      <c r="N695" s="314">
        <v>17805.689999999999</v>
      </c>
      <c r="O695" s="314">
        <v>0</v>
      </c>
      <c r="P695" s="314">
        <v>0</v>
      </c>
      <c r="Q695" s="313" t="s">
        <v>479</v>
      </c>
      <c r="R695" s="313"/>
      <c r="S695" s="314">
        <v>15</v>
      </c>
      <c r="T695" s="314">
        <v>5</v>
      </c>
      <c r="U695" s="314">
        <v>0.7</v>
      </c>
      <c r="V695" s="314">
        <v>0.7</v>
      </c>
      <c r="W695" s="314">
        <v>0.7</v>
      </c>
      <c r="X695" s="314">
        <v>1700</v>
      </c>
      <c r="Y695" s="313" t="s">
        <v>470</v>
      </c>
      <c r="Z695" s="314">
        <v>0.85</v>
      </c>
      <c r="AA695" s="313" t="s">
        <v>471</v>
      </c>
      <c r="AB695" s="313" t="s">
        <v>472</v>
      </c>
      <c r="AC695" s="316">
        <v>219</v>
      </c>
    </row>
    <row r="696" spans="1:29">
      <c r="A696" s="307" t="s">
        <v>702</v>
      </c>
      <c r="B696" s="308">
        <v>4</v>
      </c>
      <c r="C696" s="308">
        <v>555</v>
      </c>
      <c r="D696" s="308" t="s">
        <v>420</v>
      </c>
      <c r="E696" s="309">
        <v>1.5</v>
      </c>
      <c r="F696" s="310">
        <v>45230.537499999999</v>
      </c>
      <c r="G696" s="309">
        <v>1</v>
      </c>
      <c r="H696" s="309">
        <v>51.374099999999999</v>
      </c>
      <c r="I696" s="309">
        <v>5.52379</v>
      </c>
      <c r="J696" s="309">
        <v>-16.676969</v>
      </c>
      <c r="K696" s="309">
        <v>-15.830244</v>
      </c>
      <c r="L696" s="309">
        <v>1019.98</v>
      </c>
      <c r="M696" s="309">
        <v>122.500091</v>
      </c>
      <c r="N696" s="309">
        <v>17977.87</v>
      </c>
      <c r="O696" s="309">
        <v>0</v>
      </c>
      <c r="P696" s="309">
        <v>0</v>
      </c>
      <c r="Q696" s="308" t="s">
        <v>479</v>
      </c>
      <c r="R696" s="308"/>
      <c r="S696" s="309">
        <v>15</v>
      </c>
      <c r="T696" s="309">
        <v>5</v>
      </c>
      <c r="U696" s="309">
        <v>0.7</v>
      </c>
      <c r="V696" s="309">
        <v>0.7</v>
      </c>
      <c r="W696" s="309">
        <v>0.7</v>
      </c>
      <c r="X696" s="309">
        <v>1700</v>
      </c>
      <c r="Y696" s="308" t="s">
        <v>470</v>
      </c>
      <c r="Z696" s="309">
        <v>0.85</v>
      </c>
      <c r="AA696" s="308" t="s">
        <v>471</v>
      </c>
      <c r="AB696" s="308" t="s">
        <v>472</v>
      </c>
      <c r="AC696" s="311">
        <v>216</v>
      </c>
    </row>
    <row r="697" spans="1:29">
      <c r="A697" s="312" t="s">
        <v>703</v>
      </c>
      <c r="B697" s="313">
        <v>4</v>
      </c>
      <c r="C697" s="313">
        <v>555</v>
      </c>
      <c r="D697" s="313" t="s">
        <v>420</v>
      </c>
      <c r="E697" s="314">
        <v>1.5</v>
      </c>
      <c r="F697" s="315">
        <v>45230.540972222225</v>
      </c>
      <c r="G697" s="314">
        <v>1</v>
      </c>
      <c r="H697" s="314">
        <v>51.374099999999999</v>
      </c>
      <c r="I697" s="314">
        <v>5.5697799999999997</v>
      </c>
      <c r="J697" s="314">
        <v>-16.579294000000001</v>
      </c>
      <c r="K697" s="314">
        <v>-15.753288</v>
      </c>
      <c r="L697" s="314">
        <v>1020.36</v>
      </c>
      <c r="M697" s="314">
        <v>116.99937</v>
      </c>
      <c r="N697" s="314">
        <v>18205.18</v>
      </c>
      <c r="O697" s="314">
        <v>0</v>
      </c>
      <c r="P697" s="314">
        <v>0</v>
      </c>
      <c r="Q697" s="313" t="s">
        <v>479</v>
      </c>
      <c r="R697" s="313"/>
      <c r="S697" s="314">
        <v>15</v>
      </c>
      <c r="T697" s="314">
        <v>5</v>
      </c>
      <c r="U697" s="314">
        <v>0.7</v>
      </c>
      <c r="V697" s="314">
        <v>0.7</v>
      </c>
      <c r="W697" s="314">
        <v>0.7</v>
      </c>
      <c r="X697" s="314">
        <v>1700</v>
      </c>
      <c r="Y697" s="313" t="s">
        <v>470</v>
      </c>
      <c r="Z697" s="314">
        <v>0.85</v>
      </c>
      <c r="AA697" s="313" t="s">
        <v>471</v>
      </c>
      <c r="AB697" s="313" t="s">
        <v>472</v>
      </c>
      <c r="AC697" s="316">
        <v>214</v>
      </c>
    </row>
    <row r="698" spans="1:29">
      <c r="A698" s="307" t="s">
        <v>704</v>
      </c>
      <c r="B698" s="308">
        <v>4</v>
      </c>
      <c r="C698" s="308">
        <v>555</v>
      </c>
      <c r="D698" s="308" t="s">
        <v>420</v>
      </c>
      <c r="E698" s="309">
        <v>1.5</v>
      </c>
      <c r="F698" s="310">
        <v>45230.545138888891</v>
      </c>
      <c r="G698" s="309">
        <v>1</v>
      </c>
      <c r="H698" s="309">
        <v>51.377400000000002</v>
      </c>
      <c r="I698" s="309">
        <v>5.5935499999999996</v>
      </c>
      <c r="J698" s="309">
        <v>-16.626280999999999</v>
      </c>
      <c r="K698" s="309">
        <v>-15.783975</v>
      </c>
      <c r="L698" s="309">
        <v>1014.1</v>
      </c>
      <c r="M698" s="309">
        <v>127.500704</v>
      </c>
      <c r="N698" s="309">
        <v>18170.09</v>
      </c>
      <c r="O698" s="309">
        <v>0</v>
      </c>
      <c r="P698" s="309">
        <v>0</v>
      </c>
      <c r="Q698" s="308" t="s">
        <v>479</v>
      </c>
      <c r="R698" s="308"/>
      <c r="S698" s="309">
        <v>15</v>
      </c>
      <c r="T698" s="309">
        <v>5</v>
      </c>
      <c r="U698" s="309">
        <v>0.7</v>
      </c>
      <c r="V698" s="309">
        <v>0.7</v>
      </c>
      <c r="W698" s="309">
        <v>0.7</v>
      </c>
      <c r="X698" s="309">
        <v>1700</v>
      </c>
      <c r="Y698" s="308" t="s">
        <v>470</v>
      </c>
      <c r="Z698" s="309">
        <v>0.85</v>
      </c>
      <c r="AA698" s="308" t="s">
        <v>471</v>
      </c>
      <c r="AB698" s="308" t="s">
        <v>472</v>
      </c>
      <c r="AC698" s="311">
        <v>214</v>
      </c>
    </row>
    <row r="699" spans="1:29">
      <c r="A699" s="312" t="s">
        <v>902</v>
      </c>
      <c r="B699" s="313">
        <v>4</v>
      </c>
      <c r="C699" s="313">
        <v>555</v>
      </c>
      <c r="D699" s="313" t="s">
        <v>420</v>
      </c>
      <c r="E699" s="314">
        <v>1.5</v>
      </c>
      <c r="F699" s="315">
        <v>45230.548611111109</v>
      </c>
      <c r="G699" s="314">
        <v>2</v>
      </c>
      <c r="H699" s="314">
        <v>51.370800000000003</v>
      </c>
      <c r="I699" s="314">
        <v>5.53627</v>
      </c>
      <c r="J699" s="314">
        <v>-16.187687</v>
      </c>
      <c r="K699" s="314">
        <v>-15.348993999999999</v>
      </c>
      <c r="L699" s="314">
        <v>1016.42</v>
      </c>
      <c r="M699" s="314">
        <v>114.999942</v>
      </c>
      <c r="N699" s="314">
        <v>18022.28</v>
      </c>
      <c r="O699" s="314">
        <v>0</v>
      </c>
      <c r="P699" s="314">
        <v>0</v>
      </c>
      <c r="Q699" s="313" t="s">
        <v>479</v>
      </c>
      <c r="R699" s="313"/>
      <c r="S699" s="314">
        <v>15</v>
      </c>
      <c r="T699" s="314">
        <v>5</v>
      </c>
      <c r="U699" s="314">
        <v>0.7</v>
      </c>
      <c r="V699" s="314">
        <v>0.7</v>
      </c>
      <c r="W699" s="314">
        <v>0.7</v>
      </c>
      <c r="X699" s="314">
        <v>1700</v>
      </c>
      <c r="Y699" s="313" t="s">
        <v>470</v>
      </c>
      <c r="Z699" s="314">
        <v>0.85</v>
      </c>
      <c r="AA699" s="313" t="s">
        <v>471</v>
      </c>
      <c r="AB699" s="313" t="s">
        <v>472</v>
      </c>
      <c r="AC699" s="316">
        <v>213</v>
      </c>
    </row>
    <row r="700" spans="1:29">
      <c r="A700" s="307" t="s">
        <v>903</v>
      </c>
      <c r="B700" s="308">
        <v>4</v>
      </c>
      <c r="C700" s="308">
        <v>555</v>
      </c>
      <c r="D700" s="308" t="s">
        <v>420</v>
      </c>
      <c r="E700" s="309">
        <v>1.5</v>
      </c>
      <c r="F700" s="310">
        <v>45230.552083333336</v>
      </c>
      <c r="G700" s="309">
        <v>2</v>
      </c>
      <c r="H700" s="309">
        <v>51.3675</v>
      </c>
      <c r="I700" s="309">
        <v>5.5594299999999999</v>
      </c>
      <c r="J700" s="309">
        <v>-16.552924999999998</v>
      </c>
      <c r="K700" s="309">
        <v>-15.712624999999999</v>
      </c>
      <c r="L700" s="309">
        <v>1029.2</v>
      </c>
      <c r="M700" s="309">
        <v>136.00114400000001</v>
      </c>
      <c r="N700" s="309">
        <v>18104.88</v>
      </c>
      <c r="O700" s="309">
        <v>0</v>
      </c>
      <c r="P700" s="309">
        <v>0</v>
      </c>
      <c r="Q700" s="308" t="s">
        <v>479</v>
      </c>
      <c r="R700" s="308"/>
      <c r="S700" s="309">
        <v>15</v>
      </c>
      <c r="T700" s="309">
        <v>5</v>
      </c>
      <c r="U700" s="309">
        <v>0.7</v>
      </c>
      <c r="V700" s="309">
        <v>0.7</v>
      </c>
      <c r="W700" s="309">
        <v>0.7</v>
      </c>
      <c r="X700" s="309">
        <v>1700</v>
      </c>
      <c r="Y700" s="308" t="s">
        <v>470</v>
      </c>
      <c r="Z700" s="309">
        <v>0.85</v>
      </c>
      <c r="AA700" s="308" t="s">
        <v>471</v>
      </c>
      <c r="AB700" s="308" t="s">
        <v>472</v>
      </c>
      <c r="AC700" s="311">
        <v>214</v>
      </c>
    </row>
    <row r="701" spans="1:29">
      <c r="A701" s="312" t="s">
        <v>904</v>
      </c>
      <c r="B701" s="313">
        <v>4</v>
      </c>
      <c r="C701" s="313">
        <v>555</v>
      </c>
      <c r="D701" s="313" t="s">
        <v>420</v>
      </c>
      <c r="E701" s="314">
        <v>1.5</v>
      </c>
      <c r="F701" s="315">
        <v>45230.555555555555</v>
      </c>
      <c r="G701" s="314">
        <v>2</v>
      </c>
      <c r="H701" s="314">
        <v>51.370800000000003</v>
      </c>
      <c r="I701" s="314">
        <v>5.4893099999999997</v>
      </c>
      <c r="J701" s="314">
        <v>-16.411956</v>
      </c>
      <c r="K701" s="314">
        <v>-15.565011999999999</v>
      </c>
      <c r="L701" s="314">
        <v>1018.4</v>
      </c>
      <c r="M701" s="314">
        <v>115.000681</v>
      </c>
      <c r="N701" s="314">
        <v>18026.330000000002</v>
      </c>
      <c r="O701" s="314">
        <v>0</v>
      </c>
      <c r="P701" s="314">
        <v>0</v>
      </c>
      <c r="Q701" s="313" t="s">
        <v>479</v>
      </c>
      <c r="R701" s="313"/>
      <c r="S701" s="314">
        <v>15</v>
      </c>
      <c r="T701" s="314">
        <v>5</v>
      </c>
      <c r="U701" s="314">
        <v>0.7</v>
      </c>
      <c r="V701" s="314">
        <v>0.7</v>
      </c>
      <c r="W701" s="314">
        <v>0.7</v>
      </c>
      <c r="X701" s="314">
        <v>1700</v>
      </c>
      <c r="Y701" s="313" t="s">
        <v>470</v>
      </c>
      <c r="Z701" s="314">
        <v>0.85</v>
      </c>
      <c r="AA701" s="313" t="s">
        <v>471</v>
      </c>
      <c r="AB701" s="313" t="s">
        <v>472</v>
      </c>
      <c r="AC701" s="316">
        <v>215</v>
      </c>
    </row>
    <row r="702" spans="1:29">
      <c r="A702" s="307" t="s">
        <v>905</v>
      </c>
      <c r="B702" s="308">
        <v>4</v>
      </c>
      <c r="C702" s="308">
        <v>555</v>
      </c>
      <c r="D702" s="308" t="s">
        <v>420</v>
      </c>
      <c r="E702" s="309">
        <v>1.5</v>
      </c>
      <c r="F702" s="310">
        <v>45230.559027777781</v>
      </c>
      <c r="G702" s="309">
        <v>2</v>
      </c>
      <c r="H702" s="309">
        <v>51.374099999999999</v>
      </c>
      <c r="I702" s="309">
        <v>5.5488400000000002</v>
      </c>
      <c r="J702" s="309">
        <v>-16.617993999999999</v>
      </c>
      <c r="K702" s="309">
        <v>-15.772644</v>
      </c>
      <c r="L702" s="309">
        <v>1030.6400000000001</v>
      </c>
      <c r="M702" s="309">
        <v>129.500248</v>
      </c>
      <c r="N702" s="309">
        <v>18370.64</v>
      </c>
      <c r="O702" s="309">
        <v>0</v>
      </c>
      <c r="P702" s="309">
        <v>0</v>
      </c>
      <c r="Q702" s="308" t="s">
        <v>479</v>
      </c>
      <c r="R702" s="308"/>
      <c r="S702" s="309">
        <v>15</v>
      </c>
      <c r="T702" s="309">
        <v>5</v>
      </c>
      <c r="U702" s="309">
        <v>0.7</v>
      </c>
      <c r="V702" s="309">
        <v>0.7</v>
      </c>
      <c r="W702" s="309">
        <v>0.7</v>
      </c>
      <c r="X702" s="309">
        <v>1700</v>
      </c>
      <c r="Y702" s="308" t="s">
        <v>470</v>
      </c>
      <c r="Z702" s="309">
        <v>0.85</v>
      </c>
      <c r="AA702" s="308" t="s">
        <v>471</v>
      </c>
      <c r="AB702" s="308" t="s">
        <v>472</v>
      </c>
      <c r="AC702" s="311">
        <v>213</v>
      </c>
    </row>
    <row r="703" spans="1:29">
      <c r="A703" s="312" t="s">
        <v>906</v>
      </c>
      <c r="B703" s="313">
        <v>4</v>
      </c>
      <c r="C703" s="313">
        <v>555</v>
      </c>
      <c r="D703" s="313" t="s">
        <v>420</v>
      </c>
      <c r="E703" s="314">
        <v>1.5</v>
      </c>
      <c r="F703" s="315">
        <v>45230.563194444447</v>
      </c>
      <c r="G703" s="314">
        <v>2</v>
      </c>
      <c r="H703" s="314">
        <v>51.374099999999999</v>
      </c>
      <c r="I703" s="314">
        <v>5.51776</v>
      </c>
      <c r="J703" s="314">
        <v>-16.530875000000002</v>
      </c>
      <c r="K703" s="314">
        <v>-15.688912999999999</v>
      </c>
      <c r="L703" s="314">
        <v>1025.01</v>
      </c>
      <c r="M703" s="314">
        <v>124.50075099999999</v>
      </c>
      <c r="N703" s="314">
        <v>18177.240000000002</v>
      </c>
      <c r="O703" s="314">
        <v>0</v>
      </c>
      <c r="P703" s="314">
        <v>0</v>
      </c>
      <c r="Q703" s="313" t="s">
        <v>479</v>
      </c>
      <c r="R703" s="313"/>
      <c r="S703" s="314">
        <v>15</v>
      </c>
      <c r="T703" s="314">
        <v>5</v>
      </c>
      <c r="U703" s="314">
        <v>0.7</v>
      </c>
      <c r="V703" s="314">
        <v>0.7</v>
      </c>
      <c r="W703" s="314">
        <v>0.7</v>
      </c>
      <c r="X703" s="314">
        <v>1700</v>
      </c>
      <c r="Y703" s="313" t="s">
        <v>470</v>
      </c>
      <c r="Z703" s="314">
        <v>0.85</v>
      </c>
      <c r="AA703" s="313" t="s">
        <v>471</v>
      </c>
      <c r="AB703" s="313" t="s">
        <v>472</v>
      </c>
      <c r="AC703" s="316">
        <v>214</v>
      </c>
    </row>
    <row r="704" spans="1:29">
      <c r="A704" s="307" t="s">
        <v>599</v>
      </c>
      <c r="B704" s="308">
        <v>5</v>
      </c>
      <c r="C704" s="308">
        <v>565</v>
      </c>
      <c r="D704" s="308" t="s">
        <v>421</v>
      </c>
      <c r="E704" s="309">
        <v>1.5</v>
      </c>
      <c r="F704" s="310">
        <v>45230.567361111112</v>
      </c>
      <c r="G704" s="309">
        <v>1</v>
      </c>
      <c r="H704" s="309">
        <v>51.370800000000003</v>
      </c>
      <c r="I704" s="309">
        <v>5.4606300000000001</v>
      </c>
      <c r="J704" s="309">
        <v>-16.574694000000001</v>
      </c>
      <c r="K704" s="309">
        <v>-15.726644</v>
      </c>
      <c r="L704" s="309">
        <v>1036.47</v>
      </c>
      <c r="M704" s="309">
        <v>120.999956</v>
      </c>
      <c r="N704" s="309">
        <v>18193.28</v>
      </c>
      <c r="O704" s="309">
        <v>0</v>
      </c>
      <c r="P704" s="309">
        <v>0</v>
      </c>
      <c r="Q704" s="308" t="s">
        <v>479</v>
      </c>
      <c r="R704" s="308"/>
      <c r="S704" s="309">
        <v>15</v>
      </c>
      <c r="T704" s="309">
        <v>5</v>
      </c>
      <c r="U704" s="309">
        <v>0.7</v>
      </c>
      <c r="V704" s="309">
        <v>0.7</v>
      </c>
      <c r="W704" s="309">
        <v>0.7</v>
      </c>
      <c r="X704" s="309">
        <v>1700</v>
      </c>
      <c r="Y704" s="308" t="s">
        <v>470</v>
      </c>
      <c r="Z704" s="309">
        <v>0.85</v>
      </c>
      <c r="AA704" s="308" t="s">
        <v>471</v>
      </c>
      <c r="AB704" s="308" t="s">
        <v>472</v>
      </c>
      <c r="AC704" s="311">
        <v>214</v>
      </c>
    </row>
    <row r="705" spans="1:29">
      <c r="A705" s="312" t="s">
        <v>705</v>
      </c>
      <c r="B705" s="313">
        <v>5</v>
      </c>
      <c r="C705" s="313">
        <v>565</v>
      </c>
      <c r="D705" s="313" t="s">
        <v>421</v>
      </c>
      <c r="E705" s="314">
        <v>1.5</v>
      </c>
      <c r="F705" s="315">
        <v>45230.570833333331</v>
      </c>
      <c r="G705" s="314">
        <v>1</v>
      </c>
      <c r="H705" s="314">
        <v>51.370800000000003</v>
      </c>
      <c r="I705" s="314">
        <v>5.5307399999999998</v>
      </c>
      <c r="J705" s="314">
        <v>-16.452781000000002</v>
      </c>
      <c r="K705" s="314">
        <v>-15.613130999999999</v>
      </c>
      <c r="L705" s="314">
        <v>1049.75</v>
      </c>
      <c r="M705" s="314">
        <v>120.00085300000001</v>
      </c>
      <c r="N705" s="314">
        <v>18523.27</v>
      </c>
      <c r="O705" s="314">
        <v>0</v>
      </c>
      <c r="P705" s="314">
        <v>0</v>
      </c>
      <c r="Q705" s="313" t="s">
        <v>479</v>
      </c>
      <c r="R705" s="313"/>
      <c r="S705" s="314">
        <v>15</v>
      </c>
      <c r="T705" s="314">
        <v>5</v>
      </c>
      <c r="U705" s="314">
        <v>0.7</v>
      </c>
      <c r="V705" s="314">
        <v>0.7</v>
      </c>
      <c r="W705" s="314">
        <v>0.7</v>
      </c>
      <c r="X705" s="314">
        <v>1700</v>
      </c>
      <c r="Y705" s="313" t="s">
        <v>470</v>
      </c>
      <c r="Z705" s="314">
        <v>0.85</v>
      </c>
      <c r="AA705" s="313" t="s">
        <v>471</v>
      </c>
      <c r="AB705" s="313" t="s">
        <v>472</v>
      </c>
      <c r="AC705" s="316">
        <v>211</v>
      </c>
    </row>
    <row r="706" spans="1:29">
      <c r="A706" s="307" t="s">
        <v>706</v>
      </c>
      <c r="B706" s="308">
        <v>5</v>
      </c>
      <c r="C706" s="308">
        <v>565</v>
      </c>
      <c r="D706" s="308" t="s">
        <v>421</v>
      </c>
      <c r="E706" s="309">
        <v>1.5</v>
      </c>
      <c r="F706" s="310">
        <v>45230.574305555558</v>
      </c>
      <c r="G706" s="309">
        <v>1</v>
      </c>
      <c r="H706" s="309">
        <v>51.3675</v>
      </c>
      <c r="I706" s="309">
        <v>5.5173300000000003</v>
      </c>
      <c r="J706" s="309">
        <v>-16.482486999999999</v>
      </c>
      <c r="K706" s="309">
        <v>-15.642537000000001</v>
      </c>
      <c r="L706" s="309">
        <v>1032.52</v>
      </c>
      <c r="M706" s="309">
        <v>119.00026200000001</v>
      </c>
      <c r="N706" s="309">
        <v>18266.11</v>
      </c>
      <c r="O706" s="309">
        <v>0</v>
      </c>
      <c r="P706" s="309">
        <v>0</v>
      </c>
      <c r="Q706" s="308" t="s">
        <v>479</v>
      </c>
      <c r="R706" s="308"/>
      <c r="S706" s="309">
        <v>15</v>
      </c>
      <c r="T706" s="309">
        <v>5</v>
      </c>
      <c r="U706" s="309">
        <v>0.7</v>
      </c>
      <c r="V706" s="309">
        <v>0.7</v>
      </c>
      <c r="W706" s="309">
        <v>0.7</v>
      </c>
      <c r="X706" s="309">
        <v>1700</v>
      </c>
      <c r="Y706" s="308" t="s">
        <v>470</v>
      </c>
      <c r="Z706" s="309">
        <v>0.85</v>
      </c>
      <c r="AA706" s="308" t="s">
        <v>471</v>
      </c>
      <c r="AB706" s="308" t="s">
        <v>472</v>
      </c>
      <c r="AC706" s="311">
        <v>213</v>
      </c>
    </row>
    <row r="707" spans="1:29">
      <c r="A707" s="312" t="s">
        <v>864</v>
      </c>
      <c r="B707" s="313">
        <v>5</v>
      </c>
      <c r="C707" s="313">
        <v>565</v>
      </c>
      <c r="D707" s="313" t="s">
        <v>421</v>
      </c>
      <c r="E707" s="314">
        <v>1.5</v>
      </c>
      <c r="F707" s="315">
        <v>45230.577777777777</v>
      </c>
      <c r="G707" s="314">
        <v>1</v>
      </c>
      <c r="H707" s="314">
        <v>51.370800000000003</v>
      </c>
      <c r="I707" s="314">
        <v>5.5445799999999998</v>
      </c>
      <c r="J707" s="314">
        <v>-16.620269</v>
      </c>
      <c r="K707" s="314">
        <v>-15.774312999999999</v>
      </c>
      <c r="L707" s="314">
        <v>1032.8399999999999</v>
      </c>
      <c r="M707" s="314">
        <v>125.999833</v>
      </c>
      <c r="N707" s="314">
        <v>18222.71</v>
      </c>
      <c r="O707" s="314">
        <v>0</v>
      </c>
      <c r="P707" s="314">
        <v>0</v>
      </c>
      <c r="Q707" s="313" t="s">
        <v>479</v>
      </c>
      <c r="R707" s="313"/>
      <c r="S707" s="314">
        <v>15</v>
      </c>
      <c r="T707" s="314">
        <v>5</v>
      </c>
      <c r="U707" s="314">
        <v>0.7</v>
      </c>
      <c r="V707" s="314">
        <v>0.7</v>
      </c>
      <c r="W707" s="314">
        <v>0.7</v>
      </c>
      <c r="X707" s="314">
        <v>1700</v>
      </c>
      <c r="Y707" s="313" t="s">
        <v>470</v>
      </c>
      <c r="Z707" s="314">
        <v>0.85</v>
      </c>
      <c r="AA707" s="313" t="s">
        <v>471</v>
      </c>
      <c r="AB707" s="313" t="s">
        <v>472</v>
      </c>
      <c r="AC707" s="316">
        <v>216</v>
      </c>
    </row>
    <row r="708" spans="1:29">
      <c r="A708" s="307" t="s">
        <v>865</v>
      </c>
      <c r="B708" s="308">
        <v>5</v>
      </c>
      <c r="C708" s="308">
        <v>565</v>
      </c>
      <c r="D708" s="308" t="s">
        <v>421</v>
      </c>
      <c r="E708" s="309">
        <v>1.5</v>
      </c>
      <c r="F708" s="310">
        <v>45230.581250000003</v>
      </c>
      <c r="G708" s="309">
        <v>1</v>
      </c>
      <c r="H708" s="309">
        <v>51.374099999999999</v>
      </c>
      <c r="I708" s="309">
        <v>5.5263099999999996</v>
      </c>
      <c r="J708" s="309">
        <v>-16.594587000000001</v>
      </c>
      <c r="K708" s="309">
        <v>-15.750280999999999</v>
      </c>
      <c r="L708" s="309">
        <v>1001.68</v>
      </c>
      <c r="M708" s="309">
        <v>122.00008200000001</v>
      </c>
      <c r="N708" s="309">
        <v>17819.330000000002</v>
      </c>
      <c r="O708" s="309">
        <v>0</v>
      </c>
      <c r="P708" s="309">
        <v>0</v>
      </c>
      <c r="Q708" s="308" t="s">
        <v>479</v>
      </c>
      <c r="R708" s="308"/>
      <c r="S708" s="309">
        <v>15</v>
      </c>
      <c r="T708" s="309">
        <v>5</v>
      </c>
      <c r="U708" s="309">
        <v>0.7</v>
      </c>
      <c r="V708" s="309">
        <v>0.7</v>
      </c>
      <c r="W708" s="309">
        <v>0.7</v>
      </c>
      <c r="X708" s="309">
        <v>1700</v>
      </c>
      <c r="Y708" s="308" t="s">
        <v>470</v>
      </c>
      <c r="Z708" s="309">
        <v>0.85</v>
      </c>
      <c r="AA708" s="308" t="s">
        <v>471</v>
      </c>
      <c r="AB708" s="308" t="s">
        <v>472</v>
      </c>
      <c r="AC708" s="311">
        <v>217</v>
      </c>
    </row>
    <row r="709" spans="1:29">
      <c r="A709" s="312" t="s">
        <v>866</v>
      </c>
      <c r="B709" s="313">
        <v>5</v>
      </c>
      <c r="C709" s="313">
        <v>565</v>
      </c>
      <c r="D709" s="313" t="s">
        <v>421</v>
      </c>
      <c r="E709" s="314">
        <v>1.5</v>
      </c>
      <c r="F709" s="315">
        <v>45230.584722222222</v>
      </c>
      <c r="G709" s="314">
        <v>2</v>
      </c>
      <c r="H709" s="314">
        <v>51.3675</v>
      </c>
      <c r="I709" s="314">
        <v>5.5756100000000002</v>
      </c>
      <c r="J709" s="314">
        <v>-16.446743999999999</v>
      </c>
      <c r="K709" s="314">
        <v>-15.605024999999999</v>
      </c>
      <c r="L709" s="314">
        <v>1005.87</v>
      </c>
      <c r="M709" s="314">
        <v>115.999269</v>
      </c>
      <c r="N709" s="314">
        <v>17897.22</v>
      </c>
      <c r="O709" s="314">
        <v>0</v>
      </c>
      <c r="P709" s="314">
        <v>0</v>
      </c>
      <c r="Q709" s="313" t="s">
        <v>479</v>
      </c>
      <c r="R709" s="313"/>
      <c r="S709" s="314">
        <v>15</v>
      </c>
      <c r="T709" s="314">
        <v>5</v>
      </c>
      <c r="U709" s="314">
        <v>0.7</v>
      </c>
      <c r="V709" s="314">
        <v>0.7</v>
      </c>
      <c r="W709" s="314">
        <v>0.7</v>
      </c>
      <c r="X709" s="314">
        <v>1700</v>
      </c>
      <c r="Y709" s="313" t="s">
        <v>470</v>
      </c>
      <c r="Z709" s="314">
        <v>0.85</v>
      </c>
      <c r="AA709" s="313" t="s">
        <v>471</v>
      </c>
      <c r="AB709" s="313" t="s">
        <v>472</v>
      </c>
      <c r="AC709" s="316">
        <v>217</v>
      </c>
    </row>
    <row r="710" spans="1:29">
      <c r="A710" s="307" t="s">
        <v>867</v>
      </c>
      <c r="B710" s="308">
        <v>5</v>
      </c>
      <c r="C710" s="308">
        <v>565</v>
      </c>
      <c r="D710" s="308" t="s">
        <v>421</v>
      </c>
      <c r="E710" s="309">
        <v>1.5</v>
      </c>
      <c r="F710" s="310">
        <v>45230.588194444441</v>
      </c>
      <c r="G710" s="309">
        <v>2</v>
      </c>
      <c r="H710" s="309">
        <v>51.377400000000002</v>
      </c>
      <c r="I710" s="309">
        <v>5.5449200000000003</v>
      </c>
      <c r="J710" s="309">
        <v>-16.597456000000001</v>
      </c>
      <c r="K710" s="309">
        <v>-15.765893999999999</v>
      </c>
      <c r="L710" s="309">
        <v>1005.2</v>
      </c>
      <c r="M710" s="309">
        <v>120.000872</v>
      </c>
      <c r="N710" s="309">
        <v>17764.91</v>
      </c>
      <c r="O710" s="309">
        <v>0</v>
      </c>
      <c r="P710" s="309">
        <v>0</v>
      </c>
      <c r="Q710" s="308" t="s">
        <v>479</v>
      </c>
      <c r="R710" s="308"/>
      <c r="S710" s="309">
        <v>15</v>
      </c>
      <c r="T710" s="309">
        <v>5</v>
      </c>
      <c r="U710" s="309">
        <v>0.7</v>
      </c>
      <c r="V710" s="309">
        <v>0.7</v>
      </c>
      <c r="W710" s="309">
        <v>0.7</v>
      </c>
      <c r="X710" s="309">
        <v>1700</v>
      </c>
      <c r="Y710" s="308" t="s">
        <v>470</v>
      </c>
      <c r="Z710" s="309">
        <v>0.85</v>
      </c>
      <c r="AA710" s="308" t="s">
        <v>471</v>
      </c>
      <c r="AB710" s="308" t="s">
        <v>472</v>
      </c>
      <c r="AC710" s="311">
        <v>218</v>
      </c>
    </row>
    <row r="711" spans="1:29">
      <c r="A711" s="312" t="s">
        <v>868</v>
      </c>
      <c r="B711" s="313">
        <v>5</v>
      </c>
      <c r="C711" s="313">
        <v>565</v>
      </c>
      <c r="D711" s="313" t="s">
        <v>421</v>
      </c>
      <c r="E711" s="314">
        <v>1.5</v>
      </c>
      <c r="F711" s="315">
        <v>45230.591666666667</v>
      </c>
      <c r="G711" s="314">
        <v>2</v>
      </c>
      <c r="H711" s="314">
        <v>51.374099999999999</v>
      </c>
      <c r="I711" s="314">
        <v>5.5587900000000001</v>
      </c>
      <c r="J711" s="314">
        <v>-16.558913</v>
      </c>
      <c r="K711" s="314">
        <v>-15.719625000000001</v>
      </c>
      <c r="L711" s="314">
        <v>990.61199999999997</v>
      </c>
      <c r="M711" s="314">
        <v>115.00023</v>
      </c>
      <c r="N711" s="314">
        <v>17744.59</v>
      </c>
      <c r="O711" s="314">
        <v>0</v>
      </c>
      <c r="P711" s="314">
        <v>0</v>
      </c>
      <c r="Q711" s="313" t="s">
        <v>479</v>
      </c>
      <c r="R711" s="313"/>
      <c r="S711" s="314">
        <v>15</v>
      </c>
      <c r="T711" s="314">
        <v>5</v>
      </c>
      <c r="U711" s="314">
        <v>0.7</v>
      </c>
      <c r="V711" s="314">
        <v>0.7</v>
      </c>
      <c r="W711" s="314">
        <v>0.7</v>
      </c>
      <c r="X711" s="314">
        <v>1700</v>
      </c>
      <c r="Y711" s="313" t="s">
        <v>470</v>
      </c>
      <c r="Z711" s="314">
        <v>0.85</v>
      </c>
      <c r="AA711" s="313" t="s">
        <v>471</v>
      </c>
      <c r="AB711" s="313" t="s">
        <v>472</v>
      </c>
      <c r="AC711" s="316">
        <v>219</v>
      </c>
    </row>
    <row r="712" spans="1:29">
      <c r="A712" s="307" t="s">
        <v>869</v>
      </c>
      <c r="B712" s="308">
        <v>5</v>
      </c>
      <c r="C712" s="308">
        <v>565</v>
      </c>
      <c r="D712" s="308" t="s">
        <v>421</v>
      </c>
      <c r="E712" s="309">
        <v>1.5</v>
      </c>
      <c r="F712" s="310">
        <v>45230.595138888886</v>
      </c>
      <c r="G712" s="309">
        <v>2</v>
      </c>
      <c r="H712" s="309">
        <v>51.370800000000003</v>
      </c>
      <c r="I712" s="309">
        <v>5.5648900000000001</v>
      </c>
      <c r="J712" s="309">
        <v>-16.615680999999999</v>
      </c>
      <c r="K712" s="309">
        <v>-15.766069</v>
      </c>
      <c r="L712" s="309">
        <v>1004.43</v>
      </c>
      <c r="M712" s="309">
        <v>121.000528</v>
      </c>
      <c r="N712" s="309">
        <v>17819.599999999999</v>
      </c>
      <c r="O712" s="309">
        <v>0</v>
      </c>
      <c r="P712" s="309">
        <v>0</v>
      </c>
      <c r="Q712" s="308" t="s">
        <v>479</v>
      </c>
      <c r="R712" s="308"/>
      <c r="S712" s="309">
        <v>15</v>
      </c>
      <c r="T712" s="309">
        <v>5</v>
      </c>
      <c r="U712" s="309">
        <v>0.7</v>
      </c>
      <c r="V712" s="309">
        <v>0.7</v>
      </c>
      <c r="W712" s="309">
        <v>0.7</v>
      </c>
      <c r="X712" s="309">
        <v>1700</v>
      </c>
      <c r="Y712" s="308" t="s">
        <v>470</v>
      </c>
      <c r="Z712" s="309">
        <v>0.85</v>
      </c>
      <c r="AA712" s="308" t="s">
        <v>471</v>
      </c>
      <c r="AB712" s="308" t="s">
        <v>472</v>
      </c>
      <c r="AC712" s="311">
        <v>218</v>
      </c>
    </row>
    <row r="713" spans="1:29">
      <c r="A713" s="312" t="s">
        <v>870</v>
      </c>
      <c r="B713" s="313">
        <v>5</v>
      </c>
      <c r="C713" s="313">
        <v>565</v>
      </c>
      <c r="D713" s="313" t="s">
        <v>421</v>
      </c>
      <c r="E713" s="314">
        <v>1.5</v>
      </c>
      <c r="F713" s="315">
        <v>45230.598611111112</v>
      </c>
      <c r="G713" s="314">
        <v>2</v>
      </c>
      <c r="H713" s="314">
        <v>51.370800000000003</v>
      </c>
      <c r="I713" s="314">
        <v>5.59762</v>
      </c>
      <c r="J713" s="314">
        <v>-16.645356</v>
      </c>
      <c r="K713" s="314">
        <v>-15.798605999999999</v>
      </c>
      <c r="L713" s="314">
        <v>1009.94</v>
      </c>
      <c r="M713" s="314">
        <v>130.50132099999999</v>
      </c>
      <c r="N713" s="314">
        <v>18184.099999999999</v>
      </c>
      <c r="O713" s="314">
        <v>0</v>
      </c>
      <c r="P713" s="314">
        <v>0</v>
      </c>
      <c r="Q713" s="313" t="s">
        <v>479</v>
      </c>
      <c r="R713" s="313"/>
      <c r="S713" s="314">
        <v>15</v>
      </c>
      <c r="T713" s="314">
        <v>5</v>
      </c>
      <c r="U713" s="314">
        <v>0.7</v>
      </c>
      <c r="V713" s="314">
        <v>0.7</v>
      </c>
      <c r="W713" s="314">
        <v>0.7</v>
      </c>
      <c r="X713" s="314">
        <v>1700</v>
      </c>
      <c r="Y713" s="313" t="s">
        <v>470</v>
      </c>
      <c r="Z713" s="314">
        <v>0.85</v>
      </c>
      <c r="AA713" s="313" t="s">
        <v>471</v>
      </c>
      <c r="AB713" s="313" t="s">
        <v>472</v>
      </c>
      <c r="AC713" s="316">
        <v>214</v>
      </c>
    </row>
    <row r="714" spans="1:29">
      <c r="A714" s="307" t="s">
        <v>600</v>
      </c>
      <c r="B714" s="308">
        <v>6</v>
      </c>
      <c r="C714" s="308">
        <v>555</v>
      </c>
      <c r="D714" s="308" t="s">
        <v>420</v>
      </c>
      <c r="E714" s="309">
        <v>1.5</v>
      </c>
      <c r="F714" s="310">
        <v>45230.604166666664</v>
      </c>
      <c r="G714" s="309">
        <v>1</v>
      </c>
      <c r="H714" s="309">
        <v>51.374099999999999</v>
      </c>
      <c r="I714" s="309">
        <v>5.4827700000000004</v>
      </c>
      <c r="J714" s="309">
        <v>-16.559656</v>
      </c>
      <c r="K714" s="309">
        <v>-15.727480999999999</v>
      </c>
      <c r="L714" s="309">
        <v>1027.8</v>
      </c>
      <c r="M714" s="309">
        <v>118.50014400000001</v>
      </c>
      <c r="N714" s="309">
        <v>18202.400000000001</v>
      </c>
      <c r="O714" s="309">
        <v>0</v>
      </c>
      <c r="P714" s="309">
        <v>0</v>
      </c>
      <c r="Q714" s="308" t="s">
        <v>479</v>
      </c>
      <c r="R714" s="308"/>
      <c r="S714" s="309">
        <v>15</v>
      </c>
      <c r="T714" s="309">
        <v>5</v>
      </c>
      <c r="U714" s="309">
        <v>0.7</v>
      </c>
      <c r="V714" s="309">
        <v>0.7</v>
      </c>
      <c r="W714" s="309">
        <v>0.7</v>
      </c>
      <c r="X714" s="309">
        <v>1700</v>
      </c>
      <c r="Y714" s="308" t="s">
        <v>470</v>
      </c>
      <c r="Z714" s="309">
        <v>0.85</v>
      </c>
      <c r="AA714" s="308" t="s">
        <v>471</v>
      </c>
      <c r="AB714" s="308" t="s">
        <v>472</v>
      </c>
      <c r="AC714" s="311">
        <v>214</v>
      </c>
    </row>
    <row r="715" spans="1:29">
      <c r="A715" s="312" t="s">
        <v>707</v>
      </c>
      <c r="B715" s="313">
        <v>6</v>
      </c>
      <c r="C715" s="313">
        <v>555</v>
      </c>
      <c r="D715" s="313" t="s">
        <v>420</v>
      </c>
      <c r="E715" s="314">
        <v>1.5</v>
      </c>
      <c r="F715" s="315">
        <v>45230.607638888891</v>
      </c>
      <c r="G715" s="314">
        <v>1</v>
      </c>
      <c r="H715" s="314">
        <v>51.3675</v>
      </c>
      <c r="I715" s="314">
        <v>5.5369200000000003</v>
      </c>
      <c r="J715" s="314">
        <v>-16.709036999999999</v>
      </c>
      <c r="K715" s="314">
        <v>-15.86045</v>
      </c>
      <c r="L715" s="314">
        <v>1025.5999999999999</v>
      </c>
      <c r="M715" s="314">
        <v>124.50103</v>
      </c>
      <c r="N715" s="314">
        <v>18125.93</v>
      </c>
      <c r="O715" s="314">
        <v>0</v>
      </c>
      <c r="P715" s="314">
        <v>0</v>
      </c>
      <c r="Q715" s="313" t="s">
        <v>479</v>
      </c>
      <c r="R715" s="313"/>
      <c r="S715" s="314">
        <v>15</v>
      </c>
      <c r="T715" s="314">
        <v>5</v>
      </c>
      <c r="U715" s="314">
        <v>0.7</v>
      </c>
      <c r="V715" s="314">
        <v>0.7</v>
      </c>
      <c r="W715" s="314">
        <v>0.7</v>
      </c>
      <c r="X715" s="314">
        <v>1700</v>
      </c>
      <c r="Y715" s="313" t="s">
        <v>470</v>
      </c>
      <c r="Z715" s="314">
        <v>0.85</v>
      </c>
      <c r="AA715" s="313" t="s">
        <v>471</v>
      </c>
      <c r="AB715" s="313" t="s">
        <v>472</v>
      </c>
      <c r="AC715" s="316">
        <v>214</v>
      </c>
    </row>
    <row r="716" spans="1:29">
      <c r="A716" s="307" t="s">
        <v>708</v>
      </c>
      <c r="B716" s="308">
        <v>6</v>
      </c>
      <c r="C716" s="308">
        <v>555</v>
      </c>
      <c r="D716" s="308" t="s">
        <v>420</v>
      </c>
      <c r="E716" s="309">
        <v>1.5</v>
      </c>
      <c r="F716" s="310">
        <v>45230.611111111109</v>
      </c>
      <c r="G716" s="309">
        <v>1</v>
      </c>
      <c r="H716" s="309">
        <v>51.3675</v>
      </c>
      <c r="I716" s="309">
        <v>5.5585300000000002</v>
      </c>
      <c r="J716" s="309">
        <v>-16.600787</v>
      </c>
      <c r="K716" s="309">
        <v>-15.766475</v>
      </c>
      <c r="L716" s="309">
        <v>1022.78</v>
      </c>
      <c r="M716" s="309">
        <v>134.49941200000001</v>
      </c>
      <c r="N716" s="309">
        <v>18277.580000000002</v>
      </c>
      <c r="O716" s="309">
        <v>0</v>
      </c>
      <c r="P716" s="309">
        <v>0</v>
      </c>
      <c r="Q716" s="308" t="s">
        <v>479</v>
      </c>
      <c r="R716" s="308"/>
      <c r="S716" s="309">
        <v>15</v>
      </c>
      <c r="T716" s="309">
        <v>5</v>
      </c>
      <c r="U716" s="309">
        <v>0.7</v>
      </c>
      <c r="V716" s="309">
        <v>0.7</v>
      </c>
      <c r="W716" s="309">
        <v>0.7</v>
      </c>
      <c r="X716" s="309">
        <v>1700</v>
      </c>
      <c r="Y716" s="308" t="s">
        <v>470</v>
      </c>
      <c r="Z716" s="309">
        <v>0.85</v>
      </c>
      <c r="AA716" s="308" t="s">
        <v>471</v>
      </c>
      <c r="AB716" s="308" t="s">
        <v>472</v>
      </c>
      <c r="AC716" s="311">
        <v>211</v>
      </c>
    </row>
    <row r="717" spans="1:29">
      <c r="A717" s="312" t="s">
        <v>871</v>
      </c>
      <c r="B717" s="313">
        <v>6</v>
      </c>
      <c r="C717" s="313">
        <v>555</v>
      </c>
      <c r="D717" s="313" t="s">
        <v>420</v>
      </c>
      <c r="E717" s="314">
        <v>1.5</v>
      </c>
      <c r="F717" s="315">
        <v>45230.614583333336</v>
      </c>
      <c r="G717" s="314">
        <v>1</v>
      </c>
      <c r="H717" s="314">
        <v>51.3675</v>
      </c>
      <c r="I717" s="314">
        <v>5.5032500000000004</v>
      </c>
      <c r="J717" s="314">
        <v>-16.562443999999999</v>
      </c>
      <c r="K717" s="314">
        <v>-15.728394</v>
      </c>
      <c r="L717" s="314">
        <v>1008.13</v>
      </c>
      <c r="M717" s="314">
        <v>118.498757</v>
      </c>
      <c r="N717" s="314">
        <v>17995.75</v>
      </c>
      <c r="O717" s="314">
        <v>0</v>
      </c>
      <c r="P717" s="314">
        <v>0</v>
      </c>
      <c r="Q717" s="313" t="s">
        <v>479</v>
      </c>
      <c r="R717" s="313"/>
      <c r="S717" s="314">
        <v>15</v>
      </c>
      <c r="T717" s="314">
        <v>5</v>
      </c>
      <c r="U717" s="314">
        <v>0.7</v>
      </c>
      <c r="V717" s="314">
        <v>0.7</v>
      </c>
      <c r="W717" s="314">
        <v>0.7</v>
      </c>
      <c r="X717" s="314">
        <v>1700</v>
      </c>
      <c r="Y717" s="313" t="s">
        <v>470</v>
      </c>
      <c r="Z717" s="314">
        <v>0.85</v>
      </c>
      <c r="AA717" s="313" t="s">
        <v>471</v>
      </c>
      <c r="AB717" s="313" t="s">
        <v>472</v>
      </c>
      <c r="AC717" s="316">
        <v>215</v>
      </c>
    </row>
    <row r="718" spans="1:29">
      <c r="A718" s="307" t="s">
        <v>872</v>
      </c>
      <c r="B718" s="308">
        <v>6</v>
      </c>
      <c r="C718" s="308">
        <v>555</v>
      </c>
      <c r="D718" s="308" t="s">
        <v>420</v>
      </c>
      <c r="E718" s="309">
        <v>1.5</v>
      </c>
      <c r="F718" s="310">
        <v>45230.618750000001</v>
      </c>
      <c r="G718" s="309">
        <v>1</v>
      </c>
      <c r="H718" s="309">
        <v>51.370800000000003</v>
      </c>
      <c r="I718" s="309">
        <v>5.4811300000000003</v>
      </c>
      <c r="J718" s="309">
        <v>-16.614563</v>
      </c>
      <c r="K718" s="309">
        <v>-15.785356</v>
      </c>
      <c r="L718" s="309">
        <v>1014.88</v>
      </c>
      <c r="M718" s="309">
        <v>127.49959699999999</v>
      </c>
      <c r="N718" s="309">
        <v>18009.52</v>
      </c>
      <c r="O718" s="309">
        <v>0</v>
      </c>
      <c r="P718" s="309">
        <v>0</v>
      </c>
      <c r="Q718" s="308" t="s">
        <v>479</v>
      </c>
      <c r="R718" s="308"/>
      <c r="S718" s="309">
        <v>15</v>
      </c>
      <c r="T718" s="309">
        <v>5</v>
      </c>
      <c r="U718" s="309">
        <v>0.7</v>
      </c>
      <c r="V718" s="309">
        <v>0.7</v>
      </c>
      <c r="W718" s="309">
        <v>0.7</v>
      </c>
      <c r="X718" s="309">
        <v>1700</v>
      </c>
      <c r="Y718" s="308" t="s">
        <v>470</v>
      </c>
      <c r="Z718" s="309">
        <v>0.85</v>
      </c>
      <c r="AA718" s="308" t="s">
        <v>471</v>
      </c>
      <c r="AB718" s="308" t="s">
        <v>472</v>
      </c>
      <c r="AC718" s="311">
        <v>215</v>
      </c>
    </row>
    <row r="719" spans="1:29">
      <c r="A719" s="312" t="s">
        <v>873</v>
      </c>
      <c r="B719" s="313">
        <v>6</v>
      </c>
      <c r="C719" s="313">
        <v>555</v>
      </c>
      <c r="D719" s="313" t="s">
        <v>420</v>
      </c>
      <c r="E719" s="314">
        <v>1.5</v>
      </c>
      <c r="F719" s="315">
        <v>45230.62222222222</v>
      </c>
      <c r="G719" s="314">
        <v>2</v>
      </c>
      <c r="H719" s="314">
        <v>51.374099999999999</v>
      </c>
      <c r="I719" s="314">
        <v>5.4714900000000002</v>
      </c>
      <c r="J719" s="314">
        <v>-16.467555999999998</v>
      </c>
      <c r="K719" s="314">
        <v>-15.631012999999999</v>
      </c>
      <c r="L719" s="314">
        <v>1042.5999999999999</v>
      </c>
      <c r="M719" s="314">
        <v>119.499481</v>
      </c>
      <c r="N719" s="314">
        <v>18363.599999999999</v>
      </c>
      <c r="O719" s="314">
        <v>0</v>
      </c>
      <c r="P719" s="314">
        <v>0</v>
      </c>
      <c r="Q719" s="313" t="s">
        <v>479</v>
      </c>
      <c r="R719" s="313"/>
      <c r="S719" s="314">
        <v>15</v>
      </c>
      <c r="T719" s="314">
        <v>5</v>
      </c>
      <c r="U719" s="314">
        <v>0.7</v>
      </c>
      <c r="V719" s="314">
        <v>0.7</v>
      </c>
      <c r="W719" s="314">
        <v>0.7</v>
      </c>
      <c r="X719" s="314">
        <v>1700</v>
      </c>
      <c r="Y719" s="313" t="s">
        <v>470</v>
      </c>
      <c r="Z719" s="314">
        <v>0.85</v>
      </c>
      <c r="AA719" s="313" t="s">
        <v>471</v>
      </c>
      <c r="AB719" s="313" t="s">
        <v>472</v>
      </c>
      <c r="AC719" s="316">
        <v>211</v>
      </c>
    </row>
    <row r="720" spans="1:29">
      <c r="A720" s="307" t="s">
        <v>875</v>
      </c>
      <c r="B720" s="308">
        <v>6</v>
      </c>
      <c r="C720" s="308">
        <v>555</v>
      </c>
      <c r="D720" s="308" t="s">
        <v>420</v>
      </c>
      <c r="E720" s="309">
        <v>1.5</v>
      </c>
      <c r="F720" s="310">
        <v>45230.625694444447</v>
      </c>
      <c r="G720" s="309">
        <v>2</v>
      </c>
      <c r="H720" s="309">
        <v>51.364100000000001</v>
      </c>
      <c r="I720" s="309">
        <v>5.4771700000000001</v>
      </c>
      <c r="J720" s="309">
        <v>-16.509419000000001</v>
      </c>
      <c r="K720" s="309">
        <v>-15.680006000000001</v>
      </c>
      <c r="L720" s="309">
        <v>1059.5999999999999</v>
      </c>
      <c r="M720" s="309">
        <v>125.99985100000001</v>
      </c>
      <c r="N720" s="309">
        <v>18747.22</v>
      </c>
      <c r="O720" s="309">
        <v>0</v>
      </c>
      <c r="P720" s="309">
        <v>0</v>
      </c>
      <c r="Q720" s="308" t="s">
        <v>479</v>
      </c>
      <c r="R720" s="308"/>
      <c r="S720" s="309">
        <v>15</v>
      </c>
      <c r="T720" s="309">
        <v>5</v>
      </c>
      <c r="U720" s="309">
        <v>0.7</v>
      </c>
      <c r="V720" s="309">
        <v>0.7</v>
      </c>
      <c r="W720" s="309">
        <v>0.7</v>
      </c>
      <c r="X720" s="309">
        <v>1700</v>
      </c>
      <c r="Y720" s="308" t="s">
        <v>470</v>
      </c>
      <c r="Z720" s="309">
        <v>0.85</v>
      </c>
      <c r="AA720" s="308" t="s">
        <v>471</v>
      </c>
      <c r="AB720" s="308" t="s">
        <v>472</v>
      </c>
      <c r="AC720" s="311">
        <v>208</v>
      </c>
    </row>
    <row r="721" spans="1:29">
      <c r="A721" s="312" t="s">
        <v>876</v>
      </c>
      <c r="B721" s="313">
        <v>6</v>
      </c>
      <c r="C721" s="313">
        <v>555</v>
      </c>
      <c r="D721" s="313" t="s">
        <v>420</v>
      </c>
      <c r="E721" s="314">
        <v>1.5</v>
      </c>
      <c r="F721" s="315">
        <v>45230.629166666666</v>
      </c>
      <c r="G721" s="314">
        <v>2</v>
      </c>
      <c r="H721" s="314">
        <v>51.374099999999999</v>
      </c>
      <c r="I721" s="314">
        <v>5.4707100000000004</v>
      </c>
      <c r="J721" s="314">
        <v>-16.437612999999999</v>
      </c>
      <c r="K721" s="314">
        <v>-15.593113000000001</v>
      </c>
      <c r="L721" s="314">
        <v>1046.8699999999999</v>
      </c>
      <c r="M721" s="314">
        <v>124.000094</v>
      </c>
      <c r="N721" s="314">
        <v>18627.22</v>
      </c>
      <c r="O721" s="314">
        <v>0</v>
      </c>
      <c r="P721" s="314">
        <v>0</v>
      </c>
      <c r="Q721" s="313" t="s">
        <v>479</v>
      </c>
      <c r="R721" s="313"/>
      <c r="S721" s="314">
        <v>15</v>
      </c>
      <c r="T721" s="314">
        <v>5</v>
      </c>
      <c r="U721" s="314">
        <v>0.7</v>
      </c>
      <c r="V721" s="314">
        <v>0.7</v>
      </c>
      <c r="W721" s="314">
        <v>0.7</v>
      </c>
      <c r="X721" s="314">
        <v>1700</v>
      </c>
      <c r="Y721" s="313" t="s">
        <v>470</v>
      </c>
      <c r="Z721" s="314">
        <v>0.85</v>
      </c>
      <c r="AA721" s="313" t="s">
        <v>471</v>
      </c>
      <c r="AB721" s="313" t="s">
        <v>472</v>
      </c>
      <c r="AC721" s="316">
        <v>208</v>
      </c>
    </row>
    <row r="722" spans="1:29">
      <c r="A722" s="307" t="s">
        <v>877</v>
      </c>
      <c r="B722" s="308">
        <v>6</v>
      </c>
      <c r="C722" s="308">
        <v>555</v>
      </c>
      <c r="D722" s="308" t="s">
        <v>420</v>
      </c>
      <c r="E722" s="309">
        <v>1.5</v>
      </c>
      <c r="F722" s="310">
        <v>45230.632638888892</v>
      </c>
      <c r="G722" s="309">
        <v>2</v>
      </c>
      <c r="H722" s="309">
        <v>51.374099999999999</v>
      </c>
      <c r="I722" s="309">
        <v>5.5151000000000003</v>
      </c>
      <c r="J722" s="309">
        <v>-16.396906000000001</v>
      </c>
      <c r="K722" s="309">
        <v>-15.563331</v>
      </c>
      <c r="L722" s="309">
        <v>1056.3</v>
      </c>
      <c r="M722" s="309">
        <v>123.999579</v>
      </c>
      <c r="N722" s="309">
        <v>18683.689999999999</v>
      </c>
      <c r="O722" s="309">
        <v>0</v>
      </c>
      <c r="P722" s="309">
        <v>0</v>
      </c>
      <c r="Q722" s="308" t="s">
        <v>479</v>
      </c>
      <c r="R722" s="308"/>
      <c r="S722" s="309">
        <v>15</v>
      </c>
      <c r="T722" s="309">
        <v>5</v>
      </c>
      <c r="U722" s="309">
        <v>0.7</v>
      </c>
      <c r="V722" s="309">
        <v>0.7</v>
      </c>
      <c r="W722" s="309">
        <v>0.7</v>
      </c>
      <c r="X722" s="309">
        <v>1700</v>
      </c>
      <c r="Y722" s="308" t="s">
        <v>470</v>
      </c>
      <c r="Z722" s="309">
        <v>0.85</v>
      </c>
      <c r="AA722" s="308" t="s">
        <v>471</v>
      </c>
      <c r="AB722" s="308" t="s">
        <v>472</v>
      </c>
      <c r="AC722" s="311">
        <v>209</v>
      </c>
    </row>
    <row r="723" spans="1:29">
      <c r="A723" s="312" t="s">
        <v>878</v>
      </c>
      <c r="B723" s="313">
        <v>6</v>
      </c>
      <c r="C723" s="313">
        <v>555</v>
      </c>
      <c r="D723" s="313" t="s">
        <v>420</v>
      </c>
      <c r="E723" s="314">
        <v>1.5</v>
      </c>
      <c r="F723" s="315">
        <v>45230.636805555558</v>
      </c>
      <c r="G723" s="314">
        <v>2</v>
      </c>
      <c r="H723" s="314">
        <v>51.370800000000003</v>
      </c>
      <c r="I723" s="314">
        <v>5.4816700000000003</v>
      </c>
      <c r="J723" s="314">
        <v>-16.343824999999999</v>
      </c>
      <c r="K723" s="314">
        <v>-15.497475</v>
      </c>
      <c r="L723" s="314">
        <v>1067.5</v>
      </c>
      <c r="M723" s="314">
        <v>130.501439</v>
      </c>
      <c r="N723" s="314">
        <v>18911.71</v>
      </c>
      <c r="O723" s="314">
        <v>0</v>
      </c>
      <c r="P723" s="314">
        <v>0</v>
      </c>
      <c r="Q723" s="313" t="s">
        <v>479</v>
      </c>
      <c r="R723" s="313"/>
      <c r="S723" s="314">
        <v>15</v>
      </c>
      <c r="T723" s="314">
        <v>5</v>
      </c>
      <c r="U723" s="314">
        <v>0.7</v>
      </c>
      <c r="V723" s="314">
        <v>0.7</v>
      </c>
      <c r="W723" s="314">
        <v>0.7</v>
      </c>
      <c r="X723" s="314">
        <v>1700</v>
      </c>
      <c r="Y723" s="313" t="s">
        <v>470</v>
      </c>
      <c r="Z723" s="314">
        <v>0.85</v>
      </c>
      <c r="AA723" s="313" t="s">
        <v>471</v>
      </c>
      <c r="AB723" s="313" t="s">
        <v>472</v>
      </c>
      <c r="AC723" s="316">
        <v>206</v>
      </c>
    </row>
    <row r="724" spans="1:29">
      <c r="A724" s="307" t="s">
        <v>601</v>
      </c>
      <c r="B724" s="308" t="s">
        <v>467</v>
      </c>
      <c r="C724" s="308"/>
      <c r="D724" s="308" t="s">
        <v>420</v>
      </c>
      <c r="E724" s="309">
        <v>1.5</v>
      </c>
      <c r="F724" s="310">
        <v>45230.644444444442</v>
      </c>
      <c r="G724" s="309">
        <v>1</v>
      </c>
      <c r="H724" s="309">
        <v>51.374099999999999</v>
      </c>
      <c r="I724" s="309">
        <v>5.3875999999999999</v>
      </c>
      <c r="J724" s="309">
        <v>-16.426962</v>
      </c>
      <c r="K724" s="309">
        <v>-15.59695</v>
      </c>
      <c r="L724" s="309">
        <v>1072.3599999999999</v>
      </c>
      <c r="M724" s="309">
        <v>128.50087300000001</v>
      </c>
      <c r="N724" s="309">
        <v>18962.29</v>
      </c>
      <c r="O724" s="309">
        <v>18962.28858</v>
      </c>
      <c r="P724" s="309">
        <v>2200.8490000000002</v>
      </c>
      <c r="Q724" s="308" t="s">
        <v>469</v>
      </c>
      <c r="R724" s="308"/>
      <c r="S724" s="309">
        <v>15</v>
      </c>
      <c r="T724" s="309">
        <v>5</v>
      </c>
      <c r="U724" s="309">
        <v>0.7</v>
      </c>
      <c r="V724" s="309">
        <v>0.7</v>
      </c>
      <c r="W724" s="309">
        <v>0.7</v>
      </c>
      <c r="X724" s="309">
        <v>1700</v>
      </c>
      <c r="Y724" s="308" t="s">
        <v>470</v>
      </c>
      <c r="Z724" s="309">
        <v>0.85</v>
      </c>
      <c r="AA724" s="308" t="s">
        <v>471</v>
      </c>
      <c r="AB724" s="308" t="s">
        <v>472</v>
      </c>
      <c r="AC724" s="311">
        <v>207</v>
      </c>
    </row>
    <row r="725" spans="1:29">
      <c r="A725" s="312" t="s">
        <v>602</v>
      </c>
      <c r="B725" s="313" t="s">
        <v>467</v>
      </c>
      <c r="C725" s="313"/>
      <c r="D725" s="313" t="s">
        <v>420</v>
      </c>
      <c r="E725" s="314">
        <v>1.5</v>
      </c>
      <c r="F725" s="315">
        <v>45230.647916666669</v>
      </c>
      <c r="G725" s="314">
        <v>1</v>
      </c>
      <c r="H725" s="314">
        <v>51.3675</v>
      </c>
      <c r="I725" s="314">
        <v>5.4942500000000001</v>
      </c>
      <c r="J725" s="314">
        <v>-16.282105999999999</v>
      </c>
      <c r="K725" s="314">
        <v>-15.432581000000001</v>
      </c>
      <c r="L725" s="314">
        <v>1068.94</v>
      </c>
      <c r="M725" s="314">
        <v>128.000314</v>
      </c>
      <c r="N725" s="314">
        <v>19061.28</v>
      </c>
      <c r="O725" s="314">
        <v>19061.28414</v>
      </c>
      <c r="P725" s="314">
        <v>2212.5140000000001</v>
      </c>
      <c r="Q725" s="313" t="s">
        <v>469</v>
      </c>
      <c r="R725" s="313"/>
      <c r="S725" s="314">
        <v>15</v>
      </c>
      <c r="T725" s="314">
        <v>5</v>
      </c>
      <c r="U725" s="314">
        <v>0.7</v>
      </c>
      <c r="V725" s="314">
        <v>0.7</v>
      </c>
      <c r="W725" s="314">
        <v>0.7</v>
      </c>
      <c r="X725" s="314">
        <v>1700</v>
      </c>
      <c r="Y725" s="313" t="s">
        <v>470</v>
      </c>
      <c r="Z725" s="314">
        <v>0.85</v>
      </c>
      <c r="AA725" s="313" t="s">
        <v>471</v>
      </c>
      <c r="AB725" s="313" t="s">
        <v>472</v>
      </c>
      <c r="AC725" s="316">
        <v>206</v>
      </c>
    </row>
    <row r="726" spans="1:29">
      <c r="A726" s="307" t="s">
        <v>714</v>
      </c>
      <c r="B726" s="308" t="s">
        <v>467</v>
      </c>
      <c r="C726" s="308"/>
      <c r="D726" s="308" t="s">
        <v>420</v>
      </c>
      <c r="E726" s="309">
        <v>1.5</v>
      </c>
      <c r="F726" s="310">
        <v>45230.651388888888</v>
      </c>
      <c r="G726" s="309">
        <v>1</v>
      </c>
      <c r="H726" s="309">
        <v>51.370800000000003</v>
      </c>
      <c r="I726" s="309">
        <v>5.4876699999999996</v>
      </c>
      <c r="J726" s="309">
        <v>-16.199438000000001</v>
      </c>
      <c r="K726" s="309">
        <v>-15.350956</v>
      </c>
      <c r="L726" s="309">
        <v>1074.48</v>
      </c>
      <c r="M726" s="309">
        <v>121.50031199999999</v>
      </c>
      <c r="N726" s="309">
        <v>18862.259999999998</v>
      </c>
      <c r="O726" s="309">
        <v>18862.264729999999</v>
      </c>
      <c r="P726" s="309">
        <v>2189.0639999999999</v>
      </c>
      <c r="Q726" s="308" t="s">
        <v>469</v>
      </c>
      <c r="R726" s="308"/>
      <c r="S726" s="309">
        <v>15</v>
      </c>
      <c r="T726" s="309">
        <v>5</v>
      </c>
      <c r="U726" s="309">
        <v>0.7</v>
      </c>
      <c r="V726" s="309">
        <v>0.7</v>
      </c>
      <c r="W726" s="309">
        <v>0.7</v>
      </c>
      <c r="X726" s="309">
        <v>1700</v>
      </c>
      <c r="Y726" s="308" t="s">
        <v>470</v>
      </c>
      <c r="Z726" s="309">
        <v>0.85</v>
      </c>
      <c r="AA726" s="308" t="s">
        <v>471</v>
      </c>
      <c r="AB726" s="308" t="s">
        <v>472</v>
      </c>
      <c r="AC726" s="311">
        <v>206</v>
      </c>
    </row>
    <row r="727" spans="1:29">
      <c r="A727" s="312" t="s">
        <v>613</v>
      </c>
      <c r="B727" s="313" t="s">
        <v>467</v>
      </c>
      <c r="C727" s="313"/>
      <c r="D727" s="313" t="s">
        <v>420</v>
      </c>
      <c r="E727" s="314">
        <v>1.5</v>
      </c>
      <c r="F727" s="315">
        <v>45230.654861111114</v>
      </c>
      <c r="G727" s="314">
        <v>1</v>
      </c>
      <c r="H727" s="314">
        <v>51.374099999999999</v>
      </c>
      <c r="I727" s="314">
        <v>5.4540199999999999</v>
      </c>
      <c r="J727" s="314">
        <v>-16.315731</v>
      </c>
      <c r="K727" s="314">
        <v>-15.470475</v>
      </c>
      <c r="L727" s="314">
        <v>1057.49</v>
      </c>
      <c r="M727" s="314">
        <v>121.000058</v>
      </c>
      <c r="N727" s="314">
        <v>18702.02</v>
      </c>
      <c r="O727" s="314">
        <v>18702.022130000001</v>
      </c>
      <c r="P727" s="314">
        <v>2170.183</v>
      </c>
      <c r="Q727" s="313" t="s">
        <v>469</v>
      </c>
      <c r="R727" s="313"/>
      <c r="S727" s="314">
        <v>15</v>
      </c>
      <c r="T727" s="314">
        <v>5</v>
      </c>
      <c r="U727" s="314">
        <v>0.7</v>
      </c>
      <c r="V727" s="314">
        <v>0.7</v>
      </c>
      <c r="W727" s="314">
        <v>0.7</v>
      </c>
      <c r="X727" s="314">
        <v>1700</v>
      </c>
      <c r="Y727" s="313" t="s">
        <v>470</v>
      </c>
      <c r="Z727" s="314">
        <v>0.85</v>
      </c>
      <c r="AA727" s="313" t="s">
        <v>471</v>
      </c>
      <c r="AB727" s="313" t="s">
        <v>472</v>
      </c>
      <c r="AC727" s="316">
        <v>214</v>
      </c>
    </row>
    <row r="728" spans="1:29">
      <c r="A728" s="307" t="s">
        <v>616</v>
      </c>
      <c r="B728" s="308" t="s">
        <v>467</v>
      </c>
      <c r="C728" s="308"/>
      <c r="D728" s="308" t="s">
        <v>420</v>
      </c>
      <c r="E728" s="309">
        <v>1.5</v>
      </c>
      <c r="F728" s="310">
        <v>45230.658333333333</v>
      </c>
      <c r="G728" s="309">
        <v>1</v>
      </c>
      <c r="H728" s="309">
        <v>51.377400000000002</v>
      </c>
      <c r="I728" s="309">
        <v>5.5350299999999999</v>
      </c>
      <c r="J728" s="309">
        <v>-16.257418999999999</v>
      </c>
      <c r="K728" s="309">
        <v>-15.410887000000001</v>
      </c>
      <c r="L728" s="309">
        <v>1070.28</v>
      </c>
      <c r="M728" s="309">
        <v>133.49870799999999</v>
      </c>
      <c r="N728" s="309">
        <v>18592.560000000001</v>
      </c>
      <c r="O728" s="309">
        <v>18592.558949999999</v>
      </c>
      <c r="P728" s="309">
        <v>2157.2849999999999</v>
      </c>
      <c r="Q728" s="308" t="s">
        <v>469</v>
      </c>
      <c r="R728" s="308"/>
      <c r="S728" s="309">
        <v>15</v>
      </c>
      <c r="T728" s="309">
        <v>5</v>
      </c>
      <c r="U728" s="309">
        <v>0.7</v>
      </c>
      <c r="V728" s="309">
        <v>0.7</v>
      </c>
      <c r="W728" s="309">
        <v>0.7</v>
      </c>
      <c r="X728" s="309">
        <v>1700</v>
      </c>
      <c r="Y728" s="308" t="s">
        <v>470</v>
      </c>
      <c r="Z728" s="309">
        <v>0.85</v>
      </c>
      <c r="AA728" s="308" t="s">
        <v>471</v>
      </c>
      <c r="AB728" s="308" t="s">
        <v>472</v>
      </c>
      <c r="AC728" s="311">
        <v>209</v>
      </c>
    </row>
    <row r="729" spans="1:29">
      <c r="A729" s="312" t="s">
        <v>620</v>
      </c>
      <c r="B729" s="313" t="s">
        <v>467</v>
      </c>
      <c r="C729" s="313"/>
      <c r="D729" s="313" t="s">
        <v>421</v>
      </c>
      <c r="E729" s="314">
        <v>1.5</v>
      </c>
      <c r="F729" s="315">
        <v>45230.662499999999</v>
      </c>
      <c r="G729" s="314">
        <v>1</v>
      </c>
      <c r="H729" s="314">
        <v>51.374099999999999</v>
      </c>
      <c r="I729" s="314">
        <v>5.4690000000000003</v>
      </c>
      <c r="J729" s="314">
        <v>-15.950818999999999</v>
      </c>
      <c r="K729" s="314">
        <v>-15.108594</v>
      </c>
      <c r="L729" s="314">
        <v>1057.42</v>
      </c>
      <c r="M729" s="314">
        <v>133.49932699999999</v>
      </c>
      <c r="N729" s="314">
        <v>18750.96</v>
      </c>
      <c r="O729" s="314">
        <v>18750.958350000001</v>
      </c>
      <c r="P729" s="314">
        <v>2175.9490000000001</v>
      </c>
      <c r="Q729" s="313" t="s">
        <v>469</v>
      </c>
      <c r="R729" s="313"/>
      <c r="S729" s="314">
        <v>15</v>
      </c>
      <c r="T729" s="314">
        <v>5</v>
      </c>
      <c r="U729" s="314">
        <v>0.7</v>
      </c>
      <c r="V729" s="314">
        <v>0.7</v>
      </c>
      <c r="W729" s="314">
        <v>0.7</v>
      </c>
      <c r="X729" s="314">
        <v>1700</v>
      </c>
      <c r="Y729" s="313" t="s">
        <v>470</v>
      </c>
      <c r="Z729" s="314">
        <v>0.85</v>
      </c>
      <c r="AA729" s="313" t="s">
        <v>471</v>
      </c>
      <c r="AB729" s="313" t="s">
        <v>472</v>
      </c>
      <c r="AC729" s="316">
        <v>209</v>
      </c>
    </row>
    <row r="730" spans="1:29">
      <c r="A730" s="307" t="s">
        <v>624</v>
      </c>
      <c r="B730" s="308" t="s">
        <v>467</v>
      </c>
      <c r="C730" s="308">
        <v>555</v>
      </c>
      <c r="D730" s="308" t="s">
        <v>468</v>
      </c>
      <c r="E730" s="309">
        <v>1.5</v>
      </c>
      <c r="F730" s="310">
        <v>45230.666666666664</v>
      </c>
      <c r="G730" s="309">
        <v>1</v>
      </c>
      <c r="H730" s="309">
        <v>51.370800000000003</v>
      </c>
      <c r="I730" s="309">
        <v>5.4462900000000003</v>
      </c>
      <c r="J730" s="309">
        <v>-16.005125</v>
      </c>
      <c r="K730" s="309">
        <v>-15.155894</v>
      </c>
      <c r="L730" s="309">
        <v>1066.33</v>
      </c>
      <c r="M730" s="309">
        <v>118.49999</v>
      </c>
      <c r="N730" s="309">
        <v>18768.59</v>
      </c>
      <c r="O730" s="309">
        <v>18768.59461</v>
      </c>
      <c r="P730" s="309">
        <v>2178.027</v>
      </c>
      <c r="Q730" s="308" t="s">
        <v>469</v>
      </c>
      <c r="R730" s="308"/>
      <c r="S730" s="309">
        <v>15</v>
      </c>
      <c r="T730" s="309">
        <v>5</v>
      </c>
      <c r="U730" s="309">
        <v>0.7</v>
      </c>
      <c r="V730" s="309">
        <v>0.7</v>
      </c>
      <c r="W730" s="309">
        <v>0.7</v>
      </c>
      <c r="X730" s="309">
        <v>1700</v>
      </c>
      <c r="Y730" s="308" t="s">
        <v>470</v>
      </c>
      <c r="Z730" s="309">
        <v>0.85</v>
      </c>
      <c r="AA730" s="308" t="s">
        <v>471</v>
      </c>
      <c r="AB730" s="308" t="s">
        <v>472</v>
      </c>
      <c r="AC730" s="311">
        <v>208</v>
      </c>
    </row>
    <row r="731" spans="1:29">
      <c r="A731" s="312" t="s">
        <v>627</v>
      </c>
      <c r="B731" s="313" t="s">
        <v>467</v>
      </c>
      <c r="C731" s="313">
        <v>555</v>
      </c>
      <c r="D731" s="313" t="s">
        <v>468</v>
      </c>
      <c r="E731" s="314">
        <v>1.5</v>
      </c>
      <c r="F731" s="315">
        <v>45230.669444444444</v>
      </c>
      <c r="G731" s="314">
        <v>1</v>
      </c>
      <c r="H731" s="314">
        <v>51.3675</v>
      </c>
      <c r="I731" s="314">
        <v>5.5348600000000001</v>
      </c>
      <c r="J731" s="314">
        <v>-16.138769</v>
      </c>
      <c r="K731" s="314">
        <v>-15.289381000000001</v>
      </c>
      <c r="L731" s="314">
        <v>1070.8699999999999</v>
      </c>
      <c r="M731" s="314">
        <v>122.50097599999999</v>
      </c>
      <c r="N731" s="314">
        <v>18904.759999999998</v>
      </c>
      <c r="O731" s="314">
        <v>18904.764360000001</v>
      </c>
      <c r="P731" s="314">
        <v>2194.0709999999999</v>
      </c>
      <c r="Q731" s="313" t="s">
        <v>469</v>
      </c>
      <c r="R731" s="313"/>
      <c r="S731" s="314">
        <v>15</v>
      </c>
      <c r="T731" s="314">
        <v>5</v>
      </c>
      <c r="U731" s="314">
        <v>0.7</v>
      </c>
      <c r="V731" s="314">
        <v>0.7</v>
      </c>
      <c r="W731" s="314">
        <v>0.7</v>
      </c>
      <c r="X731" s="314">
        <v>1700</v>
      </c>
      <c r="Y731" s="313" t="s">
        <v>470</v>
      </c>
      <c r="Z731" s="314">
        <v>0.85</v>
      </c>
      <c r="AA731" s="313" t="s">
        <v>471</v>
      </c>
      <c r="AB731" s="313" t="s">
        <v>472</v>
      </c>
      <c r="AC731" s="316">
        <v>208</v>
      </c>
    </row>
    <row r="732" spans="1:29">
      <c r="A732" s="307" t="s">
        <v>636</v>
      </c>
      <c r="B732" s="308" t="s">
        <v>467</v>
      </c>
      <c r="C732" s="308">
        <v>555</v>
      </c>
      <c r="D732" s="308" t="s">
        <v>468</v>
      </c>
      <c r="E732" s="309">
        <v>1.5</v>
      </c>
      <c r="F732" s="310">
        <v>45230.67291666667</v>
      </c>
      <c r="G732" s="309">
        <v>1</v>
      </c>
      <c r="H732" s="309">
        <v>51.3675</v>
      </c>
      <c r="I732" s="309">
        <v>5.4627499999999998</v>
      </c>
      <c r="J732" s="309">
        <v>-16.280725</v>
      </c>
      <c r="K732" s="309">
        <v>-15.435544</v>
      </c>
      <c r="L732" s="309">
        <v>1061.55</v>
      </c>
      <c r="M732" s="309">
        <v>128.999798</v>
      </c>
      <c r="N732" s="309">
        <v>18902.05</v>
      </c>
      <c r="O732" s="309">
        <v>18902.051240000001</v>
      </c>
      <c r="P732" s="309">
        <v>2193.752</v>
      </c>
      <c r="Q732" s="308" t="s">
        <v>469</v>
      </c>
      <c r="R732" s="308"/>
      <c r="S732" s="309">
        <v>15</v>
      </c>
      <c r="T732" s="309">
        <v>5</v>
      </c>
      <c r="U732" s="309">
        <v>0.7</v>
      </c>
      <c r="V732" s="309">
        <v>0.7</v>
      </c>
      <c r="W732" s="309">
        <v>0.7</v>
      </c>
      <c r="X732" s="309">
        <v>1700</v>
      </c>
      <c r="Y732" s="308" t="s">
        <v>470</v>
      </c>
      <c r="Z732" s="309">
        <v>0.85</v>
      </c>
      <c r="AA732" s="308" t="s">
        <v>471</v>
      </c>
      <c r="AB732" s="308" t="s">
        <v>472</v>
      </c>
      <c r="AC732" s="311">
        <v>204</v>
      </c>
    </row>
    <row r="733" spans="1:29">
      <c r="A733" s="312" t="s">
        <v>639</v>
      </c>
      <c r="B733" s="313" t="s">
        <v>467</v>
      </c>
      <c r="C733" s="313">
        <v>555</v>
      </c>
      <c r="D733" s="313" t="s">
        <v>468</v>
      </c>
      <c r="E733" s="314">
        <v>1.5</v>
      </c>
      <c r="F733" s="315">
        <v>45230.676388888889</v>
      </c>
      <c r="G733" s="314">
        <v>1</v>
      </c>
      <c r="H733" s="314">
        <v>51.374099999999999</v>
      </c>
      <c r="I733" s="314">
        <v>5.4930399999999997</v>
      </c>
      <c r="J733" s="314">
        <v>-16.292925</v>
      </c>
      <c r="K733" s="314">
        <v>-15.475306</v>
      </c>
      <c r="L733" s="314">
        <v>1061.8800000000001</v>
      </c>
      <c r="M733" s="314">
        <v>134.000857</v>
      </c>
      <c r="N733" s="314">
        <v>18910.009999999998</v>
      </c>
      <c r="O733" s="314">
        <v>18910.012159999998</v>
      </c>
      <c r="P733" s="314">
        <v>2194.69</v>
      </c>
      <c r="Q733" s="313" t="s">
        <v>469</v>
      </c>
      <c r="R733" s="313"/>
      <c r="S733" s="314">
        <v>15</v>
      </c>
      <c r="T733" s="314">
        <v>5</v>
      </c>
      <c r="U733" s="314">
        <v>0.7</v>
      </c>
      <c r="V733" s="314">
        <v>0.7</v>
      </c>
      <c r="W733" s="314">
        <v>0.7</v>
      </c>
      <c r="X733" s="314">
        <v>1700</v>
      </c>
      <c r="Y733" s="313" t="s">
        <v>470</v>
      </c>
      <c r="Z733" s="314">
        <v>0.85</v>
      </c>
      <c r="AA733" s="313" t="s">
        <v>471</v>
      </c>
      <c r="AB733" s="313" t="s">
        <v>472</v>
      </c>
      <c r="AC733" s="316">
        <v>205</v>
      </c>
    </row>
    <row r="734" spans="1:29">
      <c r="A734" s="307" t="s">
        <v>649</v>
      </c>
      <c r="B734" s="308" t="s">
        <v>467</v>
      </c>
      <c r="C734" s="308">
        <v>555</v>
      </c>
      <c r="D734" s="308" t="s">
        <v>468</v>
      </c>
      <c r="E734" s="309">
        <v>1.5</v>
      </c>
      <c r="F734" s="310">
        <v>45230.680555555555</v>
      </c>
      <c r="G734" s="309">
        <v>1</v>
      </c>
      <c r="H734" s="309">
        <v>51.370800000000003</v>
      </c>
      <c r="I734" s="309">
        <v>5.4686300000000001</v>
      </c>
      <c r="J734" s="309">
        <v>-16.27675</v>
      </c>
      <c r="K734" s="309">
        <v>-15.442380999999999</v>
      </c>
      <c r="L734" s="309">
        <v>1066.74</v>
      </c>
      <c r="M734" s="309">
        <v>133.000372</v>
      </c>
      <c r="N734" s="309">
        <v>18743.060000000001</v>
      </c>
      <c r="O734" s="309">
        <v>18743.059499999999</v>
      </c>
      <c r="P734" s="309">
        <v>2175.018</v>
      </c>
      <c r="Q734" s="308" t="s">
        <v>469</v>
      </c>
      <c r="R734" s="308"/>
      <c r="S734" s="309">
        <v>15</v>
      </c>
      <c r="T734" s="309">
        <v>5</v>
      </c>
      <c r="U734" s="309">
        <v>0.7</v>
      </c>
      <c r="V734" s="309">
        <v>0.7</v>
      </c>
      <c r="W734" s="309">
        <v>0.7</v>
      </c>
      <c r="X734" s="309">
        <v>1700</v>
      </c>
      <c r="Y734" s="308" t="s">
        <v>470</v>
      </c>
      <c r="Z734" s="309">
        <v>0.85</v>
      </c>
      <c r="AA734" s="308" t="s">
        <v>471</v>
      </c>
      <c r="AB734" s="308" t="s">
        <v>472</v>
      </c>
      <c r="AC734" s="311">
        <v>207</v>
      </c>
    </row>
    <row r="735" spans="1:29">
      <c r="A735" s="312" t="s">
        <v>652</v>
      </c>
      <c r="B735" s="313" t="s">
        <v>467</v>
      </c>
      <c r="C735" s="313">
        <v>565</v>
      </c>
      <c r="D735" s="313" t="s">
        <v>468</v>
      </c>
      <c r="E735" s="314">
        <v>1.5</v>
      </c>
      <c r="F735" s="315">
        <v>45230.7</v>
      </c>
      <c r="G735" s="314">
        <v>1</v>
      </c>
      <c r="H735" s="314">
        <v>51.370800000000003</v>
      </c>
      <c r="I735" s="314">
        <v>5.3856799999999998</v>
      </c>
      <c r="J735" s="314">
        <v>-16.272493999999998</v>
      </c>
      <c r="K735" s="314">
        <v>-15.430456</v>
      </c>
      <c r="L735" s="314">
        <v>1011.96</v>
      </c>
      <c r="M735" s="314">
        <v>121.999583</v>
      </c>
      <c r="N735" s="314">
        <v>18229.25</v>
      </c>
      <c r="O735" s="314">
        <v>18229.254819999998</v>
      </c>
      <c r="P735" s="314">
        <v>2114.4780000000001</v>
      </c>
      <c r="Q735" s="313" t="s">
        <v>469</v>
      </c>
      <c r="R735" s="313"/>
      <c r="S735" s="314">
        <v>15</v>
      </c>
      <c r="T735" s="314">
        <v>5</v>
      </c>
      <c r="U735" s="314">
        <v>0.7</v>
      </c>
      <c r="V735" s="314">
        <v>0.7</v>
      </c>
      <c r="W735" s="314">
        <v>0.7</v>
      </c>
      <c r="X735" s="314">
        <v>1700</v>
      </c>
      <c r="Y735" s="313" t="s">
        <v>470</v>
      </c>
      <c r="Z735" s="314">
        <v>0.85</v>
      </c>
      <c r="AA735" s="313" t="s">
        <v>471</v>
      </c>
      <c r="AB735" s="313" t="s">
        <v>472</v>
      </c>
      <c r="AC735" s="316">
        <v>211</v>
      </c>
    </row>
    <row r="736" spans="1:29">
      <c r="A736" s="307" t="s">
        <v>656</v>
      </c>
      <c r="B736" s="308" t="s">
        <v>467</v>
      </c>
      <c r="C736" s="308">
        <v>565</v>
      </c>
      <c r="D736" s="308" t="s">
        <v>468</v>
      </c>
      <c r="E736" s="309">
        <v>1.5</v>
      </c>
      <c r="F736" s="310">
        <v>45230.702777777777</v>
      </c>
      <c r="G736" s="309">
        <v>1</v>
      </c>
      <c r="H736" s="309">
        <v>51.3675</v>
      </c>
      <c r="I736" s="309">
        <v>5.4872500000000004</v>
      </c>
      <c r="J736" s="309">
        <v>-16.286480999999998</v>
      </c>
      <c r="K736" s="309">
        <v>-15.440269000000001</v>
      </c>
      <c r="L736" s="309">
        <v>1040.82</v>
      </c>
      <c r="M736" s="309">
        <v>125.99964</v>
      </c>
      <c r="N736" s="309">
        <v>18438.77</v>
      </c>
      <c r="O736" s="309">
        <v>18438.769540000001</v>
      </c>
      <c r="P736" s="309">
        <v>2139.1640000000002</v>
      </c>
      <c r="Q736" s="308" t="s">
        <v>469</v>
      </c>
      <c r="R736" s="308"/>
      <c r="S736" s="309">
        <v>15</v>
      </c>
      <c r="T736" s="309">
        <v>5</v>
      </c>
      <c r="U736" s="309">
        <v>0.7</v>
      </c>
      <c r="V736" s="309">
        <v>0.7</v>
      </c>
      <c r="W736" s="309">
        <v>0.7</v>
      </c>
      <c r="X736" s="309">
        <v>1700</v>
      </c>
      <c r="Y736" s="308" t="s">
        <v>470</v>
      </c>
      <c r="Z736" s="309">
        <v>0.85</v>
      </c>
      <c r="AA736" s="308" t="s">
        <v>471</v>
      </c>
      <c r="AB736" s="308" t="s">
        <v>472</v>
      </c>
      <c r="AC736" s="311">
        <v>210</v>
      </c>
    </row>
    <row r="737" spans="1:29">
      <c r="A737" s="312" t="s">
        <v>659</v>
      </c>
      <c r="B737" s="313" t="s">
        <v>467</v>
      </c>
      <c r="C737" s="313">
        <v>565</v>
      </c>
      <c r="D737" s="313" t="s">
        <v>468</v>
      </c>
      <c r="E737" s="314">
        <v>1.5</v>
      </c>
      <c r="F737" s="315">
        <v>45230.706250000003</v>
      </c>
      <c r="G737" s="314">
        <v>1</v>
      </c>
      <c r="H737" s="314">
        <v>51.3675</v>
      </c>
      <c r="I737" s="314">
        <v>5.4996600000000004</v>
      </c>
      <c r="J737" s="314">
        <v>-16.357780999999999</v>
      </c>
      <c r="K737" s="314">
        <v>-15.515306000000001</v>
      </c>
      <c r="L737" s="314">
        <v>1017.72</v>
      </c>
      <c r="M737" s="314">
        <v>133.500258</v>
      </c>
      <c r="N737" s="314">
        <v>18264.38</v>
      </c>
      <c r="O737" s="314">
        <v>18264.377369999998</v>
      </c>
      <c r="P737" s="314">
        <v>2118.616</v>
      </c>
      <c r="Q737" s="313" t="s">
        <v>469</v>
      </c>
      <c r="R737" s="313"/>
      <c r="S737" s="314">
        <v>15</v>
      </c>
      <c r="T737" s="314">
        <v>5</v>
      </c>
      <c r="U737" s="314">
        <v>0.7</v>
      </c>
      <c r="V737" s="314">
        <v>0.7</v>
      </c>
      <c r="W737" s="314">
        <v>0.7</v>
      </c>
      <c r="X737" s="314">
        <v>1700</v>
      </c>
      <c r="Y737" s="313" t="s">
        <v>470</v>
      </c>
      <c r="Z737" s="314">
        <v>0.85</v>
      </c>
      <c r="AA737" s="313" t="s">
        <v>471</v>
      </c>
      <c r="AB737" s="313" t="s">
        <v>472</v>
      </c>
      <c r="AC737" s="316">
        <v>211</v>
      </c>
    </row>
    <row r="738" spans="1:29">
      <c r="A738" s="307" t="s">
        <v>662</v>
      </c>
      <c r="B738" s="308" t="s">
        <v>467</v>
      </c>
      <c r="C738" s="308">
        <v>565</v>
      </c>
      <c r="D738" s="308" t="s">
        <v>468</v>
      </c>
      <c r="E738" s="309">
        <v>1.5</v>
      </c>
      <c r="F738" s="310">
        <v>45230.710416666669</v>
      </c>
      <c r="G738" s="309">
        <v>1</v>
      </c>
      <c r="H738" s="309">
        <v>51.370800000000003</v>
      </c>
      <c r="I738" s="309">
        <v>5.5036500000000004</v>
      </c>
      <c r="J738" s="309">
        <v>-16.248736999999998</v>
      </c>
      <c r="K738" s="309">
        <v>-15.425181</v>
      </c>
      <c r="L738" s="309">
        <v>1049.07</v>
      </c>
      <c r="M738" s="309">
        <v>122.000601</v>
      </c>
      <c r="N738" s="309">
        <v>18554.14</v>
      </c>
      <c r="O738" s="309">
        <v>18554.14156</v>
      </c>
      <c r="P738" s="309">
        <v>2152.7579999999998</v>
      </c>
      <c r="Q738" s="308" t="s">
        <v>469</v>
      </c>
      <c r="R738" s="308"/>
      <c r="S738" s="309">
        <v>15</v>
      </c>
      <c r="T738" s="309">
        <v>5</v>
      </c>
      <c r="U738" s="309">
        <v>0.7</v>
      </c>
      <c r="V738" s="309">
        <v>0.7</v>
      </c>
      <c r="W738" s="309">
        <v>0.7</v>
      </c>
      <c r="X738" s="309">
        <v>1700</v>
      </c>
      <c r="Y738" s="308" t="s">
        <v>470</v>
      </c>
      <c r="Z738" s="309">
        <v>0.85</v>
      </c>
      <c r="AA738" s="308" t="s">
        <v>471</v>
      </c>
      <c r="AB738" s="308" t="s">
        <v>472</v>
      </c>
      <c r="AC738" s="311">
        <v>208</v>
      </c>
    </row>
    <row r="739" spans="1:29">
      <c r="A739" s="312" t="s">
        <v>667</v>
      </c>
      <c r="B739" s="313" t="s">
        <v>467</v>
      </c>
      <c r="C739" s="313">
        <v>565</v>
      </c>
      <c r="D739" s="313" t="s">
        <v>468</v>
      </c>
      <c r="E739" s="314">
        <v>1.5</v>
      </c>
      <c r="F739" s="315">
        <v>45230.713194444441</v>
      </c>
      <c r="G739" s="314">
        <v>1</v>
      </c>
      <c r="H739" s="314">
        <v>51.370800000000003</v>
      </c>
      <c r="I739" s="314">
        <v>5.5318699999999996</v>
      </c>
      <c r="J739" s="314">
        <v>-16.200281</v>
      </c>
      <c r="K739" s="314">
        <v>-15.355275000000001</v>
      </c>
      <c r="L739" s="314">
        <v>1073.83</v>
      </c>
      <c r="M739" s="314">
        <v>126.500922</v>
      </c>
      <c r="N739" s="314">
        <v>18811.900000000001</v>
      </c>
      <c r="O739" s="314">
        <v>18811.904129999999</v>
      </c>
      <c r="P739" s="314">
        <v>2183.13</v>
      </c>
      <c r="Q739" s="313" t="s">
        <v>469</v>
      </c>
      <c r="R739" s="313"/>
      <c r="S739" s="314">
        <v>15</v>
      </c>
      <c r="T739" s="314">
        <v>5</v>
      </c>
      <c r="U739" s="314">
        <v>0.7</v>
      </c>
      <c r="V739" s="314">
        <v>0.7</v>
      </c>
      <c r="W739" s="314">
        <v>0.7</v>
      </c>
      <c r="X739" s="314">
        <v>1700</v>
      </c>
      <c r="Y739" s="313" t="s">
        <v>470</v>
      </c>
      <c r="Z739" s="314">
        <v>0.85</v>
      </c>
      <c r="AA739" s="313" t="s">
        <v>471</v>
      </c>
      <c r="AB739" s="313" t="s">
        <v>472</v>
      </c>
      <c r="AC739" s="316">
        <v>207</v>
      </c>
    </row>
    <row r="740" spans="1:29">
      <c r="A740" s="307" t="s">
        <v>671</v>
      </c>
      <c r="B740" s="308" t="s">
        <v>467</v>
      </c>
      <c r="C740" s="308">
        <v>566</v>
      </c>
      <c r="D740" s="308" t="s">
        <v>468</v>
      </c>
      <c r="E740" s="309">
        <v>1.5</v>
      </c>
      <c r="F740" s="310">
        <v>45230.719444444447</v>
      </c>
      <c r="G740" s="309">
        <v>1</v>
      </c>
      <c r="H740" s="309">
        <v>51.3675</v>
      </c>
      <c r="I740" s="309">
        <v>5.4305399999999997</v>
      </c>
      <c r="J740" s="309">
        <v>-16.177813</v>
      </c>
      <c r="K740" s="309">
        <v>-15.342738000000001</v>
      </c>
      <c r="L740" s="309">
        <v>1101.48</v>
      </c>
      <c r="M740" s="309">
        <v>122.499476</v>
      </c>
      <c r="N740" s="309">
        <v>19153.84</v>
      </c>
      <c r="O740" s="309">
        <v>19153.83815</v>
      </c>
      <c r="P740" s="309">
        <v>2223.4189999999999</v>
      </c>
      <c r="Q740" s="308" t="s">
        <v>469</v>
      </c>
      <c r="R740" s="308"/>
      <c r="S740" s="309">
        <v>15</v>
      </c>
      <c r="T740" s="309">
        <v>5</v>
      </c>
      <c r="U740" s="309">
        <v>0.7</v>
      </c>
      <c r="V740" s="309">
        <v>0.7</v>
      </c>
      <c r="W740" s="309">
        <v>0.7</v>
      </c>
      <c r="X740" s="309">
        <v>1700</v>
      </c>
      <c r="Y740" s="308" t="s">
        <v>470</v>
      </c>
      <c r="Z740" s="309">
        <v>0.85</v>
      </c>
      <c r="AA740" s="308" t="s">
        <v>471</v>
      </c>
      <c r="AB740" s="308" t="s">
        <v>472</v>
      </c>
      <c r="AC740" s="311">
        <v>204</v>
      </c>
    </row>
    <row r="741" spans="1:29">
      <c r="A741" s="312" t="s">
        <v>676</v>
      </c>
      <c r="B741" s="313" t="s">
        <v>467</v>
      </c>
      <c r="C741" s="313">
        <v>566</v>
      </c>
      <c r="D741" s="313" t="s">
        <v>468</v>
      </c>
      <c r="E741" s="314">
        <v>1.5</v>
      </c>
      <c r="F741" s="315">
        <v>45230.722916666666</v>
      </c>
      <c r="G741" s="314">
        <v>1</v>
      </c>
      <c r="H741" s="314">
        <v>51.374099999999999</v>
      </c>
      <c r="I741" s="314">
        <v>5.4876899999999997</v>
      </c>
      <c r="J741" s="314">
        <v>-16.182012</v>
      </c>
      <c r="K741" s="314">
        <v>-15.339475</v>
      </c>
      <c r="L741" s="314">
        <v>1071.99</v>
      </c>
      <c r="M741" s="314">
        <v>130.99995899999999</v>
      </c>
      <c r="N741" s="314">
        <v>18949.41</v>
      </c>
      <c r="O741" s="314">
        <v>18949.41044</v>
      </c>
      <c r="P741" s="314">
        <v>2199.3319999999999</v>
      </c>
      <c r="Q741" s="313" t="s">
        <v>469</v>
      </c>
      <c r="R741" s="313"/>
      <c r="S741" s="314">
        <v>15</v>
      </c>
      <c r="T741" s="314">
        <v>5</v>
      </c>
      <c r="U741" s="314">
        <v>0.7</v>
      </c>
      <c r="V741" s="314">
        <v>0.7</v>
      </c>
      <c r="W741" s="314">
        <v>0.7</v>
      </c>
      <c r="X741" s="314">
        <v>1700</v>
      </c>
      <c r="Y741" s="313" t="s">
        <v>470</v>
      </c>
      <c r="Z741" s="314">
        <v>0.85</v>
      </c>
      <c r="AA741" s="313" t="s">
        <v>471</v>
      </c>
      <c r="AB741" s="313" t="s">
        <v>472</v>
      </c>
      <c r="AC741" s="316">
        <v>205</v>
      </c>
    </row>
    <row r="742" spans="1:29">
      <c r="A742" s="307" t="s">
        <v>679</v>
      </c>
      <c r="B742" s="308" t="s">
        <v>467</v>
      </c>
      <c r="C742" s="308">
        <v>566</v>
      </c>
      <c r="D742" s="308" t="s">
        <v>468</v>
      </c>
      <c r="E742" s="309">
        <v>1.5</v>
      </c>
      <c r="F742" s="310">
        <v>45230.726388888892</v>
      </c>
      <c r="G742" s="309">
        <v>1</v>
      </c>
      <c r="H742" s="309">
        <v>51.3675</v>
      </c>
      <c r="I742" s="309">
        <v>5.5270799999999998</v>
      </c>
      <c r="J742" s="309">
        <v>-16.189499999999999</v>
      </c>
      <c r="K742" s="309">
        <v>-15.346175000000001</v>
      </c>
      <c r="L742" s="309">
        <v>1080.95</v>
      </c>
      <c r="M742" s="309">
        <v>132.500596</v>
      </c>
      <c r="N742" s="309">
        <v>19045.57</v>
      </c>
      <c r="O742" s="309">
        <v>19045.56796</v>
      </c>
      <c r="P742" s="309">
        <v>2210.6619999999998</v>
      </c>
      <c r="Q742" s="308" t="s">
        <v>469</v>
      </c>
      <c r="R742" s="308"/>
      <c r="S742" s="309">
        <v>15</v>
      </c>
      <c r="T742" s="309">
        <v>5</v>
      </c>
      <c r="U742" s="309">
        <v>0.7</v>
      </c>
      <c r="V742" s="309">
        <v>0.7</v>
      </c>
      <c r="W742" s="309">
        <v>0.7</v>
      </c>
      <c r="X742" s="309">
        <v>1700</v>
      </c>
      <c r="Y742" s="308" t="s">
        <v>470</v>
      </c>
      <c r="Z742" s="309">
        <v>0.85</v>
      </c>
      <c r="AA742" s="308" t="s">
        <v>471</v>
      </c>
      <c r="AB742" s="308" t="s">
        <v>472</v>
      </c>
      <c r="AC742" s="311">
        <v>204</v>
      </c>
    </row>
    <row r="743" spans="1:29">
      <c r="A743" s="312" t="s">
        <v>682</v>
      </c>
      <c r="B743" s="313" t="s">
        <v>467</v>
      </c>
      <c r="C743" s="313">
        <v>566</v>
      </c>
      <c r="D743" s="313" t="s">
        <v>468</v>
      </c>
      <c r="E743" s="314">
        <v>1.5</v>
      </c>
      <c r="F743" s="315">
        <v>45230.729861111111</v>
      </c>
      <c r="G743" s="314">
        <v>1</v>
      </c>
      <c r="H743" s="314">
        <v>51.370800000000003</v>
      </c>
      <c r="I743" s="314">
        <v>5.5295800000000002</v>
      </c>
      <c r="J743" s="314">
        <v>-16.197094</v>
      </c>
      <c r="K743" s="314">
        <v>-15.356306</v>
      </c>
      <c r="L743" s="314">
        <v>1054.05</v>
      </c>
      <c r="M743" s="314">
        <v>127.99994700000001</v>
      </c>
      <c r="N743" s="314">
        <v>18763.580000000002</v>
      </c>
      <c r="O743" s="314">
        <v>18763.580740000001</v>
      </c>
      <c r="P743" s="314">
        <v>2177.4360000000001</v>
      </c>
      <c r="Q743" s="313" t="s">
        <v>469</v>
      </c>
      <c r="R743" s="313"/>
      <c r="S743" s="314">
        <v>15</v>
      </c>
      <c r="T743" s="314">
        <v>5</v>
      </c>
      <c r="U743" s="314">
        <v>0.7</v>
      </c>
      <c r="V743" s="314">
        <v>0.7</v>
      </c>
      <c r="W743" s="314">
        <v>0.7</v>
      </c>
      <c r="X743" s="314">
        <v>1700</v>
      </c>
      <c r="Y743" s="313" t="s">
        <v>470</v>
      </c>
      <c r="Z743" s="314">
        <v>0.85</v>
      </c>
      <c r="AA743" s="313" t="s">
        <v>471</v>
      </c>
      <c r="AB743" s="313" t="s">
        <v>472</v>
      </c>
      <c r="AC743" s="316">
        <v>206</v>
      </c>
    </row>
    <row r="744" spans="1:29">
      <c r="A744" s="307" t="s">
        <v>685</v>
      </c>
      <c r="B744" s="308" t="s">
        <v>467</v>
      </c>
      <c r="C744" s="308">
        <v>566</v>
      </c>
      <c r="D744" s="308" t="s">
        <v>468</v>
      </c>
      <c r="E744" s="309">
        <v>1.5</v>
      </c>
      <c r="F744" s="310">
        <v>45230.73333333333</v>
      </c>
      <c r="G744" s="309">
        <v>1</v>
      </c>
      <c r="H744" s="309">
        <v>51.377400000000002</v>
      </c>
      <c r="I744" s="309">
        <v>5.5774400000000002</v>
      </c>
      <c r="J744" s="309">
        <v>-16.177900000000001</v>
      </c>
      <c r="K744" s="309">
        <v>-15.331719</v>
      </c>
      <c r="L744" s="309">
        <v>1112.7</v>
      </c>
      <c r="M744" s="309">
        <v>138.000113</v>
      </c>
      <c r="N744" s="309">
        <v>19488.900000000001</v>
      </c>
      <c r="O744" s="309">
        <v>19488.902450000001</v>
      </c>
      <c r="P744" s="309">
        <v>2262.8989999999999</v>
      </c>
      <c r="Q744" s="308" t="s">
        <v>469</v>
      </c>
      <c r="R744" s="308"/>
      <c r="S744" s="309">
        <v>15</v>
      </c>
      <c r="T744" s="309">
        <v>5</v>
      </c>
      <c r="U744" s="309">
        <v>0.7</v>
      </c>
      <c r="V744" s="309">
        <v>0.7</v>
      </c>
      <c r="W744" s="309">
        <v>0.7</v>
      </c>
      <c r="X744" s="309">
        <v>1700</v>
      </c>
      <c r="Y744" s="308" t="s">
        <v>470</v>
      </c>
      <c r="Z744" s="309">
        <v>0.85</v>
      </c>
      <c r="AA744" s="308" t="s">
        <v>471</v>
      </c>
      <c r="AB744" s="308" t="s">
        <v>472</v>
      </c>
      <c r="AC744" s="311">
        <v>200</v>
      </c>
    </row>
    <row r="745" spans="1:29">
      <c r="A745" s="319" t="s">
        <v>770</v>
      </c>
      <c r="B745" s="320" t="s">
        <v>467</v>
      </c>
      <c r="C745" s="320" t="s">
        <v>888</v>
      </c>
      <c r="D745" s="320" t="s">
        <v>468</v>
      </c>
      <c r="E745" s="321">
        <v>1.5</v>
      </c>
      <c r="F745" s="322">
        <v>45230.737500000003</v>
      </c>
      <c r="G745" s="321">
        <v>1</v>
      </c>
      <c r="H745" s="321">
        <v>51.370800000000003</v>
      </c>
      <c r="I745" s="321">
        <v>5.4645700000000001</v>
      </c>
      <c r="J745" s="321">
        <v>-16.170843999999999</v>
      </c>
      <c r="K745" s="321">
        <v>-15.35355</v>
      </c>
      <c r="L745" s="321">
        <v>1087.02</v>
      </c>
      <c r="M745" s="321">
        <v>129.99977200000001</v>
      </c>
      <c r="N745" s="321">
        <v>19328.93</v>
      </c>
      <c r="O745" s="321">
        <v>19328.93102</v>
      </c>
      <c r="P745" s="321">
        <v>2244.0500000000002</v>
      </c>
      <c r="Q745" s="320" t="s">
        <v>469</v>
      </c>
      <c r="R745" s="320"/>
      <c r="S745" s="321">
        <v>15</v>
      </c>
      <c r="T745" s="321">
        <v>5</v>
      </c>
      <c r="U745" s="321">
        <v>0.7</v>
      </c>
      <c r="V745" s="321">
        <v>0.7</v>
      </c>
      <c r="W745" s="321">
        <v>0.7</v>
      </c>
      <c r="X745" s="321">
        <v>1700</v>
      </c>
      <c r="Y745" s="320" t="s">
        <v>470</v>
      </c>
      <c r="Z745" s="321">
        <v>0.85</v>
      </c>
      <c r="AA745" s="320" t="s">
        <v>471</v>
      </c>
      <c r="AB745" s="320" t="s">
        <v>472</v>
      </c>
      <c r="AC745" s="323">
        <v>204</v>
      </c>
    </row>
    <row r="746" spans="1:29">
      <c r="A746" s="307" t="s">
        <v>773</v>
      </c>
      <c r="B746" s="308" t="s">
        <v>467</v>
      </c>
      <c r="C746" s="308" t="s">
        <v>888</v>
      </c>
      <c r="D746" s="308" t="s">
        <v>468</v>
      </c>
      <c r="E746" s="309">
        <v>1.5</v>
      </c>
      <c r="F746" s="310">
        <v>45230.740972222222</v>
      </c>
      <c r="G746" s="309">
        <v>1</v>
      </c>
      <c r="H746" s="309">
        <v>51.364100000000001</v>
      </c>
      <c r="I746" s="309">
        <v>5.4983500000000003</v>
      </c>
      <c r="J746" s="309">
        <v>-16.194168999999999</v>
      </c>
      <c r="K746" s="309">
        <v>-15.366444</v>
      </c>
      <c r="L746" s="309">
        <v>1077.82</v>
      </c>
      <c r="M746" s="309">
        <v>128.500978</v>
      </c>
      <c r="N746" s="309">
        <v>19292.21</v>
      </c>
      <c r="O746" s="309">
        <v>19292.21226</v>
      </c>
      <c r="P746" s="309">
        <v>2239.7240000000002</v>
      </c>
      <c r="Q746" s="308" t="s">
        <v>469</v>
      </c>
      <c r="R746" s="308"/>
      <c r="S746" s="309">
        <v>15</v>
      </c>
      <c r="T746" s="309">
        <v>5</v>
      </c>
      <c r="U746" s="309">
        <v>0.7</v>
      </c>
      <c r="V746" s="309">
        <v>0.7</v>
      </c>
      <c r="W746" s="309">
        <v>0.7</v>
      </c>
      <c r="X746" s="309">
        <v>1700</v>
      </c>
      <c r="Y746" s="308" t="s">
        <v>470</v>
      </c>
      <c r="Z746" s="309">
        <v>0.85</v>
      </c>
      <c r="AA746" s="308" t="s">
        <v>471</v>
      </c>
      <c r="AB746" s="308" t="s">
        <v>472</v>
      </c>
      <c r="AC746" s="311">
        <v>206</v>
      </c>
    </row>
    <row r="747" spans="1:29">
      <c r="A747" s="312" t="s">
        <v>776</v>
      </c>
      <c r="B747" s="313" t="s">
        <v>467</v>
      </c>
      <c r="C747" s="313" t="s">
        <v>888</v>
      </c>
      <c r="D747" s="313" t="s">
        <v>468</v>
      </c>
      <c r="E747" s="314">
        <v>1.5</v>
      </c>
      <c r="F747" s="315">
        <v>45230.744444444441</v>
      </c>
      <c r="G747" s="314">
        <v>1</v>
      </c>
      <c r="H747" s="314">
        <v>51.3675</v>
      </c>
      <c r="I747" s="314">
        <v>5.4618500000000001</v>
      </c>
      <c r="J747" s="314">
        <v>-16.256043999999999</v>
      </c>
      <c r="K747" s="314">
        <v>-15.418231</v>
      </c>
      <c r="L747" s="314">
        <v>1054.3499999999999</v>
      </c>
      <c r="M747" s="314">
        <v>131.50076200000001</v>
      </c>
      <c r="N747" s="314">
        <v>19095.990000000002</v>
      </c>
      <c r="O747" s="314">
        <v>19095.989730000001</v>
      </c>
      <c r="P747" s="314">
        <v>2216.6030000000001</v>
      </c>
      <c r="Q747" s="313" t="s">
        <v>469</v>
      </c>
      <c r="R747" s="313"/>
      <c r="S747" s="314">
        <v>15</v>
      </c>
      <c r="T747" s="314">
        <v>5</v>
      </c>
      <c r="U747" s="314">
        <v>0.7</v>
      </c>
      <c r="V747" s="314">
        <v>0.7</v>
      </c>
      <c r="W747" s="314">
        <v>0.7</v>
      </c>
      <c r="X747" s="314">
        <v>1700</v>
      </c>
      <c r="Y747" s="313" t="s">
        <v>470</v>
      </c>
      <c r="Z747" s="314">
        <v>0.85</v>
      </c>
      <c r="AA747" s="313" t="s">
        <v>471</v>
      </c>
      <c r="AB747" s="313" t="s">
        <v>472</v>
      </c>
      <c r="AC747" s="316">
        <v>205</v>
      </c>
    </row>
    <row r="748" spans="1:29">
      <c r="A748" s="307" t="s">
        <v>779</v>
      </c>
      <c r="B748" s="308" t="s">
        <v>467</v>
      </c>
      <c r="C748" s="308" t="s">
        <v>888</v>
      </c>
      <c r="D748" s="308" t="s">
        <v>468</v>
      </c>
      <c r="E748" s="309">
        <v>1.5</v>
      </c>
      <c r="F748" s="310">
        <v>45230.747916666667</v>
      </c>
      <c r="G748" s="309">
        <v>1</v>
      </c>
      <c r="H748" s="309">
        <v>51.370800000000003</v>
      </c>
      <c r="I748" s="309">
        <v>5.4551499999999997</v>
      </c>
      <c r="J748" s="309">
        <v>-16.255030999999999</v>
      </c>
      <c r="K748" s="309">
        <v>-15.413125000000001</v>
      </c>
      <c r="L748" s="309">
        <v>1061.8800000000001</v>
      </c>
      <c r="M748" s="309">
        <v>129.500227</v>
      </c>
      <c r="N748" s="309">
        <v>19103.16</v>
      </c>
      <c r="O748" s="309">
        <v>19103.16059</v>
      </c>
      <c r="P748" s="309">
        <v>2217.4479999999999</v>
      </c>
      <c r="Q748" s="308" t="s">
        <v>469</v>
      </c>
      <c r="R748" s="308"/>
      <c r="S748" s="309">
        <v>15</v>
      </c>
      <c r="T748" s="309">
        <v>5</v>
      </c>
      <c r="U748" s="309">
        <v>0.7</v>
      </c>
      <c r="V748" s="309">
        <v>0.7</v>
      </c>
      <c r="W748" s="309">
        <v>0.7</v>
      </c>
      <c r="X748" s="309">
        <v>1700</v>
      </c>
      <c r="Y748" s="308" t="s">
        <v>470</v>
      </c>
      <c r="Z748" s="309">
        <v>0.85</v>
      </c>
      <c r="AA748" s="308" t="s">
        <v>471</v>
      </c>
      <c r="AB748" s="308" t="s">
        <v>472</v>
      </c>
      <c r="AC748" s="311">
        <v>205</v>
      </c>
    </row>
    <row r="749" spans="1:29">
      <c r="A749" s="312" t="s">
        <v>782</v>
      </c>
      <c r="B749" s="313" t="s">
        <v>467</v>
      </c>
      <c r="C749" s="313" t="s">
        <v>888</v>
      </c>
      <c r="D749" s="313" t="s">
        <v>468</v>
      </c>
      <c r="E749" s="314">
        <v>1.5</v>
      </c>
      <c r="F749" s="315">
        <v>45230.751388888886</v>
      </c>
      <c r="G749" s="314">
        <v>1</v>
      </c>
      <c r="H749" s="314">
        <v>51.370800000000003</v>
      </c>
      <c r="I749" s="314">
        <v>5.4613300000000002</v>
      </c>
      <c r="J749" s="314">
        <v>-16.229012999999998</v>
      </c>
      <c r="K749" s="314">
        <v>-15.388169</v>
      </c>
      <c r="L749" s="314">
        <v>1097.18</v>
      </c>
      <c r="M749" s="314">
        <v>126.999206</v>
      </c>
      <c r="N749" s="314">
        <v>19337.12</v>
      </c>
      <c r="O749" s="314">
        <v>19337.117129999999</v>
      </c>
      <c r="P749" s="314">
        <v>2245.0149999999999</v>
      </c>
      <c r="Q749" s="313" t="s">
        <v>469</v>
      </c>
      <c r="R749" s="313"/>
      <c r="S749" s="314">
        <v>15</v>
      </c>
      <c r="T749" s="314">
        <v>5</v>
      </c>
      <c r="U749" s="314">
        <v>0.7</v>
      </c>
      <c r="V749" s="314">
        <v>0.7</v>
      </c>
      <c r="W749" s="314">
        <v>0.7</v>
      </c>
      <c r="X749" s="314">
        <v>1700</v>
      </c>
      <c r="Y749" s="313" t="s">
        <v>470</v>
      </c>
      <c r="Z749" s="314">
        <v>0.85</v>
      </c>
      <c r="AA749" s="313" t="s">
        <v>471</v>
      </c>
      <c r="AB749" s="313" t="s">
        <v>472</v>
      </c>
      <c r="AC749" s="316">
        <v>204</v>
      </c>
    </row>
    <row r="750" spans="1:29">
      <c r="A750" s="324"/>
      <c r="B750" s="324"/>
      <c r="C750" s="324"/>
      <c r="D750" s="324"/>
      <c r="E750" s="324"/>
      <c r="F750" s="325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  <c r="AA750" s="324"/>
      <c r="AB750" s="324"/>
      <c r="AC750" s="324"/>
    </row>
    <row r="751" spans="1:29">
      <c r="A751" s="307" t="s">
        <v>466</v>
      </c>
      <c r="B751" s="308" t="s">
        <v>467</v>
      </c>
      <c r="C751" s="308" t="s">
        <v>588</v>
      </c>
      <c r="D751" s="308" t="s">
        <v>468</v>
      </c>
      <c r="E751" s="309">
        <v>1</v>
      </c>
      <c r="F751" s="310">
        <v>45236.393750000003</v>
      </c>
      <c r="G751" s="309">
        <v>1</v>
      </c>
      <c r="H751" s="309">
        <v>51.374099999999999</v>
      </c>
      <c r="I751" s="309">
        <v>9.7861200000000004</v>
      </c>
      <c r="J751" s="309">
        <v>-16.493480999999999</v>
      </c>
      <c r="K751" s="309">
        <v>-15.661275</v>
      </c>
      <c r="L751" s="309">
        <v>891.63300000000004</v>
      </c>
      <c r="M751" s="309">
        <v>103.00083600000001</v>
      </c>
      <c r="N751" s="309">
        <v>11640.06</v>
      </c>
      <c r="O751" s="309">
        <v>11640.058800000001</v>
      </c>
      <c r="P751" s="309">
        <v>2033.05</v>
      </c>
      <c r="Q751" s="308" t="s">
        <v>469</v>
      </c>
      <c r="R751" s="308"/>
      <c r="S751" s="309">
        <v>15</v>
      </c>
      <c r="T751" s="309">
        <v>5</v>
      </c>
      <c r="U751" s="309">
        <v>0.7</v>
      </c>
      <c r="V751" s="309">
        <v>0.7</v>
      </c>
      <c r="W751" s="309">
        <v>0.7</v>
      </c>
      <c r="X751" s="309">
        <v>1700</v>
      </c>
      <c r="Y751" s="308" t="s">
        <v>470</v>
      </c>
      <c r="Z751" s="309">
        <v>0.85</v>
      </c>
      <c r="AA751" s="308" t="s">
        <v>471</v>
      </c>
      <c r="AB751" s="308" t="s">
        <v>472</v>
      </c>
      <c r="AC751" s="311">
        <v>220</v>
      </c>
    </row>
    <row r="752" spans="1:29">
      <c r="A752" s="326" t="s">
        <v>473</v>
      </c>
      <c r="B752" s="327" t="s">
        <v>467</v>
      </c>
      <c r="C752" s="327" t="s">
        <v>588</v>
      </c>
      <c r="D752" s="327" t="s">
        <v>468</v>
      </c>
      <c r="E752" s="328">
        <v>1</v>
      </c>
      <c r="F752" s="329">
        <v>45236.396527777775</v>
      </c>
      <c r="G752" s="328">
        <v>1</v>
      </c>
      <c r="H752" s="328">
        <v>51.370800000000003</v>
      </c>
      <c r="I752" s="328">
        <v>10.8622</v>
      </c>
      <c r="J752" s="328">
        <v>-16.619949999999999</v>
      </c>
      <c r="K752" s="328">
        <v>-15.778506</v>
      </c>
      <c r="L752" s="328">
        <v>895.66800000000001</v>
      </c>
      <c r="M752" s="328">
        <v>89.999733000000006</v>
      </c>
      <c r="N752" s="328">
        <v>11573.71</v>
      </c>
      <c r="O752" s="328">
        <v>11573.70954</v>
      </c>
      <c r="P752" s="328">
        <v>2021.6020000000001</v>
      </c>
      <c r="Q752" s="327" t="s">
        <v>469</v>
      </c>
      <c r="R752" s="327"/>
      <c r="S752" s="328">
        <v>15</v>
      </c>
      <c r="T752" s="328">
        <v>5</v>
      </c>
      <c r="U752" s="328">
        <v>0.7</v>
      </c>
      <c r="V752" s="328">
        <v>0.7</v>
      </c>
      <c r="W752" s="328">
        <v>0.7</v>
      </c>
      <c r="X752" s="328">
        <v>1700</v>
      </c>
      <c r="Y752" s="327" t="s">
        <v>470</v>
      </c>
      <c r="Z752" s="328">
        <v>0.85</v>
      </c>
      <c r="AA752" s="327" t="s">
        <v>471</v>
      </c>
      <c r="AB752" s="327" t="s">
        <v>472</v>
      </c>
      <c r="AC752" s="330">
        <v>220</v>
      </c>
    </row>
    <row r="753" spans="1:29">
      <c r="A753" s="331" t="s">
        <v>474</v>
      </c>
      <c r="B753" s="332" t="s">
        <v>467</v>
      </c>
      <c r="C753" s="332" t="s">
        <v>588</v>
      </c>
      <c r="D753" s="332" t="s">
        <v>468</v>
      </c>
      <c r="E753" s="333">
        <v>1</v>
      </c>
      <c r="F753" s="334">
        <v>45236.399305555555</v>
      </c>
      <c r="G753" s="333">
        <v>1</v>
      </c>
      <c r="H753" s="333">
        <v>51.3675</v>
      </c>
      <c r="I753" s="333">
        <v>10.2493</v>
      </c>
      <c r="J753" s="333">
        <v>-16.703156</v>
      </c>
      <c r="K753" s="333">
        <v>-15.875368999999999</v>
      </c>
      <c r="L753" s="333">
        <v>901.05899999999997</v>
      </c>
      <c r="M753" s="333">
        <v>94.000155000000007</v>
      </c>
      <c r="N753" s="333">
        <v>11596.2</v>
      </c>
      <c r="O753" s="333">
        <v>11596.199119999999</v>
      </c>
      <c r="P753" s="333">
        <v>2025.482</v>
      </c>
      <c r="Q753" s="332" t="s">
        <v>469</v>
      </c>
      <c r="R753" s="332"/>
      <c r="S753" s="333">
        <v>15</v>
      </c>
      <c r="T753" s="333">
        <v>5</v>
      </c>
      <c r="U753" s="333">
        <v>0.7</v>
      </c>
      <c r="V753" s="333">
        <v>0.7</v>
      </c>
      <c r="W753" s="333">
        <v>0.7</v>
      </c>
      <c r="X753" s="333">
        <v>1700</v>
      </c>
      <c r="Y753" s="332" t="s">
        <v>470</v>
      </c>
      <c r="Z753" s="333">
        <v>0.85</v>
      </c>
      <c r="AA753" s="332" t="s">
        <v>471</v>
      </c>
      <c r="AB753" s="332" t="s">
        <v>472</v>
      </c>
      <c r="AC753" s="335">
        <v>220</v>
      </c>
    </row>
    <row r="754" spans="1:29">
      <c r="A754" s="326" t="s">
        <v>475</v>
      </c>
      <c r="B754" s="327" t="s">
        <v>467</v>
      </c>
      <c r="C754" s="327" t="s">
        <v>588</v>
      </c>
      <c r="D754" s="327" t="s">
        <v>468</v>
      </c>
      <c r="E754" s="328">
        <v>1</v>
      </c>
      <c r="F754" s="329">
        <v>45236.402777777781</v>
      </c>
      <c r="G754" s="328">
        <v>1</v>
      </c>
      <c r="H754" s="328">
        <v>51.3675</v>
      </c>
      <c r="I754" s="328">
        <v>9.6073699999999995</v>
      </c>
      <c r="J754" s="328">
        <v>-16.739794</v>
      </c>
      <c r="K754" s="328">
        <v>-15.898844</v>
      </c>
      <c r="L754" s="328">
        <v>896.12199999999996</v>
      </c>
      <c r="M754" s="328">
        <v>90.500563</v>
      </c>
      <c r="N754" s="328">
        <v>11591.23</v>
      </c>
      <c r="O754" s="328">
        <v>11591.23335</v>
      </c>
      <c r="P754" s="328">
        <v>2024.626</v>
      </c>
      <c r="Q754" s="327" t="s">
        <v>469</v>
      </c>
      <c r="R754" s="327"/>
      <c r="S754" s="328">
        <v>15</v>
      </c>
      <c r="T754" s="328">
        <v>5</v>
      </c>
      <c r="U754" s="328">
        <v>0.7</v>
      </c>
      <c r="V754" s="328">
        <v>0.7</v>
      </c>
      <c r="W754" s="328">
        <v>0.7</v>
      </c>
      <c r="X754" s="328">
        <v>1700</v>
      </c>
      <c r="Y754" s="327" t="s">
        <v>470</v>
      </c>
      <c r="Z754" s="328">
        <v>0.85</v>
      </c>
      <c r="AA754" s="327" t="s">
        <v>471</v>
      </c>
      <c r="AB754" s="327" t="s">
        <v>472</v>
      </c>
      <c r="AC754" s="330">
        <v>220</v>
      </c>
    </row>
    <row r="755" spans="1:29">
      <c r="A755" s="331" t="s">
        <v>476</v>
      </c>
      <c r="B755" s="332" t="s">
        <v>467</v>
      </c>
      <c r="C755" s="332" t="s">
        <v>588</v>
      </c>
      <c r="D755" s="332" t="s">
        <v>468</v>
      </c>
      <c r="E755" s="333">
        <v>1</v>
      </c>
      <c r="F755" s="334">
        <v>45236.405555555553</v>
      </c>
      <c r="G755" s="333">
        <v>1</v>
      </c>
      <c r="H755" s="333">
        <v>51.3675</v>
      </c>
      <c r="I755" s="333">
        <v>9.2646899999999999</v>
      </c>
      <c r="J755" s="333">
        <v>-16.882574999999999</v>
      </c>
      <c r="K755" s="333">
        <v>-16.032706000000001</v>
      </c>
      <c r="L755" s="333">
        <v>895.43299999999999</v>
      </c>
      <c r="M755" s="333">
        <v>103.001352</v>
      </c>
      <c r="N755" s="333">
        <v>11596.34</v>
      </c>
      <c r="O755" s="333">
        <v>11596.33562</v>
      </c>
      <c r="P755" s="333">
        <v>2025.5060000000001</v>
      </c>
      <c r="Q755" s="332" t="s">
        <v>469</v>
      </c>
      <c r="R755" s="332"/>
      <c r="S755" s="333">
        <v>15</v>
      </c>
      <c r="T755" s="333">
        <v>5</v>
      </c>
      <c r="U755" s="333">
        <v>0.7</v>
      </c>
      <c r="V755" s="333">
        <v>0.7</v>
      </c>
      <c r="W755" s="333">
        <v>0.7</v>
      </c>
      <c r="X755" s="333">
        <v>1700</v>
      </c>
      <c r="Y755" s="332" t="s">
        <v>470</v>
      </c>
      <c r="Z755" s="333">
        <v>0.85</v>
      </c>
      <c r="AA755" s="332" t="s">
        <v>471</v>
      </c>
      <c r="AB755" s="332" t="s">
        <v>472</v>
      </c>
      <c r="AC755" s="335">
        <v>220</v>
      </c>
    </row>
    <row r="756" spans="1:29">
      <c r="A756" s="326" t="s">
        <v>477</v>
      </c>
      <c r="B756" s="327" t="s">
        <v>478</v>
      </c>
      <c r="C756" s="327" t="s">
        <v>437</v>
      </c>
      <c r="D756" s="327" t="s">
        <v>468</v>
      </c>
      <c r="E756" s="328">
        <v>1.2</v>
      </c>
      <c r="F756" s="329">
        <v>45236.416666666664</v>
      </c>
      <c r="G756" s="328">
        <v>1</v>
      </c>
      <c r="H756" s="328">
        <v>51.3675</v>
      </c>
      <c r="I756" s="328">
        <v>8.6939399999999996</v>
      </c>
      <c r="J756" s="328">
        <v>-16.866005999999999</v>
      </c>
      <c r="K756" s="328">
        <v>-16.019956000000001</v>
      </c>
      <c r="L756" s="328">
        <v>965.74699999999996</v>
      </c>
      <c r="M756" s="328">
        <v>102.000927</v>
      </c>
      <c r="N756" s="328">
        <v>14153.69</v>
      </c>
      <c r="O756" s="328">
        <v>14224.453960000001</v>
      </c>
      <c r="P756" s="328">
        <v>2067.2629999999999</v>
      </c>
      <c r="Q756" s="327" t="s">
        <v>542</v>
      </c>
      <c r="R756" s="327"/>
      <c r="S756" s="328">
        <v>15</v>
      </c>
      <c r="T756" s="328">
        <v>5</v>
      </c>
      <c r="U756" s="328">
        <v>0.7</v>
      </c>
      <c r="V756" s="328">
        <v>0.7</v>
      </c>
      <c r="W756" s="328">
        <v>0.7</v>
      </c>
      <c r="X756" s="328">
        <v>1700</v>
      </c>
      <c r="Y756" s="327" t="s">
        <v>470</v>
      </c>
      <c r="Z756" s="328">
        <v>0.85</v>
      </c>
      <c r="AA756" s="327" t="s">
        <v>471</v>
      </c>
      <c r="AB756" s="327" t="s">
        <v>472</v>
      </c>
      <c r="AC756" s="330">
        <v>220</v>
      </c>
    </row>
    <row r="757" spans="1:29">
      <c r="A757" s="331" t="s">
        <v>480</v>
      </c>
      <c r="B757" s="332" t="s">
        <v>478</v>
      </c>
      <c r="C757" s="332" t="s">
        <v>437</v>
      </c>
      <c r="D757" s="332" t="s">
        <v>468</v>
      </c>
      <c r="E757" s="333">
        <v>1.2</v>
      </c>
      <c r="F757" s="334">
        <v>45236.420138888891</v>
      </c>
      <c r="G757" s="333">
        <v>1</v>
      </c>
      <c r="H757" s="333">
        <v>51.374099999999999</v>
      </c>
      <c r="I757" s="333">
        <v>7.8970500000000001</v>
      </c>
      <c r="J757" s="333">
        <v>-16.919906000000001</v>
      </c>
      <c r="K757" s="333">
        <v>-16.079725</v>
      </c>
      <c r="L757" s="333">
        <v>960.32100000000003</v>
      </c>
      <c r="M757" s="333">
        <v>92.500114999999994</v>
      </c>
      <c r="N757" s="333">
        <v>14214.13</v>
      </c>
      <c r="O757" s="333">
        <v>14224.453960000001</v>
      </c>
      <c r="P757" s="333">
        <v>2067.2629999999999</v>
      </c>
      <c r="Q757" s="332" t="s">
        <v>469</v>
      </c>
      <c r="R757" s="332"/>
      <c r="S757" s="333">
        <v>15</v>
      </c>
      <c r="T757" s="333">
        <v>5</v>
      </c>
      <c r="U757" s="333">
        <v>0.7</v>
      </c>
      <c r="V757" s="333">
        <v>0.7</v>
      </c>
      <c r="W757" s="333">
        <v>0.7</v>
      </c>
      <c r="X757" s="333">
        <v>1700</v>
      </c>
      <c r="Y757" s="332" t="s">
        <v>470</v>
      </c>
      <c r="Z757" s="333">
        <v>0.85</v>
      </c>
      <c r="AA757" s="332" t="s">
        <v>471</v>
      </c>
      <c r="AB757" s="332" t="s">
        <v>472</v>
      </c>
      <c r="AC757" s="335">
        <v>220</v>
      </c>
    </row>
    <row r="758" spans="1:29">
      <c r="A758" s="326" t="s">
        <v>481</v>
      </c>
      <c r="B758" s="327" t="s">
        <v>478</v>
      </c>
      <c r="C758" s="327" t="s">
        <v>437</v>
      </c>
      <c r="D758" s="327" t="s">
        <v>468</v>
      </c>
      <c r="E758" s="328">
        <v>1.2</v>
      </c>
      <c r="F758" s="329">
        <v>45236.423611111109</v>
      </c>
      <c r="G758" s="328">
        <v>1</v>
      </c>
      <c r="H758" s="328">
        <v>51.370800000000003</v>
      </c>
      <c r="I758" s="328">
        <v>7.4158400000000002</v>
      </c>
      <c r="J758" s="328">
        <v>-16.951750000000001</v>
      </c>
      <c r="K758" s="328">
        <v>-16.107544000000001</v>
      </c>
      <c r="L758" s="328">
        <v>965.33900000000006</v>
      </c>
      <c r="M758" s="328">
        <v>94.500001999999995</v>
      </c>
      <c r="N758" s="328">
        <v>14228.59</v>
      </c>
      <c r="O758" s="328">
        <v>14224.453960000001</v>
      </c>
      <c r="P758" s="328">
        <v>2067.2629999999999</v>
      </c>
      <c r="Q758" s="327" t="s">
        <v>469</v>
      </c>
      <c r="R758" s="327"/>
      <c r="S758" s="328">
        <v>15</v>
      </c>
      <c r="T758" s="328">
        <v>5</v>
      </c>
      <c r="U758" s="328">
        <v>0.7</v>
      </c>
      <c r="V758" s="328">
        <v>0.7</v>
      </c>
      <c r="W758" s="328">
        <v>0.7</v>
      </c>
      <c r="X758" s="328">
        <v>1700</v>
      </c>
      <c r="Y758" s="327" t="s">
        <v>470</v>
      </c>
      <c r="Z758" s="328">
        <v>0.85</v>
      </c>
      <c r="AA758" s="327" t="s">
        <v>471</v>
      </c>
      <c r="AB758" s="327" t="s">
        <v>472</v>
      </c>
      <c r="AC758" s="330">
        <v>220</v>
      </c>
    </row>
    <row r="759" spans="1:29">
      <c r="A759" s="331" t="s">
        <v>482</v>
      </c>
      <c r="B759" s="332" t="s">
        <v>478</v>
      </c>
      <c r="C759" s="332" t="s">
        <v>437</v>
      </c>
      <c r="D759" s="332" t="s">
        <v>468</v>
      </c>
      <c r="E759" s="333">
        <v>1.2</v>
      </c>
      <c r="F759" s="334">
        <v>45236.426388888889</v>
      </c>
      <c r="G759" s="333">
        <v>1</v>
      </c>
      <c r="H759" s="333">
        <v>51.3675</v>
      </c>
      <c r="I759" s="333">
        <v>7.1902100000000004</v>
      </c>
      <c r="J759" s="333">
        <v>-16.933456</v>
      </c>
      <c r="K759" s="333">
        <v>-16.089863000000001</v>
      </c>
      <c r="L759" s="333">
        <v>970.13900000000001</v>
      </c>
      <c r="M759" s="333">
        <v>90.001250999999996</v>
      </c>
      <c r="N759" s="333">
        <v>14230.65</v>
      </c>
      <c r="O759" s="333">
        <v>14224.453960000001</v>
      </c>
      <c r="P759" s="333">
        <v>2067.2629999999999</v>
      </c>
      <c r="Q759" s="332" t="s">
        <v>469</v>
      </c>
      <c r="R759" s="332"/>
      <c r="S759" s="333">
        <v>15</v>
      </c>
      <c r="T759" s="333">
        <v>5</v>
      </c>
      <c r="U759" s="333">
        <v>0.7</v>
      </c>
      <c r="V759" s="333">
        <v>0.7</v>
      </c>
      <c r="W759" s="333">
        <v>0.7</v>
      </c>
      <c r="X759" s="333">
        <v>1700</v>
      </c>
      <c r="Y759" s="332" t="s">
        <v>470</v>
      </c>
      <c r="Z759" s="333">
        <v>0.85</v>
      </c>
      <c r="AA759" s="332" t="s">
        <v>471</v>
      </c>
      <c r="AB759" s="332" t="s">
        <v>472</v>
      </c>
      <c r="AC759" s="335">
        <v>220</v>
      </c>
    </row>
    <row r="760" spans="1:29">
      <c r="A760" s="326" t="s">
        <v>489</v>
      </c>
      <c r="B760" s="327" t="s">
        <v>490</v>
      </c>
      <c r="C760" s="327" t="s">
        <v>437</v>
      </c>
      <c r="D760" s="327" t="s">
        <v>468</v>
      </c>
      <c r="E760" s="328">
        <v>1.5</v>
      </c>
      <c r="F760" s="329">
        <v>45236.429861111108</v>
      </c>
      <c r="G760" s="328">
        <v>1</v>
      </c>
      <c r="H760" s="328">
        <v>51.364100000000001</v>
      </c>
      <c r="I760" s="328">
        <v>7.19496</v>
      </c>
      <c r="J760" s="328">
        <v>-17.096018999999998</v>
      </c>
      <c r="K760" s="328">
        <v>-16.260825000000001</v>
      </c>
      <c r="L760" s="328">
        <v>1000.96</v>
      </c>
      <c r="M760" s="328">
        <v>116.49993600000001</v>
      </c>
      <c r="N760" s="328">
        <v>17839.66</v>
      </c>
      <c r="O760" s="328">
        <v>17841.93548</v>
      </c>
      <c r="P760" s="328">
        <v>2067.2629999999999</v>
      </c>
      <c r="Q760" s="327" t="s">
        <v>469</v>
      </c>
      <c r="R760" s="327"/>
      <c r="S760" s="328">
        <v>15</v>
      </c>
      <c r="T760" s="328">
        <v>5</v>
      </c>
      <c r="U760" s="328">
        <v>0.7</v>
      </c>
      <c r="V760" s="328">
        <v>0.7</v>
      </c>
      <c r="W760" s="328">
        <v>0.7</v>
      </c>
      <c r="X760" s="328">
        <v>1700</v>
      </c>
      <c r="Y760" s="327" t="s">
        <v>470</v>
      </c>
      <c r="Z760" s="328">
        <v>0.85</v>
      </c>
      <c r="AA760" s="327" t="s">
        <v>471</v>
      </c>
      <c r="AB760" s="327" t="s">
        <v>472</v>
      </c>
      <c r="AC760" s="330">
        <v>220</v>
      </c>
    </row>
    <row r="761" spans="1:29">
      <c r="A761" s="331" t="s">
        <v>491</v>
      </c>
      <c r="B761" s="332" t="s">
        <v>490</v>
      </c>
      <c r="C761" s="332" t="s">
        <v>437</v>
      </c>
      <c r="D761" s="332" t="s">
        <v>468</v>
      </c>
      <c r="E761" s="333">
        <v>1.5</v>
      </c>
      <c r="F761" s="334">
        <v>45236.433333333334</v>
      </c>
      <c r="G761" s="333">
        <v>1</v>
      </c>
      <c r="H761" s="333">
        <v>51.374099999999999</v>
      </c>
      <c r="I761" s="333">
        <v>6.9996</v>
      </c>
      <c r="J761" s="333">
        <v>-17.215194</v>
      </c>
      <c r="K761" s="333">
        <v>-16.381219000000002</v>
      </c>
      <c r="L761" s="333">
        <v>1008.85</v>
      </c>
      <c r="M761" s="333">
        <v>111.99998600000001</v>
      </c>
      <c r="N761" s="333">
        <v>17860.71</v>
      </c>
      <c r="O761" s="333">
        <v>17841.93548</v>
      </c>
      <c r="P761" s="333">
        <v>2067.2629999999999</v>
      </c>
      <c r="Q761" s="332" t="s">
        <v>469</v>
      </c>
      <c r="R761" s="332"/>
      <c r="S761" s="333">
        <v>15</v>
      </c>
      <c r="T761" s="333">
        <v>5</v>
      </c>
      <c r="U761" s="333">
        <v>0.7</v>
      </c>
      <c r="V761" s="333">
        <v>0.7</v>
      </c>
      <c r="W761" s="333">
        <v>0.7</v>
      </c>
      <c r="X761" s="333">
        <v>1700</v>
      </c>
      <c r="Y761" s="332" t="s">
        <v>470</v>
      </c>
      <c r="Z761" s="333">
        <v>0.85</v>
      </c>
      <c r="AA761" s="332" t="s">
        <v>471</v>
      </c>
      <c r="AB761" s="332" t="s">
        <v>472</v>
      </c>
      <c r="AC761" s="335">
        <v>220</v>
      </c>
    </row>
    <row r="762" spans="1:29">
      <c r="A762" s="326" t="s">
        <v>492</v>
      </c>
      <c r="B762" s="327" t="s">
        <v>490</v>
      </c>
      <c r="C762" s="327" t="s">
        <v>437</v>
      </c>
      <c r="D762" s="327" t="s">
        <v>468</v>
      </c>
      <c r="E762" s="328">
        <v>1.5</v>
      </c>
      <c r="F762" s="329">
        <v>45236.436805555553</v>
      </c>
      <c r="G762" s="328">
        <v>1</v>
      </c>
      <c r="H762" s="328">
        <v>51.374099999999999</v>
      </c>
      <c r="I762" s="328">
        <v>6.9297899999999997</v>
      </c>
      <c r="J762" s="328">
        <v>-16.95215</v>
      </c>
      <c r="K762" s="328">
        <v>-16.124155999999999</v>
      </c>
      <c r="L762" s="328">
        <v>985.49800000000005</v>
      </c>
      <c r="M762" s="328">
        <v>102.499331</v>
      </c>
      <c r="N762" s="328">
        <v>17825.43</v>
      </c>
      <c r="O762" s="328">
        <v>17841.93548</v>
      </c>
      <c r="P762" s="328">
        <v>2067.2629999999999</v>
      </c>
      <c r="Q762" s="327" t="s">
        <v>469</v>
      </c>
      <c r="R762" s="327"/>
      <c r="S762" s="328">
        <v>15</v>
      </c>
      <c r="T762" s="328">
        <v>5</v>
      </c>
      <c r="U762" s="328">
        <v>0.7</v>
      </c>
      <c r="V762" s="328">
        <v>0.7</v>
      </c>
      <c r="W762" s="328">
        <v>0.7</v>
      </c>
      <c r="X762" s="328">
        <v>1700</v>
      </c>
      <c r="Y762" s="327" t="s">
        <v>470</v>
      </c>
      <c r="Z762" s="328">
        <v>0.85</v>
      </c>
      <c r="AA762" s="327" t="s">
        <v>471</v>
      </c>
      <c r="AB762" s="327" t="s">
        <v>472</v>
      </c>
      <c r="AC762" s="330">
        <v>220</v>
      </c>
    </row>
    <row r="763" spans="1:29">
      <c r="A763" s="331" t="s">
        <v>493</v>
      </c>
      <c r="B763" s="332" t="s">
        <v>494</v>
      </c>
      <c r="C763" s="332" t="s">
        <v>437</v>
      </c>
      <c r="D763" s="332" t="s">
        <v>468</v>
      </c>
      <c r="E763" s="333">
        <v>1.8</v>
      </c>
      <c r="F763" s="334">
        <v>45236.44027777778</v>
      </c>
      <c r="G763" s="333">
        <v>1</v>
      </c>
      <c r="H763" s="333">
        <v>51.370800000000003</v>
      </c>
      <c r="I763" s="333">
        <v>6.9710999999999999</v>
      </c>
      <c r="J763" s="333">
        <v>-17.286380999999999</v>
      </c>
      <c r="K763" s="333">
        <v>-16.441762000000001</v>
      </c>
      <c r="L763" s="333">
        <v>1016.48</v>
      </c>
      <c r="M763" s="333">
        <v>134.49876599999999</v>
      </c>
      <c r="N763" s="333">
        <v>21413.32</v>
      </c>
      <c r="O763" s="333">
        <v>21398.969369999999</v>
      </c>
      <c r="P763" s="333">
        <v>2067.2629999999999</v>
      </c>
      <c r="Q763" s="332" t="s">
        <v>469</v>
      </c>
      <c r="R763" s="332"/>
      <c r="S763" s="333">
        <v>15</v>
      </c>
      <c r="T763" s="333">
        <v>5</v>
      </c>
      <c r="U763" s="333">
        <v>0.7</v>
      </c>
      <c r="V763" s="333">
        <v>0.7</v>
      </c>
      <c r="W763" s="333">
        <v>0.7</v>
      </c>
      <c r="X763" s="333">
        <v>1700</v>
      </c>
      <c r="Y763" s="332" t="s">
        <v>470</v>
      </c>
      <c r="Z763" s="333">
        <v>0.85</v>
      </c>
      <c r="AA763" s="332" t="s">
        <v>471</v>
      </c>
      <c r="AB763" s="332" t="s">
        <v>472</v>
      </c>
      <c r="AC763" s="335">
        <v>220</v>
      </c>
    </row>
    <row r="764" spans="1:29">
      <c r="A764" s="326" t="s">
        <v>495</v>
      </c>
      <c r="B764" s="327" t="s">
        <v>494</v>
      </c>
      <c r="C764" s="327" t="s">
        <v>437</v>
      </c>
      <c r="D764" s="327" t="s">
        <v>468</v>
      </c>
      <c r="E764" s="328">
        <v>1.8</v>
      </c>
      <c r="F764" s="329">
        <v>45236.443749999999</v>
      </c>
      <c r="G764" s="328">
        <v>1</v>
      </c>
      <c r="H764" s="328">
        <v>51.370800000000003</v>
      </c>
      <c r="I764" s="328">
        <v>6.9096200000000003</v>
      </c>
      <c r="J764" s="328">
        <v>-17.173093999999999</v>
      </c>
      <c r="K764" s="328">
        <v>-16.346768999999998</v>
      </c>
      <c r="L764" s="328">
        <v>999.20399999999995</v>
      </c>
      <c r="M764" s="328">
        <v>120.001462</v>
      </c>
      <c r="N764" s="328">
        <v>21394.61</v>
      </c>
      <c r="O764" s="328">
        <v>21398.969369999999</v>
      </c>
      <c r="P764" s="328">
        <v>2067.2629999999999</v>
      </c>
      <c r="Q764" s="327" t="s">
        <v>469</v>
      </c>
      <c r="R764" s="327"/>
      <c r="S764" s="328">
        <v>15</v>
      </c>
      <c r="T764" s="328">
        <v>5</v>
      </c>
      <c r="U764" s="328">
        <v>0.7</v>
      </c>
      <c r="V764" s="328">
        <v>0.7</v>
      </c>
      <c r="W764" s="328">
        <v>0.7</v>
      </c>
      <c r="X764" s="328">
        <v>1700</v>
      </c>
      <c r="Y764" s="327" t="s">
        <v>470</v>
      </c>
      <c r="Z764" s="328">
        <v>0.85</v>
      </c>
      <c r="AA764" s="327" t="s">
        <v>471</v>
      </c>
      <c r="AB764" s="327" t="s">
        <v>472</v>
      </c>
      <c r="AC764" s="330">
        <v>220</v>
      </c>
    </row>
    <row r="765" spans="1:29">
      <c r="A765" s="331" t="s">
        <v>496</v>
      </c>
      <c r="B765" s="332" t="s">
        <v>494</v>
      </c>
      <c r="C765" s="332" t="s">
        <v>437</v>
      </c>
      <c r="D765" s="332" t="s">
        <v>468</v>
      </c>
      <c r="E765" s="333">
        <v>1.8</v>
      </c>
      <c r="F765" s="334">
        <v>45236.447916666664</v>
      </c>
      <c r="G765" s="333">
        <v>1</v>
      </c>
      <c r="H765" s="333">
        <v>51.370800000000003</v>
      </c>
      <c r="I765" s="333">
        <v>6.8713300000000004</v>
      </c>
      <c r="J765" s="333">
        <v>-17.108581000000001</v>
      </c>
      <c r="K765" s="333">
        <v>-16.260869</v>
      </c>
      <c r="L765" s="333">
        <v>998.423</v>
      </c>
      <c r="M765" s="333">
        <v>115.99939500000001</v>
      </c>
      <c r="N765" s="333">
        <v>21388.98</v>
      </c>
      <c r="O765" s="333">
        <v>21398.969369999999</v>
      </c>
      <c r="P765" s="333">
        <v>2067.2629999999999</v>
      </c>
      <c r="Q765" s="332" t="s">
        <v>469</v>
      </c>
      <c r="R765" s="332"/>
      <c r="S765" s="333">
        <v>15</v>
      </c>
      <c r="T765" s="333">
        <v>5</v>
      </c>
      <c r="U765" s="333">
        <v>0.7</v>
      </c>
      <c r="V765" s="333">
        <v>0.7</v>
      </c>
      <c r="W765" s="333">
        <v>0.7</v>
      </c>
      <c r="X765" s="333">
        <v>1700</v>
      </c>
      <c r="Y765" s="332" t="s">
        <v>470</v>
      </c>
      <c r="Z765" s="333">
        <v>0.85</v>
      </c>
      <c r="AA765" s="332" t="s">
        <v>471</v>
      </c>
      <c r="AB765" s="332" t="s">
        <v>472</v>
      </c>
      <c r="AC765" s="335">
        <v>220</v>
      </c>
    </row>
    <row r="766" spans="1:29">
      <c r="A766" s="336" t="s">
        <v>497</v>
      </c>
      <c r="B766" s="337">
        <v>2</v>
      </c>
      <c r="C766" s="337" t="s">
        <v>437</v>
      </c>
      <c r="D766" s="337" t="s">
        <v>468</v>
      </c>
      <c r="E766" s="338">
        <v>1.5</v>
      </c>
      <c r="F766" s="339">
        <v>45236.451388888891</v>
      </c>
      <c r="G766" s="338">
        <v>1</v>
      </c>
      <c r="H766" s="338">
        <v>51.374099999999999</v>
      </c>
      <c r="I766" s="338">
        <v>6.7210299999999998</v>
      </c>
      <c r="J766" s="338">
        <v>-17.357444000000001</v>
      </c>
      <c r="K766" s="338">
        <v>-16.537931</v>
      </c>
      <c r="L766" s="338">
        <v>984.90800000000002</v>
      </c>
      <c r="M766" s="338">
        <v>132.000474</v>
      </c>
      <c r="N766" s="338">
        <v>17854.919999999998</v>
      </c>
      <c r="O766" s="338">
        <v>17840.655930000001</v>
      </c>
      <c r="P766" s="338">
        <v>2067.1170000000002</v>
      </c>
      <c r="Q766" s="337" t="s">
        <v>469</v>
      </c>
      <c r="R766" s="337"/>
      <c r="S766" s="338">
        <v>15</v>
      </c>
      <c r="T766" s="338">
        <v>5</v>
      </c>
      <c r="U766" s="338">
        <v>0.7</v>
      </c>
      <c r="V766" s="338">
        <v>0.7</v>
      </c>
      <c r="W766" s="338">
        <v>0.7</v>
      </c>
      <c r="X766" s="338">
        <v>1700</v>
      </c>
      <c r="Y766" s="337" t="s">
        <v>470</v>
      </c>
      <c r="Z766" s="338">
        <v>0.85</v>
      </c>
      <c r="AA766" s="337" t="s">
        <v>471</v>
      </c>
      <c r="AB766" s="337" t="s">
        <v>472</v>
      </c>
      <c r="AC766" s="340">
        <v>220</v>
      </c>
    </row>
    <row r="767" spans="1:29">
      <c r="A767" s="331" t="s">
        <v>498</v>
      </c>
      <c r="B767" s="332">
        <v>2</v>
      </c>
      <c r="C767" s="332" t="s">
        <v>437</v>
      </c>
      <c r="D767" s="332" t="s">
        <v>468</v>
      </c>
      <c r="E767" s="333">
        <v>1.5</v>
      </c>
      <c r="F767" s="334">
        <v>45236.454861111109</v>
      </c>
      <c r="G767" s="333">
        <v>1</v>
      </c>
      <c r="H767" s="333">
        <v>51.364100000000001</v>
      </c>
      <c r="I767" s="333">
        <v>6.6171899999999999</v>
      </c>
      <c r="J767" s="333">
        <v>-17.254111999999999</v>
      </c>
      <c r="K767" s="333">
        <v>-16.408868999999999</v>
      </c>
      <c r="L767" s="333">
        <v>981.12599999999998</v>
      </c>
      <c r="M767" s="333">
        <v>110.50071</v>
      </c>
      <c r="N767" s="333">
        <v>17824.419999999998</v>
      </c>
      <c r="O767" s="333">
        <v>17840.655930000001</v>
      </c>
      <c r="P767" s="333">
        <v>2067.1170000000002</v>
      </c>
      <c r="Q767" s="332" t="s">
        <v>469</v>
      </c>
      <c r="R767" s="332"/>
      <c r="S767" s="333">
        <v>15</v>
      </c>
      <c r="T767" s="333">
        <v>5</v>
      </c>
      <c r="U767" s="333">
        <v>0.7</v>
      </c>
      <c r="V767" s="333">
        <v>0.7</v>
      </c>
      <c r="W767" s="333">
        <v>0.7</v>
      </c>
      <c r="X767" s="333">
        <v>1700</v>
      </c>
      <c r="Y767" s="332" t="s">
        <v>470</v>
      </c>
      <c r="Z767" s="333">
        <v>0.85</v>
      </c>
      <c r="AA767" s="332" t="s">
        <v>471</v>
      </c>
      <c r="AB767" s="332" t="s">
        <v>472</v>
      </c>
      <c r="AC767" s="335">
        <v>220</v>
      </c>
    </row>
    <row r="768" spans="1:29">
      <c r="A768" s="326" t="s">
        <v>499</v>
      </c>
      <c r="B768" s="327">
        <v>2</v>
      </c>
      <c r="C768" s="327" t="s">
        <v>437</v>
      </c>
      <c r="D768" s="327" t="s">
        <v>468</v>
      </c>
      <c r="E768" s="328">
        <v>1.5</v>
      </c>
      <c r="F768" s="329">
        <v>45236.458333333336</v>
      </c>
      <c r="G768" s="328">
        <v>1</v>
      </c>
      <c r="H768" s="328">
        <v>51.3675</v>
      </c>
      <c r="I768" s="328">
        <v>6.6075100000000004</v>
      </c>
      <c r="J768" s="328">
        <v>-17.204756</v>
      </c>
      <c r="K768" s="328">
        <v>-16.356674999999999</v>
      </c>
      <c r="L768" s="328">
        <v>995.42100000000005</v>
      </c>
      <c r="M768" s="328">
        <v>109.000339</v>
      </c>
      <c r="N768" s="328">
        <v>17842.63</v>
      </c>
      <c r="O768" s="328">
        <v>17840.655930000001</v>
      </c>
      <c r="P768" s="328">
        <v>2067.1170000000002</v>
      </c>
      <c r="Q768" s="327" t="s">
        <v>469</v>
      </c>
      <c r="R768" s="327"/>
      <c r="S768" s="328">
        <v>15</v>
      </c>
      <c r="T768" s="328">
        <v>5</v>
      </c>
      <c r="U768" s="328">
        <v>0.7</v>
      </c>
      <c r="V768" s="328">
        <v>0.7</v>
      </c>
      <c r="W768" s="328">
        <v>0.7</v>
      </c>
      <c r="X768" s="328">
        <v>1700</v>
      </c>
      <c r="Y768" s="327" t="s">
        <v>470</v>
      </c>
      <c r="Z768" s="328">
        <v>0.85</v>
      </c>
      <c r="AA768" s="327" t="s">
        <v>471</v>
      </c>
      <c r="AB768" s="327" t="s">
        <v>472</v>
      </c>
      <c r="AC768" s="330">
        <v>220</v>
      </c>
    </row>
    <row r="769" spans="1:29">
      <c r="A769" s="331" t="s">
        <v>590</v>
      </c>
      <c r="B769" s="332">
        <v>3</v>
      </c>
      <c r="C769" s="332">
        <v>554</v>
      </c>
      <c r="D769" s="332" t="s">
        <v>419</v>
      </c>
      <c r="E769" s="333">
        <v>1.5</v>
      </c>
      <c r="F769" s="334">
        <v>45236.462500000001</v>
      </c>
      <c r="G769" s="333">
        <v>1</v>
      </c>
      <c r="H769" s="333">
        <v>51.370800000000003</v>
      </c>
      <c r="I769" s="333">
        <v>6.46211</v>
      </c>
      <c r="J769" s="333">
        <v>-17.208712999999999</v>
      </c>
      <c r="K769" s="333">
        <v>-16.374219</v>
      </c>
      <c r="L769" s="333">
        <v>954.62699999999995</v>
      </c>
      <c r="M769" s="333">
        <v>119.0008</v>
      </c>
      <c r="N769" s="333">
        <v>17565.490000000002</v>
      </c>
      <c r="O769" s="333">
        <v>17601.132170000001</v>
      </c>
      <c r="P769" s="333">
        <v>2039.741</v>
      </c>
      <c r="Q769" s="332" t="s">
        <v>542</v>
      </c>
      <c r="R769" s="332"/>
      <c r="S769" s="333">
        <v>15</v>
      </c>
      <c r="T769" s="333">
        <v>5</v>
      </c>
      <c r="U769" s="333">
        <v>0.7</v>
      </c>
      <c r="V769" s="333">
        <v>0.7</v>
      </c>
      <c r="W769" s="333">
        <v>0.7</v>
      </c>
      <c r="X769" s="333">
        <v>1700</v>
      </c>
      <c r="Y769" s="332" t="s">
        <v>470</v>
      </c>
      <c r="Z769" s="333">
        <v>0.85</v>
      </c>
      <c r="AA769" s="332" t="s">
        <v>471</v>
      </c>
      <c r="AB769" s="332" t="s">
        <v>472</v>
      </c>
      <c r="AC769" s="335">
        <v>220</v>
      </c>
    </row>
    <row r="770" spans="1:29">
      <c r="A770" s="326" t="s">
        <v>743</v>
      </c>
      <c r="B770" s="327">
        <v>3</v>
      </c>
      <c r="C770" s="327">
        <v>554</v>
      </c>
      <c r="D770" s="327" t="s">
        <v>419</v>
      </c>
      <c r="E770" s="328">
        <v>1.5</v>
      </c>
      <c r="F770" s="329">
        <v>45236.46597222222</v>
      </c>
      <c r="G770" s="328">
        <v>1</v>
      </c>
      <c r="H770" s="328">
        <v>51.374099999999999</v>
      </c>
      <c r="I770" s="328">
        <v>6.4343899999999996</v>
      </c>
      <c r="J770" s="328">
        <v>-17.129987</v>
      </c>
      <c r="K770" s="328">
        <v>-16.280411999999998</v>
      </c>
      <c r="L770" s="328">
        <v>978.82</v>
      </c>
      <c r="M770" s="328">
        <v>121.001132</v>
      </c>
      <c r="N770" s="328">
        <v>17642.16</v>
      </c>
      <c r="O770" s="328">
        <v>17601.132170000001</v>
      </c>
      <c r="P770" s="328">
        <v>2039.741</v>
      </c>
      <c r="Q770" s="327" t="s">
        <v>542</v>
      </c>
      <c r="R770" s="327"/>
      <c r="S770" s="328">
        <v>15</v>
      </c>
      <c r="T770" s="328">
        <v>5</v>
      </c>
      <c r="U770" s="328">
        <v>0.7</v>
      </c>
      <c r="V770" s="328">
        <v>0.7</v>
      </c>
      <c r="W770" s="328">
        <v>0.7</v>
      </c>
      <c r="X770" s="328">
        <v>1700</v>
      </c>
      <c r="Y770" s="327" t="s">
        <v>470</v>
      </c>
      <c r="Z770" s="328">
        <v>0.85</v>
      </c>
      <c r="AA770" s="327" t="s">
        <v>471</v>
      </c>
      <c r="AB770" s="327" t="s">
        <v>472</v>
      </c>
      <c r="AC770" s="330">
        <v>220</v>
      </c>
    </row>
    <row r="771" spans="1:29">
      <c r="A771" s="331" t="s">
        <v>744</v>
      </c>
      <c r="B771" s="332">
        <v>3</v>
      </c>
      <c r="C771" s="332">
        <v>554</v>
      </c>
      <c r="D771" s="332" t="s">
        <v>419</v>
      </c>
      <c r="E771" s="333">
        <v>1.5</v>
      </c>
      <c r="F771" s="334">
        <v>45236.469444444447</v>
      </c>
      <c r="G771" s="333">
        <v>1</v>
      </c>
      <c r="H771" s="333">
        <v>51.3675</v>
      </c>
      <c r="I771" s="333">
        <v>6.3795299999999999</v>
      </c>
      <c r="J771" s="333">
        <v>-17.114356000000001</v>
      </c>
      <c r="K771" s="333">
        <v>-16.268305999999999</v>
      </c>
      <c r="L771" s="333">
        <v>969.33600000000001</v>
      </c>
      <c r="M771" s="333">
        <v>109.499458</v>
      </c>
      <c r="N771" s="333">
        <v>17597.14</v>
      </c>
      <c r="O771" s="333">
        <v>17601.132170000001</v>
      </c>
      <c r="P771" s="333">
        <v>2039.741</v>
      </c>
      <c r="Q771" s="332" t="s">
        <v>469</v>
      </c>
      <c r="R771" s="332"/>
      <c r="S771" s="333">
        <v>15</v>
      </c>
      <c r="T771" s="333">
        <v>5</v>
      </c>
      <c r="U771" s="333">
        <v>0.7</v>
      </c>
      <c r="V771" s="333">
        <v>0.7</v>
      </c>
      <c r="W771" s="333">
        <v>0.7</v>
      </c>
      <c r="X771" s="333">
        <v>1700</v>
      </c>
      <c r="Y771" s="332" t="s">
        <v>470</v>
      </c>
      <c r="Z771" s="333">
        <v>0.85</v>
      </c>
      <c r="AA771" s="332" t="s">
        <v>471</v>
      </c>
      <c r="AB771" s="332" t="s">
        <v>472</v>
      </c>
      <c r="AC771" s="335">
        <v>220</v>
      </c>
    </row>
    <row r="772" spans="1:29">
      <c r="A772" s="326" t="s">
        <v>907</v>
      </c>
      <c r="B772" s="327">
        <v>3</v>
      </c>
      <c r="C772" s="327">
        <v>554</v>
      </c>
      <c r="D772" s="327" t="s">
        <v>419</v>
      </c>
      <c r="E772" s="328">
        <v>1.5</v>
      </c>
      <c r="F772" s="329">
        <v>45236.472916666666</v>
      </c>
      <c r="G772" s="328">
        <v>1</v>
      </c>
      <c r="H772" s="328">
        <v>51.364100000000001</v>
      </c>
      <c r="I772" s="328">
        <v>6.3373900000000001</v>
      </c>
      <c r="J772" s="328">
        <v>-17.263487999999999</v>
      </c>
      <c r="K772" s="328">
        <v>-16.414994</v>
      </c>
      <c r="L772" s="328">
        <v>982.83299999999997</v>
      </c>
      <c r="M772" s="328">
        <v>114.499155</v>
      </c>
      <c r="N772" s="328">
        <v>17599.32</v>
      </c>
      <c r="O772" s="328">
        <v>17601.132170000001</v>
      </c>
      <c r="P772" s="328">
        <v>2039.741</v>
      </c>
      <c r="Q772" s="327" t="s">
        <v>469</v>
      </c>
      <c r="R772" s="327"/>
      <c r="S772" s="328">
        <v>15</v>
      </c>
      <c r="T772" s="328">
        <v>5</v>
      </c>
      <c r="U772" s="328">
        <v>0.7</v>
      </c>
      <c r="V772" s="328">
        <v>0.7</v>
      </c>
      <c r="W772" s="328">
        <v>0.7</v>
      </c>
      <c r="X772" s="328">
        <v>1700</v>
      </c>
      <c r="Y772" s="327" t="s">
        <v>470</v>
      </c>
      <c r="Z772" s="328">
        <v>0.85</v>
      </c>
      <c r="AA772" s="327" t="s">
        <v>471</v>
      </c>
      <c r="AB772" s="327" t="s">
        <v>472</v>
      </c>
      <c r="AC772" s="330">
        <v>220</v>
      </c>
    </row>
    <row r="773" spans="1:29">
      <c r="A773" s="331" t="s">
        <v>908</v>
      </c>
      <c r="B773" s="332">
        <v>3</v>
      </c>
      <c r="C773" s="332">
        <v>554</v>
      </c>
      <c r="D773" s="332" t="s">
        <v>419</v>
      </c>
      <c r="E773" s="333">
        <v>1.5</v>
      </c>
      <c r="F773" s="334">
        <v>45236.476388888892</v>
      </c>
      <c r="G773" s="333">
        <v>1</v>
      </c>
      <c r="H773" s="333">
        <v>51.374099999999999</v>
      </c>
      <c r="I773" s="333">
        <v>6.3063200000000004</v>
      </c>
      <c r="J773" s="333">
        <v>-17.313744</v>
      </c>
      <c r="K773" s="333">
        <v>-16.469000000000001</v>
      </c>
      <c r="L773" s="333">
        <v>981.19100000000003</v>
      </c>
      <c r="M773" s="333">
        <v>113.50004800000001</v>
      </c>
      <c r="N773" s="333">
        <v>17606.939999999999</v>
      </c>
      <c r="O773" s="333">
        <v>17601.132170000001</v>
      </c>
      <c r="P773" s="333">
        <v>2039.741</v>
      </c>
      <c r="Q773" s="332" t="s">
        <v>469</v>
      </c>
      <c r="R773" s="332"/>
      <c r="S773" s="333">
        <v>15</v>
      </c>
      <c r="T773" s="333">
        <v>5</v>
      </c>
      <c r="U773" s="333">
        <v>0.7</v>
      </c>
      <c r="V773" s="333">
        <v>0.7</v>
      </c>
      <c r="W773" s="333">
        <v>0.7</v>
      </c>
      <c r="X773" s="333">
        <v>1700</v>
      </c>
      <c r="Y773" s="332" t="s">
        <v>470</v>
      </c>
      <c r="Z773" s="333">
        <v>0.85</v>
      </c>
      <c r="AA773" s="332" t="s">
        <v>471</v>
      </c>
      <c r="AB773" s="332" t="s">
        <v>472</v>
      </c>
      <c r="AC773" s="335">
        <v>220</v>
      </c>
    </row>
    <row r="774" spans="1:29">
      <c r="A774" s="326" t="s">
        <v>591</v>
      </c>
      <c r="B774" s="327">
        <v>4</v>
      </c>
      <c r="C774" s="327">
        <v>565</v>
      </c>
      <c r="D774" s="327" t="s">
        <v>420</v>
      </c>
      <c r="E774" s="328">
        <v>1.5</v>
      </c>
      <c r="F774" s="329">
        <v>45236.480555555558</v>
      </c>
      <c r="G774" s="328">
        <v>1</v>
      </c>
      <c r="H774" s="328">
        <v>51.370800000000003</v>
      </c>
      <c r="I774" s="328">
        <v>6.1706700000000003</v>
      </c>
      <c r="J774" s="328">
        <v>-17.333424999999998</v>
      </c>
      <c r="K774" s="328">
        <v>-16.484000000000002</v>
      </c>
      <c r="L774" s="328">
        <v>978.07600000000002</v>
      </c>
      <c r="M774" s="328">
        <v>113.999112</v>
      </c>
      <c r="N774" s="328">
        <v>17589.88</v>
      </c>
      <c r="O774" s="328">
        <v>17594.701949999999</v>
      </c>
      <c r="P774" s="328">
        <v>2039.0060000000001</v>
      </c>
      <c r="Q774" s="327" t="s">
        <v>469</v>
      </c>
      <c r="R774" s="327"/>
      <c r="S774" s="328">
        <v>15</v>
      </c>
      <c r="T774" s="328">
        <v>5</v>
      </c>
      <c r="U774" s="328">
        <v>0.7</v>
      </c>
      <c r="V774" s="328">
        <v>0.7</v>
      </c>
      <c r="W774" s="328">
        <v>0.7</v>
      </c>
      <c r="X774" s="328">
        <v>1700</v>
      </c>
      <c r="Y774" s="327" t="s">
        <v>470</v>
      </c>
      <c r="Z774" s="328">
        <v>0.85</v>
      </c>
      <c r="AA774" s="327" t="s">
        <v>471</v>
      </c>
      <c r="AB774" s="327" t="s">
        <v>472</v>
      </c>
      <c r="AC774" s="330">
        <v>220</v>
      </c>
    </row>
    <row r="775" spans="1:29">
      <c r="A775" s="331" t="s">
        <v>692</v>
      </c>
      <c r="B775" s="332">
        <v>4</v>
      </c>
      <c r="C775" s="332">
        <v>565</v>
      </c>
      <c r="D775" s="332" t="s">
        <v>420</v>
      </c>
      <c r="E775" s="333">
        <v>1.5</v>
      </c>
      <c r="F775" s="334">
        <v>45236.484027777777</v>
      </c>
      <c r="G775" s="333">
        <v>1</v>
      </c>
      <c r="H775" s="333">
        <v>51.370800000000003</v>
      </c>
      <c r="I775" s="333">
        <v>6.1705899999999998</v>
      </c>
      <c r="J775" s="333">
        <v>-17.191624999999998</v>
      </c>
      <c r="K775" s="333">
        <v>-16.360150000000001</v>
      </c>
      <c r="L775" s="333">
        <v>969.62599999999998</v>
      </c>
      <c r="M775" s="333">
        <v>114.501203</v>
      </c>
      <c r="N775" s="333">
        <v>17583.16</v>
      </c>
      <c r="O775" s="333">
        <v>17594.701949999999</v>
      </c>
      <c r="P775" s="333">
        <v>2039.0060000000001</v>
      </c>
      <c r="Q775" s="332" t="s">
        <v>469</v>
      </c>
      <c r="R775" s="332"/>
      <c r="S775" s="333">
        <v>15</v>
      </c>
      <c r="T775" s="333">
        <v>5</v>
      </c>
      <c r="U775" s="333">
        <v>0.7</v>
      </c>
      <c r="V775" s="333">
        <v>0.7</v>
      </c>
      <c r="W775" s="333">
        <v>0.7</v>
      </c>
      <c r="X775" s="333">
        <v>1700</v>
      </c>
      <c r="Y775" s="332" t="s">
        <v>470</v>
      </c>
      <c r="Z775" s="333">
        <v>0.85</v>
      </c>
      <c r="AA775" s="332" t="s">
        <v>471</v>
      </c>
      <c r="AB775" s="332" t="s">
        <v>472</v>
      </c>
      <c r="AC775" s="335">
        <v>220</v>
      </c>
    </row>
    <row r="776" spans="1:29">
      <c r="A776" s="326" t="s">
        <v>693</v>
      </c>
      <c r="B776" s="327">
        <v>4</v>
      </c>
      <c r="C776" s="327">
        <v>565</v>
      </c>
      <c r="D776" s="327" t="s">
        <v>420</v>
      </c>
      <c r="E776" s="328">
        <v>1.5</v>
      </c>
      <c r="F776" s="329">
        <v>45236.487500000003</v>
      </c>
      <c r="G776" s="328">
        <v>1</v>
      </c>
      <c r="H776" s="328">
        <v>51.370800000000003</v>
      </c>
      <c r="I776" s="328">
        <v>6.1369499999999997</v>
      </c>
      <c r="J776" s="328">
        <v>-17.247781</v>
      </c>
      <c r="K776" s="328">
        <v>-16.41385</v>
      </c>
      <c r="L776" s="328">
        <v>968.98199999999997</v>
      </c>
      <c r="M776" s="328">
        <v>122.50062800000001</v>
      </c>
      <c r="N776" s="328">
        <v>17611.060000000001</v>
      </c>
      <c r="O776" s="328">
        <v>17594.701949999999</v>
      </c>
      <c r="P776" s="328">
        <v>2039.0060000000001</v>
      </c>
      <c r="Q776" s="327" t="s">
        <v>469</v>
      </c>
      <c r="R776" s="327"/>
      <c r="S776" s="328">
        <v>15</v>
      </c>
      <c r="T776" s="328">
        <v>5</v>
      </c>
      <c r="U776" s="328">
        <v>0.7</v>
      </c>
      <c r="V776" s="328">
        <v>0.7</v>
      </c>
      <c r="W776" s="328">
        <v>0.7</v>
      </c>
      <c r="X776" s="328">
        <v>1700</v>
      </c>
      <c r="Y776" s="327" t="s">
        <v>470</v>
      </c>
      <c r="Z776" s="328">
        <v>0.85</v>
      </c>
      <c r="AA776" s="327" t="s">
        <v>471</v>
      </c>
      <c r="AB776" s="327" t="s">
        <v>472</v>
      </c>
      <c r="AC776" s="330">
        <v>220</v>
      </c>
    </row>
    <row r="777" spans="1:29">
      <c r="A777" s="331" t="s">
        <v>592</v>
      </c>
      <c r="B777" s="332">
        <v>5</v>
      </c>
      <c r="C777" s="332">
        <v>566</v>
      </c>
      <c r="D777" s="332" t="s">
        <v>421</v>
      </c>
      <c r="E777" s="333">
        <v>1.5</v>
      </c>
      <c r="F777" s="334">
        <v>45236.491666666669</v>
      </c>
      <c r="G777" s="333">
        <v>1</v>
      </c>
      <c r="H777" s="333">
        <v>51.370800000000003</v>
      </c>
      <c r="I777" s="333">
        <v>6.0359999999999996</v>
      </c>
      <c r="J777" s="333">
        <v>-17.178025000000002</v>
      </c>
      <c r="K777" s="333">
        <v>-16.338225000000001</v>
      </c>
      <c r="L777" s="333">
        <v>975.55100000000004</v>
      </c>
      <c r="M777" s="333">
        <v>119.501497</v>
      </c>
      <c r="N777" s="333">
        <v>17602.89</v>
      </c>
      <c r="O777" s="333">
        <v>17609.914980000001</v>
      </c>
      <c r="P777" s="333">
        <v>2040.7449999999999</v>
      </c>
      <c r="Q777" s="332" t="s">
        <v>469</v>
      </c>
      <c r="R777" s="332"/>
      <c r="S777" s="333">
        <v>15</v>
      </c>
      <c r="T777" s="333">
        <v>5</v>
      </c>
      <c r="U777" s="333">
        <v>0.7</v>
      </c>
      <c r="V777" s="333">
        <v>0.7</v>
      </c>
      <c r="W777" s="333">
        <v>0.7</v>
      </c>
      <c r="X777" s="333">
        <v>1700</v>
      </c>
      <c r="Y777" s="332" t="s">
        <v>470</v>
      </c>
      <c r="Z777" s="333">
        <v>0.85</v>
      </c>
      <c r="AA777" s="332" t="s">
        <v>471</v>
      </c>
      <c r="AB777" s="332" t="s">
        <v>472</v>
      </c>
      <c r="AC777" s="335">
        <v>220</v>
      </c>
    </row>
    <row r="778" spans="1:29">
      <c r="A778" s="326" t="s">
        <v>695</v>
      </c>
      <c r="B778" s="327">
        <v>5</v>
      </c>
      <c r="C778" s="327">
        <v>566</v>
      </c>
      <c r="D778" s="327" t="s">
        <v>421</v>
      </c>
      <c r="E778" s="328">
        <v>1.5</v>
      </c>
      <c r="F778" s="329">
        <v>45236.495138888888</v>
      </c>
      <c r="G778" s="328">
        <v>1</v>
      </c>
      <c r="H778" s="328">
        <v>51.370800000000003</v>
      </c>
      <c r="I778" s="328">
        <v>6.0207199999999998</v>
      </c>
      <c r="J778" s="328">
        <v>-17.237743999999999</v>
      </c>
      <c r="K778" s="328">
        <v>-16.393243999999999</v>
      </c>
      <c r="L778" s="328">
        <v>975.553</v>
      </c>
      <c r="M778" s="328">
        <v>115.000095</v>
      </c>
      <c r="N778" s="328">
        <v>17612.87</v>
      </c>
      <c r="O778" s="328">
        <v>17609.914980000001</v>
      </c>
      <c r="P778" s="328">
        <v>2040.7449999999999</v>
      </c>
      <c r="Q778" s="327" t="s">
        <v>469</v>
      </c>
      <c r="R778" s="327"/>
      <c r="S778" s="328">
        <v>15</v>
      </c>
      <c r="T778" s="328">
        <v>5</v>
      </c>
      <c r="U778" s="328">
        <v>0.7</v>
      </c>
      <c r="V778" s="328">
        <v>0.7</v>
      </c>
      <c r="W778" s="328">
        <v>0.7</v>
      </c>
      <c r="X778" s="328">
        <v>1700</v>
      </c>
      <c r="Y778" s="327" t="s">
        <v>470</v>
      </c>
      <c r="Z778" s="328">
        <v>0.85</v>
      </c>
      <c r="AA778" s="327" t="s">
        <v>471</v>
      </c>
      <c r="AB778" s="327" t="s">
        <v>472</v>
      </c>
      <c r="AC778" s="330">
        <v>220</v>
      </c>
    </row>
    <row r="779" spans="1:29">
      <c r="A779" s="331" t="s">
        <v>696</v>
      </c>
      <c r="B779" s="332">
        <v>5</v>
      </c>
      <c r="C779" s="332">
        <v>566</v>
      </c>
      <c r="D779" s="332" t="s">
        <v>421</v>
      </c>
      <c r="E779" s="333">
        <v>1.5</v>
      </c>
      <c r="F779" s="334">
        <v>45236.498611111114</v>
      </c>
      <c r="G779" s="333">
        <v>1</v>
      </c>
      <c r="H779" s="333">
        <v>51.370800000000003</v>
      </c>
      <c r="I779" s="333">
        <v>5.9880699999999996</v>
      </c>
      <c r="J779" s="333">
        <v>-17.276593999999999</v>
      </c>
      <c r="K779" s="333">
        <v>-16.436769000000002</v>
      </c>
      <c r="L779" s="333">
        <v>976.779</v>
      </c>
      <c r="M779" s="333">
        <v>116.00009</v>
      </c>
      <c r="N779" s="333">
        <v>17613.98</v>
      </c>
      <c r="O779" s="333">
        <v>17609.914980000001</v>
      </c>
      <c r="P779" s="333">
        <v>2040.7449999999999</v>
      </c>
      <c r="Q779" s="332" t="s">
        <v>469</v>
      </c>
      <c r="R779" s="332"/>
      <c r="S779" s="333">
        <v>15</v>
      </c>
      <c r="T779" s="333">
        <v>5</v>
      </c>
      <c r="U779" s="333">
        <v>0.7</v>
      </c>
      <c r="V779" s="333">
        <v>0.7</v>
      </c>
      <c r="W779" s="333">
        <v>0.7</v>
      </c>
      <c r="X779" s="333">
        <v>1700</v>
      </c>
      <c r="Y779" s="332" t="s">
        <v>470</v>
      </c>
      <c r="Z779" s="333">
        <v>0.85</v>
      </c>
      <c r="AA779" s="332" t="s">
        <v>471</v>
      </c>
      <c r="AB779" s="332" t="s">
        <v>472</v>
      </c>
      <c r="AC779" s="335">
        <v>220</v>
      </c>
    </row>
    <row r="780" spans="1:29">
      <c r="A780" s="326" t="s">
        <v>593</v>
      </c>
      <c r="B780" s="327">
        <v>6</v>
      </c>
      <c r="C780" s="327">
        <v>576</v>
      </c>
      <c r="D780" s="327" t="s">
        <v>422</v>
      </c>
      <c r="E780" s="328">
        <v>1.5</v>
      </c>
      <c r="F780" s="329">
        <v>45236.50277777778</v>
      </c>
      <c r="G780" s="328">
        <v>1</v>
      </c>
      <c r="H780" s="328">
        <v>51.370800000000003</v>
      </c>
      <c r="I780" s="328">
        <v>5.8749399999999996</v>
      </c>
      <c r="J780" s="328">
        <v>-17.129093999999998</v>
      </c>
      <c r="K780" s="328">
        <v>-16.285793999999999</v>
      </c>
      <c r="L780" s="328">
        <v>978</v>
      </c>
      <c r="M780" s="328">
        <v>115.999</v>
      </c>
      <c r="N780" s="328">
        <v>17563.93</v>
      </c>
      <c r="O780" s="328">
        <v>17555.93202</v>
      </c>
      <c r="P780" s="328">
        <v>2034.575</v>
      </c>
      <c r="Q780" s="327" t="s">
        <v>469</v>
      </c>
      <c r="R780" s="327"/>
      <c r="S780" s="328">
        <v>15</v>
      </c>
      <c r="T780" s="328">
        <v>5</v>
      </c>
      <c r="U780" s="328">
        <v>0.7</v>
      </c>
      <c r="V780" s="328">
        <v>0.7</v>
      </c>
      <c r="W780" s="328">
        <v>0.7</v>
      </c>
      <c r="X780" s="328">
        <v>1700</v>
      </c>
      <c r="Y780" s="327" t="s">
        <v>470</v>
      </c>
      <c r="Z780" s="328">
        <v>0.85</v>
      </c>
      <c r="AA780" s="327" t="s">
        <v>471</v>
      </c>
      <c r="AB780" s="327" t="s">
        <v>472</v>
      </c>
      <c r="AC780" s="330">
        <v>220</v>
      </c>
    </row>
    <row r="781" spans="1:29">
      <c r="A781" s="331" t="s">
        <v>697</v>
      </c>
      <c r="B781" s="332">
        <v>6</v>
      </c>
      <c r="C781" s="332">
        <v>576</v>
      </c>
      <c r="D781" s="332" t="s">
        <v>422</v>
      </c>
      <c r="E781" s="333">
        <v>1.5</v>
      </c>
      <c r="F781" s="334">
        <v>45236.506249999999</v>
      </c>
      <c r="G781" s="333">
        <v>1</v>
      </c>
      <c r="H781" s="333">
        <v>51.370800000000003</v>
      </c>
      <c r="I781" s="333">
        <v>5.8779700000000004</v>
      </c>
      <c r="J781" s="333">
        <v>-17.113156</v>
      </c>
      <c r="K781" s="333">
        <v>-16.272044000000001</v>
      </c>
      <c r="L781" s="333">
        <v>969.43600000000004</v>
      </c>
      <c r="M781" s="333">
        <v>108.00124599999999</v>
      </c>
      <c r="N781" s="333">
        <v>17538.52</v>
      </c>
      <c r="O781" s="333">
        <v>17555.93202</v>
      </c>
      <c r="P781" s="333">
        <v>2034.575</v>
      </c>
      <c r="Q781" s="332" t="s">
        <v>469</v>
      </c>
      <c r="R781" s="332"/>
      <c r="S781" s="333">
        <v>15</v>
      </c>
      <c r="T781" s="333">
        <v>5</v>
      </c>
      <c r="U781" s="333">
        <v>0.7</v>
      </c>
      <c r="V781" s="333">
        <v>0.7</v>
      </c>
      <c r="W781" s="333">
        <v>0.7</v>
      </c>
      <c r="X781" s="333">
        <v>1700</v>
      </c>
      <c r="Y781" s="332" t="s">
        <v>470</v>
      </c>
      <c r="Z781" s="333">
        <v>0.85</v>
      </c>
      <c r="AA781" s="332" t="s">
        <v>471</v>
      </c>
      <c r="AB781" s="332" t="s">
        <v>472</v>
      </c>
      <c r="AC781" s="335">
        <v>220</v>
      </c>
    </row>
    <row r="782" spans="1:29">
      <c r="A782" s="326" t="s">
        <v>698</v>
      </c>
      <c r="B782" s="327">
        <v>6</v>
      </c>
      <c r="C782" s="327">
        <v>576</v>
      </c>
      <c r="D782" s="327" t="s">
        <v>422</v>
      </c>
      <c r="E782" s="328">
        <v>1.5</v>
      </c>
      <c r="F782" s="329">
        <v>45236.509722222225</v>
      </c>
      <c r="G782" s="328">
        <v>1</v>
      </c>
      <c r="H782" s="328">
        <v>51.370800000000003</v>
      </c>
      <c r="I782" s="328">
        <v>5.8875200000000003</v>
      </c>
      <c r="J782" s="328">
        <v>-17.346606000000001</v>
      </c>
      <c r="K782" s="328">
        <v>-16.510006000000001</v>
      </c>
      <c r="L782" s="328">
        <v>979.42600000000004</v>
      </c>
      <c r="M782" s="328">
        <v>119.50103900000001</v>
      </c>
      <c r="N782" s="328">
        <v>17565.34</v>
      </c>
      <c r="O782" s="328">
        <v>17555.93202</v>
      </c>
      <c r="P782" s="328">
        <v>2034.575</v>
      </c>
      <c r="Q782" s="327" t="s">
        <v>469</v>
      </c>
      <c r="R782" s="327"/>
      <c r="S782" s="328">
        <v>15</v>
      </c>
      <c r="T782" s="328">
        <v>5</v>
      </c>
      <c r="U782" s="328">
        <v>0.7</v>
      </c>
      <c r="V782" s="328">
        <v>0.7</v>
      </c>
      <c r="W782" s="328">
        <v>0.7</v>
      </c>
      <c r="X782" s="328">
        <v>1700</v>
      </c>
      <c r="Y782" s="327" t="s">
        <v>470</v>
      </c>
      <c r="Z782" s="328">
        <v>0.85</v>
      </c>
      <c r="AA782" s="327" t="s">
        <v>471</v>
      </c>
      <c r="AB782" s="327" t="s">
        <v>472</v>
      </c>
      <c r="AC782" s="330">
        <v>220</v>
      </c>
    </row>
    <row r="783" spans="1:29">
      <c r="A783" s="331" t="s">
        <v>595</v>
      </c>
      <c r="B783" s="332">
        <v>7</v>
      </c>
      <c r="C783" s="332">
        <v>577</v>
      </c>
      <c r="D783" s="332" t="s">
        <v>423</v>
      </c>
      <c r="E783" s="333">
        <v>1.5</v>
      </c>
      <c r="F783" s="334">
        <v>45236.513194444444</v>
      </c>
      <c r="G783" s="333">
        <v>1</v>
      </c>
      <c r="H783" s="333">
        <v>51.377400000000002</v>
      </c>
      <c r="I783" s="333">
        <v>5.8608099999999999</v>
      </c>
      <c r="J783" s="333">
        <v>-17.279319000000001</v>
      </c>
      <c r="K783" s="333">
        <v>-16.437374999999999</v>
      </c>
      <c r="L783" s="333">
        <v>984.28499999999997</v>
      </c>
      <c r="M783" s="333">
        <v>120.999821</v>
      </c>
      <c r="N783" s="333">
        <v>17680.349999999999</v>
      </c>
      <c r="O783" s="333">
        <v>17691.187819999999</v>
      </c>
      <c r="P783" s="333">
        <v>2050.0340000000001</v>
      </c>
      <c r="Q783" s="332" t="s">
        <v>469</v>
      </c>
      <c r="R783" s="332"/>
      <c r="S783" s="333">
        <v>15</v>
      </c>
      <c r="T783" s="333">
        <v>5</v>
      </c>
      <c r="U783" s="333">
        <v>0.7</v>
      </c>
      <c r="V783" s="333">
        <v>0.7</v>
      </c>
      <c r="W783" s="333">
        <v>0.7</v>
      </c>
      <c r="X783" s="333">
        <v>1700</v>
      </c>
      <c r="Y783" s="332" t="s">
        <v>470</v>
      </c>
      <c r="Z783" s="333">
        <v>0.85</v>
      </c>
      <c r="AA783" s="332" t="s">
        <v>471</v>
      </c>
      <c r="AB783" s="332" t="s">
        <v>472</v>
      </c>
      <c r="AC783" s="335">
        <v>221</v>
      </c>
    </row>
    <row r="784" spans="1:29">
      <c r="A784" s="326" t="s">
        <v>699</v>
      </c>
      <c r="B784" s="327">
        <v>7</v>
      </c>
      <c r="C784" s="327">
        <v>577</v>
      </c>
      <c r="D784" s="327" t="s">
        <v>423</v>
      </c>
      <c r="E784" s="328">
        <v>1.5</v>
      </c>
      <c r="F784" s="329">
        <v>45236.517361111109</v>
      </c>
      <c r="G784" s="328">
        <v>1</v>
      </c>
      <c r="H784" s="328">
        <v>51.370800000000003</v>
      </c>
      <c r="I784" s="328">
        <v>5.8366100000000003</v>
      </c>
      <c r="J784" s="328">
        <v>-17.365455999999998</v>
      </c>
      <c r="K784" s="328">
        <v>-16.521912</v>
      </c>
      <c r="L784" s="328">
        <v>984.26499999999999</v>
      </c>
      <c r="M784" s="328">
        <v>122.999825</v>
      </c>
      <c r="N784" s="328">
        <v>17708.52</v>
      </c>
      <c r="O784" s="328">
        <v>17691.187819999999</v>
      </c>
      <c r="P784" s="328">
        <v>2050.0340000000001</v>
      </c>
      <c r="Q784" s="327" t="s">
        <v>469</v>
      </c>
      <c r="R784" s="327"/>
      <c r="S784" s="328">
        <v>15</v>
      </c>
      <c r="T784" s="328">
        <v>5</v>
      </c>
      <c r="U784" s="328">
        <v>0.7</v>
      </c>
      <c r="V784" s="328">
        <v>0.7</v>
      </c>
      <c r="W784" s="328">
        <v>0.7</v>
      </c>
      <c r="X784" s="328">
        <v>1700</v>
      </c>
      <c r="Y784" s="327" t="s">
        <v>470</v>
      </c>
      <c r="Z784" s="328">
        <v>0.85</v>
      </c>
      <c r="AA784" s="327" t="s">
        <v>471</v>
      </c>
      <c r="AB784" s="327" t="s">
        <v>472</v>
      </c>
      <c r="AC784" s="330">
        <v>220</v>
      </c>
    </row>
    <row r="785" spans="1:29">
      <c r="A785" s="331" t="s">
        <v>700</v>
      </c>
      <c r="B785" s="332">
        <v>7</v>
      </c>
      <c r="C785" s="332">
        <v>577</v>
      </c>
      <c r="D785" s="332" t="s">
        <v>423</v>
      </c>
      <c r="E785" s="333">
        <v>1.5</v>
      </c>
      <c r="F785" s="334">
        <v>45236.520833333336</v>
      </c>
      <c r="G785" s="333">
        <v>1</v>
      </c>
      <c r="H785" s="333">
        <v>51.3675</v>
      </c>
      <c r="I785" s="333">
        <v>5.7888400000000004</v>
      </c>
      <c r="J785" s="333">
        <v>-17.222300000000001</v>
      </c>
      <c r="K785" s="333">
        <v>-16.379225000000002</v>
      </c>
      <c r="L785" s="333">
        <v>982.553</v>
      </c>
      <c r="M785" s="333">
        <v>111.999724</v>
      </c>
      <c r="N785" s="333">
        <v>17684.7</v>
      </c>
      <c r="O785" s="333">
        <v>17691.187819999999</v>
      </c>
      <c r="P785" s="333">
        <v>2050.0340000000001</v>
      </c>
      <c r="Q785" s="332" t="s">
        <v>469</v>
      </c>
      <c r="R785" s="332"/>
      <c r="S785" s="333">
        <v>15</v>
      </c>
      <c r="T785" s="333">
        <v>5</v>
      </c>
      <c r="U785" s="333">
        <v>0.7</v>
      </c>
      <c r="V785" s="333">
        <v>0.7</v>
      </c>
      <c r="W785" s="333">
        <v>0.7</v>
      </c>
      <c r="X785" s="333">
        <v>1700</v>
      </c>
      <c r="Y785" s="332" t="s">
        <v>470</v>
      </c>
      <c r="Z785" s="333">
        <v>0.85</v>
      </c>
      <c r="AA785" s="332" t="s">
        <v>471</v>
      </c>
      <c r="AB785" s="332" t="s">
        <v>472</v>
      </c>
      <c r="AC785" s="335">
        <v>220</v>
      </c>
    </row>
    <row r="786" spans="1:29">
      <c r="A786" s="326" t="s">
        <v>597</v>
      </c>
      <c r="B786" s="327">
        <v>8</v>
      </c>
      <c r="C786" s="327">
        <v>477</v>
      </c>
      <c r="D786" s="327" t="s">
        <v>424</v>
      </c>
      <c r="E786" s="328">
        <v>1.5</v>
      </c>
      <c r="F786" s="329">
        <v>45236.525000000001</v>
      </c>
      <c r="G786" s="328">
        <v>1</v>
      </c>
      <c r="H786" s="328">
        <v>51.3675</v>
      </c>
      <c r="I786" s="328">
        <v>5.7055600000000002</v>
      </c>
      <c r="J786" s="328">
        <v>-17.236494</v>
      </c>
      <c r="K786" s="328">
        <v>-16.404888</v>
      </c>
      <c r="L786" s="328">
        <v>980.97500000000002</v>
      </c>
      <c r="M786" s="328">
        <v>121.500167</v>
      </c>
      <c r="N786" s="328">
        <v>17642.39</v>
      </c>
      <c r="O786" s="328">
        <v>0</v>
      </c>
      <c r="P786" s="328">
        <v>0</v>
      </c>
      <c r="Q786" s="327" t="s">
        <v>479</v>
      </c>
      <c r="R786" s="327"/>
      <c r="S786" s="328">
        <v>15</v>
      </c>
      <c r="T786" s="328">
        <v>5</v>
      </c>
      <c r="U786" s="328">
        <v>0.7</v>
      </c>
      <c r="V786" s="328">
        <v>0.7</v>
      </c>
      <c r="W786" s="328">
        <v>0.7</v>
      </c>
      <c r="X786" s="328">
        <v>1700</v>
      </c>
      <c r="Y786" s="327" t="s">
        <v>470</v>
      </c>
      <c r="Z786" s="328">
        <v>0.85</v>
      </c>
      <c r="AA786" s="327" t="s">
        <v>471</v>
      </c>
      <c r="AB786" s="327" t="s">
        <v>472</v>
      </c>
      <c r="AC786" s="330">
        <v>220</v>
      </c>
    </row>
    <row r="787" spans="1:29">
      <c r="A787" s="331" t="s">
        <v>701</v>
      </c>
      <c r="B787" s="332">
        <v>8</v>
      </c>
      <c r="C787" s="332">
        <v>477</v>
      </c>
      <c r="D787" s="332" t="s">
        <v>424</v>
      </c>
      <c r="E787" s="333">
        <v>1.5</v>
      </c>
      <c r="F787" s="334">
        <v>45236.52847222222</v>
      </c>
      <c r="G787" s="333">
        <v>1</v>
      </c>
      <c r="H787" s="333">
        <v>51.374099999999999</v>
      </c>
      <c r="I787" s="333">
        <v>5.78782</v>
      </c>
      <c r="J787" s="333">
        <v>-17.159037999999999</v>
      </c>
      <c r="K787" s="333">
        <v>-16.323436999999998</v>
      </c>
      <c r="L787" s="333">
        <v>979.38499999999999</v>
      </c>
      <c r="M787" s="333">
        <v>113.50164599999999</v>
      </c>
      <c r="N787" s="333">
        <v>17595.25</v>
      </c>
      <c r="O787" s="333">
        <v>0</v>
      </c>
      <c r="P787" s="333">
        <v>0</v>
      </c>
      <c r="Q787" s="332" t="s">
        <v>479</v>
      </c>
      <c r="R787" s="332"/>
      <c r="S787" s="333">
        <v>15</v>
      </c>
      <c r="T787" s="333">
        <v>5</v>
      </c>
      <c r="U787" s="333">
        <v>0.7</v>
      </c>
      <c r="V787" s="333">
        <v>0.7</v>
      </c>
      <c r="W787" s="333">
        <v>0.7</v>
      </c>
      <c r="X787" s="333">
        <v>1700</v>
      </c>
      <c r="Y787" s="332" t="s">
        <v>470</v>
      </c>
      <c r="Z787" s="333">
        <v>0.85</v>
      </c>
      <c r="AA787" s="332" t="s">
        <v>471</v>
      </c>
      <c r="AB787" s="332" t="s">
        <v>472</v>
      </c>
      <c r="AC787" s="335">
        <v>220</v>
      </c>
    </row>
    <row r="788" spans="1:29">
      <c r="A788" s="326" t="s">
        <v>702</v>
      </c>
      <c r="B788" s="327">
        <v>8</v>
      </c>
      <c r="C788" s="327">
        <v>477</v>
      </c>
      <c r="D788" s="327" t="s">
        <v>424</v>
      </c>
      <c r="E788" s="328">
        <v>1.5</v>
      </c>
      <c r="F788" s="329">
        <v>45236.531944444447</v>
      </c>
      <c r="G788" s="328">
        <v>1</v>
      </c>
      <c r="H788" s="328">
        <v>51.370800000000003</v>
      </c>
      <c r="I788" s="328">
        <v>5.7575000000000003</v>
      </c>
      <c r="J788" s="328">
        <v>-17.257013000000001</v>
      </c>
      <c r="K788" s="328">
        <v>-16.426575</v>
      </c>
      <c r="L788" s="328">
        <v>986.06600000000003</v>
      </c>
      <c r="M788" s="328">
        <v>114.500124</v>
      </c>
      <c r="N788" s="328">
        <v>17573.23</v>
      </c>
      <c r="O788" s="328">
        <v>0</v>
      </c>
      <c r="P788" s="328">
        <v>0</v>
      </c>
      <c r="Q788" s="327" t="s">
        <v>479</v>
      </c>
      <c r="R788" s="327"/>
      <c r="S788" s="328">
        <v>15</v>
      </c>
      <c r="T788" s="328">
        <v>5</v>
      </c>
      <c r="U788" s="328">
        <v>0.7</v>
      </c>
      <c r="V788" s="328">
        <v>0.7</v>
      </c>
      <c r="W788" s="328">
        <v>0.7</v>
      </c>
      <c r="X788" s="328">
        <v>1700</v>
      </c>
      <c r="Y788" s="327" t="s">
        <v>470</v>
      </c>
      <c r="Z788" s="328">
        <v>0.85</v>
      </c>
      <c r="AA788" s="327" t="s">
        <v>471</v>
      </c>
      <c r="AB788" s="327" t="s">
        <v>472</v>
      </c>
      <c r="AC788" s="330">
        <v>220</v>
      </c>
    </row>
    <row r="789" spans="1:29">
      <c r="A789" s="331" t="s">
        <v>703</v>
      </c>
      <c r="B789" s="332">
        <v>8</v>
      </c>
      <c r="C789" s="332">
        <v>477</v>
      </c>
      <c r="D789" s="332" t="s">
        <v>424</v>
      </c>
      <c r="E789" s="333">
        <v>1.5</v>
      </c>
      <c r="F789" s="334">
        <v>45236.535416666666</v>
      </c>
      <c r="G789" s="333">
        <v>1</v>
      </c>
      <c r="H789" s="333">
        <v>51.3675</v>
      </c>
      <c r="I789" s="333">
        <v>5.7556200000000004</v>
      </c>
      <c r="J789" s="333">
        <v>-17.194469000000002</v>
      </c>
      <c r="K789" s="333">
        <v>-16.357849999999999</v>
      </c>
      <c r="L789" s="333">
        <v>977.01300000000003</v>
      </c>
      <c r="M789" s="333">
        <v>122.00128100000001</v>
      </c>
      <c r="N789" s="333">
        <v>17631.36</v>
      </c>
      <c r="O789" s="333">
        <v>0</v>
      </c>
      <c r="P789" s="333">
        <v>0</v>
      </c>
      <c r="Q789" s="332" t="s">
        <v>479</v>
      </c>
      <c r="R789" s="332"/>
      <c r="S789" s="333">
        <v>15</v>
      </c>
      <c r="T789" s="333">
        <v>5</v>
      </c>
      <c r="U789" s="333">
        <v>0.7</v>
      </c>
      <c r="V789" s="333">
        <v>0.7</v>
      </c>
      <c r="W789" s="333">
        <v>0.7</v>
      </c>
      <c r="X789" s="333">
        <v>1700</v>
      </c>
      <c r="Y789" s="332" t="s">
        <v>470</v>
      </c>
      <c r="Z789" s="333">
        <v>0.85</v>
      </c>
      <c r="AA789" s="332" t="s">
        <v>471</v>
      </c>
      <c r="AB789" s="332" t="s">
        <v>472</v>
      </c>
      <c r="AC789" s="335">
        <v>220</v>
      </c>
    </row>
    <row r="790" spans="1:29">
      <c r="A790" s="326" t="s">
        <v>704</v>
      </c>
      <c r="B790" s="327">
        <v>8</v>
      </c>
      <c r="C790" s="327">
        <v>477</v>
      </c>
      <c r="D790" s="327" t="s">
        <v>424</v>
      </c>
      <c r="E790" s="328">
        <v>1.5</v>
      </c>
      <c r="F790" s="329">
        <v>45236.538888888892</v>
      </c>
      <c r="G790" s="328">
        <v>1</v>
      </c>
      <c r="H790" s="328">
        <v>51.370800000000003</v>
      </c>
      <c r="I790" s="328">
        <v>5.7468000000000004</v>
      </c>
      <c r="J790" s="328">
        <v>-17.202124999999999</v>
      </c>
      <c r="K790" s="328">
        <v>-16.362355999999998</v>
      </c>
      <c r="L790" s="328">
        <v>984.26900000000001</v>
      </c>
      <c r="M790" s="328">
        <v>114.500856</v>
      </c>
      <c r="N790" s="328">
        <v>17542.22</v>
      </c>
      <c r="O790" s="328">
        <v>0</v>
      </c>
      <c r="P790" s="328">
        <v>0</v>
      </c>
      <c r="Q790" s="327" t="s">
        <v>479</v>
      </c>
      <c r="R790" s="327"/>
      <c r="S790" s="328">
        <v>15</v>
      </c>
      <c r="T790" s="328">
        <v>5</v>
      </c>
      <c r="U790" s="328">
        <v>0.7</v>
      </c>
      <c r="V790" s="328">
        <v>0.7</v>
      </c>
      <c r="W790" s="328">
        <v>0.7</v>
      </c>
      <c r="X790" s="328">
        <v>1700</v>
      </c>
      <c r="Y790" s="327" t="s">
        <v>470</v>
      </c>
      <c r="Z790" s="328">
        <v>0.85</v>
      </c>
      <c r="AA790" s="327" t="s">
        <v>471</v>
      </c>
      <c r="AB790" s="327" t="s">
        <v>472</v>
      </c>
      <c r="AC790" s="330">
        <v>220</v>
      </c>
    </row>
    <row r="791" spans="1:29">
      <c r="A791" s="331" t="s">
        <v>902</v>
      </c>
      <c r="B791" s="332">
        <v>8</v>
      </c>
      <c r="C791" s="332">
        <v>477</v>
      </c>
      <c r="D791" s="332" t="s">
        <v>424</v>
      </c>
      <c r="E791" s="333">
        <v>1.5</v>
      </c>
      <c r="F791" s="334">
        <v>45236.542361111111</v>
      </c>
      <c r="G791" s="333">
        <v>2</v>
      </c>
      <c r="H791" s="333">
        <v>51.370800000000003</v>
      </c>
      <c r="I791" s="333">
        <v>5.7645499999999998</v>
      </c>
      <c r="J791" s="333">
        <v>-17.081199999999999</v>
      </c>
      <c r="K791" s="333">
        <v>-16.244069</v>
      </c>
      <c r="L791" s="333">
        <v>987.95100000000002</v>
      </c>
      <c r="M791" s="333">
        <v>108.499748</v>
      </c>
      <c r="N791" s="333">
        <v>17571.79</v>
      </c>
      <c r="O791" s="333">
        <v>0</v>
      </c>
      <c r="P791" s="333">
        <v>0</v>
      </c>
      <c r="Q791" s="332" t="s">
        <v>479</v>
      </c>
      <c r="R791" s="332"/>
      <c r="S791" s="333">
        <v>15</v>
      </c>
      <c r="T791" s="333">
        <v>5</v>
      </c>
      <c r="U791" s="333">
        <v>0.7</v>
      </c>
      <c r="V791" s="333">
        <v>0.7</v>
      </c>
      <c r="W791" s="333">
        <v>0.7</v>
      </c>
      <c r="X791" s="333">
        <v>1700</v>
      </c>
      <c r="Y791" s="332" t="s">
        <v>470</v>
      </c>
      <c r="Z791" s="333">
        <v>0.85</v>
      </c>
      <c r="AA791" s="332" t="s">
        <v>471</v>
      </c>
      <c r="AB791" s="332" t="s">
        <v>472</v>
      </c>
      <c r="AC791" s="335">
        <v>220</v>
      </c>
    </row>
    <row r="792" spans="1:29">
      <c r="A792" s="326" t="s">
        <v>903</v>
      </c>
      <c r="B792" s="327">
        <v>8</v>
      </c>
      <c r="C792" s="327">
        <v>477</v>
      </c>
      <c r="D792" s="327" t="s">
        <v>424</v>
      </c>
      <c r="E792" s="328">
        <v>1.5</v>
      </c>
      <c r="F792" s="329">
        <v>45236.54583333333</v>
      </c>
      <c r="G792" s="328">
        <v>2</v>
      </c>
      <c r="H792" s="328">
        <v>51.370800000000003</v>
      </c>
      <c r="I792" s="328">
        <v>5.75007</v>
      </c>
      <c r="J792" s="328">
        <v>-17.318781000000001</v>
      </c>
      <c r="K792" s="328">
        <v>-16.472175</v>
      </c>
      <c r="L792" s="328">
        <v>994.245</v>
      </c>
      <c r="M792" s="328">
        <v>115.500254</v>
      </c>
      <c r="N792" s="328">
        <v>17644.810000000001</v>
      </c>
      <c r="O792" s="328">
        <v>0</v>
      </c>
      <c r="P792" s="328">
        <v>0</v>
      </c>
      <c r="Q792" s="327" t="s">
        <v>479</v>
      </c>
      <c r="R792" s="327"/>
      <c r="S792" s="328">
        <v>15</v>
      </c>
      <c r="T792" s="328">
        <v>5</v>
      </c>
      <c r="U792" s="328">
        <v>0.7</v>
      </c>
      <c r="V792" s="328">
        <v>0.7</v>
      </c>
      <c r="W792" s="328">
        <v>0.7</v>
      </c>
      <c r="X792" s="328">
        <v>1700</v>
      </c>
      <c r="Y792" s="327" t="s">
        <v>470</v>
      </c>
      <c r="Z792" s="328">
        <v>0.85</v>
      </c>
      <c r="AA792" s="327" t="s">
        <v>471</v>
      </c>
      <c r="AB792" s="327" t="s">
        <v>472</v>
      </c>
      <c r="AC792" s="330">
        <v>220</v>
      </c>
    </row>
    <row r="793" spans="1:29">
      <c r="A793" s="331" t="s">
        <v>904</v>
      </c>
      <c r="B793" s="332">
        <v>8</v>
      </c>
      <c r="C793" s="332">
        <v>477</v>
      </c>
      <c r="D793" s="332" t="s">
        <v>424</v>
      </c>
      <c r="E793" s="333">
        <v>1.5</v>
      </c>
      <c r="F793" s="334">
        <v>45236.549305555556</v>
      </c>
      <c r="G793" s="333">
        <v>2</v>
      </c>
      <c r="H793" s="333">
        <v>51.3675</v>
      </c>
      <c r="I793" s="333">
        <v>5.6775200000000003</v>
      </c>
      <c r="J793" s="333">
        <v>-17.198699999999999</v>
      </c>
      <c r="K793" s="333">
        <v>-16.366544000000001</v>
      </c>
      <c r="L793" s="333">
        <v>978.053</v>
      </c>
      <c r="M793" s="333">
        <v>119.500623</v>
      </c>
      <c r="N793" s="333">
        <v>17655.990000000002</v>
      </c>
      <c r="O793" s="333">
        <v>0</v>
      </c>
      <c r="P793" s="333">
        <v>0</v>
      </c>
      <c r="Q793" s="332" t="s">
        <v>479</v>
      </c>
      <c r="R793" s="332"/>
      <c r="S793" s="333">
        <v>15</v>
      </c>
      <c r="T793" s="333">
        <v>5</v>
      </c>
      <c r="U793" s="333">
        <v>0.7</v>
      </c>
      <c r="V793" s="333">
        <v>0.7</v>
      </c>
      <c r="W793" s="333">
        <v>0.7</v>
      </c>
      <c r="X793" s="333">
        <v>1700</v>
      </c>
      <c r="Y793" s="332" t="s">
        <v>470</v>
      </c>
      <c r="Z793" s="333">
        <v>0.85</v>
      </c>
      <c r="AA793" s="332" t="s">
        <v>471</v>
      </c>
      <c r="AB793" s="332" t="s">
        <v>472</v>
      </c>
      <c r="AC793" s="335">
        <v>220</v>
      </c>
    </row>
    <row r="794" spans="1:29">
      <c r="A794" s="326" t="s">
        <v>905</v>
      </c>
      <c r="B794" s="327">
        <v>8</v>
      </c>
      <c r="C794" s="327">
        <v>477</v>
      </c>
      <c r="D794" s="327" t="s">
        <v>424</v>
      </c>
      <c r="E794" s="328">
        <v>1.5</v>
      </c>
      <c r="F794" s="329">
        <v>45236.552777777775</v>
      </c>
      <c r="G794" s="328">
        <v>2</v>
      </c>
      <c r="H794" s="328">
        <v>51.3675</v>
      </c>
      <c r="I794" s="328">
        <v>5.6257700000000002</v>
      </c>
      <c r="J794" s="328">
        <v>-17.243863000000001</v>
      </c>
      <c r="K794" s="328">
        <v>-16.401738000000002</v>
      </c>
      <c r="L794" s="328">
        <v>997.14</v>
      </c>
      <c r="M794" s="328">
        <v>111.49988</v>
      </c>
      <c r="N794" s="328">
        <v>17697.919999999998</v>
      </c>
      <c r="O794" s="328">
        <v>0</v>
      </c>
      <c r="P794" s="328">
        <v>0</v>
      </c>
      <c r="Q794" s="327" t="s">
        <v>479</v>
      </c>
      <c r="R794" s="327"/>
      <c r="S794" s="328">
        <v>15</v>
      </c>
      <c r="T794" s="328">
        <v>5</v>
      </c>
      <c r="U794" s="328">
        <v>0.7</v>
      </c>
      <c r="V794" s="328">
        <v>0.7</v>
      </c>
      <c r="W794" s="328">
        <v>0.7</v>
      </c>
      <c r="X794" s="328">
        <v>1700</v>
      </c>
      <c r="Y794" s="327" t="s">
        <v>470</v>
      </c>
      <c r="Z794" s="328">
        <v>0.85</v>
      </c>
      <c r="AA794" s="327" t="s">
        <v>471</v>
      </c>
      <c r="AB794" s="327" t="s">
        <v>472</v>
      </c>
      <c r="AC794" s="330">
        <v>220</v>
      </c>
    </row>
    <row r="795" spans="1:29">
      <c r="A795" s="331" t="s">
        <v>906</v>
      </c>
      <c r="B795" s="332">
        <v>8</v>
      </c>
      <c r="C795" s="332">
        <v>477</v>
      </c>
      <c r="D795" s="332" t="s">
        <v>424</v>
      </c>
      <c r="E795" s="333">
        <v>1.5</v>
      </c>
      <c r="F795" s="334">
        <v>45236.556250000001</v>
      </c>
      <c r="G795" s="333">
        <v>2</v>
      </c>
      <c r="H795" s="333">
        <v>51.3675</v>
      </c>
      <c r="I795" s="333">
        <v>5.6411199999999999</v>
      </c>
      <c r="J795" s="333">
        <v>-17.291931000000002</v>
      </c>
      <c r="K795" s="333">
        <v>-16.449869</v>
      </c>
      <c r="L795" s="333">
        <v>1006.87</v>
      </c>
      <c r="M795" s="333">
        <v>120.99860099999999</v>
      </c>
      <c r="N795" s="333">
        <v>17868.259999999998</v>
      </c>
      <c r="O795" s="333">
        <v>0</v>
      </c>
      <c r="P795" s="333">
        <v>0</v>
      </c>
      <c r="Q795" s="332" t="s">
        <v>479</v>
      </c>
      <c r="R795" s="332"/>
      <c r="S795" s="333">
        <v>15</v>
      </c>
      <c r="T795" s="333">
        <v>5</v>
      </c>
      <c r="U795" s="333">
        <v>0.7</v>
      </c>
      <c r="V795" s="333">
        <v>0.7</v>
      </c>
      <c r="W795" s="333">
        <v>0.7</v>
      </c>
      <c r="X795" s="333">
        <v>1700</v>
      </c>
      <c r="Y795" s="332" t="s">
        <v>470</v>
      </c>
      <c r="Z795" s="333">
        <v>0.85</v>
      </c>
      <c r="AA795" s="332" t="s">
        <v>471</v>
      </c>
      <c r="AB795" s="332" t="s">
        <v>472</v>
      </c>
      <c r="AC795" s="335">
        <v>219</v>
      </c>
    </row>
    <row r="796" spans="1:29">
      <c r="A796" s="326" t="s">
        <v>599</v>
      </c>
      <c r="B796" s="327">
        <v>9</v>
      </c>
      <c r="C796" s="327">
        <v>367</v>
      </c>
      <c r="D796" s="327" t="s">
        <v>425</v>
      </c>
      <c r="E796" s="328">
        <v>1.5</v>
      </c>
      <c r="F796" s="329">
        <v>45236.560416666667</v>
      </c>
      <c r="G796" s="328">
        <v>1</v>
      </c>
      <c r="H796" s="328">
        <v>51.374099999999999</v>
      </c>
      <c r="I796" s="328">
        <v>5.5255000000000001</v>
      </c>
      <c r="J796" s="328">
        <v>-17.248137</v>
      </c>
      <c r="K796" s="328">
        <v>-16.421512</v>
      </c>
      <c r="L796" s="328">
        <v>1000.2</v>
      </c>
      <c r="M796" s="328">
        <v>117.00168600000001</v>
      </c>
      <c r="N796" s="328">
        <v>17857.55</v>
      </c>
      <c r="O796" s="328">
        <v>0</v>
      </c>
      <c r="P796" s="328">
        <v>0</v>
      </c>
      <c r="Q796" s="327" t="s">
        <v>479</v>
      </c>
      <c r="R796" s="327"/>
      <c r="S796" s="328">
        <v>15</v>
      </c>
      <c r="T796" s="328">
        <v>5</v>
      </c>
      <c r="U796" s="328">
        <v>0.7</v>
      </c>
      <c r="V796" s="328">
        <v>0.7</v>
      </c>
      <c r="W796" s="328">
        <v>0.7</v>
      </c>
      <c r="X796" s="328">
        <v>1700</v>
      </c>
      <c r="Y796" s="327" t="s">
        <v>470</v>
      </c>
      <c r="Z796" s="328">
        <v>0.85</v>
      </c>
      <c r="AA796" s="327" t="s">
        <v>471</v>
      </c>
      <c r="AB796" s="327" t="s">
        <v>472</v>
      </c>
      <c r="AC796" s="330">
        <v>220</v>
      </c>
    </row>
    <row r="797" spans="1:29">
      <c r="A797" s="331" t="s">
        <v>705</v>
      </c>
      <c r="B797" s="332">
        <v>9</v>
      </c>
      <c r="C797" s="332">
        <v>367</v>
      </c>
      <c r="D797" s="332" t="s">
        <v>425</v>
      </c>
      <c r="E797" s="333">
        <v>1.5</v>
      </c>
      <c r="F797" s="334">
        <v>45236.563888888886</v>
      </c>
      <c r="G797" s="333">
        <v>1</v>
      </c>
      <c r="H797" s="333">
        <v>51.370800000000003</v>
      </c>
      <c r="I797" s="333">
        <v>5.5869499999999999</v>
      </c>
      <c r="J797" s="333">
        <v>-17.292187999999999</v>
      </c>
      <c r="K797" s="333">
        <v>-16.450513000000001</v>
      </c>
      <c r="L797" s="333">
        <v>987.79399999999998</v>
      </c>
      <c r="M797" s="333">
        <v>117.998109</v>
      </c>
      <c r="N797" s="333">
        <v>17805.310000000001</v>
      </c>
      <c r="O797" s="333">
        <v>0</v>
      </c>
      <c r="P797" s="333">
        <v>0</v>
      </c>
      <c r="Q797" s="332" t="s">
        <v>479</v>
      </c>
      <c r="R797" s="332"/>
      <c r="S797" s="333">
        <v>15</v>
      </c>
      <c r="T797" s="333">
        <v>5</v>
      </c>
      <c r="U797" s="333">
        <v>0.7</v>
      </c>
      <c r="V797" s="333">
        <v>0.7</v>
      </c>
      <c r="W797" s="333">
        <v>0.7</v>
      </c>
      <c r="X797" s="333">
        <v>1700</v>
      </c>
      <c r="Y797" s="332" t="s">
        <v>470</v>
      </c>
      <c r="Z797" s="333">
        <v>0.85</v>
      </c>
      <c r="AA797" s="332" t="s">
        <v>471</v>
      </c>
      <c r="AB797" s="332" t="s">
        <v>472</v>
      </c>
      <c r="AC797" s="335">
        <v>220</v>
      </c>
    </row>
    <row r="798" spans="1:29">
      <c r="A798" s="326" t="s">
        <v>706</v>
      </c>
      <c r="B798" s="327">
        <v>9</v>
      </c>
      <c r="C798" s="327">
        <v>367</v>
      </c>
      <c r="D798" s="327" t="s">
        <v>425</v>
      </c>
      <c r="E798" s="328">
        <v>1.5</v>
      </c>
      <c r="F798" s="329">
        <v>45236.567361111112</v>
      </c>
      <c r="G798" s="328">
        <v>1</v>
      </c>
      <c r="H798" s="328">
        <v>51.3675</v>
      </c>
      <c r="I798" s="328">
        <v>5.6092500000000003</v>
      </c>
      <c r="J798" s="328">
        <v>-17.269318999999999</v>
      </c>
      <c r="K798" s="328">
        <v>-16.419761999999999</v>
      </c>
      <c r="L798" s="328">
        <v>1006.91</v>
      </c>
      <c r="M798" s="328">
        <v>126.999858</v>
      </c>
      <c r="N798" s="328">
        <v>18166.580000000002</v>
      </c>
      <c r="O798" s="328">
        <v>0</v>
      </c>
      <c r="P798" s="328">
        <v>0</v>
      </c>
      <c r="Q798" s="327" t="s">
        <v>479</v>
      </c>
      <c r="R798" s="327"/>
      <c r="S798" s="328">
        <v>15</v>
      </c>
      <c r="T798" s="328">
        <v>5</v>
      </c>
      <c r="U798" s="328">
        <v>0.7</v>
      </c>
      <c r="V798" s="328">
        <v>0.7</v>
      </c>
      <c r="W798" s="328">
        <v>0.7</v>
      </c>
      <c r="X798" s="328">
        <v>1700</v>
      </c>
      <c r="Y798" s="327" t="s">
        <v>470</v>
      </c>
      <c r="Z798" s="328">
        <v>0.85</v>
      </c>
      <c r="AA798" s="327" t="s">
        <v>471</v>
      </c>
      <c r="AB798" s="327" t="s">
        <v>472</v>
      </c>
      <c r="AC798" s="330">
        <v>216</v>
      </c>
    </row>
    <row r="799" spans="1:29">
      <c r="A799" s="331" t="s">
        <v>864</v>
      </c>
      <c r="B799" s="332">
        <v>9</v>
      </c>
      <c r="C799" s="332">
        <v>367</v>
      </c>
      <c r="D799" s="332" t="s">
        <v>425</v>
      </c>
      <c r="E799" s="333">
        <v>1.5</v>
      </c>
      <c r="F799" s="334">
        <v>45236.570833333331</v>
      </c>
      <c r="G799" s="333">
        <v>1</v>
      </c>
      <c r="H799" s="333">
        <v>51.370800000000003</v>
      </c>
      <c r="I799" s="333">
        <v>5.6548400000000001</v>
      </c>
      <c r="J799" s="333">
        <v>-17.354769000000001</v>
      </c>
      <c r="K799" s="333">
        <v>-16.517844</v>
      </c>
      <c r="L799" s="333">
        <v>1041.6500000000001</v>
      </c>
      <c r="M799" s="333">
        <v>134.99945399999999</v>
      </c>
      <c r="N799" s="333">
        <v>18346.04</v>
      </c>
      <c r="O799" s="333">
        <v>0</v>
      </c>
      <c r="P799" s="333">
        <v>0</v>
      </c>
      <c r="Q799" s="332" t="s">
        <v>479</v>
      </c>
      <c r="R799" s="332"/>
      <c r="S799" s="333">
        <v>15</v>
      </c>
      <c r="T799" s="333">
        <v>5</v>
      </c>
      <c r="U799" s="333">
        <v>0.7</v>
      </c>
      <c r="V799" s="333">
        <v>0.7</v>
      </c>
      <c r="W799" s="333">
        <v>0.7</v>
      </c>
      <c r="X799" s="333">
        <v>1700</v>
      </c>
      <c r="Y799" s="332" t="s">
        <v>470</v>
      </c>
      <c r="Z799" s="333">
        <v>0.85</v>
      </c>
      <c r="AA799" s="332" t="s">
        <v>471</v>
      </c>
      <c r="AB799" s="332" t="s">
        <v>472</v>
      </c>
      <c r="AC799" s="335">
        <v>214</v>
      </c>
    </row>
    <row r="800" spans="1:29">
      <c r="A800" s="326" t="s">
        <v>865</v>
      </c>
      <c r="B800" s="327">
        <v>9</v>
      </c>
      <c r="C800" s="327">
        <v>367</v>
      </c>
      <c r="D800" s="327" t="s">
        <v>425</v>
      </c>
      <c r="E800" s="328">
        <v>1.5</v>
      </c>
      <c r="F800" s="329">
        <v>45236.574999999997</v>
      </c>
      <c r="G800" s="328">
        <v>1</v>
      </c>
      <c r="H800" s="328">
        <v>51.370800000000003</v>
      </c>
      <c r="I800" s="328">
        <v>5.6078299999999999</v>
      </c>
      <c r="J800" s="328">
        <v>-17.231538</v>
      </c>
      <c r="K800" s="328">
        <v>-16.400963000000001</v>
      </c>
      <c r="L800" s="328">
        <v>1024.32</v>
      </c>
      <c r="M800" s="328">
        <v>120.500175</v>
      </c>
      <c r="N800" s="328">
        <v>18166.61</v>
      </c>
      <c r="O800" s="328">
        <v>0</v>
      </c>
      <c r="P800" s="328">
        <v>0</v>
      </c>
      <c r="Q800" s="327" t="s">
        <v>479</v>
      </c>
      <c r="R800" s="327"/>
      <c r="S800" s="328">
        <v>15</v>
      </c>
      <c r="T800" s="328">
        <v>5</v>
      </c>
      <c r="U800" s="328">
        <v>0.7</v>
      </c>
      <c r="V800" s="328">
        <v>0.7</v>
      </c>
      <c r="W800" s="328">
        <v>0.7</v>
      </c>
      <c r="X800" s="328">
        <v>1700</v>
      </c>
      <c r="Y800" s="327" t="s">
        <v>470</v>
      </c>
      <c r="Z800" s="328">
        <v>0.85</v>
      </c>
      <c r="AA800" s="327" t="s">
        <v>471</v>
      </c>
      <c r="AB800" s="327" t="s">
        <v>472</v>
      </c>
      <c r="AC800" s="330">
        <v>216</v>
      </c>
    </row>
    <row r="801" spans="1:29">
      <c r="A801" s="331" t="s">
        <v>866</v>
      </c>
      <c r="B801" s="332">
        <v>9</v>
      </c>
      <c r="C801" s="332">
        <v>367</v>
      </c>
      <c r="D801" s="332" t="s">
        <v>425</v>
      </c>
      <c r="E801" s="333">
        <v>1.5</v>
      </c>
      <c r="F801" s="334">
        <v>45236.578472222223</v>
      </c>
      <c r="G801" s="333">
        <v>2</v>
      </c>
      <c r="H801" s="333">
        <v>51.364100000000001</v>
      </c>
      <c r="I801" s="333">
        <v>5.5743499999999999</v>
      </c>
      <c r="J801" s="333">
        <v>-17.165063</v>
      </c>
      <c r="K801" s="333">
        <v>-16.321113</v>
      </c>
      <c r="L801" s="333">
        <v>1041.51</v>
      </c>
      <c r="M801" s="333">
        <v>120.999864</v>
      </c>
      <c r="N801" s="333">
        <v>18135.18</v>
      </c>
      <c r="O801" s="333">
        <v>18138.909640000002</v>
      </c>
      <c r="P801" s="333">
        <v>2101.7820000000002</v>
      </c>
      <c r="Q801" s="332" t="s">
        <v>469</v>
      </c>
      <c r="R801" s="332"/>
      <c r="S801" s="333">
        <v>15</v>
      </c>
      <c r="T801" s="333">
        <v>5</v>
      </c>
      <c r="U801" s="333">
        <v>0.7</v>
      </c>
      <c r="V801" s="333">
        <v>0.7</v>
      </c>
      <c r="W801" s="333">
        <v>0.7</v>
      </c>
      <c r="X801" s="333">
        <v>1700</v>
      </c>
      <c r="Y801" s="332" t="s">
        <v>470</v>
      </c>
      <c r="Z801" s="333">
        <v>0.85</v>
      </c>
      <c r="AA801" s="332" t="s">
        <v>471</v>
      </c>
      <c r="AB801" s="332" t="s">
        <v>472</v>
      </c>
      <c r="AC801" s="335">
        <v>216</v>
      </c>
    </row>
    <row r="802" spans="1:29">
      <c r="A802" s="326" t="s">
        <v>867</v>
      </c>
      <c r="B802" s="327">
        <v>9</v>
      </c>
      <c r="C802" s="327">
        <v>367</v>
      </c>
      <c r="D802" s="327" t="s">
        <v>425</v>
      </c>
      <c r="E802" s="328">
        <v>1.5</v>
      </c>
      <c r="F802" s="329">
        <v>45236.581944444442</v>
      </c>
      <c r="G802" s="328">
        <v>2</v>
      </c>
      <c r="H802" s="328">
        <v>51.3675</v>
      </c>
      <c r="I802" s="328">
        <v>5.5353599999999998</v>
      </c>
      <c r="J802" s="328">
        <v>-17.131281000000001</v>
      </c>
      <c r="K802" s="328">
        <v>-16.296806</v>
      </c>
      <c r="L802" s="328">
        <v>1025.01</v>
      </c>
      <c r="M802" s="328">
        <v>119.50181600000001</v>
      </c>
      <c r="N802" s="328">
        <v>18136.71</v>
      </c>
      <c r="O802" s="328">
        <v>18138.909640000002</v>
      </c>
      <c r="P802" s="328">
        <v>2101.7820000000002</v>
      </c>
      <c r="Q802" s="327" t="s">
        <v>469</v>
      </c>
      <c r="R802" s="327"/>
      <c r="S802" s="328">
        <v>15</v>
      </c>
      <c r="T802" s="328">
        <v>5</v>
      </c>
      <c r="U802" s="328">
        <v>0.7</v>
      </c>
      <c r="V802" s="328">
        <v>0.7</v>
      </c>
      <c r="W802" s="328">
        <v>0.7</v>
      </c>
      <c r="X802" s="328">
        <v>1700</v>
      </c>
      <c r="Y802" s="327" t="s">
        <v>470</v>
      </c>
      <c r="Z802" s="328">
        <v>0.85</v>
      </c>
      <c r="AA802" s="327" t="s">
        <v>471</v>
      </c>
      <c r="AB802" s="327" t="s">
        <v>472</v>
      </c>
      <c r="AC802" s="330">
        <v>215</v>
      </c>
    </row>
    <row r="803" spans="1:29">
      <c r="A803" s="331" t="s">
        <v>868</v>
      </c>
      <c r="B803" s="332">
        <v>9</v>
      </c>
      <c r="C803" s="332">
        <v>367</v>
      </c>
      <c r="D803" s="332" t="s">
        <v>425</v>
      </c>
      <c r="E803" s="333">
        <v>1.5</v>
      </c>
      <c r="F803" s="334">
        <v>45236.585416666669</v>
      </c>
      <c r="G803" s="333">
        <v>2</v>
      </c>
      <c r="H803" s="333">
        <v>51.370800000000003</v>
      </c>
      <c r="I803" s="333">
        <v>5.5630600000000001</v>
      </c>
      <c r="J803" s="333">
        <v>-17.162469000000002</v>
      </c>
      <c r="K803" s="333">
        <v>-16.318631</v>
      </c>
      <c r="L803" s="333">
        <v>1022.63</v>
      </c>
      <c r="M803" s="333">
        <v>125.50106700000001</v>
      </c>
      <c r="N803" s="333">
        <v>18230.07</v>
      </c>
      <c r="O803" s="333">
        <v>18138.909640000002</v>
      </c>
      <c r="P803" s="333">
        <v>2101.7820000000002</v>
      </c>
      <c r="Q803" s="332" t="s">
        <v>542</v>
      </c>
      <c r="R803" s="332"/>
      <c r="S803" s="333">
        <v>15</v>
      </c>
      <c r="T803" s="333">
        <v>5</v>
      </c>
      <c r="U803" s="333">
        <v>0.7</v>
      </c>
      <c r="V803" s="333">
        <v>0.7</v>
      </c>
      <c r="W803" s="333">
        <v>0.7</v>
      </c>
      <c r="X803" s="333">
        <v>1700</v>
      </c>
      <c r="Y803" s="332" t="s">
        <v>470</v>
      </c>
      <c r="Z803" s="333">
        <v>0.85</v>
      </c>
      <c r="AA803" s="332" t="s">
        <v>471</v>
      </c>
      <c r="AB803" s="332" t="s">
        <v>472</v>
      </c>
      <c r="AC803" s="335">
        <v>216</v>
      </c>
    </row>
    <row r="804" spans="1:29">
      <c r="A804" s="326" t="s">
        <v>869</v>
      </c>
      <c r="B804" s="327">
        <v>9</v>
      </c>
      <c r="C804" s="327">
        <v>367</v>
      </c>
      <c r="D804" s="327" t="s">
        <v>425</v>
      </c>
      <c r="E804" s="328">
        <v>1.5</v>
      </c>
      <c r="F804" s="329">
        <v>45236.588888888888</v>
      </c>
      <c r="G804" s="328">
        <v>2</v>
      </c>
      <c r="H804" s="328">
        <v>51.3675</v>
      </c>
      <c r="I804" s="328">
        <v>5.5908600000000002</v>
      </c>
      <c r="J804" s="328">
        <v>-17.174237000000002</v>
      </c>
      <c r="K804" s="328">
        <v>-16.327869</v>
      </c>
      <c r="L804" s="328">
        <v>1024.69</v>
      </c>
      <c r="M804" s="328">
        <v>145.99985000000001</v>
      </c>
      <c r="N804" s="328">
        <v>18144.84</v>
      </c>
      <c r="O804" s="328">
        <v>18138.909640000002</v>
      </c>
      <c r="P804" s="328">
        <v>2101.7820000000002</v>
      </c>
      <c r="Q804" s="327" t="s">
        <v>469</v>
      </c>
      <c r="R804" s="327"/>
      <c r="S804" s="328">
        <v>15</v>
      </c>
      <c r="T804" s="328">
        <v>5</v>
      </c>
      <c r="U804" s="328">
        <v>0.7</v>
      </c>
      <c r="V804" s="328">
        <v>0.7</v>
      </c>
      <c r="W804" s="328">
        <v>0.7</v>
      </c>
      <c r="X804" s="328">
        <v>1700</v>
      </c>
      <c r="Y804" s="327" t="s">
        <v>470</v>
      </c>
      <c r="Z804" s="328">
        <v>0.85</v>
      </c>
      <c r="AA804" s="327" t="s">
        <v>471</v>
      </c>
      <c r="AB804" s="327" t="s">
        <v>472</v>
      </c>
      <c r="AC804" s="330">
        <v>216</v>
      </c>
    </row>
    <row r="805" spans="1:29">
      <c r="A805" s="331" t="s">
        <v>600</v>
      </c>
      <c r="B805" s="332">
        <v>10</v>
      </c>
      <c r="C805" s="332">
        <v>368</v>
      </c>
      <c r="D805" s="332" t="s">
        <v>426</v>
      </c>
      <c r="E805" s="333">
        <v>1.5</v>
      </c>
      <c r="F805" s="334">
        <v>45236.59375</v>
      </c>
      <c r="G805" s="333">
        <v>1</v>
      </c>
      <c r="H805" s="333">
        <v>51.370800000000003</v>
      </c>
      <c r="I805" s="333">
        <v>5.5184499999999996</v>
      </c>
      <c r="J805" s="333">
        <v>-17.119294</v>
      </c>
      <c r="K805" s="333">
        <v>-16.286080999999999</v>
      </c>
      <c r="L805" s="333">
        <v>1039.29</v>
      </c>
      <c r="M805" s="333">
        <v>135.49883199999999</v>
      </c>
      <c r="N805" s="333">
        <v>18765.39</v>
      </c>
      <c r="O805" s="333">
        <v>0</v>
      </c>
      <c r="P805" s="333">
        <v>0</v>
      </c>
      <c r="Q805" s="332" t="s">
        <v>479</v>
      </c>
      <c r="R805" s="332"/>
      <c r="S805" s="333">
        <v>15</v>
      </c>
      <c r="T805" s="333">
        <v>5</v>
      </c>
      <c r="U805" s="333">
        <v>0.7</v>
      </c>
      <c r="V805" s="333">
        <v>0.7</v>
      </c>
      <c r="W805" s="333">
        <v>0.7</v>
      </c>
      <c r="X805" s="333">
        <v>1700</v>
      </c>
      <c r="Y805" s="332" t="s">
        <v>470</v>
      </c>
      <c r="Z805" s="333">
        <v>0.85</v>
      </c>
      <c r="AA805" s="332" t="s">
        <v>471</v>
      </c>
      <c r="AB805" s="332" t="s">
        <v>472</v>
      </c>
      <c r="AC805" s="335">
        <v>209</v>
      </c>
    </row>
    <row r="806" spans="1:29">
      <c r="A806" s="326" t="s">
        <v>707</v>
      </c>
      <c r="B806" s="327">
        <v>10</v>
      </c>
      <c r="C806" s="327">
        <v>368</v>
      </c>
      <c r="D806" s="327" t="s">
        <v>426</v>
      </c>
      <c r="E806" s="328">
        <v>1.5</v>
      </c>
      <c r="F806" s="329">
        <v>45236.597222222219</v>
      </c>
      <c r="G806" s="328">
        <v>1</v>
      </c>
      <c r="H806" s="328">
        <v>51.370800000000003</v>
      </c>
      <c r="I806" s="328">
        <v>5.6106800000000003</v>
      </c>
      <c r="J806" s="328">
        <v>-17.1417</v>
      </c>
      <c r="K806" s="328">
        <v>-16.310175000000001</v>
      </c>
      <c r="L806" s="328">
        <v>1113.6199999999999</v>
      </c>
      <c r="M806" s="328">
        <v>147.50009299999999</v>
      </c>
      <c r="N806" s="328">
        <v>19943.259999999998</v>
      </c>
      <c r="O806" s="328">
        <v>0</v>
      </c>
      <c r="P806" s="328">
        <v>0</v>
      </c>
      <c r="Q806" s="327" t="s">
        <v>479</v>
      </c>
      <c r="R806" s="327"/>
      <c r="S806" s="328">
        <v>15</v>
      </c>
      <c r="T806" s="328">
        <v>5</v>
      </c>
      <c r="U806" s="328">
        <v>0.7</v>
      </c>
      <c r="V806" s="328">
        <v>0.7</v>
      </c>
      <c r="W806" s="328">
        <v>0.7</v>
      </c>
      <c r="X806" s="328">
        <v>1700</v>
      </c>
      <c r="Y806" s="327" t="s">
        <v>470</v>
      </c>
      <c r="Z806" s="328">
        <v>0.85</v>
      </c>
      <c r="AA806" s="327" t="s">
        <v>471</v>
      </c>
      <c r="AB806" s="327" t="s">
        <v>472</v>
      </c>
      <c r="AC806" s="330">
        <v>199</v>
      </c>
    </row>
    <row r="807" spans="1:29">
      <c r="A807" s="331" t="s">
        <v>708</v>
      </c>
      <c r="B807" s="332">
        <v>10</v>
      </c>
      <c r="C807" s="332">
        <v>368</v>
      </c>
      <c r="D807" s="332" t="s">
        <v>426</v>
      </c>
      <c r="E807" s="333">
        <v>1.5</v>
      </c>
      <c r="F807" s="334">
        <v>45236.601388888892</v>
      </c>
      <c r="G807" s="333">
        <v>1</v>
      </c>
      <c r="H807" s="333">
        <v>51.370800000000003</v>
      </c>
      <c r="I807" s="333">
        <v>5.6496300000000002</v>
      </c>
      <c r="J807" s="333">
        <v>-16.872975</v>
      </c>
      <c r="K807" s="333">
        <v>-16.037944</v>
      </c>
      <c r="L807" s="333">
        <v>1162.6500000000001</v>
      </c>
      <c r="M807" s="333">
        <v>134.00021699999999</v>
      </c>
      <c r="N807" s="333">
        <v>20729.5</v>
      </c>
      <c r="O807" s="333">
        <v>0</v>
      </c>
      <c r="P807" s="333">
        <v>0</v>
      </c>
      <c r="Q807" s="332" t="s">
        <v>479</v>
      </c>
      <c r="R807" s="332"/>
      <c r="S807" s="333">
        <v>15</v>
      </c>
      <c r="T807" s="333">
        <v>5</v>
      </c>
      <c r="U807" s="333">
        <v>0.7</v>
      </c>
      <c r="V807" s="333">
        <v>0.7</v>
      </c>
      <c r="W807" s="333">
        <v>0.7</v>
      </c>
      <c r="X807" s="333">
        <v>1700</v>
      </c>
      <c r="Y807" s="332" t="s">
        <v>470</v>
      </c>
      <c r="Z807" s="333">
        <v>0.85</v>
      </c>
      <c r="AA807" s="332" t="s">
        <v>471</v>
      </c>
      <c r="AB807" s="332" t="s">
        <v>472</v>
      </c>
      <c r="AC807" s="335">
        <v>196</v>
      </c>
    </row>
    <row r="808" spans="1:29">
      <c r="A808" s="326" t="s">
        <v>871</v>
      </c>
      <c r="B808" s="327">
        <v>10</v>
      </c>
      <c r="C808" s="327">
        <v>368</v>
      </c>
      <c r="D808" s="327" t="s">
        <v>426</v>
      </c>
      <c r="E808" s="328">
        <v>1.5</v>
      </c>
      <c r="F808" s="329">
        <v>45236.604861111111</v>
      </c>
      <c r="G808" s="328">
        <v>1</v>
      </c>
      <c r="H808" s="328">
        <v>51.374099999999999</v>
      </c>
      <c r="I808" s="328">
        <v>5.5876000000000001</v>
      </c>
      <c r="J808" s="328">
        <v>-16.794438</v>
      </c>
      <c r="K808" s="328">
        <v>-15.944680999999999</v>
      </c>
      <c r="L808" s="328">
        <v>1105.6300000000001</v>
      </c>
      <c r="M808" s="328">
        <v>124.99907</v>
      </c>
      <c r="N808" s="328">
        <v>20057.57</v>
      </c>
      <c r="O808" s="328">
        <v>0</v>
      </c>
      <c r="P808" s="328">
        <v>0</v>
      </c>
      <c r="Q808" s="327" t="s">
        <v>479</v>
      </c>
      <c r="R808" s="327"/>
      <c r="S808" s="328">
        <v>15</v>
      </c>
      <c r="T808" s="328">
        <v>5</v>
      </c>
      <c r="U808" s="328">
        <v>0.7</v>
      </c>
      <c r="V808" s="328">
        <v>0.7</v>
      </c>
      <c r="W808" s="328">
        <v>0.7</v>
      </c>
      <c r="X808" s="328">
        <v>1700</v>
      </c>
      <c r="Y808" s="327" t="s">
        <v>470</v>
      </c>
      <c r="Z808" s="328">
        <v>0.85</v>
      </c>
      <c r="AA808" s="327" t="s">
        <v>471</v>
      </c>
      <c r="AB808" s="327" t="s">
        <v>472</v>
      </c>
      <c r="AC808" s="330">
        <v>196</v>
      </c>
    </row>
    <row r="809" spans="1:29">
      <c r="A809" s="331" t="s">
        <v>872</v>
      </c>
      <c r="B809" s="332">
        <v>10</v>
      </c>
      <c r="C809" s="332">
        <v>368</v>
      </c>
      <c r="D809" s="332" t="s">
        <v>426</v>
      </c>
      <c r="E809" s="333">
        <v>1.5</v>
      </c>
      <c r="F809" s="334">
        <v>45236.60833333333</v>
      </c>
      <c r="G809" s="333">
        <v>1</v>
      </c>
      <c r="H809" s="333">
        <v>51.370800000000003</v>
      </c>
      <c r="I809" s="333">
        <v>5.5663</v>
      </c>
      <c r="J809" s="333">
        <v>-16.894438000000001</v>
      </c>
      <c r="K809" s="333">
        <v>-16.050106</v>
      </c>
      <c r="L809" s="333">
        <v>1143.26</v>
      </c>
      <c r="M809" s="333">
        <v>136.00055399999999</v>
      </c>
      <c r="N809" s="333">
        <v>20338.900000000001</v>
      </c>
      <c r="O809" s="333">
        <v>0</v>
      </c>
      <c r="P809" s="333">
        <v>0</v>
      </c>
      <c r="Q809" s="332" t="s">
        <v>479</v>
      </c>
      <c r="R809" s="332"/>
      <c r="S809" s="333">
        <v>15</v>
      </c>
      <c r="T809" s="333">
        <v>5</v>
      </c>
      <c r="U809" s="333">
        <v>0.7</v>
      </c>
      <c r="V809" s="333">
        <v>0.7</v>
      </c>
      <c r="W809" s="333">
        <v>0.7</v>
      </c>
      <c r="X809" s="333">
        <v>1700</v>
      </c>
      <c r="Y809" s="332" t="s">
        <v>470</v>
      </c>
      <c r="Z809" s="333">
        <v>0.85</v>
      </c>
      <c r="AA809" s="332" t="s">
        <v>471</v>
      </c>
      <c r="AB809" s="332" t="s">
        <v>472</v>
      </c>
      <c r="AC809" s="335">
        <v>194</v>
      </c>
    </row>
    <row r="810" spans="1:29">
      <c r="A810" s="326" t="s">
        <v>873</v>
      </c>
      <c r="B810" s="327">
        <v>10</v>
      </c>
      <c r="C810" s="327">
        <v>368</v>
      </c>
      <c r="D810" s="327" t="s">
        <v>426</v>
      </c>
      <c r="E810" s="328">
        <v>1.5</v>
      </c>
      <c r="F810" s="329">
        <v>45236.611805555556</v>
      </c>
      <c r="G810" s="328">
        <v>2</v>
      </c>
      <c r="H810" s="328">
        <v>51.3675</v>
      </c>
      <c r="I810" s="328">
        <v>5.5144299999999999</v>
      </c>
      <c r="J810" s="328">
        <v>-16.881343999999999</v>
      </c>
      <c r="K810" s="328">
        <v>-16.040413000000001</v>
      </c>
      <c r="L810" s="328">
        <v>1174.23</v>
      </c>
      <c r="M810" s="328">
        <v>141.500407</v>
      </c>
      <c r="N810" s="328">
        <v>20925.59</v>
      </c>
      <c r="O810" s="328">
        <v>0</v>
      </c>
      <c r="P810" s="328">
        <v>0</v>
      </c>
      <c r="Q810" s="327" t="s">
        <v>479</v>
      </c>
      <c r="R810" s="327"/>
      <c r="S810" s="328">
        <v>15</v>
      </c>
      <c r="T810" s="328">
        <v>5</v>
      </c>
      <c r="U810" s="328">
        <v>0.7</v>
      </c>
      <c r="V810" s="328">
        <v>0.7</v>
      </c>
      <c r="W810" s="328">
        <v>0.7</v>
      </c>
      <c r="X810" s="328">
        <v>1700</v>
      </c>
      <c r="Y810" s="327" t="s">
        <v>470</v>
      </c>
      <c r="Z810" s="328">
        <v>0.85</v>
      </c>
      <c r="AA810" s="327" t="s">
        <v>471</v>
      </c>
      <c r="AB810" s="327" t="s">
        <v>472</v>
      </c>
      <c r="AC810" s="330">
        <v>192</v>
      </c>
    </row>
    <row r="811" spans="1:29">
      <c r="A811" s="331" t="s">
        <v>875</v>
      </c>
      <c r="B811" s="332">
        <v>10</v>
      </c>
      <c r="C811" s="332">
        <v>368</v>
      </c>
      <c r="D811" s="332" t="s">
        <v>426</v>
      </c>
      <c r="E811" s="333">
        <v>1.5</v>
      </c>
      <c r="F811" s="334">
        <v>45236.615972222222</v>
      </c>
      <c r="G811" s="333">
        <v>2</v>
      </c>
      <c r="H811" s="333">
        <v>51.3675</v>
      </c>
      <c r="I811" s="333">
        <v>5.5486899999999997</v>
      </c>
      <c r="J811" s="333">
        <v>-16.750406000000002</v>
      </c>
      <c r="K811" s="333">
        <v>-15.910812</v>
      </c>
      <c r="L811" s="333">
        <v>1162.31</v>
      </c>
      <c r="M811" s="333">
        <v>144.999966</v>
      </c>
      <c r="N811" s="333">
        <v>20637.09</v>
      </c>
      <c r="O811" s="333">
        <v>0</v>
      </c>
      <c r="P811" s="333">
        <v>0</v>
      </c>
      <c r="Q811" s="332" t="s">
        <v>479</v>
      </c>
      <c r="R811" s="332"/>
      <c r="S811" s="333">
        <v>15</v>
      </c>
      <c r="T811" s="333">
        <v>5</v>
      </c>
      <c r="U811" s="333">
        <v>0.7</v>
      </c>
      <c r="V811" s="333">
        <v>0.7</v>
      </c>
      <c r="W811" s="333">
        <v>0.7</v>
      </c>
      <c r="X811" s="333">
        <v>1700</v>
      </c>
      <c r="Y811" s="332" t="s">
        <v>470</v>
      </c>
      <c r="Z811" s="333">
        <v>0.85</v>
      </c>
      <c r="AA811" s="332" t="s">
        <v>471</v>
      </c>
      <c r="AB811" s="332" t="s">
        <v>472</v>
      </c>
      <c r="AC811" s="335">
        <v>193</v>
      </c>
    </row>
    <row r="812" spans="1:29">
      <c r="A812" s="326" t="s">
        <v>876</v>
      </c>
      <c r="B812" s="327">
        <v>10</v>
      </c>
      <c r="C812" s="327">
        <v>368</v>
      </c>
      <c r="D812" s="327" t="s">
        <v>426</v>
      </c>
      <c r="E812" s="328">
        <v>1.5</v>
      </c>
      <c r="F812" s="329">
        <v>45236.619444444441</v>
      </c>
      <c r="G812" s="328">
        <v>2</v>
      </c>
      <c r="H812" s="328">
        <v>51.370800000000003</v>
      </c>
      <c r="I812" s="328">
        <v>5.5568099999999996</v>
      </c>
      <c r="J812" s="328">
        <v>-16.881231</v>
      </c>
      <c r="K812" s="328">
        <v>-16.037068999999999</v>
      </c>
      <c r="L812" s="328">
        <v>1164.08</v>
      </c>
      <c r="M812" s="328">
        <v>138.50021599999999</v>
      </c>
      <c r="N812" s="328">
        <v>20913.82</v>
      </c>
      <c r="O812" s="328">
        <v>0</v>
      </c>
      <c r="P812" s="328">
        <v>0</v>
      </c>
      <c r="Q812" s="327" t="s">
        <v>479</v>
      </c>
      <c r="R812" s="327"/>
      <c r="S812" s="328">
        <v>15</v>
      </c>
      <c r="T812" s="328">
        <v>5</v>
      </c>
      <c r="U812" s="328">
        <v>0.7</v>
      </c>
      <c r="V812" s="328">
        <v>0.7</v>
      </c>
      <c r="W812" s="328">
        <v>0.7</v>
      </c>
      <c r="X812" s="328">
        <v>1700</v>
      </c>
      <c r="Y812" s="327" t="s">
        <v>470</v>
      </c>
      <c r="Z812" s="328">
        <v>0.85</v>
      </c>
      <c r="AA812" s="327" t="s">
        <v>471</v>
      </c>
      <c r="AB812" s="327" t="s">
        <v>472</v>
      </c>
      <c r="AC812" s="330">
        <v>190</v>
      </c>
    </row>
    <row r="813" spans="1:29">
      <c r="A813" s="331" t="s">
        <v>877</v>
      </c>
      <c r="B813" s="332">
        <v>10</v>
      </c>
      <c r="C813" s="332">
        <v>368</v>
      </c>
      <c r="D813" s="332" t="s">
        <v>426</v>
      </c>
      <c r="E813" s="333">
        <v>1.5</v>
      </c>
      <c r="F813" s="334">
        <v>45236.623611111114</v>
      </c>
      <c r="G813" s="333">
        <v>2</v>
      </c>
      <c r="H813" s="333">
        <v>51.370800000000003</v>
      </c>
      <c r="I813" s="333">
        <v>5.5453999999999999</v>
      </c>
      <c r="J813" s="333">
        <v>-16.851181</v>
      </c>
      <c r="K813" s="333">
        <v>-16.006405999999998</v>
      </c>
      <c r="L813" s="333">
        <v>1170.68</v>
      </c>
      <c r="M813" s="333">
        <v>143.50008099999999</v>
      </c>
      <c r="N813" s="333">
        <v>21054.65</v>
      </c>
      <c r="O813" s="333">
        <v>0</v>
      </c>
      <c r="P813" s="333">
        <v>0</v>
      </c>
      <c r="Q813" s="332" t="s">
        <v>479</v>
      </c>
      <c r="R813" s="332"/>
      <c r="S813" s="333">
        <v>15</v>
      </c>
      <c r="T813" s="333">
        <v>5</v>
      </c>
      <c r="U813" s="333">
        <v>0.7</v>
      </c>
      <c r="V813" s="333">
        <v>0.7</v>
      </c>
      <c r="W813" s="333">
        <v>0.7</v>
      </c>
      <c r="X813" s="333">
        <v>1700</v>
      </c>
      <c r="Y813" s="332" t="s">
        <v>470</v>
      </c>
      <c r="Z813" s="333">
        <v>0.85</v>
      </c>
      <c r="AA813" s="332" t="s">
        <v>471</v>
      </c>
      <c r="AB813" s="332" t="s">
        <v>472</v>
      </c>
      <c r="AC813" s="335">
        <v>188</v>
      </c>
    </row>
    <row r="814" spans="1:29">
      <c r="A814" s="326" t="s">
        <v>878</v>
      </c>
      <c r="B814" s="327">
        <v>10</v>
      </c>
      <c r="C814" s="327">
        <v>368</v>
      </c>
      <c r="D814" s="327" t="s">
        <v>426</v>
      </c>
      <c r="E814" s="328">
        <v>1.5</v>
      </c>
      <c r="F814" s="329">
        <v>45236.627083333333</v>
      </c>
      <c r="G814" s="328">
        <v>2</v>
      </c>
      <c r="H814" s="328">
        <v>51.370800000000003</v>
      </c>
      <c r="I814" s="328">
        <v>5.4944300000000004</v>
      </c>
      <c r="J814" s="328">
        <v>-16.677987999999999</v>
      </c>
      <c r="K814" s="328">
        <v>-15.858294000000001</v>
      </c>
      <c r="L814" s="328">
        <v>1169.3599999999999</v>
      </c>
      <c r="M814" s="328">
        <v>127.499776</v>
      </c>
      <c r="N814" s="328">
        <v>21179.06</v>
      </c>
      <c r="O814" s="328">
        <v>0</v>
      </c>
      <c r="P814" s="328">
        <v>0</v>
      </c>
      <c r="Q814" s="327" t="s">
        <v>479</v>
      </c>
      <c r="R814" s="327"/>
      <c r="S814" s="328">
        <v>15</v>
      </c>
      <c r="T814" s="328">
        <v>5</v>
      </c>
      <c r="U814" s="328">
        <v>0.7</v>
      </c>
      <c r="V814" s="328">
        <v>0.7</v>
      </c>
      <c r="W814" s="328">
        <v>0.7</v>
      </c>
      <c r="X814" s="328">
        <v>1700</v>
      </c>
      <c r="Y814" s="327" t="s">
        <v>470</v>
      </c>
      <c r="Z814" s="328">
        <v>0.85</v>
      </c>
      <c r="AA814" s="327" t="s">
        <v>471</v>
      </c>
      <c r="AB814" s="327" t="s">
        <v>472</v>
      </c>
      <c r="AC814" s="330">
        <v>188</v>
      </c>
    </row>
    <row r="815" spans="1:29">
      <c r="A815" s="336" t="s">
        <v>601</v>
      </c>
      <c r="B815" s="337">
        <v>11</v>
      </c>
      <c r="C815" s="337" t="s">
        <v>437</v>
      </c>
      <c r="D815" s="337" t="s">
        <v>468</v>
      </c>
      <c r="E815" s="338">
        <v>1.5</v>
      </c>
      <c r="F815" s="339">
        <v>45236.631249999999</v>
      </c>
      <c r="G815" s="338">
        <v>1</v>
      </c>
      <c r="H815" s="338">
        <v>51.3675</v>
      </c>
      <c r="I815" s="338">
        <v>5.4779600000000004</v>
      </c>
      <c r="J815" s="338">
        <v>-16.878550000000001</v>
      </c>
      <c r="K815" s="338">
        <v>-16.037880999999999</v>
      </c>
      <c r="L815" s="338">
        <v>1216.5999999999999</v>
      </c>
      <c r="M815" s="338">
        <v>154.499821</v>
      </c>
      <c r="N815" s="338">
        <v>21625.58</v>
      </c>
      <c r="O815" s="338">
        <v>21732.314699999999</v>
      </c>
      <c r="P815" s="338">
        <v>2519.4630000000002</v>
      </c>
      <c r="Q815" s="337" t="s">
        <v>542</v>
      </c>
      <c r="R815" s="337"/>
      <c r="S815" s="338">
        <v>15</v>
      </c>
      <c r="T815" s="338">
        <v>5</v>
      </c>
      <c r="U815" s="338">
        <v>0.7</v>
      </c>
      <c r="V815" s="338">
        <v>0.7</v>
      </c>
      <c r="W815" s="338">
        <v>0.7</v>
      </c>
      <c r="X815" s="338">
        <v>1700</v>
      </c>
      <c r="Y815" s="337" t="s">
        <v>470</v>
      </c>
      <c r="Z815" s="338">
        <v>0.85</v>
      </c>
      <c r="AA815" s="337" t="s">
        <v>471</v>
      </c>
      <c r="AB815" s="337" t="s">
        <v>472</v>
      </c>
      <c r="AC815" s="340">
        <v>191</v>
      </c>
    </row>
    <row r="816" spans="1:29">
      <c r="A816" s="326" t="s">
        <v>709</v>
      </c>
      <c r="B816" s="327">
        <v>11</v>
      </c>
      <c r="C816" s="327" t="s">
        <v>437</v>
      </c>
      <c r="D816" s="327" t="s">
        <v>468</v>
      </c>
      <c r="E816" s="328">
        <v>1.5</v>
      </c>
      <c r="F816" s="329">
        <v>45236.635416666664</v>
      </c>
      <c r="G816" s="328">
        <v>1</v>
      </c>
      <c r="H816" s="328">
        <v>51.3675</v>
      </c>
      <c r="I816" s="328">
        <v>5.5189000000000004</v>
      </c>
      <c r="J816" s="328">
        <v>-16.936194</v>
      </c>
      <c r="K816" s="328">
        <v>-16.097375</v>
      </c>
      <c r="L816" s="328">
        <v>1197.42</v>
      </c>
      <c r="M816" s="328">
        <v>144.50012100000001</v>
      </c>
      <c r="N816" s="328">
        <v>21714.16</v>
      </c>
      <c r="O816" s="328">
        <v>21732.314699999999</v>
      </c>
      <c r="P816" s="328">
        <v>2519.4630000000002</v>
      </c>
      <c r="Q816" s="327" t="s">
        <v>469</v>
      </c>
      <c r="R816" s="327"/>
      <c r="S816" s="328">
        <v>15</v>
      </c>
      <c r="T816" s="328">
        <v>5</v>
      </c>
      <c r="U816" s="328">
        <v>0.7</v>
      </c>
      <c r="V816" s="328">
        <v>0.7</v>
      </c>
      <c r="W816" s="328">
        <v>0.7</v>
      </c>
      <c r="X816" s="328">
        <v>1700</v>
      </c>
      <c r="Y816" s="327" t="s">
        <v>470</v>
      </c>
      <c r="Z816" s="328">
        <v>0.85</v>
      </c>
      <c r="AA816" s="327" t="s">
        <v>471</v>
      </c>
      <c r="AB816" s="327" t="s">
        <v>472</v>
      </c>
      <c r="AC816" s="330">
        <v>186</v>
      </c>
    </row>
    <row r="817" spans="1:29">
      <c r="A817" s="331" t="s">
        <v>710</v>
      </c>
      <c r="B817" s="332">
        <v>11</v>
      </c>
      <c r="C817" s="332" t="s">
        <v>437</v>
      </c>
      <c r="D817" s="332" t="s">
        <v>468</v>
      </c>
      <c r="E817" s="333">
        <v>1.5</v>
      </c>
      <c r="F817" s="334">
        <v>45236.63958333333</v>
      </c>
      <c r="G817" s="333">
        <v>1</v>
      </c>
      <c r="H817" s="333">
        <v>51.3675</v>
      </c>
      <c r="I817" s="333">
        <v>5.5124300000000002</v>
      </c>
      <c r="J817" s="333">
        <v>-16.949750000000002</v>
      </c>
      <c r="K817" s="333">
        <v>-16.101237000000001</v>
      </c>
      <c r="L817" s="333">
        <v>1205.08</v>
      </c>
      <c r="M817" s="333">
        <v>146.00032899999999</v>
      </c>
      <c r="N817" s="333">
        <v>21730.26</v>
      </c>
      <c r="O817" s="333">
        <v>21732.314699999999</v>
      </c>
      <c r="P817" s="333">
        <v>2519.4630000000002</v>
      </c>
      <c r="Q817" s="332" t="s">
        <v>469</v>
      </c>
      <c r="R817" s="332"/>
      <c r="S817" s="333">
        <v>15</v>
      </c>
      <c r="T817" s="333">
        <v>5</v>
      </c>
      <c r="U817" s="333">
        <v>0.7</v>
      </c>
      <c r="V817" s="333">
        <v>0.7</v>
      </c>
      <c r="W817" s="333">
        <v>0.7</v>
      </c>
      <c r="X817" s="333">
        <v>1700</v>
      </c>
      <c r="Y817" s="332" t="s">
        <v>470</v>
      </c>
      <c r="Z817" s="333">
        <v>0.85</v>
      </c>
      <c r="AA817" s="332" t="s">
        <v>471</v>
      </c>
      <c r="AB817" s="332" t="s">
        <v>472</v>
      </c>
      <c r="AC817" s="335">
        <v>186</v>
      </c>
    </row>
    <row r="818" spans="1:29">
      <c r="A818" s="326" t="s">
        <v>909</v>
      </c>
      <c r="B818" s="327">
        <v>11</v>
      </c>
      <c r="C818" s="327" t="s">
        <v>437</v>
      </c>
      <c r="D818" s="327" t="s">
        <v>468</v>
      </c>
      <c r="E818" s="328">
        <v>1.5</v>
      </c>
      <c r="F818" s="329">
        <v>45236.643055555556</v>
      </c>
      <c r="G818" s="328">
        <v>1</v>
      </c>
      <c r="H818" s="328">
        <v>51.3675</v>
      </c>
      <c r="I818" s="328">
        <v>5.5357799999999999</v>
      </c>
      <c r="J818" s="328">
        <v>-16.87715</v>
      </c>
      <c r="K818" s="328">
        <v>-16.056131000000001</v>
      </c>
      <c r="L818" s="328">
        <v>1209.03</v>
      </c>
      <c r="M818" s="328">
        <v>164.49975800000001</v>
      </c>
      <c r="N818" s="328">
        <v>22087.98</v>
      </c>
      <c r="O818" s="328">
        <v>21732.314699999999</v>
      </c>
      <c r="P818" s="328">
        <v>2519.4630000000002</v>
      </c>
      <c r="Q818" s="327" t="s">
        <v>542</v>
      </c>
      <c r="R818" s="327"/>
      <c r="S818" s="328">
        <v>15</v>
      </c>
      <c r="T818" s="328">
        <v>5</v>
      </c>
      <c r="U818" s="328">
        <v>0.7</v>
      </c>
      <c r="V818" s="328">
        <v>0.7</v>
      </c>
      <c r="W818" s="328">
        <v>0.7</v>
      </c>
      <c r="X818" s="328">
        <v>1700</v>
      </c>
      <c r="Y818" s="327" t="s">
        <v>470</v>
      </c>
      <c r="Z818" s="328">
        <v>0.85</v>
      </c>
      <c r="AA818" s="327" t="s">
        <v>471</v>
      </c>
      <c r="AB818" s="327" t="s">
        <v>472</v>
      </c>
      <c r="AC818" s="330">
        <v>182</v>
      </c>
    </row>
    <row r="819" spans="1:29">
      <c r="A819" s="331" t="s">
        <v>910</v>
      </c>
      <c r="B819" s="332">
        <v>11</v>
      </c>
      <c r="C819" s="332" t="s">
        <v>437</v>
      </c>
      <c r="D819" s="332" t="s">
        <v>468</v>
      </c>
      <c r="E819" s="333">
        <v>1.5</v>
      </c>
      <c r="F819" s="334">
        <v>45236.647222222222</v>
      </c>
      <c r="G819" s="333">
        <v>1</v>
      </c>
      <c r="H819" s="333">
        <v>51.370800000000003</v>
      </c>
      <c r="I819" s="333">
        <v>5.4303900000000001</v>
      </c>
      <c r="J819" s="333">
        <v>-16.776506000000001</v>
      </c>
      <c r="K819" s="333">
        <v>-15.932294000000001</v>
      </c>
      <c r="L819" s="333">
        <v>1204.8399999999999</v>
      </c>
      <c r="M819" s="333">
        <v>146.49930499999999</v>
      </c>
      <c r="N819" s="333">
        <v>21752.52</v>
      </c>
      <c r="O819" s="333">
        <v>21732.314699999999</v>
      </c>
      <c r="P819" s="333">
        <v>2519.4630000000002</v>
      </c>
      <c r="Q819" s="332" t="s">
        <v>469</v>
      </c>
      <c r="R819" s="332"/>
      <c r="S819" s="333">
        <v>15</v>
      </c>
      <c r="T819" s="333">
        <v>5</v>
      </c>
      <c r="U819" s="333">
        <v>0.7</v>
      </c>
      <c r="V819" s="333">
        <v>0.7</v>
      </c>
      <c r="W819" s="333">
        <v>0.7</v>
      </c>
      <c r="X819" s="333">
        <v>1700</v>
      </c>
      <c r="Y819" s="332" t="s">
        <v>470</v>
      </c>
      <c r="Z819" s="333">
        <v>0.85</v>
      </c>
      <c r="AA819" s="332" t="s">
        <v>471</v>
      </c>
      <c r="AB819" s="332" t="s">
        <v>472</v>
      </c>
      <c r="AC819" s="335">
        <v>184</v>
      </c>
    </row>
    <row r="820" spans="1:29">
      <c r="A820" s="331" t="s">
        <v>711</v>
      </c>
      <c r="B820" s="332">
        <v>12</v>
      </c>
      <c r="C820" s="332">
        <v>478</v>
      </c>
      <c r="D820" s="332" t="s">
        <v>419</v>
      </c>
      <c r="E820" s="333">
        <v>1.5</v>
      </c>
      <c r="F820" s="334">
        <v>45236.655555555553</v>
      </c>
      <c r="G820" s="333">
        <v>1</v>
      </c>
      <c r="H820" s="333">
        <v>51.364100000000001</v>
      </c>
      <c r="I820" s="333">
        <v>5.3304900000000002</v>
      </c>
      <c r="J820" s="333">
        <v>-16.977625</v>
      </c>
      <c r="K820" s="333">
        <v>-16.145724999999999</v>
      </c>
      <c r="L820" s="333">
        <v>1238.93</v>
      </c>
      <c r="M820" s="333">
        <v>147.50046800000001</v>
      </c>
      <c r="N820" s="333">
        <v>22379.42</v>
      </c>
      <c r="O820" s="333">
        <v>0</v>
      </c>
      <c r="P820" s="333">
        <v>0</v>
      </c>
      <c r="Q820" s="332" t="s">
        <v>479</v>
      </c>
      <c r="R820" s="332"/>
      <c r="S820" s="333">
        <v>15</v>
      </c>
      <c r="T820" s="333">
        <v>5</v>
      </c>
      <c r="U820" s="333">
        <v>0.7</v>
      </c>
      <c r="V820" s="333">
        <v>0.7</v>
      </c>
      <c r="W820" s="333">
        <v>0.7</v>
      </c>
      <c r="X820" s="333">
        <v>1700</v>
      </c>
      <c r="Y820" s="332" t="s">
        <v>470</v>
      </c>
      <c r="Z820" s="333">
        <v>0.85</v>
      </c>
      <c r="AA820" s="332" t="s">
        <v>471</v>
      </c>
      <c r="AB820" s="332" t="s">
        <v>472</v>
      </c>
      <c r="AC820" s="335">
        <v>179</v>
      </c>
    </row>
    <row r="821" spans="1:29">
      <c r="A821" s="326" t="s">
        <v>712</v>
      </c>
      <c r="B821" s="327">
        <v>12</v>
      </c>
      <c r="C821" s="327">
        <v>478</v>
      </c>
      <c r="D821" s="327" t="s">
        <v>419</v>
      </c>
      <c r="E821" s="328">
        <v>1.5</v>
      </c>
      <c r="F821" s="329">
        <v>45236.65902777778</v>
      </c>
      <c r="G821" s="328">
        <v>1</v>
      </c>
      <c r="H821" s="328">
        <v>51.370800000000003</v>
      </c>
      <c r="I821" s="328">
        <v>5.3752199999999997</v>
      </c>
      <c r="J821" s="328">
        <v>-17.127188</v>
      </c>
      <c r="K821" s="328">
        <v>-16.281300000000002</v>
      </c>
      <c r="L821" s="328">
        <v>1200</v>
      </c>
      <c r="M821" s="328">
        <v>168.99998500000001</v>
      </c>
      <c r="N821" s="328">
        <v>21946.16</v>
      </c>
      <c r="O821" s="328">
        <v>0</v>
      </c>
      <c r="P821" s="328">
        <v>0</v>
      </c>
      <c r="Q821" s="327" t="s">
        <v>479</v>
      </c>
      <c r="R821" s="327"/>
      <c r="S821" s="328">
        <v>15</v>
      </c>
      <c r="T821" s="328">
        <v>5</v>
      </c>
      <c r="U821" s="328">
        <v>0.7</v>
      </c>
      <c r="V821" s="328">
        <v>0.7</v>
      </c>
      <c r="W821" s="328">
        <v>0.7</v>
      </c>
      <c r="X821" s="328">
        <v>1700</v>
      </c>
      <c r="Y821" s="327" t="s">
        <v>470</v>
      </c>
      <c r="Z821" s="328">
        <v>0.85</v>
      </c>
      <c r="AA821" s="327" t="s">
        <v>471</v>
      </c>
      <c r="AB821" s="327" t="s">
        <v>472</v>
      </c>
      <c r="AC821" s="330">
        <v>182</v>
      </c>
    </row>
    <row r="822" spans="1:29">
      <c r="A822" s="326" t="s">
        <v>602</v>
      </c>
      <c r="B822" s="327">
        <v>12</v>
      </c>
      <c r="C822" s="327">
        <v>478</v>
      </c>
      <c r="D822" s="327" t="s">
        <v>419</v>
      </c>
      <c r="E822" s="328">
        <v>1.5</v>
      </c>
      <c r="F822" s="329">
        <v>45236.651388888888</v>
      </c>
      <c r="G822" s="328">
        <v>1</v>
      </c>
      <c r="H822" s="328">
        <v>51.370800000000003</v>
      </c>
      <c r="I822" s="328">
        <v>5.2969600000000003</v>
      </c>
      <c r="J822" s="328">
        <v>-16.822969000000001</v>
      </c>
      <c r="K822" s="328">
        <v>-15.975319000000001</v>
      </c>
      <c r="L822" s="328">
        <v>1239.27</v>
      </c>
      <c r="M822" s="328">
        <v>137.49911499999999</v>
      </c>
      <c r="N822" s="328">
        <v>22500</v>
      </c>
      <c r="O822" s="328">
        <v>0</v>
      </c>
      <c r="P822" s="328">
        <v>0</v>
      </c>
      <c r="Q822" s="327" t="s">
        <v>479</v>
      </c>
      <c r="R822" s="327"/>
      <c r="S822" s="328">
        <v>15</v>
      </c>
      <c r="T822" s="328">
        <v>5</v>
      </c>
      <c r="U822" s="328">
        <v>0.7</v>
      </c>
      <c r="V822" s="328">
        <v>0.7</v>
      </c>
      <c r="W822" s="328">
        <v>0.7</v>
      </c>
      <c r="X822" s="328">
        <v>1700</v>
      </c>
      <c r="Y822" s="327" t="s">
        <v>470</v>
      </c>
      <c r="Z822" s="328">
        <v>0.85</v>
      </c>
      <c r="AA822" s="327" t="s">
        <v>471</v>
      </c>
      <c r="AB822" s="327" t="s">
        <v>472</v>
      </c>
      <c r="AC822" s="330">
        <v>179</v>
      </c>
    </row>
    <row r="823" spans="1:29">
      <c r="A823" s="331" t="s">
        <v>713</v>
      </c>
      <c r="B823" s="332">
        <v>12</v>
      </c>
      <c r="C823" s="332">
        <v>478</v>
      </c>
      <c r="D823" s="332" t="s">
        <v>419</v>
      </c>
      <c r="E823" s="333">
        <v>1.5</v>
      </c>
      <c r="F823" s="334">
        <v>45236.663194444445</v>
      </c>
      <c r="G823" s="333">
        <v>1</v>
      </c>
      <c r="H823" s="333">
        <v>51.370800000000003</v>
      </c>
      <c r="I823" s="333">
        <v>5.3594200000000001</v>
      </c>
      <c r="J823" s="333">
        <v>-16.702525000000001</v>
      </c>
      <c r="K823" s="333">
        <v>-15.852944000000001</v>
      </c>
      <c r="L823" s="333">
        <v>1227.25</v>
      </c>
      <c r="M823" s="333">
        <v>132.00054399999999</v>
      </c>
      <c r="N823" s="333">
        <v>22143.8</v>
      </c>
      <c r="O823" s="333">
        <v>0</v>
      </c>
      <c r="P823" s="333">
        <v>0</v>
      </c>
      <c r="Q823" s="332" t="s">
        <v>479</v>
      </c>
      <c r="R823" s="332"/>
      <c r="S823" s="333">
        <v>15</v>
      </c>
      <c r="T823" s="333">
        <v>5</v>
      </c>
      <c r="U823" s="333">
        <v>0.7</v>
      </c>
      <c r="V823" s="333">
        <v>0.7</v>
      </c>
      <c r="W823" s="333">
        <v>0.7</v>
      </c>
      <c r="X823" s="333">
        <v>1700</v>
      </c>
      <c r="Y823" s="332" t="s">
        <v>470</v>
      </c>
      <c r="Z823" s="333">
        <v>0.85</v>
      </c>
      <c r="AA823" s="332" t="s">
        <v>471</v>
      </c>
      <c r="AB823" s="332" t="s">
        <v>472</v>
      </c>
      <c r="AC823" s="335">
        <v>181</v>
      </c>
    </row>
    <row r="824" spans="1:29">
      <c r="A824" s="326" t="s">
        <v>746</v>
      </c>
      <c r="B824" s="327">
        <v>12</v>
      </c>
      <c r="C824" s="327">
        <v>478</v>
      </c>
      <c r="D824" s="327" t="s">
        <v>419</v>
      </c>
      <c r="E824" s="328">
        <v>1.5</v>
      </c>
      <c r="F824" s="329">
        <v>45236.667361111111</v>
      </c>
      <c r="G824" s="328">
        <v>1</v>
      </c>
      <c r="H824" s="328">
        <v>51.364100000000001</v>
      </c>
      <c r="I824" s="328">
        <v>5.4451599999999996</v>
      </c>
      <c r="J824" s="328">
        <v>-17.013155999999999</v>
      </c>
      <c r="K824" s="328">
        <v>-16.163231</v>
      </c>
      <c r="L824" s="328">
        <v>1232.42</v>
      </c>
      <c r="M824" s="328">
        <v>152.000024</v>
      </c>
      <c r="N824" s="328">
        <v>22272.31</v>
      </c>
      <c r="O824" s="328">
        <v>0</v>
      </c>
      <c r="P824" s="328">
        <v>0</v>
      </c>
      <c r="Q824" s="327" t="s">
        <v>479</v>
      </c>
      <c r="R824" s="327"/>
      <c r="S824" s="328">
        <v>15</v>
      </c>
      <c r="T824" s="328">
        <v>5</v>
      </c>
      <c r="U824" s="328">
        <v>0.7</v>
      </c>
      <c r="V824" s="328">
        <v>0.7</v>
      </c>
      <c r="W824" s="328">
        <v>0.7</v>
      </c>
      <c r="X824" s="328">
        <v>1700</v>
      </c>
      <c r="Y824" s="327" t="s">
        <v>470</v>
      </c>
      <c r="Z824" s="328">
        <v>0.85</v>
      </c>
      <c r="AA824" s="327" t="s">
        <v>471</v>
      </c>
      <c r="AB824" s="327" t="s">
        <v>472</v>
      </c>
      <c r="AC824" s="330">
        <v>180</v>
      </c>
    </row>
    <row r="825" spans="1:29">
      <c r="A825" s="331" t="s">
        <v>911</v>
      </c>
      <c r="B825" s="332">
        <v>12</v>
      </c>
      <c r="C825" s="332">
        <v>478</v>
      </c>
      <c r="D825" s="332" t="s">
        <v>419</v>
      </c>
      <c r="E825" s="333">
        <v>1.5</v>
      </c>
      <c r="F825" s="334">
        <v>45236.67083333333</v>
      </c>
      <c r="G825" s="333">
        <v>2</v>
      </c>
      <c r="H825" s="333">
        <v>51.370800000000003</v>
      </c>
      <c r="I825" s="333">
        <v>5.4133399999999998</v>
      </c>
      <c r="J825" s="333">
        <v>-16.946638</v>
      </c>
      <c r="K825" s="333">
        <v>-16.098693999999998</v>
      </c>
      <c r="L825" s="333">
        <v>1263.69</v>
      </c>
      <c r="M825" s="333">
        <v>149.49980199999999</v>
      </c>
      <c r="N825" s="333">
        <v>22668.86</v>
      </c>
      <c r="O825" s="333">
        <v>0</v>
      </c>
      <c r="P825" s="333">
        <v>0</v>
      </c>
      <c r="Q825" s="332" t="s">
        <v>479</v>
      </c>
      <c r="R825" s="332"/>
      <c r="S825" s="333">
        <v>15</v>
      </c>
      <c r="T825" s="333">
        <v>5</v>
      </c>
      <c r="U825" s="333">
        <v>0.7</v>
      </c>
      <c r="V825" s="333">
        <v>0.7</v>
      </c>
      <c r="W825" s="333">
        <v>0.7</v>
      </c>
      <c r="X825" s="333">
        <v>1700</v>
      </c>
      <c r="Y825" s="332" t="s">
        <v>470</v>
      </c>
      <c r="Z825" s="333">
        <v>0.85</v>
      </c>
      <c r="AA825" s="332" t="s">
        <v>471</v>
      </c>
      <c r="AB825" s="332" t="s">
        <v>472</v>
      </c>
      <c r="AC825" s="335">
        <v>178</v>
      </c>
    </row>
    <row r="826" spans="1:29">
      <c r="A826" s="326" t="s">
        <v>912</v>
      </c>
      <c r="B826" s="327">
        <v>12</v>
      </c>
      <c r="C826" s="327">
        <v>478</v>
      </c>
      <c r="D826" s="327" t="s">
        <v>419</v>
      </c>
      <c r="E826" s="328">
        <v>1.5</v>
      </c>
      <c r="F826" s="329">
        <v>45236.675000000003</v>
      </c>
      <c r="G826" s="328">
        <v>2</v>
      </c>
      <c r="H826" s="328">
        <v>51.370800000000003</v>
      </c>
      <c r="I826" s="328">
        <v>5.3856900000000003</v>
      </c>
      <c r="J826" s="328">
        <v>-16.867825</v>
      </c>
      <c r="K826" s="328">
        <v>-16.024474999999999</v>
      </c>
      <c r="L826" s="328">
        <v>1291.83</v>
      </c>
      <c r="M826" s="328">
        <v>146.99965900000001</v>
      </c>
      <c r="N826" s="328">
        <v>23034.98</v>
      </c>
      <c r="O826" s="328">
        <v>0</v>
      </c>
      <c r="P826" s="328">
        <v>0</v>
      </c>
      <c r="Q826" s="327" t="s">
        <v>479</v>
      </c>
      <c r="R826" s="327"/>
      <c r="S826" s="328">
        <v>15</v>
      </c>
      <c r="T826" s="328">
        <v>5</v>
      </c>
      <c r="U826" s="328">
        <v>0.7</v>
      </c>
      <c r="V826" s="328">
        <v>0.7</v>
      </c>
      <c r="W826" s="328">
        <v>0.7</v>
      </c>
      <c r="X826" s="328">
        <v>1700</v>
      </c>
      <c r="Y826" s="327" t="s">
        <v>470</v>
      </c>
      <c r="Z826" s="328">
        <v>0.85</v>
      </c>
      <c r="AA826" s="327" t="s">
        <v>471</v>
      </c>
      <c r="AB826" s="327" t="s">
        <v>472</v>
      </c>
      <c r="AC826" s="330">
        <v>175</v>
      </c>
    </row>
    <row r="827" spans="1:29">
      <c r="A827" s="331" t="s">
        <v>913</v>
      </c>
      <c r="B827" s="332">
        <v>12</v>
      </c>
      <c r="C827" s="332">
        <v>478</v>
      </c>
      <c r="D827" s="332" t="s">
        <v>419</v>
      </c>
      <c r="E827" s="333">
        <v>1.5</v>
      </c>
      <c r="F827" s="334">
        <v>45236.679166666669</v>
      </c>
      <c r="G827" s="333">
        <v>2</v>
      </c>
      <c r="H827" s="333">
        <v>51.370800000000003</v>
      </c>
      <c r="I827" s="333">
        <v>5.3414599999999997</v>
      </c>
      <c r="J827" s="333">
        <v>-17.017187</v>
      </c>
      <c r="K827" s="333">
        <v>-16.167556000000001</v>
      </c>
      <c r="L827" s="333">
        <v>1216.03</v>
      </c>
      <c r="M827" s="333">
        <v>154.49906799999999</v>
      </c>
      <c r="N827" s="333">
        <v>22198.04</v>
      </c>
      <c r="O827" s="333">
        <v>0</v>
      </c>
      <c r="P827" s="333">
        <v>0</v>
      </c>
      <c r="Q827" s="332" t="s">
        <v>479</v>
      </c>
      <c r="R827" s="332"/>
      <c r="S827" s="333">
        <v>15</v>
      </c>
      <c r="T827" s="333">
        <v>5</v>
      </c>
      <c r="U827" s="333">
        <v>0.7</v>
      </c>
      <c r="V827" s="333">
        <v>0.7</v>
      </c>
      <c r="W827" s="333">
        <v>0.7</v>
      </c>
      <c r="X827" s="333">
        <v>1700</v>
      </c>
      <c r="Y827" s="332" t="s">
        <v>470</v>
      </c>
      <c r="Z827" s="333">
        <v>0.85</v>
      </c>
      <c r="AA827" s="332" t="s">
        <v>471</v>
      </c>
      <c r="AB827" s="332" t="s">
        <v>472</v>
      </c>
      <c r="AC827" s="335">
        <v>181</v>
      </c>
    </row>
    <row r="828" spans="1:29">
      <c r="A828" s="326" t="s">
        <v>914</v>
      </c>
      <c r="B828" s="327">
        <v>12</v>
      </c>
      <c r="C828" s="327">
        <v>478</v>
      </c>
      <c r="D828" s="327" t="s">
        <v>419</v>
      </c>
      <c r="E828" s="328">
        <v>1.5</v>
      </c>
      <c r="F828" s="329">
        <v>45236.682638888888</v>
      </c>
      <c r="G828" s="328">
        <v>2</v>
      </c>
      <c r="H828" s="328">
        <v>51.377400000000002</v>
      </c>
      <c r="I828" s="328">
        <v>5.3861400000000001</v>
      </c>
      <c r="J828" s="328">
        <v>-16.985143999999998</v>
      </c>
      <c r="K828" s="328">
        <v>-16.143075</v>
      </c>
      <c r="L828" s="328">
        <v>1268.5999999999999</v>
      </c>
      <c r="M828" s="328">
        <v>175.499425</v>
      </c>
      <c r="N828" s="328">
        <v>23225.06</v>
      </c>
      <c r="O828" s="328">
        <v>0</v>
      </c>
      <c r="P828" s="328">
        <v>0</v>
      </c>
      <c r="Q828" s="327" t="s">
        <v>479</v>
      </c>
      <c r="R828" s="327"/>
      <c r="S828" s="328">
        <v>15</v>
      </c>
      <c r="T828" s="328">
        <v>5</v>
      </c>
      <c r="U828" s="328">
        <v>0.7</v>
      </c>
      <c r="V828" s="328">
        <v>0.7</v>
      </c>
      <c r="W828" s="328">
        <v>0.7</v>
      </c>
      <c r="X828" s="328">
        <v>1700</v>
      </c>
      <c r="Y828" s="327" t="s">
        <v>470</v>
      </c>
      <c r="Z828" s="328">
        <v>0.85</v>
      </c>
      <c r="AA828" s="327" t="s">
        <v>471</v>
      </c>
      <c r="AB828" s="327" t="s">
        <v>472</v>
      </c>
      <c r="AC828" s="330">
        <v>171</v>
      </c>
    </row>
    <row r="829" spans="1:29">
      <c r="A829" s="331" t="s">
        <v>915</v>
      </c>
      <c r="B829" s="332">
        <v>12</v>
      </c>
      <c r="C829" s="332">
        <v>478</v>
      </c>
      <c r="D829" s="332" t="s">
        <v>419</v>
      </c>
      <c r="E829" s="333">
        <v>1.5</v>
      </c>
      <c r="F829" s="334">
        <v>45236.686805555553</v>
      </c>
      <c r="G829" s="333">
        <v>2</v>
      </c>
      <c r="H829" s="333">
        <v>51.370800000000003</v>
      </c>
      <c r="I829" s="333">
        <v>5.3600599999999998</v>
      </c>
      <c r="J829" s="333">
        <v>-17.048888000000002</v>
      </c>
      <c r="K829" s="333">
        <v>-16.200037999999999</v>
      </c>
      <c r="L829" s="333">
        <v>1267.77</v>
      </c>
      <c r="M829" s="333">
        <v>165.000688</v>
      </c>
      <c r="N829" s="333">
        <v>23174.3</v>
      </c>
      <c r="O829" s="333">
        <v>0</v>
      </c>
      <c r="P829" s="333">
        <v>0</v>
      </c>
      <c r="Q829" s="332" t="s">
        <v>479</v>
      </c>
      <c r="R829" s="332"/>
      <c r="S829" s="333">
        <v>15</v>
      </c>
      <c r="T829" s="333">
        <v>5</v>
      </c>
      <c r="U829" s="333">
        <v>0.7</v>
      </c>
      <c r="V829" s="333">
        <v>0.7</v>
      </c>
      <c r="W829" s="333">
        <v>0.7</v>
      </c>
      <c r="X829" s="333">
        <v>1700</v>
      </c>
      <c r="Y829" s="332" t="s">
        <v>470</v>
      </c>
      <c r="Z829" s="333">
        <v>0.85</v>
      </c>
      <c r="AA829" s="332" t="s">
        <v>471</v>
      </c>
      <c r="AB829" s="332" t="s">
        <v>472</v>
      </c>
      <c r="AC829" s="335">
        <v>174</v>
      </c>
    </row>
    <row r="830" spans="1:29">
      <c r="A830" s="326" t="s">
        <v>714</v>
      </c>
      <c r="B830" s="327">
        <v>13</v>
      </c>
      <c r="C830" s="327">
        <v>587</v>
      </c>
      <c r="D830" s="327" t="s">
        <v>420</v>
      </c>
      <c r="E830" s="328">
        <v>1.5</v>
      </c>
      <c r="F830" s="329">
        <v>45236.691666666666</v>
      </c>
      <c r="G830" s="328">
        <v>1</v>
      </c>
      <c r="H830" s="328">
        <v>51.370800000000003</v>
      </c>
      <c r="I830" s="328">
        <v>5.27013</v>
      </c>
      <c r="J830" s="328">
        <v>-16.9557</v>
      </c>
      <c r="K830" s="328">
        <v>-16.108212999999999</v>
      </c>
      <c r="L830" s="328">
        <v>1299.54</v>
      </c>
      <c r="M830" s="328">
        <v>168.00044600000001</v>
      </c>
      <c r="N830" s="328">
        <v>23595.11</v>
      </c>
      <c r="O830" s="328">
        <v>0</v>
      </c>
      <c r="P830" s="328">
        <v>0</v>
      </c>
      <c r="Q830" s="327" t="s">
        <v>479</v>
      </c>
      <c r="R830" s="327"/>
      <c r="S830" s="328">
        <v>15</v>
      </c>
      <c r="T830" s="328">
        <v>5</v>
      </c>
      <c r="U830" s="328">
        <v>0.7</v>
      </c>
      <c r="V830" s="328">
        <v>0.7</v>
      </c>
      <c r="W830" s="328">
        <v>0.7</v>
      </c>
      <c r="X830" s="328">
        <v>1700</v>
      </c>
      <c r="Y830" s="327" t="s">
        <v>470</v>
      </c>
      <c r="Z830" s="328">
        <v>0.85</v>
      </c>
      <c r="AA830" s="327" t="s">
        <v>471</v>
      </c>
      <c r="AB830" s="327" t="s">
        <v>472</v>
      </c>
      <c r="AC830" s="330">
        <v>169</v>
      </c>
    </row>
    <row r="831" spans="1:29">
      <c r="A831" s="331" t="s">
        <v>715</v>
      </c>
      <c r="B831" s="332">
        <v>13</v>
      </c>
      <c r="C831" s="332">
        <v>587</v>
      </c>
      <c r="D831" s="332" t="s">
        <v>420</v>
      </c>
      <c r="E831" s="333">
        <v>1.5</v>
      </c>
      <c r="F831" s="334">
        <v>45236.695833333331</v>
      </c>
      <c r="G831" s="333">
        <v>1</v>
      </c>
      <c r="H831" s="333">
        <v>51.3675</v>
      </c>
      <c r="I831" s="333">
        <v>5.3635000000000002</v>
      </c>
      <c r="J831" s="333">
        <v>-16.946525000000001</v>
      </c>
      <c r="K831" s="333">
        <v>-16.100169000000001</v>
      </c>
      <c r="L831" s="333">
        <v>1273.57</v>
      </c>
      <c r="M831" s="333">
        <v>160.000125</v>
      </c>
      <c r="N831" s="333">
        <v>23159.65</v>
      </c>
      <c r="O831" s="333">
        <v>0</v>
      </c>
      <c r="P831" s="333">
        <v>0</v>
      </c>
      <c r="Q831" s="332" t="s">
        <v>479</v>
      </c>
      <c r="R831" s="332"/>
      <c r="S831" s="333">
        <v>15</v>
      </c>
      <c r="T831" s="333">
        <v>5</v>
      </c>
      <c r="U831" s="333">
        <v>0.7</v>
      </c>
      <c r="V831" s="333">
        <v>0.7</v>
      </c>
      <c r="W831" s="333">
        <v>0.7</v>
      </c>
      <c r="X831" s="333">
        <v>1700</v>
      </c>
      <c r="Y831" s="332" t="s">
        <v>470</v>
      </c>
      <c r="Z831" s="333">
        <v>0.85</v>
      </c>
      <c r="AA831" s="332" t="s">
        <v>471</v>
      </c>
      <c r="AB831" s="332" t="s">
        <v>472</v>
      </c>
      <c r="AC831" s="335">
        <v>172</v>
      </c>
    </row>
    <row r="832" spans="1:29">
      <c r="A832" s="326" t="s">
        <v>716</v>
      </c>
      <c r="B832" s="327">
        <v>13</v>
      </c>
      <c r="C832" s="327">
        <v>587</v>
      </c>
      <c r="D832" s="327" t="s">
        <v>420</v>
      </c>
      <c r="E832" s="328">
        <v>1.5</v>
      </c>
      <c r="F832" s="329">
        <v>45236.7</v>
      </c>
      <c r="G832" s="328">
        <v>1</v>
      </c>
      <c r="H832" s="328">
        <v>51.374099999999999</v>
      </c>
      <c r="I832" s="328">
        <v>5.3259999999999996</v>
      </c>
      <c r="J832" s="328">
        <v>-16.986912</v>
      </c>
      <c r="K832" s="328">
        <v>-16.146538</v>
      </c>
      <c r="L832" s="328">
        <v>1246.9000000000001</v>
      </c>
      <c r="M832" s="328">
        <v>154.500438</v>
      </c>
      <c r="N832" s="328">
        <v>22824.38</v>
      </c>
      <c r="O832" s="328">
        <v>0</v>
      </c>
      <c r="P832" s="328">
        <v>0</v>
      </c>
      <c r="Q832" s="327" t="s">
        <v>479</v>
      </c>
      <c r="R832" s="327"/>
      <c r="S832" s="328">
        <v>15</v>
      </c>
      <c r="T832" s="328">
        <v>5</v>
      </c>
      <c r="U832" s="328">
        <v>0.7</v>
      </c>
      <c r="V832" s="328">
        <v>0.7</v>
      </c>
      <c r="W832" s="328">
        <v>0.7</v>
      </c>
      <c r="X832" s="328">
        <v>1700</v>
      </c>
      <c r="Y832" s="327" t="s">
        <v>470</v>
      </c>
      <c r="Z832" s="328">
        <v>0.85</v>
      </c>
      <c r="AA832" s="327" t="s">
        <v>471</v>
      </c>
      <c r="AB832" s="327" t="s">
        <v>472</v>
      </c>
      <c r="AC832" s="330">
        <v>172</v>
      </c>
    </row>
    <row r="833" spans="1:29">
      <c r="A833" s="331" t="s">
        <v>717</v>
      </c>
      <c r="B833" s="332">
        <v>13</v>
      </c>
      <c r="C833" s="332">
        <v>587</v>
      </c>
      <c r="D833" s="332" t="s">
        <v>420</v>
      </c>
      <c r="E833" s="333">
        <v>1.5</v>
      </c>
      <c r="F833" s="334">
        <v>45236.703472222223</v>
      </c>
      <c r="G833" s="333">
        <v>1</v>
      </c>
      <c r="H833" s="333">
        <v>51.3675</v>
      </c>
      <c r="I833" s="333">
        <v>5.2948500000000003</v>
      </c>
      <c r="J833" s="333">
        <v>-16.869519</v>
      </c>
      <c r="K833" s="333">
        <v>-16.031019000000001</v>
      </c>
      <c r="L833" s="333">
        <v>1288.68</v>
      </c>
      <c r="M833" s="333">
        <v>141.00017600000001</v>
      </c>
      <c r="N833" s="333">
        <v>23096.95</v>
      </c>
      <c r="O833" s="333">
        <v>0</v>
      </c>
      <c r="P833" s="333">
        <v>0</v>
      </c>
      <c r="Q833" s="332" t="s">
        <v>479</v>
      </c>
      <c r="R833" s="332"/>
      <c r="S833" s="333">
        <v>15</v>
      </c>
      <c r="T833" s="333">
        <v>5</v>
      </c>
      <c r="U833" s="333">
        <v>0.7</v>
      </c>
      <c r="V833" s="333">
        <v>0.7</v>
      </c>
      <c r="W833" s="333">
        <v>0.7</v>
      </c>
      <c r="X833" s="333">
        <v>1700</v>
      </c>
      <c r="Y833" s="332" t="s">
        <v>470</v>
      </c>
      <c r="Z833" s="333">
        <v>0.85</v>
      </c>
      <c r="AA833" s="332" t="s">
        <v>471</v>
      </c>
      <c r="AB833" s="332" t="s">
        <v>472</v>
      </c>
      <c r="AC833" s="335">
        <v>173</v>
      </c>
    </row>
    <row r="834" spans="1:29">
      <c r="A834" s="326" t="s">
        <v>718</v>
      </c>
      <c r="B834" s="327">
        <v>13</v>
      </c>
      <c r="C834" s="327">
        <v>587</v>
      </c>
      <c r="D834" s="327" t="s">
        <v>420</v>
      </c>
      <c r="E834" s="328">
        <v>1.5</v>
      </c>
      <c r="F834" s="329">
        <v>45236.707638888889</v>
      </c>
      <c r="G834" s="328">
        <v>1</v>
      </c>
      <c r="H834" s="328">
        <v>51.374099999999999</v>
      </c>
      <c r="I834" s="328">
        <v>5.3671699999999998</v>
      </c>
      <c r="J834" s="328">
        <v>-16.967275000000001</v>
      </c>
      <c r="K834" s="328">
        <v>-16.125437999999999</v>
      </c>
      <c r="L834" s="328">
        <v>1313.19</v>
      </c>
      <c r="M834" s="328">
        <v>167.99883600000001</v>
      </c>
      <c r="N834" s="328">
        <v>23614.99</v>
      </c>
      <c r="O834" s="328">
        <v>0</v>
      </c>
      <c r="P834" s="328">
        <v>0</v>
      </c>
      <c r="Q834" s="327" t="s">
        <v>479</v>
      </c>
      <c r="R834" s="327"/>
      <c r="S834" s="328">
        <v>15</v>
      </c>
      <c r="T834" s="328">
        <v>5</v>
      </c>
      <c r="U834" s="328">
        <v>0.7</v>
      </c>
      <c r="V834" s="328">
        <v>0.7</v>
      </c>
      <c r="W834" s="328">
        <v>0.7</v>
      </c>
      <c r="X834" s="328">
        <v>1700</v>
      </c>
      <c r="Y834" s="327" t="s">
        <v>470</v>
      </c>
      <c r="Z834" s="328">
        <v>0.85</v>
      </c>
      <c r="AA834" s="327" t="s">
        <v>471</v>
      </c>
      <c r="AB834" s="327" t="s">
        <v>472</v>
      </c>
      <c r="AC834" s="330">
        <v>171</v>
      </c>
    </row>
    <row r="835" spans="1:29">
      <c r="A835" s="331" t="s">
        <v>719</v>
      </c>
      <c r="B835" s="332">
        <v>13</v>
      </c>
      <c r="C835" s="332">
        <v>587</v>
      </c>
      <c r="D835" s="332" t="s">
        <v>420</v>
      </c>
      <c r="E835" s="333">
        <v>1.5</v>
      </c>
      <c r="F835" s="334">
        <v>45236.711805555555</v>
      </c>
      <c r="G835" s="333">
        <v>2</v>
      </c>
      <c r="H835" s="333">
        <v>51.374099999999999</v>
      </c>
      <c r="I835" s="333">
        <v>5.3451199999999996</v>
      </c>
      <c r="J835" s="333">
        <v>-16.949819000000002</v>
      </c>
      <c r="K835" s="333">
        <v>-16.101869000000001</v>
      </c>
      <c r="L835" s="333">
        <v>1287.04</v>
      </c>
      <c r="M835" s="333">
        <v>169.000066</v>
      </c>
      <c r="N835" s="333">
        <v>23273.62</v>
      </c>
      <c r="O835" s="333">
        <v>0</v>
      </c>
      <c r="P835" s="333">
        <v>0</v>
      </c>
      <c r="Q835" s="332" t="s">
        <v>479</v>
      </c>
      <c r="R835" s="332"/>
      <c r="S835" s="333">
        <v>15</v>
      </c>
      <c r="T835" s="333">
        <v>5</v>
      </c>
      <c r="U835" s="333">
        <v>0.7</v>
      </c>
      <c r="V835" s="333">
        <v>0.7</v>
      </c>
      <c r="W835" s="333">
        <v>0.7</v>
      </c>
      <c r="X835" s="333">
        <v>1700</v>
      </c>
      <c r="Y835" s="332" t="s">
        <v>470</v>
      </c>
      <c r="Z835" s="333">
        <v>0.85</v>
      </c>
      <c r="AA835" s="332" t="s">
        <v>471</v>
      </c>
      <c r="AB835" s="332" t="s">
        <v>472</v>
      </c>
      <c r="AC835" s="335">
        <v>170</v>
      </c>
    </row>
    <row r="836" spans="1:29">
      <c r="A836" s="326" t="s">
        <v>720</v>
      </c>
      <c r="B836" s="327">
        <v>13</v>
      </c>
      <c r="C836" s="327">
        <v>587</v>
      </c>
      <c r="D836" s="327" t="s">
        <v>420</v>
      </c>
      <c r="E836" s="328">
        <v>1.5</v>
      </c>
      <c r="F836" s="329">
        <v>45236.71597222222</v>
      </c>
      <c r="G836" s="328">
        <v>2</v>
      </c>
      <c r="H836" s="328">
        <v>51.3675</v>
      </c>
      <c r="I836" s="328">
        <v>5.2671299999999999</v>
      </c>
      <c r="J836" s="328">
        <v>-16.837612</v>
      </c>
      <c r="K836" s="328">
        <v>-16.002524999999999</v>
      </c>
      <c r="L836" s="328">
        <v>1244.9100000000001</v>
      </c>
      <c r="M836" s="328">
        <v>141.50015400000001</v>
      </c>
      <c r="N836" s="328">
        <v>22424.49</v>
      </c>
      <c r="O836" s="328">
        <v>0</v>
      </c>
      <c r="P836" s="328">
        <v>0</v>
      </c>
      <c r="Q836" s="327" t="s">
        <v>479</v>
      </c>
      <c r="R836" s="327"/>
      <c r="S836" s="328">
        <v>15</v>
      </c>
      <c r="T836" s="328">
        <v>5</v>
      </c>
      <c r="U836" s="328">
        <v>0.7</v>
      </c>
      <c r="V836" s="328">
        <v>0.7</v>
      </c>
      <c r="W836" s="328">
        <v>0.7</v>
      </c>
      <c r="X836" s="328">
        <v>1700</v>
      </c>
      <c r="Y836" s="327" t="s">
        <v>470</v>
      </c>
      <c r="Z836" s="328">
        <v>0.85</v>
      </c>
      <c r="AA836" s="327" t="s">
        <v>471</v>
      </c>
      <c r="AB836" s="327" t="s">
        <v>472</v>
      </c>
      <c r="AC836" s="330">
        <v>175</v>
      </c>
    </row>
    <row r="837" spans="1:29">
      <c r="A837" s="331" t="s">
        <v>721</v>
      </c>
      <c r="B837" s="332">
        <v>13</v>
      </c>
      <c r="C837" s="332">
        <v>587</v>
      </c>
      <c r="D837" s="332" t="s">
        <v>420</v>
      </c>
      <c r="E837" s="333">
        <v>1.5</v>
      </c>
      <c r="F837" s="334">
        <v>45236.719444444447</v>
      </c>
      <c r="G837" s="333">
        <v>2</v>
      </c>
      <c r="H837" s="333">
        <v>51.374099999999999</v>
      </c>
      <c r="I837" s="333">
        <v>5.2781000000000002</v>
      </c>
      <c r="J837" s="333">
        <v>-16.965237999999999</v>
      </c>
      <c r="K837" s="333">
        <v>-16.119330999999999</v>
      </c>
      <c r="L837" s="333">
        <v>1258.48</v>
      </c>
      <c r="M837" s="333">
        <v>152.50097600000001</v>
      </c>
      <c r="N837" s="333">
        <v>23116.54</v>
      </c>
      <c r="O837" s="333">
        <v>0</v>
      </c>
      <c r="P837" s="333">
        <v>0</v>
      </c>
      <c r="Q837" s="332" t="s">
        <v>479</v>
      </c>
      <c r="R837" s="332"/>
      <c r="S837" s="333">
        <v>15</v>
      </c>
      <c r="T837" s="333">
        <v>5</v>
      </c>
      <c r="U837" s="333">
        <v>0.7</v>
      </c>
      <c r="V837" s="333">
        <v>0.7</v>
      </c>
      <c r="W837" s="333">
        <v>0.7</v>
      </c>
      <c r="X837" s="333">
        <v>1700</v>
      </c>
      <c r="Y837" s="332" t="s">
        <v>470</v>
      </c>
      <c r="Z837" s="333">
        <v>0.85</v>
      </c>
      <c r="AA837" s="332" t="s">
        <v>471</v>
      </c>
      <c r="AB837" s="332" t="s">
        <v>472</v>
      </c>
      <c r="AC837" s="335">
        <v>173</v>
      </c>
    </row>
    <row r="838" spans="1:29">
      <c r="A838" s="326" t="s">
        <v>722</v>
      </c>
      <c r="B838" s="327">
        <v>13</v>
      </c>
      <c r="C838" s="327">
        <v>587</v>
      </c>
      <c r="D838" s="327" t="s">
        <v>420</v>
      </c>
      <c r="E838" s="328">
        <v>1.5</v>
      </c>
      <c r="F838" s="329">
        <v>45236.723611111112</v>
      </c>
      <c r="G838" s="328">
        <v>2</v>
      </c>
      <c r="H838" s="328">
        <v>51.370800000000003</v>
      </c>
      <c r="I838" s="328">
        <v>5.3502999999999998</v>
      </c>
      <c r="J838" s="328">
        <v>-16.657325</v>
      </c>
      <c r="K838" s="328">
        <v>-15.807387</v>
      </c>
      <c r="L838" s="328">
        <v>1293.1099999999999</v>
      </c>
      <c r="M838" s="328">
        <v>157.99751800000001</v>
      </c>
      <c r="N838" s="328">
        <v>23319.84</v>
      </c>
      <c r="O838" s="328">
        <v>0</v>
      </c>
      <c r="P838" s="328">
        <v>0</v>
      </c>
      <c r="Q838" s="327" t="s">
        <v>479</v>
      </c>
      <c r="R838" s="327"/>
      <c r="S838" s="328">
        <v>15</v>
      </c>
      <c r="T838" s="328">
        <v>5</v>
      </c>
      <c r="U838" s="328">
        <v>0.7</v>
      </c>
      <c r="V838" s="328">
        <v>0.7</v>
      </c>
      <c r="W838" s="328">
        <v>0.7</v>
      </c>
      <c r="X838" s="328">
        <v>1700</v>
      </c>
      <c r="Y838" s="327" t="s">
        <v>470</v>
      </c>
      <c r="Z838" s="328">
        <v>0.85</v>
      </c>
      <c r="AA838" s="327" t="s">
        <v>471</v>
      </c>
      <c r="AB838" s="327" t="s">
        <v>472</v>
      </c>
      <c r="AC838" s="330">
        <v>170</v>
      </c>
    </row>
    <row r="839" spans="1:29">
      <c r="A839" s="331" t="s">
        <v>723</v>
      </c>
      <c r="B839" s="332">
        <v>13</v>
      </c>
      <c r="C839" s="332">
        <v>587</v>
      </c>
      <c r="D839" s="332" t="s">
        <v>420</v>
      </c>
      <c r="E839" s="333">
        <v>1.5</v>
      </c>
      <c r="F839" s="334">
        <v>45236.727083333331</v>
      </c>
      <c r="G839" s="333">
        <v>2</v>
      </c>
      <c r="H839" s="333">
        <v>51.374099999999999</v>
      </c>
      <c r="I839" s="333">
        <v>5.3423400000000001</v>
      </c>
      <c r="J839" s="333">
        <v>-16.466180999999999</v>
      </c>
      <c r="K839" s="333">
        <v>-15.617744</v>
      </c>
      <c r="L839" s="333">
        <v>1308.26</v>
      </c>
      <c r="M839" s="333">
        <v>138.49965800000001</v>
      </c>
      <c r="N839" s="333">
        <v>23615.08</v>
      </c>
      <c r="O839" s="333">
        <v>0</v>
      </c>
      <c r="P839" s="333">
        <v>0</v>
      </c>
      <c r="Q839" s="332" t="s">
        <v>479</v>
      </c>
      <c r="R839" s="332"/>
      <c r="S839" s="333">
        <v>15</v>
      </c>
      <c r="T839" s="333">
        <v>5</v>
      </c>
      <c r="U839" s="333">
        <v>0.7</v>
      </c>
      <c r="V839" s="333">
        <v>0.7</v>
      </c>
      <c r="W839" s="333">
        <v>0.7</v>
      </c>
      <c r="X839" s="333">
        <v>1700</v>
      </c>
      <c r="Y839" s="332" t="s">
        <v>470</v>
      </c>
      <c r="Z839" s="333">
        <v>0.85</v>
      </c>
      <c r="AA839" s="332" t="s">
        <v>471</v>
      </c>
      <c r="AB839" s="332" t="s">
        <v>472</v>
      </c>
      <c r="AC839" s="335">
        <v>168</v>
      </c>
    </row>
    <row r="840" spans="1:29">
      <c r="A840" s="326" t="s">
        <v>613</v>
      </c>
      <c r="B840" s="327">
        <v>14</v>
      </c>
      <c r="C840" s="327">
        <v>588</v>
      </c>
      <c r="D840" s="327" t="s">
        <v>421</v>
      </c>
      <c r="E840" s="328">
        <v>1.5</v>
      </c>
      <c r="F840" s="329">
        <v>45236.734722222223</v>
      </c>
      <c r="G840" s="328">
        <v>1</v>
      </c>
      <c r="H840" s="328">
        <v>51.364100000000001</v>
      </c>
      <c r="I840" s="328">
        <v>5.1717199999999997</v>
      </c>
      <c r="J840" s="328">
        <v>-16.911750000000001</v>
      </c>
      <c r="K840" s="328">
        <v>-16.065000000000001</v>
      </c>
      <c r="L840" s="328">
        <v>1338.8</v>
      </c>
      <c r="M840" s="328">
        <v>164.500957</v>
      </c>
      <c r="N840" s="328">
        <v>24063.17</v>
      </c>
      <c r="O840" s="328">
        <v>0</v>
      </c>
      <c r="P840" s="328">
        <v>0</v>
      </c>
      <c r="Q840" s="327" t="s">
        <v>479</v>
      </c>
      <c r="R840" s="327"/>
      <c r="S840" s="328">
        <v>15</v>
      </c>
      <c r="T840" s="328">
        <v>5</v>
      </c>
      <c r="U840" s="328">
        <v>0.7</v>
      </c>
      <c r="V840" s="328">
        <v>0.7</v>
      </c>
      <c r="W840" s="328">
        <v>0.7</v>
      </c>
      <c r="X840" s="328">
        <v>1700</v>
      </c>
      <c r="Y840" s="327" t="s">
        <v>470</v>
      </c>
      <c r="Z840" s="328">
        <v>0.85</v>
      </c>
      <c r="AA840" s="327" t="s">
        <v>471</v>
      </c>
      <c r="AB840" s="327" t="s">
        <v>472</v>
      </c>
      <c r="AC840" s="330">
        <v>168</v>
      </c>
    </row>
    <row r="841" spans="1:29">
      <c r="A841" s="331" t="s">
        <v>614</v>
      </c>
      <c r="B841" s="332">
        <v>14</v>
      </c>
      <c r="C841" s="332">
        <v>588</v>
      </c>
      <c r="D841" s="332" t="s">
        <v>421</v>
      </c>
      <c r="E841" s="333">
        <v>1.5</v>
      </c>
      <c r="F841" s="334">
        <v>45236.738888888889</v>
      </c>
      <c r="G841" s="333">
        <v>1</v>
      </c>
      <c r="H841" s="333">
        <v>51.370800000000003</v>
      </c>
      <c r="I841" s="333">
        <v>5.3139500000000002</v>
      </c>
      <c r="J841" s="333">
        <v>-16.9375</v>
      </c>
      <c r="K841" s="333">
        <v>-16.097525000000001</v>
      </c>
      <c r="L841" s="333">
        <v>1297.47</v>
      </c>
      <c r="M841" s="333">
        <v>158.99971099999999</v>
      </c>
      <c r="N841" s="333">
        <v>23536.07</v>
      </c>
      <c r="O841" s="333">
        <v>0</v>
      </c>
      <c r="P841" s="333">
        <v>0</v>
      </c>
      <c r="Q841" s="332" t="s">
        <v>479</v>
      </c>
      <c r="R841" s="332"/>
      <c r="S841" s="333">
        <v>15</v>
      </c>
      <c r="T841" s="333">
        <v>5</v>
      </c>
      <c r="U841" s="333">
        <v>0.7</v>
      </c>
      <c r="V841" s="333">
        <v>0.7</v>
      </c>
      <c r="W841" s="333">
        <v>0.7</v>
      </c>
      <c r="X841" s="333">
        <v>1700</v>
      </c>
      <c r="Y841" s="332" t="s">
        <v>470</v>
      </c>
      <c r="Z841" s="333">
        <v>0.85</v>
      </c>
      <c r="AA841" s="332" t="s">
        <v>471</v>
      </c>
      <c r="AB841" s="332" t="s">
        <v>472</v>
      </c>
      <c r="AC841" s="335">
        <v>170</v>
      </c>
    </row>
    <row r="842" spans="1:29">
      <c r="A842" s="326" t="s">
        <v>615</v>
      </c>
      <c r="B842" s="327">
        <v>14</v>
      </c>
      <c r="C842" s="327">
        <v>588</v>
      </c>
      <c r="D842" s="327" t="s">
        <v>421</v>
      </c>
      <c r="E842" s="328">
        <v>1.5</v>
      </c>
      <c r="F842" s="329">
        <v>45236.743055555555</v>
      </c>
      <c r="G842" s="328">
        <v>1</v>
      </c>
      <c r="H842" s="328">
        <v>51.3675</v>
      </c>
      <c r="I842" s="328">
        <v>5.2496499999999999</v>
      </c>
      <c r="J842" s="328">
        <v>-16.535163000000001</v>
      </c>
      <c r="K842" s="328">
        <v>-15.690725</v>
      </c>
      <c r="L842" s="328">
        <v>1321.41</v>
      </c>
      <c r="M842" s="328">
        <v>143.50026700000001</v>
      </c>
      <c r="N842" s="328">
        <v>23773.94</v>
      </c>
      <c r="O842" s="328">
        <v>0</v>
      </c>
      <c r="P842" s="328">
        <v>0</v>
      </c>
      <c r="Q842" s="327" t="s">
        <v>479</v>
      </c>
      <c r="R842" s="327"/>
      <c r="S842" s="328">
        <v>15</v>
      </c>
      <c r="T842" s="328">
        <v>5</v>
      </c>
      <c r="U842" s="328">
        <v>0.7</v>
      </c>
      <c r="V842" s="328">
        <v>0.7</v>
      </c>
      <c r="W842" s="328">
        <v>0.7</v>
      </c>
      <c r="X842" s="328">
        <v>1700</v>
      </c>
      <c r="Y842" s="327" t="s">
        <v>470</v>
      </c>
      <c r="Z842" s="328">
        <v>0.85</v>
      </c>
      <c r="AA842" s="327" t="s">
        <v>471</v>
      </c>
      <c r="AB842" s="327" t="s">
        <v>472</v>
      </c>
      <c r="AC842" s="330">
        <v>167</v>
      </c>
    </row>
    <row r="843" spans="1:29">
      <c r="A843" s="331" t="s">
        <v>724</v>
      </c>
      <c r="B843" s="332">
        <v>14</v>
      </c>
      <c r="C843" s="332">
        <v>588</v>
      </c>
      <c r="D843" s="332" t="s">
        <v>421</v>
      </c>
      <c r="E843" s="333">
        <v>1.5</v>
      </c>
      <c r="F843" s="334">
        <v>45236.746527777781</v>
      </c>
      <c r="G843" s="333">
        <v>1</v>
      </c>
      <c r="H843" s="333">
        <v>51.3675</v>
      </c>
      <c r="I843" s="333">
        <v>5.28287</v>
      </c>
      <c r="J843" s="333">
        <v>-16.646469</v>
      </c>
      <c r="K843" s="333">
        <v>-15.8024</v>
      </c>
      <c r="L843" s="333">
        <v>1341.68</v>
      </c>
      <c r="M843" s="333">
        <v>171.00062199999999</v>
      </c>
      <c r="N843" s="333">
        <v>24657.72</v>
      </c>
      <c r="O843" s="333">
        <v>0</v>
      </c>
      <c r="P843" s="333">
        <v>0</v>
      </c>
      <c r="Q843" s="332" t="s">
        <v>479</v>
      </c>
      <c r="R843" s="332"/>
      <c r="S843" s="333">
        <v>15</v>
      </c>
      <c r="T843" s="333">
        <v>5</v>
      </c>
      <c r="U843" s="333">
        <v>0.7</v>
      </c>
      <c r="V843" s="333">
        <v>0.7</v>
      </c>
      <c r="W843" s="333">
        <v>0.7</v>
      </c>
      <c r="X843" s="333">
        <v>1700</v>
      </c>
      <c r="Y843" s="332" t="s">
        <v>470</v>
      </c>
      <c r="Z843" s="333">
        <v>0.85</v>
      </c>
      <c r="AA843" s="332" t="s">
        <v>471</v>
      </c>
      <c r="AB843" s="332" t="s">
        <v>472</v>
      </c>
      <c r="AC843" s="335">
        <v>174</v>
      </c>
    </row>
    <row r="844" spans="1:29">
      <c r="A844" s="326" t="s">
        <v>916</v>
      </c>
      <c r="B844" s="327">
        <v>14</v>
      </c>
      <c r="C844" s="327">
        <v>588</v>
      </c>
      <c r="D844" s="327" t="s">
        <v>421</v>
      </c>
      <c r="E844" s="328">
        <v>1.5</v>
      </c>
      <c r="F844" s="329">
        <v>45236.750694444447</v>
      </c>
      <c r="G844" s="328">
        <v>1</v>
      </c>
      <c r="H844" s="328">
        <v>51.364100000000001</v>
      </c>
      <c r="I844" s="328">
        <v>5.2686700000000002</v>
      </c>
      <c r="J844" s="328">
        <v>-16.961288</v>
      </c>
      <c r="K844" s="328">
        <v>-16.113880999999999</v>
      </c>
      <c r="L844" s="328">
        <v>1253.52</v>
      </c>
      <c r="M844" s="328">
        <v>159.99913100000001</v>
      </c>
      <c r="N844" s="328">
        <v>22506.83</v>
      </c>
      <c r="O844" s="328">
        <v>0</v>
      </c>
      <c r="P844" s="328">
        <v>0</v>
      </c>
      <c r="Q844" s="327" t="s">
        <v>479</v>
      </c>
      <c r="R844" s="327"/>
      <c r="S844" s="328">
        <v>15</v>
      </c>
      <c r="T844" s="328">
        <v>5</v>
      </c>
      <c r="U844" s="328">
        <v>0.7</v>
      </c>
      <c r="V844" s="328">
        <v>0.7</v>
      </c>
      <c r="W844" s="328">
        <v>0.7</v>
      </c>
      <c r="X844" s="328">
        <v>1700</v>
      </c>
      <c r="Y844" s="327" t="s">
        <v>470</v>
      </c>
      <c r="Z844" s="328">
        <v>0.85</v>
      </c>
      <c r="AA844" s="327" t="s">
        <v>471</v>
      </c>
      <c r="AB844" s="327" t="s">
        <v>472</v>
      </c>
      <c r="AC844" s="330">
        <v>177</v>
      </c>
    </row>
    <row r="845" spans="1:29">
      <c r="A845" s="331" t="s">
        <v>917</v>
      </c>
      <c r="B845" s="332">
        <v>14</v>
      </c>
      <c r="C845" s="332">
        <v>588</v>
      </c>
      <c r="D845" s="332" t="s">
        <v>421</v>
      </c>
      <c r="E845" s="333">
        <v>1.5</v>
      </c>
      <c r="F845" s="345"/>
      <c r="G845" s="333">
        <v>2</v>
      </c>
      <c r="H845" s="333">
        <v>0</v>
      </c>
      <c r="I845" s="333">
        <v>0</v>
      </c>
      <c r="J845" s="333">
        <v>0</v>
      </c>
      <c r="K845" s="333">
        <v>0</v>
      </c>
      <c r="L845" s="333">
        <v>0</v>
      </c>
      <c r="M845" s="333">
        <v>0</v>
      </c>
      <c r="N845" s="333">
        <v>0</v>
      </c>
      <c r="O845" s="333">
        <v>0</v>
      </c>
      <c r="P845" s="333">
        <v>0</v>
      </c>
      <c r="Q845" s="332" t="s">
        <v>503</v>
      </c>
      <c r="R845" s="332"/>
      <c r="S845" s="333">
        <v>15</v>
      </c>
      <c r="T845" s="333">
        <v>5</v>
      </c>
      <c r="U845" s="333">
        <v>0.7</v>
      </c>
      <c r="V845" s="333">
        <v>0.7</v>
      </c>
      <c r="W845" s="333">
        <v>0.7</v>
      </c>
      <c r="X845" s="333">
        <v>1700</v>
      </c>
      <c r="Y845" s="332"/>
      <c r="Z845" s="332"/>
      <c r="AA845" s="332" t="s">
        <v>471</v>
      </c>
      <c r="AB845" s="332" t="s">
        <v>472</v>
      </c>
      <c r="AC845" s="335">
        <v>177</v>
      </c>
    </row>
    <row r="846" spans="1:29">
      <c r="A846" s="326" t="s">
        <v>616</v>
      </c>
      <c r="B846" s="327" t="s">
        <v>467</v>
      </c>
      <c r="C846" s="332" t="s">
        <v>437</v>
      </c>
      <c r="D846" s="327" t="s">
        <v>468</v>
      </c>
      <c r="E846" s="328">
        <v>1.5</v>
      </c>
      <c r="F846" s="329">
        <v>45236.755555555559</v>
      </c>
      <c r="G846" s="328">
        <v>1</v>
      </c>
      <c r="H846" s="328">
        <v>51.374099999999999</v>
      </c>
      <c r="I846" s="328">
        <v>5.0572699999999999</v>
      </c>
      <c r="J846" s="328">
        <v>-17.136306000000001</v>
      </c>
      <c r="K846" s="328">
        <v>-16.299406000000001</v>
      </c>
      <c r="L846" s="328">
        <v>1242.01</v>
      </c>
      <c r="M846" s="328">
        <v>152.00026199999999</v>
      </c>
      <c r="N846" s="328">
        <v>22563.21</v>
      </c>
      <c r="O846" s="328">
        <v>22563.206979999999</v>
      </c>
      <c r="P846" s="328">
        <v>2616.0419999999999</v>
      </c>
      <c r="Q846" s="327" t="s">
        <v>469</v>
      </c>
      <c r="R846" s="327"/>
      <c r="S846" s="328">
        <v>15</v>
      </c>
      <c r="T846" s="328">
        <v>5</v>
      </c>
      <c r="U846" s="328">
        <v>0.7</v>
      </c>
      <c r="V846" s="328">
        <v>0.7</v>
      </c>
      <c r="W846" s="328">
        <v>0.7</v>
      </c>
      <c r="X846" s="328">
        <v>1700</v>
      </c>
      <c r="Y846" s="327" t="s">
        <v>470</v>
      </c>
      <c r="Z846" s="328">
        <v>0.85</v>
      </c>
      <c r="AA846" s="327" t="s">
        <v>471</v>
      </c>
      <c r="AB846" s="327" t="s">
        <v>472</v>
      </c>
      <c r="AC846" s="330">
        <v>178</v>
      </c>
    </row>
    <row r="847" spans="1:29">
      <c r="A847" s="331" t="s">
        <v>620</v>
      </c>
      <c r="B847" s="332" t="s">
        <v>467</v>
      </c>
      <c r="C847" s="332" t="s">
        <v>437</v>
      </c>
      <c r="D847" s="332" t="s">
        <v>468</v>
      </c>
      <c r="E847" s="333">
        <v>1.5</v>
      </c>
      <c r="F847" s="334">
        <v>45236.759027777778</v>
      </c>
      <c r="G847" s="333">
        <v>1</v>
      </c>
      <c r="H847" s="333">
        <v>51.3675</v>
      </c>
      <c r="I847" s="333">
        <v>5.2050099999999997</v>
      </c>
      <c r="J847" s="333">
        <v>-16.935549999999999</v>
      </c>
      <c r="K847" s="333">
        <v>-16.086181</v>
      </c>
      <c r="L847" s="333">
        <v>1252.81</v>
      </c>
      <c r="M847" s="333">
        <v>144.00081499999999</v>
      </c>
      <c r="N847" s="333">
        <v>22526.39</v>
      </c>
      <c r="O847" s="333">
        <v>22526.39142</v>
      </c>
      <c r="P847" s="333">
        <v>2611.7620000000002</v>
      </c>
      <c r="Q847" s="332" t="s">
        <v>469</v>
      </c>
      <c r="R847" s="332"/>
      <c r="S847" s="333">
        <v>15</v>
      </c>
      <c r="T847" s="333">
        <v>5</v>
      </c>
      <c r="U847" s="333">
        <v>0.7</v>
      </c>
      <c r="V847" s="333">
        <v>0.7</v>
      </c>
      <c r="W847" s="333">
        <v>0.7</v>
      </c>
      <c r="X847" s="333">
        <v>1700</v>
      </c>
      <c r="Y847" s="332" t="s">
        <v>470</v>
      </c>
      <c r="Z847" s="333">
        <v>0.85</v>
      </c>
      <c r="AA847" s="332" t="s">
        <v>471</v>
      </c>
      <c r="AB847" s="332" t="s">
        <v>472</v>
      </c>
      <c r="AC847" s="335">
        <v>178</v>
      </c>
    </row>
    <row r="848" spans="1:29">
      <c r="A848" s="326" t="s">
        <v>624</v>
      </c>
      <c r="B848" s="327" t="s">
        <v>467</v>
      </c>
      <c r="C848" s="332" t="s">
        <v>437</v>
      </c>
      <c r="D848" s="327" t="s">
        <v>468</v>
      </c>
      <c r="E848" s="328">
        <v>1.5</v>
      </c>
      <c r="F848" s="329">
        <v>45236.763194444444</v>
      </c>
      <c r="G848" s="328">
        <v>1</v>
      </c>
      <c r="H848" s="328">
        <v>51.377400000000002</v>
      </c>
      <c r="I848" s="328">
        <v>5.2548899999999996</v>
      </c>
      <c r="J848" s="328">
        <v>-17.062794</v>
      </c>
      <c r="K848" s="328">
        <v>-16.244588</v>
      </c>
      <c r="L848" s="328">
        <v>1258.8900000000001</v>
      </c>
      <c r="M848" s="328">
        <v>166.00031300000001</v>
      </c>
      <c r="N848" s="328">
        <v>22788.880000000001</v>
      </c>
      <c r="O848" s="328">
        <v>22788.877789999999</v>
      </c>
      <c r="P848" s="328">
        <v>2642.2719999999999</v>
      </c>
      <c r="Q848" s="327" t="s">
        <v>469</v>
      </c>
      <c r="R848" s="327"/>
      <c r="S848" s="328">
        <v>15</v>
      </c>
      <c r="T848" s="328">
        <v>5</v>
      </c>
      <c r="U848" s="328">
        <v>0.7</v>
      </c>
      <c r="V848" s="328">
        <v>0.7</v>
      </c>
      <c r="W848" s="328">
        <v>0.7</v>
      </c>
      <c r="X848" s="328">
        <v>1700</v>
      </c>
      <c r="Y848" s="327" t="s">
        <v>470</v>
      </c>
      <c r="Z848" s="328">
        <v>0.85</v>
      </c>
      <c r="AA848" s="327" t="s">
        <v>471</v>
      </c>
      <c r="AB848" s="327" t="s">
        <v>472</v>
      </c>
      <c r="AC848" s="330">
        <v>177</v>
      </c>
    </row>
    <row r="849" spans="1:29">
      <c r="A849" s="331" t="s">
        <v>627</v>
      </c>
      <c r="B849" s="332" t="s">
        <v>467</v>
      </c>
      <c r="C849" s="332" t="s">
        <v>437</v>
      </c>
      <c r="D849" s="332" t="s">
        <v>468</v>
      </c>
      <c r="E849" s="333">
        <v>1.5</v>
      </c>
      <c r="F849" s="334">
        <v>45236.76666666667</v>
      </c>
      <c r="G849" s="333">
        <v>1</v>
      </c>
      <c r="H849" s="333">
        <v>51.374099999999999</v>
      </c>
      <c r="I849" s="333">
        <v>5.2066299999999996</v>
      </c>
      <c r="J849" s="333">
        <v>-17.04195</v>
      </c>
      <c r="K849" s="333">
        <v>-16.197206000000001</v>
      </c>
      <c r="L849" s="333">
        <v>1258.5</v>
      </c>
      <c r="M849" s="333">
        <v>153.00003100000001</v>
      </c>
      <c r="N849" s="333">
        <v>22666.09</v>
      </c>
      <c r="O849" s="333">
        <v>22666.090110000001</v>
      </c>
      <c r="P849" s="333">
        <v>2628</v>
      </c>
      <c r="Q849" s="332" t="s">
        <v>469</v>
      </c>
      <c r="R849" s="332"/>
      <c r="S849" s="333">
        <v>15</v>
      </c>
      <c r="T849" s="333">
        <v>5</v>
      </c>
      <c r="U849" s="333">
        <v>0.7</v>
      </c>
      <c r="V849" s="333">
        <v>0.7</v>
      </c>
      <c r="W849" s="333">
        <v>0.7</v>
      </c>
      <c r="X849" s="333">
        <v>1700</v>
      </c>
      <c r="Y849" s="332" t="s">
        <v>470</v>
      </c>
      <c r="Z849" s="333">
        <v>0.85</v>
      </c>
      <c r="AA849" s="332" t="s">
        <v>471</v>
      </c>
      <c r="AB849" s="332" t="s">
        <v>472</v>
      </c>
      <c r="AC849" s="335">
        <v>177</v>
      </c>
    </row>
    <row r="850" spans="1:29">
      <c r="A850" s="326" t="s">
        <v>636</v>
      </c>
      <c r="B850" s="327" t="s">
        <v>467</v>
      </c>
      <c r="C850" s="332" t="s">
        <v>437</v>
      </c>
      <c r="D850" s="327" t="s">
        <v>468</v>
      </c>
      <c r="E850" s="328">
        <v>1.5</v>
      </c>
      <c r="F850" s="329">
        <v>45236.780555555553</v>
      </c>
      <c r="G850" s="328">
        <v>1</v>
      </c>
      <c r="H850" s="328">
        <v>51.370800000000003</v>
      </c>
      <c r="I850" s="328">
        <v>4.9070099999999996</v>
      </c>
      <c r="J850" s="328">
        <v>-17.08775</v>
      </c>
      <c r="K850" s="328">
        <v>-16.238363</v>
      </c>
      <c r="L850" s="328">
        <v>1098.56</v>
      </c>
      <c r="M850" s="328">
        <v>146.998378</v>
      </c>
      <c r="N850" s="328">
        <v>18291.900000000001</v>
      </c>
      <c r="O850" s="328">
        <v>18291.89921</v>
      </c>
      <c r="P850" s="328">
        <v>2119.5650000000001</v>
      </c>
      <c r="Q850" s="327" t="s">
        <v>469</v>
      </c>
      <c r="R850" s="327"/>
      <c r="S850" s="328">
        <v>15</v>
      </c>
      <c r="T850" s="328">
        <v>5</v>
      </c>
      <c r="U850" s="328">
        <v>0.7</v>
      </c>
      <c r="V850" s="328">
        <v>0.7</v>
      </c>
      <c r="W850" s="328">
        <v>0.7</v>
      </c>
      <c r="X850" s="328">
        <v>1700</v>
      </c>
      <c r="Y850" s="327" t="s">
        <v>470</v>
      </c>
      <c r="Z850" s="328">
        <v>0.85</v>
      </c>
      <c r="AA850" s="327" t="s">
        <v>471</v>
      </c>
      <c r="AB850" s="327" t="s">
        <v>472</v>
      </c>
      <c r="AC850" s="330">
        <v>177</v>
      </c>
    </row>
    <row r="851" spans="1:29">
      <c r="A851" s="331" t="s">
        <v>639</v>
      </c>
      <c r="B851" s="332" t="s">
        <v>467</v>
      </c>
      <c r="C851" s="332" t="s">
        <v>437</v>
      </c>
      <c r="D851" s="332" t="s">
        <v>468</v>
      </c>
      <c r="E851" s="333">
        <v>1.5</v>
      </c>
      <c r="F851" s="334">
        <v>45236.78402777778</v>
      </c>
      <c r="G851" s="333">
        <v>1</v>
      </c>
      <c r="H851" s="333">
        <v>51.374099999999999</v>
      </c>
      <c r="I851" s="333">
        <v>5.1700400000000002</v>
      </c>
      <c r="J851" s="333">
        <v>-17.075099999999999</v>
      </c>
      <c r="K851" s="333">
        <v>-16.239536999999999</v>
      </c>
      <c r="L851" s="333">
        <v>1215.75</v>
      </c>
      <c r="M851" s="333">
        <v>146.498774</v>
      </c>
      <c r="N851" s="333">
        <v>22270.93</v>
      </c>
      <c r="O851" s="333">
        <v>22270.934840000002</v>
      </c>
      <c r="P851" s="333">
        <v>2582.069</v>
      </c>
      <c r="Q851" s="332" t="s">
        <v>469</v>
      </c>
      <c r="R851" s="332"/>
      <c r="S851" s="333">
        <v>15</v>
      </c>
      <c r="T851" s="333">
        <v>5</v>
      </c>
      <c r="U851" s="333">
        <v>0.7</v>
      </c>
      <c r="V851" s="333">
        <v>0.7</v>
      </c>
      <c r="W851" s="333">
        <v>0.7</v>
      </c>
      <c r="X851" s="333">
        <v>1700</v>
      </c>
      <c r="Y851" s="332" t="s">
        <v>470</v>
      </c>
      <c r="Z851" s="333">
        <v>0.85</v>
      </c>
      <c r="AA851" s="332" t="s">
        <v>471</v>
      </c>
      <c r="AB851" s="332" t="s">
        <v>472</v>
      </c>
      <c r="AC851" s="335">
        <v>181</v>
      </c>
    </row>
    <row r="852" spans="1:29">
      <c r="A852" s="326" t="s">
        <v>649</v>
      </c>
      <c r="B852" s="327" t="s">
        <v>467</v>
      </c>
      <c r="C852" s="332" t="s">
        <v>437</v>
      </c>
      <c r="D852" s="327" t="s">
        <v>468</v>
      </c>
      <c r="E852" s="328">
        <v>1.5</v>
      </c>
      <c r="F852" s="329">
        <v>45236.788194444445</v>
      </c>
      <c r="G852" s="328">
        <v>1</v>
      </c>
      <c r="H852" s="328">
        <v>51.3675</v>
      </c>
      <c r="I852" s="328">
        <v>5.2250300000000003</v>
      </c>
      <c r="J852" s="328">
        <v>-17.081012000000001</v>
      </c>
      <c r="K852" s="328">
        <v>-16.247980999999999</v>
      </c>
      <c r="L852" s="328">
        <v>1233.4100000000001</v>
      </c>
      <c r="M852" s="328">
        <v>164.00056900000001</v>
      </c>
      <c r="N852" s="328">
        <v>22349.91</v>
      </c>
      <c r="O852" s="328">
        <v>22349.909820000001</v>
      </c>
      <c r="P852" s="328">
        <v>2591.2489999999998</v>
      </c>
      <c r="Q852" s="327" t="s">
        <v>469</v>
      </c>
      <c r="R852" s="327"/>
      <c r="S852" s="328">
        <v>15</v>
      </c>
      <c r="T852" s="328">
        <v>5</v>
      </c>
      <c r="U852" s="328">
        <v>0.7</v>
      </c>
      <c r="V852" s="328">
        <v>0.7</v>
      </c>
      <c r="W852" s="328">
        <v>0.7</v>
      </c>
      <c r="X852" s="328">
        <v>1700</v>
      </c>
      <c r="Y852" s="327" t="s">
        <v>470</v>
      </c>
      <c r="Z852" s="328">
        <v>0.85</v>
      </c>
      <c r="AA852" s="327" t="s">
        <v>471</v>
      </c>
      <c r="AB852" s="327" t="s">
        <v>472</v>
      </c>
      <c r="AC852" s="330">
        <v>183</v>
      </c>
    </row>
    <row r="853" spans="1:29">
      <c r="A853" s="331" t="s">
        <v>652</v>
      </c>
      <c r="B853" s="332" t="s">
        <v>467</v>
      </c>
      <c r="C853" s="332" t="s">
        <v>437</v>
      </c>
      <c r="D853" s="332" t="s">
        <v>468</v>
      </c>
      <c r="E853" s="333">
        <v>1.5</v>
      </c>
      <c r="F853" s="334">
        <v>45236.791666666664</v>
      </c>
      <c r="G853" s="333">
        <v>1</v>
      </c>
      <c r="H853" s="333">
        <v>51.3675</v>
      </c>
      <c r="I853" s="333">
        <v>5.2028699999999999</v>
      </c>
      <c r="J853" s="333">
        <v>-17.061955999999999</v>
      </c>
      <c r="K853" s="333">
        <v>-16.224612</v>
      </c>
      <c r="L853" s="333">
        <v>1187.51</v>
      </c>
      <c r="M853" s="333">
        <v>142.50209100000001</v>
      </c>
      <c r="N853" s="333">
        <v>21361.64</v>
      </c>
      <c r="O853" s="333">
        <v>21361.640660000001</v>
      </c>
      <c r="P853" s="333">
        <v>2476.377</v>
      </c>
      <c r="Q853" s="332" t="s">
        <v>469</v>
      </c>
      <c r="R853" s="332"/>
      <c r="S853" s="333">
        <v>15</v>
      </c>
      <c r="T853" s="333">
        <v>5</v>
      </c>
      <c r="U853" s="333">
        <v>0.7</v>
      </c>
      <c r="V853" s="333">
        <v>0.7</v>
      </c>
      <c r="W853" s="333">
        <v>0.7</v>
      </c>
      <c r="X853" s="333">
        <v>1700</v>
      </c>
      <c r="Y853" s="332" t="s">
        <v>470</v>
      </c>
      <c r="Z853" s="333">
        <v>0.85</v>
      </c>
      <c r="AA853" s="332" t="s">
        <v>471</v>
      </c>
      <c r="AB853" s="332" t="s">
        <v>472</v>
      </c>
      <c r="AC853" s="335">
        <v>187</v>
      </c>
    </row>
    <row r="854" spans="1:29">
      <c r="A854" s="326" t="s">
        <v>656</v>
      </c>
      <c r="B854" s="327" t="s">
        <v>467</v>
      </c>
      <c r="C854" s="332" t="s">
        <v>437</v>
      </c>
      <c r="D854" s="327" t="s">
        <v>468</v>
      </c>
      <c r="E854" s="328">
        <v>1.5</v>
      </c>
      <c r="F854" s="341"/>
      <c r="G854" s="328">
        <v>1</v>
      </c>
      <c r="H854" s="328">
        <v>0</v>
      </c>
      <c r="I854" s="328">
        <v>0</v>
      </c>
      <c r="J854" s="328">
        <v>0</v>
      </c>
      <c r="K854" s="328">
        <v>0</v>
      </c>
      <c r="L854" s="328">
        <v>0</v>
      </c>
      <c r="M854" s="328">
        <v>0</v>
      </c>
      <c r="N854" s="328">
        <v>0</v>
      </c>
      <c r="O854" s="328">
        <v>0</v>
      </c>
      <c r="P854" s="328">
        <v>0</v>
      </c>
      <c r="Q854" s="327" t="s">
        <v>503</v>
      </c>
      <c r="R854" s="327"/>
      <c r="S854" s="328">
        <v>15</v>
      </c>
      <c r="T854" s="328">
        <v>5</v>
      </c>
      <c r="U854" s="328">
        <v>0.7</v>
      </c>
      <c r="V854" s="328">
        <v>0.7</v>
      </c>
      <c r="W854" s="328">
        <v>0.7</v>
      </c>
      <c r="X854" s="328">
        <v>1700</v>
      </c>
      <c r="Y854" s="327"/>
      <c r="Z854" s="327"/>
      <c r="AA854" s="327" t="s">
        <v>471</v>
      </c>
      <c r="AB854" s="327" t="s">
        <v>472</v>
      </c>
      <c r="AC854" s="330">
        <v>50</v>
      </c>
    </row>
    <row r="855" spans="1:29">
      <c r="A855" s="331" t="s">
        <v>657</v>
      </c>
      <c r="B855" s="332" t="s">
        <v>467</v>
      </c>
      <c r="C855" s="332" t="s">
        <v>437</v>
      </c>
      <c r="D855" s="332" t="s">
        <v>468</v>
      </c>
      <c r="E855" s="333">
        <v>1.5</v>
      </c>
      <c r="F855" s="334">
        <v>45236.823611111111</v>
      </c>
      <c r="G855" s="333">
        <v>1</v>
      </c>
      <c r="H855" s="333">
        <v>51.370800000000003</v>
      </c>
      <c r="I855" s="333">
        <v>6.4623999999999997</v>
      </c>
      <c r="J855" s="333">
        <v>-17.428619000000001</v>
      </c>
      <c r="K855" s="333">
        <v>-16.590125</v>
      </c>
      <c r="L855" s="333">
        <v>993.43</v>
      </c>
      <c r="M855" s="333">
        <v>133.99922100000001</v>
      </c>
      <c r="N855" s="333">
        <v>17868.89</v>
      </c>
      <c r="O855" s="333">
        <v>17868.893970000001</v>
      </c>
      <c r="P855" s="333">
        <v>2070.3969999999999</v>
      </c>
      <c r="Q855" s="332" t="s">
        <v>469</v>
      </c>
      <c r="R855" s="332"/>
      <c r="S855" s="333">
        <v>15</v>
      </c>
      <c r="T855" s="333">
        <v>5</v>
      </c>
      <c r="U855" s="333">
        <v>0.7</v>
      </c>
      <c r="V855" s="333">
        <v>0.7</v>
      </c>
      <c r="W855" s="333">
        <v>0.7</v>
      </c>
      <c r="X855" s="333">
        <v>1700</v>
      </c>
      <c r="Y855" s="332" t="s">
        <v>470</v>
      </c>
      <c r="Z855" s="333">
        <v>0.85</v>
      </c>
      <c r="AA855" s="332" t="s">
        <v>471</v>
      </c>
      <c r="AB855" s="332" t="s">
        <v>472</v>
      </c>
      <c r="AC855" s="335">
        <v>220</v>
      </c>
    </row>
    <row r="856" spans="1:29">
      <c r="A856" s="326" t="s">
        <v>659</v>
      </c>
      <c r="B856" s="327" t="s">
        <v>467</v>
      </c>
      <c r="C856" s="332" t="s">
        <v>437</v>
      </c>
      <c r="D856" s="327" t="s">
        <v>468</v>
      </c>
      <c r="E856" s="328">
        <v>1.5</v>
      </c>
      <c r="F856" s="329">
        <v>45236.82708333333</v>
      </c>
      <c r="G856" s="328">
        <v>1</v>
      </c>
      <c r="H856" s="328">
        <v>51.3675</v>
      </c>
      <c r="I856" s="328">
        <v>7.0628000000000002</v>
      </c>
      <c r="J856" s="328">
        <v>-17.246231000000002</v>
      </c>
      <c r="K856" s="328">
        <v>-16.436800000000002</v>
      </c>
      <c r="L856" s="328">
        <v>995.74599999999998</v>
      </c>
      <c r="M856" s="328">
        <v>126.999532</v>
      </c>
      <c r="N856" s="328">
        <v>17872.84</v>
      </c>
      <c r="O856" s="328">
        <v>17872.839540000001</v>
      </c>
      <c r="P856" s="328">
        <v>2070.8560000000002</v>
      </c>
      <c r="Q856" s="327" t="s">
        <v>469</v>
      </c>
      <c r="R856" s="327"/>
      <c r="S856" s="328">
        <v>15</v>
      </c>
      <c r="T856" s="328">
        <v>5</v>
      </c>
      <c r="U856" s="328">
        <v>0.7</v>
      </c>
      <c r="V856" s="328">
        <v>0.7</v>
      </c>
      <c r="W856" s="328">
        <v>0.7</v>
      </c>
      <c r="X856" s="328">
        <v>1700</v>
      </c>
      <c r="Y856" s="327" t="s">
        <v>470</v>
      </c>
      <c r="Z856" s="328">
        <v>0.85</v>
      </c>
      <c r="AA856" s="327" t="s">
        <v>471</v>
      </c>
      <c r="AB856" s="327" t="s">
        <v>472</v>
      </c>
      <c r="AC856" s="330">
        <v>220</v>
      </c>
    </row>
    <row r="857" spans="1:29">
      <c r="A857" s="331" t="s">
        <v>662</v>
      </c>
      <c r="B857" s="332" t="s">
        <v>467</v>
      </c>
      <c r="C857" s="332" t="s">
        <v>437</v>
      </c>
      <c r="D857" s="332" t="s">
        <v>468</v>
      </c>
      <c r="E857" s="333">
        <v>1.5</v>
      </c>
      <c r="F857" s="334">
        <v>45236.830555555556</v>
      </c>
      <c r="G857" s="333">
        <v>1</v>
      </c>
      <c r="H857" s="333">
        <v>51.370800000000003</v>
      </c>
      <c r="I857" s="333">
        <v>7.21678</v>
      </c>
      <c r="J857" s="333">
        <v>-17.323049999999999</v>
      </c>
      <c r="K857" s="333">
        <v>-16.493749999999999</v>
      </c>
      <c r="L857" s="333">
        <v>996.21299999999997</v>
      </c>
      <c r="M857" s="333">
        <v>122.50015399999999</v>
      </c>
      <c r="N857" s="333">
        <v>17934.810000000001</v>
      </c>
      <c r="O857" s="333">
        <v>17934.811109999999</v>
      </c>
      <c r="P857" s="333">
        <v>2078.0590000000002</v>
      </c>
      <c r="Q857" s="332" t="s">
        <v>469</v>
      </c>
      <c r="R857" s="332"/>
      <c r="S857" s="333">
        <v>15</v>
      </c>
      <c r="T857" s="333">
        <v>5</v>
      </c>
      <c r="U857" s="333">
        <v>0.7</v>
      </c>
      <c r="V857" s="333">
        <v>0.7</v>
      </c>
      <c r="W857" s="333">
        <v>0.7</v>
      </c>
      <c r="X857" s="333">
        <v>1700</v>
      </c>
      <c r="Y857" s="332" t="s">
        <v>470</v>
      </c>
      <c r="Z857" s="333">
        <v>0.85</v>
      </c>
      <c r="AA857" s="332" t="s">
        <v>471</v>
      </c>
      <c r="AB857" s="332" t="s">
        <v>472</v>
      </c>
      <c r="AC857" s="335">
        <v>220</v>
      </c>
    </row>
    <row r="858" spans="1:29">
      <c r="A858" s="326" t="s">
        <v>667</v>
      </c>
      <c r="B858" s="327" t="s">
        <v>467</v>
      </c>
      <c r="C858" s="332" t="s">
        <v>437</v>
      </c>
      <c r="D858" s="327" t="s">
        <v>468</v>
      </c>
      <c r="E858" s="328">
        <v>1.5</v>
      </c>
      <c r="F858" s="329">
        <v>45236.834027777775</v>
      </c>
      <c r="G858" s="328">
        <v>1</v>
      </c>
      <c r="H858" s="328">
        <v>51.377400000000002</v>
      </c>
      <c r="I858" s="328">
        <v>7.2980400000000003</v>
      </c>
      <c r="J858" s="328">
        <v>-17.440113</v>
      </c>
      <c r="K858" s="328">
        <v>-16.610531000000002</v>
      </c>
      <c r="L858" s="328">
        <v>1008.32</v>
      </c>
      <c r="M858" s="328">
        <v>145.50117900000001</v>
      </c>
      <c r="N858" s="328">
        <v>17920.07</v>
      </c>
      <c r="O858" s="328">
        <v>17920.0677</v>
      </c>
      <c r="P858" s="328">
        <v>2076.3449999999998</v>
      </c>
      <c r="Q858" s="327" t="s">
        <v>469</v>
      </c>
      <c r="R858" s="327"/>
      <c r="S858" s="328">
        <v>15</v>
      </c>
      <c r="T858" s="328">
        <v>5</v>
      </c>
      <c r="U858" s="328">
        <v>0.7</v>
      </c>
      <c r="V858" s="328">
        <v>0.7</v>
      </c>
      <c r="W858" s="328">
        <v>0.7</v>
      </c>
      <c r="X858" s="328">
        <v>1700</v>
      </c>
      <c r="Y858" s="327" t="s">
        <v>470</v>
      </c>
      <c r="Z858" s="328">
        <v>0.85</v>
      </c>
      <c r="AA858" s="327" t="s">
        <v>471</v>
      </c>
      <c r="AB858" s="327" t="s">
        <v>472</v>
      </c>
      <c r="AC858" s="330">
        <v>220</v>
      </c>
    </row>
    <row r="859" spans="1:29">
      <c r="A859" s="331" t="s">
        <v>671</v>
      </c>
      <c r="B859" s="332" t="s">
        <v>467</v>
      </c>
      <c r="C859" s="332" t="s">
        <v>437</v>
      </c>
      <c r="D859" s="332" t="s">
        <v>468</v>
      </c>
      <c r="E859" s="333">
        <v>1.5</v>
      </c>
      <c r="F859" s="334">
        <v>45236.838194444441</v>
      </c>
      <c r="G859" s="333">
        <v>1</v>
      </c>
      <c r="H859" s="333">
        <v>51.374099999999999</v>
      </c>
      <c r="I859" s="333">
        <v>7.3057800000000004</v>
      </c>
      <c r="J859" s="333">
        <v>-17.361156000000001</v>
      </c>
      <c r="K859" s="333">
        <v>-16.513362000000001</v>
      </c>
      <c r="L859" s="333">
        <v>1000.86</v>
      </c>
      <c r="M859" s="333">
        <v>115.49908000000001</v>
      </c>
      <c r="N859" s="333">
        <v>17917.669999999998</v>
      </c>
      <c r="O859" s="333">
        <v>17917.666440000001</v>
      </c>
      <c r="P859" s="333">
        <v>2076.0659999999998</v>
      </c>
      <c r="Q859" s="332" t="s">
        <v>469</v>
      </c>
      <c r="R859" s="332"/>
      <c r="S859" s="333">
        <v>15</v>
      </c>
      <c r="T859" s="333">
        <v>5</v>
      </c>
      <c r="U859" s="333">
        <v>0.7</v>
      </c>
      <c r="V859" s="333">
        <v>0.7</v>
      </c>
      <c r="W859" s="333">
        <v>0.7</v>
      </c>
      <c r="X859" s="333">
        <v>1700</v>
      </c>
      <c r="Y859" s="332" t="s">
        <v>470</v>
      </c>
      <c r="Z859" s="333">
        <v>0.85</v>
      </c>
      <c r="AA859" s="332" t="s">
        <v>471</v>
      </c>
      <c r="AB859" s="332" t="s">
        <v>472</v>
      </c>
      <c r="AC859" s="335">
        <v>220</v>
      </c>
    </row>
    <row r="860" spans="1:29">
      <c r="A860" s="326" t="s">
        <v>676</v>
      </c>
      <c r="B860" s="327" t="s">
        <v>467</v>
      </c>
      <c r="C860" s="332" t="s">
        <v>437</v>
      </c>
      <c r="D860" s="327" t="s">
        <v>468</v>
      </c>
      <c r="E860" s="328">
        <v>1.5</v>
      </c>
      <c r="F860" s="329">
        <v>45236.84097222222</v>
      </c>
      <c r="G860" s="328">
        <v>1</v>
      </c>
      <c r="H860" s="328">
        <v>51.377400000000002</v>
      </c>
      <c r="I860" s="328">
        <v>7.2411199999999996</v>
      </c>
      <c r="J860" s="328">
        <v>-17.439693999999999</v>
      </c>
      <c r="K860" s="328">
        <v>-16.604094</v>
      </c>
      <c r="L860" s="328">
        <v>1001.92</v>
      </c>
      <c r="M860" s="328">
        <v>113.99863000000001</v>
      </c>
      <c r="N860" s="328">
        <v>17930.310000000001</v>
      </c>
      <c r="O860" s="328">
        <v>17930.30543</v>
      </c>
      <c r="P860" s="328">
        <v>2077.5349999999999</v>
      </c>
      <c r="Q860" s="327" t="s">
        <v>469</v>
      </c>
      <c r="R860" s="327"/>
      <c r="S860" s="328">
        <v>15</v>
      </c>
      <c r="T860" s="328">
        <v>5</v>
      </c>
      <c r="U860" s="328">
        <v>0.7</v>
      </c>
      <c r="V860" s="328">
        <v>0.7</v>
      </c>
      <c r="W860" s="328">
        <v>0.7</v>
      </c>
      <c r="X860" s="328">
        <v>1700</v>
      </c>
      <c r="Y860" s="327" t="s">
        <v>470</v>
      </c>
      <c r="Z860" s="328">
        <v>0.85</v>
      </c>
      <c r="AA860" s="327" t="s">
        <v>471</v>
      </c>
      <c r="AB860" s="327" t="s">
        <v>472</v>
      </c>
      <c r="AC860" s="330">
        <v>220</v>
      </c>
    </row>
    <row r="861" spans="1:29">
      <c r="A861" s="331" t="s">
        <v>918</v>
      </c>
      <c r="B861" s="332" t="s">
        <v>478</v>
      </c>
      <c r="C861" s="332" t="s">
        <v>437</v>
      </c>
      <c r="D861" s="332" t="s">
        <v>468</v>
      </c>
      <c r="E861" s="333">
        <v>1.2</v>
      </c>
      <c r="F861" s="334">
        <v>45236.84652777778</v>
      </c>
      <c r="G861" s="333">
        <v>1</v>
      </c>
      <c r="H861" s="333">
        <v>51.3675</v>
      </c>
      <c r="I861" s="333">
        <v>7.0220599999999997</v>
      </c>
      <c r="J861" s="333">
        <v>-17.405156000000002</v>
      </c>
      <c r="K861" s="333">
        <v>-16.578737</v>
      </c>
      <c r="L861" s="333">
        <v>983.6</v>
      </c>
      <c r="M861" s="333">
        <v>97.498908999999998</v>
      </c>
      <c r="N861" s="333">
        <v>14297.8</v>
      </c>
      <c r="O861" s="333">
        <v>14306.42297</v>
      </c>
      <c r="P861" s="333">
        <v>2067.2629999999999</v>
      </c>
      <c r="Q861" s="332" t="s">
        <v>469</v>
      </c>
      <c r="R861" s="332"/>
      <c r="S861" s="333">
        <v>15</v>
      </c>
      <c r="T861" s="333">
        <v>5</v>
      </c>
      <c r="U861" s="333">
        <v>0.7</v>
      </c>
      <c r="V861" s="333">
        <v>0.7</v>
      </c>
      <c r="W861" s="333">
        <v>0.7</v>
      </c>
      <c r="X861" s="333">
        <v>1700</v>
      </c>
      <c r="Y861" s="332" t="s">
        <v>470</v>
      </c>
      <c r="Z861" s="333">
        <v>0.85</v>
      </c>
      <c r="AA861" s="332" t="s">
        <v>471</v>
      </c>
      <c r="AB861" s="332" t="s">
        <v>472</v>
      </c>
      <c r="AC861" s="335">
        <v>220</v>
      </c>
    </row>
    <row r="862" spans="1:29">
      <c r="A862" s="326" t="s">
        <v>919</v>
      </c>
      <c r="B862" s="327" t="s">
        <v>478</v>
      </c>
      <c r="C862" s="332" t="s">
        <v>437</v>
      </c>
      <c r="D862" s="327" t="s">
        <v>468</v>
      </c>
      <c r="E862" s="328">
        <v>1.2</v>
      </c>
      <c r="F862" s="329">
        <v>45236.849305555559</v>
      </c>
      <c r="G862" s="328">
        <v>1</v>
      </c>
      <c r="H862" s="328">
        <v>51.3675</v>
      </c>
      <c r="I862" s="328">
        <v>7.1001799999999999</v>
      </c>
      <c r="J862" s="328">
        <v>-17.463750000000001</v>
      </c>
      <c r="K862" s="328">
        <v>-16.622368999999999</v>
      </c>
      <c r="L862" s="328">
        <v>972.18</v>
      </c>
      <c r="M862" s="328">
        <v>109.000023</v>
      </c>
      <c r="N862" s="328">
        <v>14307.66</v>
      </c>
      <c r="O862" s="328">
        <v>14306.42297</v>
      </c>
      <c r="P862" s="328">
        <v>2067.2629999999999</v>
      </c>
      <c r="Q862" s="327" t="s">
        <v>469</v>
      </c>
      <c r="R862" s="327"/>
      <c r="S862" s="328">
        <v>15</v>
      </c>
      <c r="T862" s="328">
        <v>5</v>
      </c>
      <c r="U862" s="328">
        <v>0.7</v>
      </c>
      <c r="V862" s="328">
        <v>0.7</v>
      </c>
      <c r="W862" s="328">
        <v>0.7</v>
      </c>
      <c r="X862" s="328">
        <v>1700</v>
      </c>
      <c r="Y862" s="327" t="s">
        <v>470</v>
      </c>
      <c r="Z862" s="328">
        <v>0.85</v>
      </c>
      <c r="AA862" s="327" t="s">
        <v>471</v>
      </c>
      <c r="AB862" s="327" t="s">
        <v>472</v>
      </c>
      <c r="AC862" s="330">
        <v>220</v>
      </c>
    </row>
    <row r="863" spans="1:29">
      <c r="A863" s="331" t="s">
        <v>920</v>
      </c>
      <c r="B863" s="332" t="s">
        <v>478</v>
      </c>
      <c r="C863" s="332" t="s">
        <v>437</v>
      </c>
      <c r="D863" s="332" t="s">
        <v>468</v>
      </c>
      <c r="E863" s="333">
        <v>1.2</v>
      </c>
      <c r="F863" s="334">
        <v>45236.852777777778</v>
      </c>
      <c r="G863" s="333">
        <v>1</v>
      </c>
      <c r="H863" s="333">
        <v>51.374099999999999</v>
      </c>
      <c r="I863" s="333">
        <v>7.0818399999999997</v>
      </c>
      <c r="J863" s="333">
        <v>-17.444844</v>
      </c>
      <c r="K863" s="333">
        <v>-16.598106000000001</v>
      </c>
      <c r="L863" s="333">
        <v>980.11599999999999</v>
      </c>
      <c r="M863" s="333">
        <v>104.498552</v>
      </c>
      <c r="N863" s="333">
        <v>14313.8</v>
      </c>
      <c r="O863" s="333">
        <v>14306.42297</v>
      </c>
      <c r="P863" s="333">
        <v>2067.2629999999999</v>
      </c>
      <c r="Q863" s="332" t="s">
        <v>469</v>
      </c>
      <c r="R863" s="332"/>
      <c r="S863" s="333">
        <v>15</v>
      </c>
      <c r="T863" s="333">
        <v>5</v>
      </c>
      <c r="U863" s="333">
        <v>0.7</v>
      </c>
      <c r="V863" s="333">
        <v>0.7</v>
      </c>
      <c r="W863" s="333">
        <v>0.7</v>
      </c>
      <c r="X863" s="333">
        <v>1700</v>
      </c>
      <c r="Y863" s="332" t="s">
        <v>470</v>
      </c>
      <c r="Z863" s="333">
        <v>0.85</v>
      </c>
      <c r="AA863" s="332" t="s">
        <v>471</v>
      </c>
      <c r="AB863" s="332" t="s">
        <v>472</v>
      </c>
      <c r="AC863" s="335">
        <v>220</v>
      </c>
    </row>
    <row r="864" spans="1:29">
      <c r="A864" s="326" t="s">
        <v>921</v>
      </c>
      <c r="B864" s="327" t="s">
        <v>490</v>
      </c>
      <c r="C864" s="332" t="s">
        <v>437</v>
      </c>
      <c r="D864" s="327" t="s">
        <v>468</v>
      </c>
      <c r="E864" s="328">
        <v>1.5</v>
      </c>
      <c r="F864" s="329">
        <v>45236.856249999997</v>
      </c>
      <c r="G864" s="328">
        <v>1</v>
      </c>
      <c r="H864" s="328">
        <v>51.370800000000003</v>
      </c>
      <c r="I864" s="328">
        <v>7.14194</v>
      </c>
      <c r="J864" s="328">
        <v>-17.508293999999999</v>
      </c>
      <c r="K864" s="328">
        <v>-16.668337000000001</v>
      </c>
      <c r="L864" s="328">
        <v>1007.51</v>
      </c>
      <c r="M864" s="328">
        <v>115.998923</v>
      </c>
      <c r="N864" s="328">
        <v>17933.060000000001</v>
      </c>
      <c r="O864" s="328">
        <v>17935.068329999998</v>
      </c>
      <c r="P864" s="328">
        <v>2067.2629999999999</v>
      </c>
      <c r="Q864" s="327" t="s">
        <v>469</v>
      </c>
      <c r="R864" s="327"/>
      <c r="S864" s="328">
        <v>15</v>
      </c>
      <c r="T864" s="328">
        <v>5</v>
      </c>
      <c r="U864" s="328">
        <v>0.7</v>
      </c>
      <c r="V864" s="328">
        <v>0.7</v>
      </c>
      <c r="W864" s="328">
        <v>0.7</v>
      </c>
      <c r="X864" s="328">
        <v>1700</v>
      </c>
      <c r="Y864" s="327" t="s">
        <v>470</v>
      </c>
      <c r="Z864" s="328">
        <v>0.85</v>
      </c>
      <c r="AA864" s="327" t="s">
        <v>471</v>
      </c>
      <c r="AB864" s="327" t="s">
        <v>472</v>
      </c>
      <c r="AC864" s="330">
        <v>220</v>
      </c>
    </row>
    <row r="865" spans="1:29">
      <c r="A865" s="331" t="s">
        <v>922</v>
      </c>
      <c r="B865" s="332" t="s">
        <v>490</v>
      </c>
      <c r="C865" s="332" t="s">
        <v>437</v>
      </c>
      <c r="D865" s="332" t="s">
        <v>468</v>
      </c>
      <c r="E865" s="333">
        <v>1.5</v>
      </c>
      <c r="F865" s="334">
        <v>45236.859722222223</v>
      </c>
      <c r="G865" s="333">
        <v>1</v>
      </c>
      <c r="H865" s="333">
        <v>51.3675</v>
      </c>
      <c r="I865" s="333">
        <v>7.1588700000000003</v>
      </c>
      <c r="J865" s="333">
        <v>-17.412680999999999</v>
      </c>
      <c r="K865" s="333">
        <v>-16.572125</v>
      </c>
      <c r="L865" s="333">
        <v>1002.81</v>
      </c>
      <c r="M865" s="333">
        <v>114.00012599999999</v>
      </c>
      <c r="N865" s="333">
        <v>17932.939999999999</v>
      </c>
      <c r="O865" s="333">
        <v>17935.068329999998</v>
      </c>
      <c r="P865" s="333">
        <v>2067.2629999999999</v>
      </c>
      <c r="Q865" s="332" t="s">
        <v>469</v>
      </c>
      <c r="R865" s="332"/>
      <c r="S865" s="333">
        <v>15</v>
      </c>
      <c r="T865" s="333">
        <v>5</v>
      </c>
      <c r="U865" s="333">
        <v>0.7</v>
      </c>
      <c r="V865" s="333">
        <v>0.7</v>
      </c>
      <c r="W865" s="333">
        <v>0.7</v>
      </c>
      <c r="X865" s="333">
        <v>1700</v>
      </c>
      <c r="Y865" s="332" t="s">
        <v>470</v>
      </c>
      <c r="Z865" s="333">
        <v>0.85</v>
      </c>
      <c r="AA865" s="332" t="s">
        <v>471</v>
      </c>
      <c r="AB865" s="332" t="s">
        <v>472</v>
      </c>
      <c r="AC865" s="335">
        <v>220</v>
      </c>
    </row>
    <row r="866" spans="1:29">
      <c r="A866" s="326" t="s">
        <v>923</v>
      </c>
      <c r="B866" s="327" t="s">
        <v>490</v>
      </c>
      <c r="C866" s="332" t="s">
        <v>437</v>
      </c>
      <c r="D866" s="327" t="s">
        <v>468</v>
      </c>
      <c r="E866" s="328">
        <v>1.5</v>
      </c>
      <c r="F866" s="329">
        <v>45236.863194444442</v>
      </c>
      <c r="G866" s="328">
        <v>1</v>
      </c>
      <c r="H866" s="328">
        <v>51.370800000000003</v>
      </c>
      <c r="I866" s="328">
        <v>7.1906400000000001</v>
      </c>
      <c r="J866" s="328">
        <v>-17.415044000000002</v>
      </c>
      <c r="K866" s="328">
        <v>-16.567506000000002</v>
      </c>
      <c r="L866" s="328">
        <v>988.88</v>
      </c>
      <c r="M866" s="328">
        <v>115.49952399999999</v>
      </c>
      <c r="N866" s="328">
        <v>17939.2</v>
      </c>
      <c r="O866" s="328">
        <v>17935.068329999998</v>
      </c>
      <c r="P866" s="328">
        <v>2067.2629999999999</v>
      </c>
      <c r="Q866" s="327" t="s">
        <v>469</v>
      </c>
      <c r="R866" s="327"/>
      <c r="S866" s="328">
        <v>15</v>
      </c>
      <c r="T866" s="328">
        <v>5</v>
      </c>
      <c r="U866" s="328">
        <v>0.7</v>
      </c>
      <c r="V866" s="328">
        <v>0.7</v>
      </c>
      <c r="W866" s="328">
        <v>0.7</v>
      </c>
      <c r="X866" s="328">
        <v>1700</v>
      </c>
      <c r="Y866" s="327" t="s">
        <v>470</v>
      </c>
      <c r="Z866" s="328">
        <v>0.85</v>
      </c>
      <c r="AA866" s="327" t="s">
        <v>471</v>
      </c>
      <c r="AB866" s="327" t="s">
        <v>472</v>
      </c>
      <c r="AC866" s="330">
        <v>220</v>
      </c>
    </row>
    <row r="867" spans="1:29">
      <c r="A867" s="331" t="s">
        <v>924</v>
      </c>
      <c r="B867" s="332" t="s">
        <v>494</v>
      </c>
      <c r="C867" s="332" t="s">
        <v>437</v>
      </c>
      <c r="D867" s="332" t="s">
        <v>468</v>
      </c>
      <c r="E867" s="333">
        <v>1.8</v>
      </c>
      <c r="F867" s="334">
        <v>45236.866666666669</v>
      </c>
      <c r="G867" s="333">
        <v>1</v>
      </c>
      <c r="H867" s="333">
        <v>51.3675</v>
      </c>
      <c r="I867" s="333">
        <v>7.2237900000000002</v>
      </c>
      <c r="J867" s="333">
        <v>-17.469868999999999</v>
      </c>
      <c r="K867" s="333">
        <v>-16.621994000000001</v>
      </c>
      <c r="L867" s="333">
        <v>1010.34</v>
      </c>
      <c r="M867" s="333">
        <v>134.499842</v>
      </c>
      <c r="N867" s="333">
        <v>21515.98</v>
      </c>
      <c r="O867" s="333">
        <v>21502.864730000001</v>
      </c>
      <c r="P867" s="333">
        <v>2067.2629999999999</v>
      </c>
      <c r="Q867" s="332" t="s">
        <v>469</v>
      </c>
      <c r="R867" s="332"/>
      <c r="S867" s="333">
        <v>15</v>
      </c>
      <c r="T867" s="333">
        <v>5</v>
      </c>
      <c r="U867" s="333">
        <v>0.7</v>
      </c>
      <c r="V867" s="333">
        <v>0.7</v>
      </c>
      <c r="W867" s="333">
        <v>0.7</v>
      </c>
      <c r="X867" s="333">
        <v>1700</v>
      </c>
      <c r="Y867" s="332" t="s">
        <v>470</v>
      </c>
      <c r="Z867" s="333">
        <v>0.85</v>
      </c>
      <c r="AA867" s="332" t="s">
        <v>471</v>
      </c>
      <c r="AB867" s="332" t="s">
        <v>472</v>
      </c>
      <c r="AC867" s="335">
        <v>220</v>
      </c>
    </row>
    <row r="868" spans="1:29">
      <c r="A868" s="326" t="s">
        <v>925</v>
      </c>
      <c r="B868" s="327" t="s">
        <v>494</v>
      </c>
      <c r="C868" s="332" t="s">
        <v>437</v>
      </c>
      <c r="D868" s="327" t="s">
        <v>468</v>
      </c>
      <c r="E868" s="328">
        <v>1.8</v>
      </c>
      <c r="F868" s="329">
        <v>45236.870833333334</v>
      </c>
      <c r="G868" s="328">
        <v>1</v>
      </c>
      <c r="H868" s="328">
        <v>51.370800000000003</v>
      </c>
      <c r="I868" s="328">
        <v>7.2502199999999997</v>
      </c>
      <c r="J868" s="328">
        <v>-17.435912999999999</v>
      </c>
      <c r="K868" s="328">
        <v>-16.586061999999998</v>
      </c>
      <c r="L868" s="328">
        <v>1008.81</v>
      </c>
      <c r="M868" s="328">
        <v>131.49997200000001</v>
      </c>
      <c r="N868" s="328">
        <v>21505.46</v>
      </c>
      <c r="O868" s="328">
        <v>21502.864730000001</v>
      </c>
      <c r="P868" s="328">
        <v>2067.2629999999999</v>
      </c>
      <c r="Q868" s="327" t="s">
        <v>469</v>
      </c>
      <c r="R868" s="327"/>
      <c r="S868" s="328">
        <v>15</v>
      </c>
      <c r="T868" s="328">
        <v>5</v>
      </c>
      <c r="U868" s="328">
        <v>0.7</v>
      </c>
      <c r="V868" s="328">
        <v>0.7</v>
      </c>
      <c r="W868" s="328">
        <v>0.7</v>
      </c>
      <c r="X868" s="328">
        <v>1700</v>
      </c>
      <c r="Y868" s="327" t="s">
        <v>470</v>
      </c>
      <c r="Z868" s="328">
        <v>0.85</v>
      </c>
      <c r="AA868" s="327" t="s">
        <v>471</v>
      </c>
      <c r="AB868" s="327" t="s">
        <v>472</v>
      </c>
      <c r="AC868" s="330">
        <v>220</v>
      </c>
    </row>
    <row r="869" spans="1:29">
      <c r="A869" s="331" t="s">
        <v>926</v>
      </c>
      <c r="B869" s="332" t="s">
        <v>494</v>
      </c>
      <c r="C869" s="332" t="s">
        <v>437</v>
      </c>
      <c r="D869" s="332" t="s">
        <v>468</v>
      </c>
      <c r="E869" s="333">
        <v>1.8</v>
      </c>
      <c r="F869" s="334">
        <v>45236.874305555553</v>
      </c>
      <c r="G869" s="333">
        <v>1</v>
      </c>
      <c r="H869" s="333">
        <v>51.364100000000001</v>
      </c>
      <c r="I869" s="333">
        <v>7.3520500000000002</v>
      </c>
      <c r="J869" s="333">
        <v>-17.428881000000001</v>
      </c>
      <c r="K869" s="333">
        <v>-16.594349999999999</v>
      </c>
      <c r="L869" s="333">
        <v>1004.49</v>
      </c>
      <c r="M869" s="333">
        <v>120.501175</v>
      </c>
      <c r="N869" s="333">
        <v>21487.15</v>
      </c>
      <c r="O869" s="333">
        <v>21502.864730000001</v>
      </c>
      <c r="P869" s="333">
        <v>2067.2629999999999</v>
      </c>
      <c r="Q869" s="332" t="s">
        <v>469</v>
      </c>
      <c r="R869" s="332"/>
      <c r="S869" s="333">
        <v>15</v>
      </c>
      <c r="T869" s="333">
        <v>5</v>
      </c>
      <c r="U869" s="333">
        <v>0.7</v>
      </c>
      <c r="V869" s="333">
        <v>0.7</v>
      </c>
      <c r="W869" s="333">
        <v>0.7</v>
      </c>
      <c r="X869" s="333">
        <v>1700</v>
      </c>
      <c r="Y869" s="332" t="s">
        <v>470</v>
      </c>
      <c r="Z869" s="333">
        <v>0.85</v>
      </c>
      <c r="AA869" s="332" t="s">
        <v>471</v>
      </c>
      <c r="AB869" s="332" t="s">
        <v>472</v>
      </c>
      <c r="AC869" s="335">
        <v>220</v>
      </c>
    </row>
    <row r="870" spans="1:29">
      <c r="A870" s="336" t="s">
        <v>682</v>
      </c>
      <c r="B870" s="337">
        <v>2</v>
      </c>
      <c r="C870" s="337" t="s">
        <v>437</v>
      </c>
      <c r="D870" s="337" t="s">
        <v>468</v>
      </c>
      <c r="E870" s="338">
        <v>1.5</v>
      </c>
      <c r="F870" s="339">
        <v>45236.87777777778</v>
      </c>
      <c r="G870" s="338">
        <v>1</v>
      </c>
      <c r="H870" s="338">
        <v>51.370800000000003</v>
      </c>
      <c r="I870" s="338">
        <v>7.3470800000000001</v>
      </c>
      <c r="J870" s="338">
        <v>-17.390630999999999</v>
      </c>
      <c r="K870" s="338">
        <v>-16.567575000000001</v>
      </c>
      <c r="L870" s="338">
        <v>999.48199999999997</v>
      </c>
      <c r="M870" s="338">
        <v>129.00116299999999</v>
      </c>
      <c r="N870" s="338">
        <v>17944.349999999999</v>
      </c>
      <c r="O870" s="338">
        <v>17939.324000000001</v>
      </c>
      <c r="P870" s="338">
        <v>2067.7570000000001</v>
      </c>
      <c r="Q870" s="337" t="s">
        <v>469</v>
      </c>
      <c r="R870" s="337"/>
      <c r="S870" s="338">
        <v>15</v>
      </c>
      <c r="T870" s="338">
        <v>5</v>
      </c>
      <c r="U870" s="338">
        <v>0.7</v>
      </c>
      <c r="V870" s="338">
        <v>0.7</v>
      </c>
      <c r="W870" s="338">
        <v>0.7</v>
      </c>
      <c r="X870" s="338">
        <v>1700</v>
      </c>
      <c r="Y870" s="337" t="s">
        <v>470</v>
      </c>
      <c r="Z870" s="338">
        <v>0.85</v>
      </c>
      <c r="AA870" s="337" t="s">
        <v>471</v>
      </c>
      <c r="AB870" s="337" t="s">
        <v>472</v>
      </c>
      <c r="AC870" s="340">
        <v>220</v>
      </c>
    </row>
    <row r="871" spans="1:29">
      <c r="A871" s="331" t="s">
        <v>683</v>
      </c>
      <c r="B871" s="332">
        <v>2</v>
      </c>
      <c r="C871" s="332" t="s">
        <v>437</v>
      </c>
      <c r="D871" s="332" t="s">
        <v>468</v>
      </c>
      <c r="E871" s="333">
        <v>1.5</v>
      </c>
      <c r="F871" s="334">
        <v>45236.881249999999</v>
      </c>
      <c r="G871" s="333">
        <v>1</v>
      </c>
      <c r="H871" s="333">
        <v>51.370800000000003</v>
      </c>
      <c r="I871" s="333">
        <v>7.38009</v>
      </c>
      <c r="J871" s="333">
        <v>-17.431280999999998</v>
      </c>
      <c r="K871" s="333">
        <v>-16.609705999999999</v>
      </c>
      <c r="L871" s="333">
        <v>994.04600000000005</v>
      </c>
      <c r="M871" s="333">
        <v>176.000013</v>
      </c>
      <c r="N871" s="333">
        <v>17897.8</v>
      </c>
      <c r="O871" s="333">
        <v>17939.324000000001</v>
      </c>
      <c r="P871" s="333">
        <v>2067.7570000000001</v>
      </c>
      <c r="Q871" s="332" t="s">
        <v>542</v>
      </c>
      <c r="R871" s="332"/>
      <c r="S871" s="333">
        <v>15</v>
      </c>
      <c r="T871" s="333">
        <v>5</v>
      </c>
      <c r="U871" s="333">
        <v>0.7</v>
      </c>
      <c r="V871" s="333">
        <v>0.7</v>
      </c>
      <c r="W871" s="333">
        <v>0.7</v>
      </c>
      <c r="X871" s="333">
        <v>1700</v>
      </c>
      <c r="Y871" s="332" t="s">
        <v>470</v>
      </c>
      <c r="Z871" s="333">
        <v>0.85</v>
      </c>
      <c r="AA871" s="332" t="s">
        <v>471</v>
      </c>
      <c r="AB871" s="332" t="s">
        <v>472</v>
      </c>
      <c r="AC871" s="335">
        <v>220</v>
      </c>
    </row>
    <row r="872" spans="1:29">
      <c r="A872" s="326" t="s">
        <v>684</v>
      </c>
      <c r="B872" s="327">
        <v>2</v>
      </c>
      <c r="C872" s="332" t="s">
        <v>437</v>
      </c>
      <c r="D872" s="327" t="s">
        <v>468</v>
      </c>
      <c r="E872" s="328">
        <v>1.5</v>
      </c>
      <c r="F872" s="329">
        <v>45236.886111111111</v>
      </c>
      <c r="G872" s="328">
        <v>1</v>
      </c>
      <c r="H872" s="328">
        <v>51.370800000000003</v>
      </c>
      <c r="I872" s="328">
        <v>7.1597999999999997</v>
      </c>
      <c r="J872" s="328">
        <v>-17.609705999999999</v>
      </c>
      <c r="K872" s="328">
        <v>-16.778656000000002</v>
      </c>
      <c r="L872" s="328">
        <v>999.39400000000001</v>
      </c>
      <c r="M872" s="328">
        <v>125.999652</v>
      </c>
      <c r="N872" s="328">
        <v>17920.89</v>
      </c>
      <c r="O872" s="328">
        <v>17939.324000000001</v>
      </c>
      <c r="P872" s="328">
        <v>2067.7570000000001</v>
      </c>
      <c r="Q872" s="327" t="s">
        <v>469</v>
      </c>
      <c r="R872" s="327"/>
      <c r="S872" s="328">
        <v>15</v>
      </c>
      <c r="T872" s="328">
        <v>5</v>
      </c>
      <c r="U872" s="328">
        <v>0.7</v>
      </c>
      <c r="V872" s="328">
        <v>0.7</v>
      </c>
      <c r="W872" s="328">
        <v>0.7</v>
      </c>
      <c r="X872" s="328">
        <v>1700</v>
      </c>
      <c r="Y872" s="327" t="s">
        <v>470</v>
      </c>
      <c r="Z872" s="328">
        <v>0.85</v>
      </c>
      <c r="AA872" s="327" t="s">
        <v>471</v>
      </c>
      <c r="AB872" s="327" t="s">
        <v>472</v>
      </c>
      <c r="AC872" s="330">
        <v>220</v>
      </c>
    </row>
    <row r="873" spans="1:29">
      <c r="A873" s="331" t="s">
        <v>927</v>
      </c>
      <c r="B873" s="332">
        <v>2</v>
      </c>
      <c r="C873" s="332" t="s">
        <v>437</v>
      </c>
      <c r="D873" s="332" t="s">
        <v>468</v>
      </c>
      <c r="E873" s="333">
        <v>1.5</v>
      </c>
      <c r="F873" s="334">
        <v>45236.88958333333</v>
      </c>
      <c r="G873" s="333">
        <v>1</v>
      </c>
      <c r="H873" s="333">
        <v>51.374099999999999</v>
      </c>
      <c r="I873" s="333">
        <v>7.27928</v>
      </c>
      <c r="J873" s="333">
        <v>-17.553013</v>
      </c>
      <c r="K873" s="333">
        <v>-16.765105999999999</v>
      </c>
      <c r="L873" s="333">
        <v>993.1</v>
      </c>
      <c r="M873" s="333">
        <v>144.49994100000001</v>
      </c>
      <c r="N873" s="333">
        <v>17952.740000000002</v>
      </c>
      <c r="O873" s="333">
        <v>17939.324000000001</v>
      </c>
      <c r="P873" s="333">
        <v>2067.7570000000001</v>
      </c>
      <c r="Q873" s="332" t="s">
        <v>469</v>
      </c>
      <c r="R873" s="332"/>
      <c r="S873" s="333">
        <v>15</v>
      </c>
      <c r="T873" s="333">
        <v>5</v>
      </c>
      <c r="U873" s="333">
        <v>0.7</v>
      </c>
      <c r="V873" s="333">
        <v>0.7</v>
      </c>
      <c r="W873" s="333">
        <v>0.7</v>
      </c>
      <c r="X873" s="333">
        <v>1700</v>
      </c>
      <c r="Y873" s="332" t="s">
        <v>470</v>
      </c>
      <c r="Z873" s="333">
        <v>0.85</v>
      </c>
      <c r="AA873" s="332" t="s">
        <v>471</v>
      </c>
      <c r="AB873" s="332" t="s">
        <v>472</v>
      </c>
      <c r="AC873" s="335">
        <v>220</v>
      </c>
    </row>
    <row r="874" spans="1:29">
      <c r="A874" s="326" t="s">
        <v>685</v>
      </c>
      <c r="B874" s="327">
        <v>3</v>
      </c>
      <c r="C874" s="327">
        <v>587</v>
      </c>
      <c r="D874" s="327" t="s">
        <v>420</v>
      </c>
      <c r="E874" s="328">
        <v>1.5</v>
      </c>
      <c r="F874" s="329">
        <v>45236.893750000003</v>
      </c>
      <c r="G874" s="328">
        <v>1</v>
      </c>
      <c r="H874" s="328">
        <v>51.370800000000003</v>
      </c>
      <c r="I874" s="328">
        <v>7.1848700000000001</v>
      </c>
      <c r="J874" s="328">
        <v>-17.557531000000001</v>
      </c>
      <c r="K874" s="328">
        <v>-16.711449999999999</v>
      </c>
      <c r="L874" s="328">
        <v>985.95699999999999</v>
      </c>
      <c r="M874" s="328">
        <v>121.499312</v>
      </c>
      <c r="N874" s="328">
        <v>17819.37</v>
      </c>
      <c r="O874" s="328">
        <v>17807.026570000002</v>
      </c>
      <c r="P874" s="328">
        <v>2052.674</v>
      </c>
      <c r="Q874" s="327" t="s">
        <v>469</v>
      </c>
      <c r="R874" s="327"/>
      <c r="S874" s="328">
        <v>15</v>
      </c>
      <c r="T874" s="328">
        <v>5</v>
      </c>
      <c r="U874" s="328">
        <v>0.7</v>
      </c>
      <c r="V874" s="328">
        <v>0.7</v>
      </c>
      <c r="W874" s="328">
        <v>0.7</v>
      </c>
      <c r="X874" s="328">
        <v>1700</v>
      </c>
      <c r="Y874" s="327" t="s">
        <v>470</v>
      </c>
      <c r="Z874" s="328">
        <v>0.85</v>
      </c>
      <c r="AA874" s="327" t="s">
        <v>471</v>
      </c>
      <c r="AB874" s="327" t="s">
        <v>472</v>
      </c>
      <c r="AC874" s="330">
        <v>220</v>
      </c>
    </row>
    <row r="875" spans="1:29">
      <c r="A875" s="331" t="s">
        <v>686</v>
      </c>
      <c r="B875" s="332">
        <v>3</v>
      </c>
      <c r="C875" s="332">
        <v>587</v>
      </c>
      <c r="D875" s="332" t="s">
        <v>420</v>
      </c>
      <c r="E875" s="333">
        <v>1.5</v>
      </c>
      <c r="F875" s="334">
        <v>45236.897222222222</v>
      </c>
      <c r="G875" s="333">
        <v>1</v>
      </c>
      <c r="H875" s="333">
        <v>51.370800000000003</v>
      </c>
      <c r="I875" s="333">
        <v>7.4714700000000001</v>
      </c>
      <c r="J875" s="333">
        <v>-17.532681</v>
      </c>
      <c r="K875" s="333">
        <v>-16.692443999999998</v>
      </c>
      <c r="L875" s="333">
        <v>980.68299999999999</v>
      </c>
      <c r="M875" s="333">
        <v>145.49914200000001</v>
      </c>
      <c r="N875" s="333">
        <v>17756.169999999998</v>
      </c>
      <c r="O875" s="333">
        <v>17807.026570000002</v>
      </c>
      <c r="P875" s="333">
        <v>2052.674</v>
      </c>
      <c r="Q875" s="332" t="s">
        <v>542</v>
      </c>
      <c r="R875" s="332"/>
      <c r="S875" s="333">
        <v>15</v>
      </c>
      <c r="T875" s="333">
        <v>5</v>
      </c>
      <c r="U875" s="333">
        <v>0.7</v>
      </c>
      <c r="V875" s="333">
        <v>0.7</v>
      </c>
      <c r="W875" s="333">
        <v>0.7</v>
      </c>
      <c r="X875" s="333">
        <v>1700</v>
      </c>
      <c r="Y875" s="332" t="s">
        <v>470</v>
      </c>
      <c r="Z875" s="333">
        <v>0.85</v>
      </c>
      <c r="AA875" s="332" t="s">
        <v>471</v>
      </c>
      <c r="AB875" s="332" t="s">
        <v>472</v>
      </c>
      <c r="AC875" s="335">
        <v>220</v>
      </c>
    </row>
    <row r="876" spans="1:29">
      <c r="A876" s="326" t="s">
        <v>687</v>
      </c>
      <c r="B876" s="327">
        <v>3</v>
      </c>
      <c r="C876" s="327">
        <v>587</v>
      </c>
      <c r="D876" s="327" t="s">
        <v>420</v>
      </c>
      <c r="E876" s="328">
        <v>1.5</v>
      </c>
      <c r="F876" s="329">
        <v>45236.901388888888</v>
      </c>
      <c r="G876" s="328">
        <v>1</v>
      </c>
      <c r="H876" s="328">
        <v>51.370800000000003</v>
      </c>
      <c r="I876" s="328">
        <v>7.5351800000000004</v>
      </c>
      <c r="J876" s="328">
        <v>-17.561169</v>
      </c>
      <c r="K876" s="328">
        <v>-16.720700000000001</v>
      </c>
      <c r="L876" s="328">
        <v>994.572</v>
      </c>
      <c r="M876" s="328">
        <v>164.00209799999999</v>
      </c>
      <c r="N876" s="328">
        <v>17807.37</v>
      </c>
      <c r="O876" s="328">
        <v>17807.026570000002</v>
      </c>
      <c r="P876" s="328">
        <v>2052.674</v>
      </c>
      <c r="Q876" s="327" t="s">
        <v>469</v>
      </c>
      <c r="R876" s="327"/>
      <c r="S876" s="328">
        <v>15</v>
      </c>
      <c r="T876" s="328">
        <v>5</v>
      </c>
      <c r="U876" s="328">
        <v>0.7</v>
      </c>
      <c r="V876" s="328">
        <v>0.7</v>
      </c>
      <c r="W876" s="328">
        <v>0.7</v>
      </c>
      <c r="X876" s="328">
        <v>1700</v>
      </c>
      <c r="Y876" s="327" t="s">
        <v>470</v>
      </c>
      <c r="Z876" s="328">
        <v>0.85</v>
      </c>
      <c r="AA876" s="327" t="s">
        <v>471</v>
      </c>
      <c r="AB876" s="327" t="s">
        <v>472</v>
      </c>
      <c r="AC876" s="330">
        <v>220</v>
      </c>
    </row>
    <row r="877" spans="1:29">
      <c r="A877" s="331" t="s">
        <v>688</v>
      </c>
      <c r="B877" s="332">
        <v>3</v>
      </c>
      <c r="C877" s="332">
        <v>587</v>
      </c>
      <c r="D877" s="332" t="s">
        <v>420</v>
      </c>
      <c r="E877" s="333">
        <v>1.5</v>
      </c>
      <c r="F877" s="334">
        <v>45236.905555555553</v>
      </c>
      <c r="G877" s="333">
        <v>1</v>
      </c>
      <c r="H877" s="333">
        <v>51.374099999999999</v>
      </c>
      <c r="I877" s="333">
        <v>7.4686199999999996</v>
      </c>
      <c r="J877" s="333">
        <v>-17.587524999999999</v>
      </c>
      <c r="K877" s="333">
        <v>-16.758424999999999</v>
      </c>
      <c r="L877" s="333">
        <v>981.00599999999997</v>
      </c>
      <c r="M877" s="333">
        <v>118.501301</v>
      </c>
      <c r="N877" s="333">
        <v>17794.34</v>
      </c>
      <c r="O877" s="333">
        <v>17807.026570000002</v>
      </c>
      <c r="P877" s="333">
        <v>2052.674</v>
      </c>
      <c r="Q877" s="332" t="s">
        <v>469</v>
      </c>
      <c r="R877" s="332"/>
      <c r="S877" s="333">
        <v>15</v>
      </c>
      <c r="T877" s="333">
        <v>5</v>
      </c>
      <c r="U877" s="333">
        <v>0.7</v>
      </c>
      <c r="V877" s="333">
        <v>0.7</v>
      </c>
      <c r="W877" s="333">
        <v>0.7</v>
      </c>
      <c r="X877" s="333">
        <v>1700</v>
      </c>
      <c r="Y877" s="332" t="s">
        <v>470</v>
      </c>
      <c r="Z877" s="333">
        <v>0.85</v>
      </c>
      <c r="AA877" s="332" t="s">
        <v>471</v>
      </c>
      <c r="AB877" s="332" t="s">
        <v>472</v>
      </c>
      <c r="AC877" s="335">
        <v>220</v>
      </c>
    </row>
    <row r="878" spans="1:29">
      <c r="A878" s="326" t="s">
        <v>770</v>
      </c>
      <c r="B878" s="327">
        <v>4</v>
      </c>
      <c r="C878" s="327">
        <v>588</v>
      </c>
      <c r="D878" s="327" t="s">
        <v>421</v>
      </c>
      <c r="E878" s="328">
        <v>1.5</v>
      </c>
      <c r="F878" s="329">
        <v>45236.90902777778</v>
      </c>
      <c r="G878" s="328">
        <v>1</v>
      </c>
      <c r="H878" s="328">
        <v>51.374099999999999</v>
      </c>
      <c r="I878" s="328">
        <v>7.3567099999999996</v>
      </c>
      <c r="J878" s="328">
        <v>-17.597562</v>
      </c>
      <c r="K878" s="328">
        <v>-16.749787999999999</v>
      </c>
      <c r="L878" s="328">
        <v>1007.41</v>
      </c>
      <c r="M878" s="328">
        <v>136.001182</v>
      </c>
      <c r="N878" s="328">
        <v>17931.29</v>
      </c>
      <c r="O878" s="328">
        <v>17894.362949999999</v>
      </c>
      <c r="P878" s="328">
        <v>2062.625</v>
      </c>
      <c r="Q878" s="327" t="s">
        <v>542</v>
      </c>
      <c r="R878" s="327"/>
      <c r="S878" s="328">
        <v>15</v>
      </c>
      <c r="T878" s="328">
        <v>5</v>
      </c>
      <c r="U878" s="328">
        <v>0.7</v>
      </c>
      <c r="V878" s="328">
        <v>0.7</v>
      </c>
      <c r="W878" s="328">
        <v>0.7</v>
      </c>
      <c r="X878" s="328">
        <v>1700</v>
      </c>
      <c r="Y878" s="327" t="s">
        <v>470</v>
      </c>
      <c r="Z878" s="328">
        <v>0.85</v>
      </c>
      <c r="AA878" s="327" t="s">
        <v>471</v>
      </c>
      <c r="AB878" s="327" t="s">
        <v>472</v>
      </c>
      <c r="AC878" s="330">
        <v>220</v>
      </c>
    </row>
    <row r="879" spans="1:29">
      <c r="A879" s="331" t="s">
        <v>771</v>
      </c>
      <c r="B879" s="332">
        <v>4</v>
      </c>
      <c r="C879" s="332">
        <v>588</v>
      </c>
      <c r="D879" s="332" t="s">
        <v>421</v>
      </c>
      <c r="E879" s="333">
        <v>1.5</v>
      </c>
      <c r="F879" s="334">
        <v>45236.913194444445</v>
      </c>
      <c r="G879" s="333">
        <v>1</v>
      </c>
      <c r="H879" s="333">
        <v>51.374099999999999</v>
      </c>
      <c r="I879" s="333">
        <v>7.3135500000000002</v>
      </c>
      <c r="J879" s="333">
        <v>-17.554594000000002</v>
      </c>
      <c r="K879" s="333">
        <v>-16.725618999999998</v>
      </c>
      <c r="L879" s="333">
        <v>1001.88</v>
      </c>
      <c r="M879" s="333">
        <v>116.001149</v>
      </c>
      <c r="N879" s="333">
        <v>17894.95</v>
      </c>
      <c r="O879" s="333">
        <v>17894.362949999999</v>
      </c>
      <c r="P879" s="333">
        <v>2062.625</v>
      </c>
      <c r="Q879" s="332" t="s">
        <v>469</v>
      </c>
      <c r="R879" s="332"/>
      <c r="S879" s="333">
        <v>15</v>
      </c>
      <c r="T879" s="333">
        <v>5</v>
      </c>
      <c r="U879" s="333">
        <v>0.7</v>
      </c>
      <c r="V879" s="333">
        <v>0.7</v>
      </c>
      <c r="W879" s="333">
        <v>0.7</v>
      </c>
      <c r="X879" s="333">
        <v>1700</v>
      </c>
      <c r="Y879" s="332" t="s">
        <v>470</v>
      </c>
      <c r="Z879" s="333">
        <v>0.85</v>
      </c>
      <c r="AA879" s="332" t="s">
        <v>471</v>
      </c>
      <c r="AB879" s="332" t="s">
        <v>472</v>
      </c>
      <c r="AC879" s="335">
        <v>220</v>
      </c>
    </row>
    <row r="880" spans="1:29">
      <c r="A880" s="326" t="s">
        <v>772</v>
      </c>
      <c r="B880" s="327">
        <v>4</v>
      </c>
      <c r="C880" s="327">
        <v>588</v>
      </c>
      <c r="D880" s="327" t="s">
        <v>421</v>
      </c>
      <c r="E880" s="328">
        <v>1.5</v>
      </c>
      <c r="F880" s="329">
        <v>45236.916666666664</v>
      </c>
      <c r="G880" s="328">
        <v>1</v>
      </c>
      <c r="H880" s="328">
        <v>51.370800000000003</v>
      </c>
      <c r="I880" s="328">
        <v>7.2709400000000004</v>
      </c>
      <c r="J880" s="328">
        <v>-17.546256</v>
      </c>
      <c r="K880" s="328">
        <v>-16.716194000000002</v>
      </c>
      <c r="L880" s="328">
        <v>987.875</v>
      </c>
      <c r="M880" s="328">
        <v>117.999343</v>
      </c>
      <c r="N880" s="328">
        <v>17889.259999999998</v>
      </c>
      <c r="O880" s="328">
        <v>17894.362949999999</v>
      </c>
      <c r="P880" s="328">
        <v>2062.625</v>
      </c>
      <c r="Q880" s="327" t="s">
        <v>469</v>
      </c>
      <c r="R880" s="327"/>
      <c r="S880" s="328">
        <v>15</v>
      </c>
      <c r="T880" s="328">
        <v>5</v>
      </c>
      <c r="U880" s="328">
        <v>0.7</v>
      </c>
      <c r="V880" s="328">
        <v>0.7</v>
      </c>
      <c r="W880" s="328">
        <v>0.7</v>
      </c>
      <c r="X880" s="328">
        <v>1700</v>
      </c>
      <c r="Y880" s="327" t="s">
        <v>470</v>
      </c>
      <c r="Z880" s="328">
        <v>0.85</v>
      </c>
      <c r="AA880" s="327" t="s">
        <v>471</v>
      </c>
      <c r="AB880" s="327" t="s">
        <v>472</v>
      </c>
      <c r="AC880" s="330">
        <v>220</v>
      </c>
    </row>
    <row r="881" spans="1:29">
      <c r="A881" s="331" t="s">
        <v>928</v>
      </c>
      <c r="B881" s="332">
        <v>4</v>
      </c>
      <c r="C881" s="332">
        <v>588</v>
      </c>
      <c r="D881" s="332" t="s">
        <v>421</v>
      </c>
      <c r="E881" s="333">
        <v>1.5</v>
      </c>
      <c r="F881" s="334">
        <v>45236.920138888891</v>
      </c>
      <c r="G881" s="333">
        <v>1</v>
      </c>
      <c r="H881" s="333">
        <v>51.370800000000003</v>
      </c>
      <c r="I881" s="333">
        <v>7.3137400000000001</v>
      </c>
      <c r="J881" s="333">
        <v>-17.490169000000002</v>
      </c>
      <c r="K881" s="333">
        <v>-16.650237000000001</v>
      </c>
      <c r="L881" s="333">
        <v>1006.97</v>
      </c>
      <c r="M881" s="333">
        <v>121.00103900000001</v>
      </c>
      <c r="N881" s="333">
        <v>17858.509999999998</v>
      </c>
      <c r="O881" s="333">
        <v>17894.362949999999</v>
      </c>
      <c r="P881" s="333">
        <v>2062.625</v>
      </c>
      <c r="Q881" s="332" t="s">
        <v>542</v>
      </c>
      <c r="R881" s="332"/>
      <c r="S881" s="333">
        <v>15</v>
      </c>
      <c r="T881" s="333">
        <v>5</v>
      </c>
      <c r="U881" s="333">
        <v>0.7</v>
      </c>
      <c r="V881" s="333">
        <v>0.7</v>
      </c>
      <c r="W881" s="333">
        <v>0.7</v>
      </c>
      <c r="X881" s="333">
        <v>1700</v>
      </c>
      <c r="Y881" s="332" t="s">
        <v>470</v>
      </c>
      <c r="Z881" s="333">
        <v>0.85</v>
      </c>
      <c r="AA881" s="332" t="s">
        <v>471</v>
      </c>
      <c r="AB881" s="332" t="s">
        <v>472</v>
      </c>
      <c r="AC881" s="335">
        <v>220</v>
      </c>
    </row>
    <row r="882" spans="1:29">
      <c r="A882" s="326" t="s">
        <v>929</v>
      </c>
      <c r="B882" s="327">
        <v>4</v>
      </c>
      <c r="C882" s="327">
        <v>588</v>
      </c>
      <c r="D882" s="327" t="s">
        <v>421</v>
      </c>
      <c r="E882" s="328">
        <v>1.5</v>
      </c>
      <c r="F882" s="329">
        <v>45236.923611111109</v>
      </c>
      <c r="G882" s="328">
        <v>1</v>
      </c>
      <c r="H882" s="328">
        <v>51.370800000000003</v>
      </c>
      <c r="I882" s="328">
        <v>7.46861</v>
      </c>
      <c r="J882" s="328">
        <v>-17.616793999999999</v>
      </c>
      <c r="K882" s="328">
        <v>-16.786169000000001</v>
      </c>
      <c r="L882" s="328">
        <v>991.08900000000006</v>
      </c>
      <c r="M882" s="328">
        <v>156.00028800000001</v>
      </c>
      <c r="N882" s="328">
        <v>17898.88</v>
      </c>
      <c r="O882" s="328">
        <v>17894.362949999999</v>
      </c>
      <c r="P882" s="328">
        <v>2062.625</v>
      </c>
      <c r="Q882" s="327" t="s">
        <v>469</v>
      </c>
      <c r="R882" s="327"/>
      <c r="S882" s="328">
        <v>15</v>
      </c>
      <c r="T882" s="328">
        <v>5</v>
      </c>
      <c r="U882" s="328">
        <v>0.7</v>
      </c>
      <c r="V882" s="328">
        <v>0.7</v>
      </c>
      <c r="W882" s="328">
        <v>0.7</v>
      </c>
      <c r="X882" s="328">
        <v>1700</v>
      </c>
      <c r="Y882" s="327" t="s">
        <v>470</v>
      </c>
      <c r="Z882" s="328">
        <v>0.85</v>
      </c>
      <c r="AA882" s="327" t="s">
        <v>471</v>
      </c>
      <c r="AB882" s="327" t="s">
        <v>472</v>
      </c>
      <c r="AC882" s="330">
        <v>220</v>
      </c>
    </row>
    <row r="883" spans="1:29">
      <c r="A883" s="331" t="s">
        <v>773</v>
      </c>
      <c r="B883" s="332">
        <v>5</v>
      </c>
      <c r="C883" s="332">
        <v>609</v>
      </c>
      <c r="D883" s="332" t="s">
        <v>422</v>
      </c>
      <c r="E883" s="333">
        <v>1.5</v>
      </c>
      <c r="F883" s="334">
        <v>45236.928472222222</v>
      </c>
      <c r="G883" s="333">
        <v>1</v>
      </c>
      <c r="H883" s="333">
        <v>51.364100000000001</v>
      </c>
      <c r="I883" s="333">
        <v>7.1661299999999999</v>
      </c>
      <c r="J883" s="333">
        <v>-17.654256</v>
      </c>
      <c r="K883" s="333">
        <v>-16.817287</v>
      </c>
      <c r="L883" s="333">
        <v>1000.86</v>
      </c>
      <c r="M883" s="333">
        <v>124.99988</v>
      </c>
      <c r="N883" s="333">
        <v>17874.91</v>
      </c>
      <c r="O883" s="333">
        <v>17826.127110000001</v>
      </c>
      <c r="P883" s="333">
        <v>2054.8510000000001</v>
      </c>
      <c r="Q883" s="332" t="s">
        <v>542</v>
      </c>
      <c r="R883" s="332"/>
      <c r="S883" s="333">
        <v>15</v>
      </c>
      <c r="T883" s="333">
        <v>5</v>
      </c>
      <c r="U883" s="333">
        <v>0.7</v>
      </c>
      <c r="V883" s="333">
        <v>0.7</v>
      </c>
      <c r="W883" s="333">
        <v>0.7</v>
      </c>
      <c r="X883" s="333">
        <v>1700</v>
      </c>
      <c r="Y883" s="332" t="s">
        <v>470</v>
      </c>
      <c r="Z883" s="333">
        <v>0.85</v>
      </c>
      <c r="AA883" s="332" t="s">
        <v>471</v>
      </c>
      <c r="AB883" s="332" t="s">
        <v>472</v>
      </c>
      <c r="AC883" s="335">
        <v>220</v>
      </c>
    </row>
    <row r="884" spans="1:29">
      <c r="A884" s="326" t="s">
        <v>774</v>
      </c>
      <c r="B884" s="327">
        <v>5</v>
      </c>
      <c r="C884" s="327">
        <v>609</v>
      </c>
      <c r="D884" s="327" t="s">
        <v>422</v>
      </c>
      <c r="E884" s="328">
        <v>1.5</v>
      </c>
      <c r="F884" s="329">
        <v>45236.931944444441</v>
      </c>
      <c r="G884" s="328">
        <v>1</v>
      </c>
      <c r="H884" s="328">
        <v>51.374099999999999</v>
      </c>
      <c r="I884" s="328">
        <v>7.3725100000000001</v>
      </c>
      <c r="J884" s="328">
        <v>-17.598337000000001</v>
      </c>
      <c r="K884" s="328">
        <v>-16.765131</v>
      </c>
      <c r="L884" s="328">
        <v>1002.92</v>
      </c>
      <c r="M884" s="328">
        <v>137.00015200000001</v>
      </c>
      <c r="N884" s="328">
        <v>17820.09</v>
      </c>
      <c r="O884" s="328">
        <v>17826.127110000001</v>
      </c>
      <c r="P884" s="328">
        <v>2054.8510000000001</v>
      </c>
      <c r="Q884" s="327" t="s">
        <v>469</v>
      </c>
      <c r="R884" s="327"/>
      <c r="S884" s="328">
        <v>15</v>
      </c>
      <c r="T884" s="328">
        <v>5</v>
      </c>
      <c r="U884" s="328">
        <v>0.7</v>
      </c>
      <c r="V884" s="328">
        <v>0.7</v>
      </c>
      <c r="W884" s="328">
        <v>0.7</v>
      </c>
      <c r="X884" s="328">
        <v>1700</v>
      </c>
      <c r="Y884" s="327" t="s">
        <v>470</v>
      </c>
      <c r="Z884" s="328">
        <v>0.85</v>
      </c>
      <c r="AA884" s="327" t="s">
        <v>471</v>
      </c>
      <c r="AB884" s="327" t="s">
        <v>472</v>
      </c>
      <c r="AC884" s="330">
        <v>220</v>
      </c>
    </row>
    <row r="885" spans="1:29">
      <c r="A885" s="331" t="s">
        <v>775</v>
      </c>
      <c r="B885" s="332">
        <v>5</v>
      </c>
      <c r="C885" s="332">
        <v>609</v>
      </c>
      <c r="D885" s="332" t="s">
        <v>422</v>
      </c>
      <c r="E885" s="333">
        <v>1.5</v>
      </c>
      <c r="F885" s="334">
        <v>45236.935416666667</v>
      </c>
      <c r="G885" s="333">
        <v>1</v>
      </c>
      <c r="H885" s="333">
        <v>51.374099999999999</v>
      </c>
      <c r="I885" s="333">
        <v>7.3375000000000004</v>
      </c>
      <c r="J885" s="333">
        <v>-17.600549999999998</v>
      </c>
      <c r="K885" s="333">
        <v>-16.756094000000001</v>
      </c>
      <c r="L885" s="333">
        <v>1000.59</v>
      </c>
      <c r="M885" s="333">
        <v>129.49994799999999</v>
      </c>
      <c r="N885" s="333">
        <v>17823.18</v>
      </c>
      <c r="O885" s="333">
        <v>17826.127110000001</v>
      </c>
      <c r="P885" s="333">
        <v>2054.8510000000001</v>
      </c>
      <c r="Q885" s="332" t="s">
        <v>469</v>
      </c>
      <c r="R885" s="332"/>
      <c r="S885" s="333">
        <v>15</v>
      </c>
      <c r="T885" s="333">
        <v>5</v>
      </c>
      <c r="U885" s="333">
        <v>0.7</v>
      </c>
      <c r="V885" s="333">
        <v>0.7</v>
      </c>
      <c r="W885" s="333">
        <v>0.7</v>
      </c>
      <c r="X885" s="333">
        <v>1700</v>
      </c>
      <c r="Y885" s="332" t="s">
        <v>470</v>
      </c>
      <c r="Z885" s="333">
        <v>0.85</v>
      </c>
      <c r="AA885" s="332" t="s">
        <v>471</v>
      </c>
      <c r="AB885" s="332" t="s">
        <v>472</v>
      </c>
      <c r="AC885" s="335">
        <v>220</v>
      </c>
    </row>
    <row r="886" spans="1:29">
      <c r="A886" s="326" t="s">
        <v>930</v>
      </c>
      <c r="B886" s="327">
        <v>5</v>
      </c>
      <c r="C886" s="327">
        <v>609</v>
      </c>
      <c r="D886" s="327" t="s">
        <v>422</v>
      </c>
      <c r="E886" s="328">
        <v>1.5</v>
      </c>
      <c r="F886" s="329">
        <v>45236.938888888886</v>
      </c>
      <c r="G886" s="328">
        <v>1</v>
      </c>
      <c r="H886" s="328">
        <v>51.374099999999999</v>
      </c>
      <c r="I886" s="328">
        <v>7.3534699999999997</v>
      </c>
      <c r="J886" s="328">
        <v>-17.631550000000001</v>
      </c>
      <c r="K886" s="328">
        <v>-16.782250000000001</v>
      </c>
      <c r="L886" s="328">
        <v>991.86500000000001</v>
      </c>
      <c r="M886" s="328">
        <v>151.50094100000001</v>
      </c>
      <c r="N886" s="328">
        <v>17835.11</v>
      </c>
      <c r="O886" s="328">
        <v>17826.127110000001</v>
      </c>
      <c r="P886" s="328">
        <v>2054.8510000000001</v>
      </c>
      <c r="Q886" s="327" t="s">
        <v>469</v>
      </c>
      <c r="R886" s="327"/>
      <c r="S886" s="328">
        <v>15</v>
      </c>
      <c r="T886" s="328">
        <v>5</v>
      </c>
      <c r="U886" s="328">
        <v>0.7</v>
      </c>
      <c r="V886" s="328">
        <v>0.7</v>
      </c>
      <c r="W886" s="328">
        <v>0.7</v>
      </c>
      <c r="X886" s="328">
        <v>1700</v>
      </c>
      <c r="Y886" s="327" t="s">
        <v>470</v>
      </c>
      <c r="Z886" s="328">
        <v>0.85</v>
      </c>
      <c r="AA886" s="327" t="s">
        <v>471</v>
      </c>
      <c r="AB886" s="327" t="s">
        <v>472</v>
      </c>
      <c r="AC886" s="330">
        <v>220</v>
      </c>
    </row>
    <row r="887" spans="1:29">
      <c r="A887" s="331" t="s">
        <v>776</v>
      </c>
      <c r="B887" s="332">
        <v>6</v>
      </c>
      <c r="C887" s="332">
        <v>477</v>
      </c>
      <c r="D887" s="332" t="s">
        <v>423</v>
      </c>
      <c r="E887" s="333">
        <v>1.5</v>
      </c>
      <c r="F887" s="334">
        <v>45236.943749999999</v>
      </c>
      <c r="G887" s="333">
        <v>1</v>
      </c>
      <c r="H887" s="333">
        <v>51.370800000000003</v>
      </c>
      <c r="I887" s="333">
        <v>7.04216</v>
      </c>
      <c r="J887" s="333">
        <v>-17.658018999999999</v>
      </c>
      <c r="K887" s="333">
        <v>-16.812256000000001</v>
      </c>
      <c r="L887" s="333">
        <v>991.12099999999998</v>
      </c>
      <c r="M887" s="333">
        <v>126.00154499999999</v>
      </c>
      <c r="N887" s="333">
        <v>17811.009999999998</v>
      </c>
      <c r="O887" s="333">
        <v>17826.022840000001</v>
      </c>
      <c r="P887" s="333">
        <v>2054.8389999999999</v>
      </c>
      <c r="Q887" s="332" t="s">
        <v>469</v>
      </c>
      <c r="R887" s="332"/>
      <c r="S887" s="333">
        <v>15</v>
      </c>
      <c r="T887" s="333">
        <v>5</v>
      </c>
      <c r="U887" s="333">
        <v>0.7</v>
      </c>
      <c r="V887" s="333">
        <v>0.7</v>
      </c>
      <c r="W887" s="333">
        <v>0.7</v>
      </c>
      <c r="X887" s="333">
        <v>1700</v>
      </c>
      <c r="Y887" s="332" t="s">
        <v>470</v>
      </c>
      <c r="Z887" s="333">
        <v>0.85</v>
      </c>
      <c r="AA887" s="332" t="s">
        <v>471</v>
      </c>
      <c r="AB887" s="332" t="s">
        <v>472</v>
      </c>
      <c r="AC887" s="335">
        <v>220</v>
      </c>
    </row>
    <row r="888" spans="1:29">
      <c r="A888" s="326" t="s">
        <v>777</v>
      </c>
      <c r="B888" s="327">
        <v>6</v>
      </c>
      <c r="C888" s="327">
        <v>477</v>
      </c>
      <c r="D888" s="327" t="s">
        <v>423</v>
      </c>
      <c r="E888" s="328">
        <v>1.5</v>
      </c>
      <c r="F888" s="329">
        <v>45236.947222222225</v>
      </c>
      <c r="G888" s="328">
        <v>1</v>
      </c>
      <c r="H888" s="328">
        <v>51.370800000000003</v>
      </c>
      <c r="I888" s="328">
        <v>7.2390499999999998</v>
      </c>
      <c r="J888" s="328">
        <v>-17.603618999999998</v>
      </c>
      <c r="K888" s="328">
        <v>-16.754943999999998</v>
      </c>
      <c r="L888" s="328">
        <v>986.81500000000005</v>
      </c>
      <c r="M888" s="328">
        <v>128.00137599999999</v>
      </c>
      <c r="N888" s="328">
        <v>17827.669999999998</v>
      </c>
      <c r="O888" s="328">
        <v>17826.022840000001</v>
      </c>
      <c r="P888" s="328">
        <v>2054.8389999999999</v>
      </c>
      <c r="Q888" s="327" t="s">
        <v>469</v>
      </c>
      <c r="R888" s="327"/>
      <c r="S888" s="328">
        <v>15</v>
      </c>
      <c r="T888" s="328">
        <v>5</v>
      </c>
      <c r="U888" s="328">
        <v>0.7</v>
      </c>
      <c r="V888" s="328">
        <v>0.7</v>
      </c>
      <c r="W888" s="328">
        <v>0.7</v>
      </c>
      <c r="X888" s="328">
        <v>1700</v>
      </c>
      <c r="Y888" s="327" t="s">
        <v>470</v>
      </c>
      <c r="Z888" s="328">
        <v>0.85</v>
      </c>
      <c r="AA888" s="327" t="s">
        <v>471</v>
      </c>
      <c r="AB888" s="327" t="s">
        <v>472</v>
      </c>
      <c r="AC888" s="330">
        <v>220</v>
      </c>
    </row>
    <row r="889" spans="1:29">
      <c r="A889" s="331" t="s">
        <v>778</v>
      </c>
      <c r="B889" s="332">
        <v>6</v>
      </c>
      <c r="C889" s="332">
        <v>477</v>
      </c>
      <c r="D889" s="332" t="s">
        <v>423</v>
      </c>
      <c r="E889" s="333">
        <v>1.5</v>
      </c>
      <c r="F889" s="334">
        <v>45236.950694444444</v>
      </c>
      <c r="G889" s="333">
        <v>1</v>
      </c>
      <c r="H889" s="333">
        <v>51.374099999999999</v>
      </c>
      <c r="I889" s="333">
        <v>7.2627800000000002</v>
      </c>
      <c r="J889" s="333">
        <v>-17.611450000000001</v>
      </c>
      <c r="K889" s="333">
        <v>-16.775969</v>
      </c>
      <c r="L889" s="333">
        <v>994.61199999999997</v>
      </c>
      <c r="M889" s="333">
        <v>128.000833</v>
      </c>
      <c r="N889" s="333">
        <v>17839.38</v>
      </c>
      <c r="O889" s="333">
        <v>17826.022840000001</v>
      </c>
      <c r="P889" s="333">
        <v>2054.8389999999999</v>
      </c>
      <c r="Q889" s="332" t="s">
        <v>469</v>
      </c>
      <c r="R889" s="332"/>
      <c r="S889" s="333">
        <v>15</v>
      </c>
      <c r="T889" s="333">
        <v>5</v>
      </c>
      <c r="U889" s="333">
        <v>0.7</v>
      </c>
      <c r="V889" s="333">
        <v>0.7</v>
      </c>
      <c r="W889" s="333">
        <v>0.7</v>
      </c>
      <c r="X889" s="333">
        <v>1700</v>
      </c>
      <c r="Y889" s="332" t="s">
        <v>470</v>
      </c>
      <c r="Z889" s="333">
        <v>0.85</v>
      </c>
      <c r="AA889" s="332" t="s">
        <v>471</v>
      </c>
      <c r="AB889" s="332" t="s">
        <v>472</v>
      </c>
      <c r="AC889" s="335">
        <v>220</v>
      </c>
    </row>
    <row r="890" spans="1:29">
      <c r="A890" s="326" t="s">
        <v>779</v>
      </c>
      <c r="B890" s="327">
        <v>7</v>
      </c>
      <c r="C890" s="327">
        <v>368</v>
      </c>
      <c r="D890" s="327" t="s">
        <v>424</v>
      </c>
      <c r="E890" s="328">
        <v>1.5</v>
      </c>
      <c r="F890" s="329">
        <v>45236.954861111109</v>
      </c>
      <c r="G890" s="328">
        <v>1</v>
      </c>
      <c r="H890" s="328">
        <v>51.370800000000003</v>
      </c>
      <c r="I890" s="328">
        <v>7.3391099999999998</v>
      </c>
      <c r="J890" s="328">
        <v>-17.567737000000001</v>
      </c>
      <c r="K890" s="328">
        <v>-16.722731</v>
      </c>
      <c r="L890" s="328">
        <v>1003.25</v>
      </c>
      <c r="M890" s="328">
        <v>159.50125700000001</v>
      </c>
      <c r="N890" s="328">
        <v>17851.23</v>
      </c>
      <c r="O890" s="328">
        <v>17833.099450000002</v>
      </c>
      <c r="P890" s="328">
        <v>2055.645</v>
      </c>
      <c r="Q890" s="327" t="s">
        <v>469</v>
      </c>
      <c r="R890" s="327"/>
      <c r="S890" s="328">
        <v>15</v>
      </c>
      <c r="T890" s="328">
        <v>5</v>
      </c>
      <c r="U890" s="328">
        <v>0.7</v>
      </c>
      <c r="V890" s="328">
        <v>0.7</v>
      </c>
      <c r="W890" s="328">
        <v>0.7</v>
      </c>
      <c r="X890" s="328">
        <v>1700</v>
      </c>
      <c r="Y890" s="327" t="s">
        <v>470</v>
      </c>
      <c r="Z890" s="328">
        <v>0.85</v>
      </c>
      <c r="AA890" s="327" t="s">
        <v>471</v>
      </c>
      <c r="AB890" s="327" t="s">
        <v>472</v>
      </c>
      <c r="AC890" s="330">
        <v>220</v>
      </c>
    </row>
    <row r="891" spans="1:29">
      <c r="A891" s="331" t="s">
        <v>780</v>
      </c>
      <c r="B891" s="332">
        <v>7</v>
      </c>
      <c r="C891" s="332">
        <v>368</v>
      </c>
      <c r="D891" s="332" t="s">
        <v>424</v>
      </c>
      <c r="E891" s="333">
        <v>1.5</v>
      </c>
      <c r="F891" s="334">
        <v>45236.959027777775</v>
      </c>
      <c r="G891" s="333">
        <v>1</v>
      </c>
      <c r="H891" s="333">
        <v>51.370800000000003</v>
      </c>
      <c r="I891" s="333">
        <v>7.3582000000000001</v>
      </c>
      <c r="J891" s="333">
        <v>-17.596675000000001</v>
      </c>
      <c r="K891" s="333">
        <v>-16.786812999999999</v>
      </c>
      <c r="L891" s="333">
        <v>987.45600000000002</v>
      </c>
      <c r="M891" s="333">
        <v>147.999394</v>
      </c>
      <c r="N891" s="333">
        <v>17829.91</v>
      </c>
      <c r="O891" s="333">
        <v>17833.099450000002</v>
      </c>
      <c r="P891" s="333">
        <v>2055.645</v>
      </c>
      <c r="Q891" s="332" t="s">
        <v>469</v>
      </c>
      <c r="R891" s="332"/>
      <c r="S891" s="333">
        <v>15</v>
      </c>
      <c r="T891" s="333">
        <v>5</v>
      </c>
      <c r="U891" s="333">
        <v>0.7</v>
      </c>
      <c r="V891" s="333">
        <v>0.7</v>
      </c>
      <c r="W891" s="333">
        <v>0.7</v>
      </c>
      <c r="X891" s="333">
        <v>1700</v>
      </c>
      <c r="Y891" s="332" t="s">
        <v>470</v>
      </c>
      <c r="Z891" s="333">
        <v>0.85</v>
      </c>
      <c r="AA891" s="332" t="s">
        <v>471</v>
      </c>
      <c r="AB891" s="332" t="s">
        <v>472</v>
      </c>
      <c r="AC891" s="335">
        <v>220</v>
      </c>
    </row>
    <row r="892" spans="1:29">
      <c r="A892" s="326" t="s">
        <v>781</v>
      </c>
      <c r="B892" s="327">
        <v>7</v>
      </c>
      <c r="C892" s="327">
        <v>368</v>
      </c>
      <c r="D892" s="327" t="s">
        <v>424</v>
      </c>
      <c r="E892" s="328">
        <v>1.5</v>
      </c>
      <c r="F892" s="329">
        <v>45236.963194444441</v>
      </c>
      <c r="G892" s="328">
        <v>1</v>
      </c>
      <c r="H892" s="328">
        <v>51.374099999999999</v>
      </c>
      <c r="I892" s="328">
        <v>7.4086999999999996</v>
      </c>
      <c r="J892" s="328">
        <v>-17.592618999999999</v>
      </c>
      <c r="K892" s="328">
        <v>-16.768612000000001</v>
      </c>
      <c r="L892" s="328">
        <v>996.81899999999996</v>
      </c>
      <c r="M892" s="328">
        <v>127.50064399999999</v>
      </c>
      <c r="N892" s="328">
        <v>17818.16</v>
      </c>
      <c r="O892" s="328">
        <v>17833.099450000002</v>
      </c>
      <c r="P892" s="328">
        <v>2055.645</v>
      </c>
      <c r="Q892" s="327" t="s">
        <v>469</v>
      </c>
      <c r="R892" s="327"/>
      <c r="S892" s="328">
        <v>15</v>
      </c>
      <c r="T892" s="328">
        <v>5</v>
      </c>
      <c r="U892" s="328">
        <v>0.7</v>
      </c>
      <c r="V892" s="328">
        <v>0.7</v>
      </c>
      <c r="W892" s="328">
        <v>0.7</v>
      </c>
      <c r="X892" s="328">
        <v>1700</v>
      </c>
      <c r="Y892" s="327" t="s">
        <v>470</v>
      </c>
      <c r="Z892" s="328">
        <v>0.85</v>
      </c>
      <c r="AA892" s="327" t="s">
        <v>471</v>
      </c>
      <c r="AB892" s="327" t="s">
        <v>472</v>
      </c>
      <c r="AC892" s="330">
        <v>220</v>
      </c>
    </row>
    <row r="893" spans="1:29">
      <c r="A893" s="331" t="s">
        <v>782</v>
      </c>
      <c r="B893" s="332">
        <v>8</v>
      </c>
      <c r="C893" s="332">
        <v>610</v>
      </c>
      <c r="D893" s="332" t="s">
        <v>425</v>
      </c>
      <c r="E893" s="333">
        <v>1.5</v>
      </c>
      <c r="F893" s="334">
        <v>45236.967361111114</v>
      </c>
      <c r="G893" s="333">
        <v>1</v>
      </c>
      <c r="H893" s="333">
        <v>51.370800000000003</v>
      </c>
      <c r="I893" s="333">
        <v>7.38924</v>
      </c>
      <c r="J893" s="333">
        <v>-17.655144</v>
      </c>
      <c r="K893" s="333">
        <v>-16.820381000000001</v>
      </c>
      <c r="L893" s="333">
        <v>995.29</v>
      </c>
      <c r="M893" s="333">
        <v>138.50051099999999</v>
      </c>
      <c r="N893" s="333">
        <v>17910.39</v>
      </c>
      <c r="O893" s="333">
        <v>17895.868040000001</v>
      </c>
      <c r="P893" s="333">
        <v>2062.797</v>
      </c>
      <c r="Q893" s="332" t="s">
        <v>469</v>
      </c>
      <c r="R893" s="332"/>
      <c r="S893" s="333">
        <v>15</v>
      </c>
      <c r="T893" s="333">
        <v>5</v>
      </c>
      <c r="U893" s="333">
        <v>0.7</v>
      </c>
      <c r="V893" s="333">
        <v>0.7</v>
      </c>
      <c r="W893" s="333">
        <v>0.7</v>
      </c>
      <c r="X893" s="333">
        <v>1700</v>
      </c>
      <c r="Y893" s="332" t="s">
        <v>470</v>
      </c>
      <c r="Z893" s="333">
        <v>0.85</v>
      </c>
      <c r="AA893" s="332" t="s">
        <v>471</v>
      </c>
      <c r="AB893" s="332" t="s">
        <v>472</v>
      </c>
      <c r="AC893" s="335">
        <v>220</v>
      </c>
    </row>
    <row r="894" spans="1:29">
      <c r="A894" s="326" t="s">
        <v>783</v>
      </c>
      <c r="B894" s="327">
        <v>8</v>
      </c>
      <c r="C894" s="327">
        <v>610</v>
      </c>
      <c r="D894" s="327" t="s">
        <v>425</v>
      </c>
      <c r="E894" s="328">
        <v>1.5</v>
      </c>
      <c r="F894" s="329">
        <v>45236.970833333333</v>
      </c>
      <c r="G894" s="328">
        <v>1</v>
      </c>
      <c r="H894" s="328">
        <v>51.380699999999997</v>
      </c>
      <c r="I894" s="328">
        <v>7.3911800000000003</v>
      </c>
      <c r="J894" s="328">
        <v>-17.688518999999999</v>
      </c>
      <c r="K894" s="328">
        <v>-16.865881000000002</v>
      </c>
      <c r="L894" s="328">
        <v>994.81299999999999</v>
      </c>
      <c r="M894" s="328">
        <v>130.99885800000001</v>
      </c>
      <c r="N894" s="328">
        <v>17877.23</v>
      </c>
      <c r="O894" s="328">
        <v>17895.868040000001</v>
      </c>
      <c r="P894" s="328">
        <v>2062.797</v>
      </c>
      <c r="Q894" s="327" t="s">
        <v>469</v>
      </c>
      <c r="R894" s="327"/>
      <c r="S894" s="328">
        <v>15</v>
      </c>
      <c r="T894" s="328">
        <v>5</v>
      </c>
      <c r="U894" s="328">
        <v>0.7</v>
      </c>
      <c r="V894" s="328">
        <v>0.7</v>
      </c>
      <c r="W894" s="328">
        <v>0.7</v>
      </c>
      <c r="X894" s="328">
        <v>1700</v>
      </c>
      <c r="Y894" s="327" t="s">
        <v>470</v>
      </c>
      <c r="Z894" s="328">
        <v>0.85</v>
      </c>
      <c r="AA894" s="327" t="s">
        <v>471</v>
      </c>
      <c r="AB894" s="327" t="s">
        <v>472</v>
      </c>
      <c r="AC894" s="330">
        <v>220</v>
      </c>
    </row>
    <row r="895" spans="1:29">
      <c r="A895" s="331" t="s">
        <v>784</v>
      </c>
      <c r="B895" s="332">
        <v>8</v>
      </c>
      <c r="C895" s="332">
        <v>610</v>
      </c>
      <c r="D895" s="332" t="s">
        <v>425</v>
      </c>
      <c r="E895" s="333">
        <v>1.5</v>
      </c>
      <c r="F895" s="334">
        <v>45236.974305555559</v>
      </c>
      <c r="G895" s="333">
        <v>1</v>
      </c>
      <c r="H895" s="333">
        <v>51.374099999999999</v>
      </c>
      <c r="I895" s="333">
        <v>7.3098799999999997</v>
      </c>
      <c r="J895" s="333">
        <v>-17.670062999999999</v>
      </c>
      <c r="K895" s="333">
        <v>-16.821574999999999</v>
      </c>
      <c r="L895" s="333">
        <v>992.95699999999999</v>
      </c>
      <c r="M895" s="333">
        <v>132.00061700000001</v>
      </c>
      <c r="N895" s="333">
        <v>17899.98</v>
      </c>
      <c r="O895" s="333">
        <v>17895.868040000001</v>
      </c>
      <c r="P895" s="333">
        <v>2062.797</v>
      </c>
      <c r="Q895" s="332" t="s">
        <v>469</v>
      </c>
      <c r="R895" s="332"/>
      <c r="S895" s="333">
        <v>15</v>
      </c>
      <c r="T895" s="333">
        <v>5</v>
      </c>
      <c r="U895" s="333">
        <v>0.7</v>
      </c>
      <c r="V895" s="333">
        <v>0.7</v>
      </c>
      <c r="W895" s="333">
        <v>0.7</v>
      </c>
      <c r="X895" s="333">
        <v>1700</v>
      </c>
      <c r="Y895" s="332" t="s">
        <v>470</v>
      </c>
      <c r="Z895" s="333">
        <v>0.85</v>
      </c>
      <c r="AA895" s="332" t="s">
        <v>471</v>
      </c>
      <c r="AB895" s="332" t="s">
        <v>472</v>
      </c>
      <c r="AC895" s="335">
        <v>220</v>
      </c>
    </row>
    <row r="896" spans="1:29">
      <c r="A896" s="326" t="s">
        <v>689</v>
      </c>
      <c r="B896" s="327">
        <v>9</v>
      </c>
      <c r="C896" s="327">
        <v>477</v>
      </c>
      <c r="D896" s="327" t="s">
        <v>426</v>
      </c>
      <c r="E896" s="328">
        <v>1.5</v>
      </c>
      <c r="F896" s="329">
        <v>45236.978472222225</v>
      </c>
      <c r="G896" s="328">
        <v>1</v>
      </c>
      <c r="H896" s="328">
        <v>51.3675</v>
      </c>
      <c r="I896" s="328">
        <v>7.2084400000000004</v>
      </c>
      <c r="J896" s="328">
        <v>-17.704343999999999</v>
      </c>
      <c r="K896" s="328">
        <v>-16.862606</v>
      </c>
      <c r="L896" s="328">
        <v>1003.12</v>
      </c>
      <c r="M896" s="328">
        <v>133.99934400000001</v>
      </c>
      <c r="N896" s="328">
        <v>17842.03</v>
      </c>
      <c r="O896" s="328">
        <v>17832.430680000001</v>
      </c>
      <c r="P896" s="328">
        <v>2055.569</v>
      </c>
      <c r="Q896" s="327" t="s">
        <v>469</v>
      </c>
      <c r="R896" s="327"/>
      <c r="S896" s="328">
        <v>15</v>
      </c>
      <c r="T896" s="328">
        <v>5</v>
      </c>
      <c r="U896" s="328">
        <v>0.7</v>
      </c>
      <c r="V896" s="328">
        <v>0.7</v>
      </c>
      <c r="W896" s="328">
        <v>0.7</v>
      </c>
      <c r="X896" s="328">
        <v>1700</v>
      </c>
      <c r="Y896" s="327" t="s">
        <v>470</v>
      </c>
      <c r="Z896" s="328">
        <v>0.85</v>
      </c>
      <c r="AA896" s="327" t="s">
        <v>471</v>
      </c>
      <c r="AB896" s="327" t="s">
        <v>472</v>
      </c>
      <c r="AC896" s="330">
        <v>220</v>
      </c>
    </row>
    <row r="897" spans="1:29">
      <c r="A897" s="331" t="s">
        <v>786</v>
      </c>
      <c r="B897" s="332">
        <v>9</v>
      </c>
      <c r="C897" s="332">
        <v>477</v>
      </c>
      <c r="D897" s="332" t="s">
        <v>426</v>
      </c>
      <c r="E897" s="333">
        <v>1.5</v>
      </c>
      <c r="F897" s="334">
        <v>45236.982638888891</v>
      </c>
      <c r="G897" s="333">
        <v>1</v>
      </c>
      <c r="H897" s="333">
        <v>51.3675</v>
      </c>
      <c r="I897" s="333">
        <v>7.2200199999999999</v>
      </c>
      <c r="J897" s="333">
        <v>-17.716837999999999</v>
      </c>
      <c r="K897" s="333">
        <v>-16.885013000000001</v>
      </c>
      <c r="L897" s="333">
        <v>986.78300000000002</v>
      </c>
      <c r="M897" s="333">
        <v>124.999217</v>
      </c>
      <c r="N897" s="333">
        <v>17828.650000000001</v>
      </c>
      <c r="O897" s="333">
        <v>17832.430680000001</v>
      </c>
      <c r="P897" s="333">
        <v>2055.569</v>
      </c>
      <c r="Q897" s="332" t="s">
        <v>469</v>
      </c>
      <c r="R897" s="332"/>
      <c r="S897" s="333">
        <v>15</v>
      </c>
      <c r="T897" s="333">
        <v>5</v>
      </c>
      <c r="U897" s="333">
        <v>0.7</v>
      </c>
      <c r="V897" s="333">
        <v>0.7</v>
      </c>
      <c r="W897" s="333">
        <v>0.7</v>
      </c>
      <c r="X897" s="333">
        <v>1700</v>
      </c>
      <c r="Y897" s="332" t="s">
        <v>470</v>
      </c>
      <c r="Z897" s="333">
        <v>0.85</v>
      </c>
      <c r="AA897" s="332" t="s">
        <v>471</v>
      </c>
      <c r="AB897" s="332" t="s">
        <v>472</v>
      </c>
      <c r="AC897" s="335">
        <v>220</v>
      </c>
    </row>
    <row r="898" spans="1:29">
      <c r="A898" s="326" t="s">
        <v>787</v>
      </c>
      <c r="B898" s="327">
        <v>9</v>
      </c>
      <c r="C898" s="327">
        <v>477</v>
      </c>
      <c r="D898" s="327" t="s">
        <v>426</v>
      </c>
      <c r="E898" s="328">
        <v>1.5</v>
      </c>
      <c r="F898" s="329">
        <v>45236.986111111109</v>
      </c>
      <c r="G898" s="328">
        <v>1</v>
      </c>
      <c r="H898" s="328">
        <v>51.370800000000003</v>
      </c>
      <c r="I898" s="328">
        <v>7.3146800000000001</v>
      </c>
      <c r="J898" s="328">
        <v>-17.772099999999998</v>
      </c>
      <c r="K898" s="328">
        <v>-16.950800000000001</v>
      </c>
      <c r="L898" s="328">
        <v>991.68899999999996</v>
      </c>
      <c r="M898" s="328">
        <v>160.49934200000001</v>
      </c>
      <c r="N898" s="328">
        <v>17865.55</v>
      </c>
      <c r="O898" s="328">
        <v>17832.430680000001</v>
      </c>
      <c r="P898" s="328">
        <v>2055.569</v>
      </c>
      <c r="Q898" s="327" t="s">
        <v>542</v>
      </c>
      <c r="R898" s="327"/>
      <c r="S898" s="328">
        <v>15</v>
      </c>
      <c r="T898" s="328">
        <v>5</v>
      </c>
      <c r="U898" s="328">
        <v>0.7</v>
      </c>
      <c r="V898" s="328">
        <v>0.7</v>
      </c>
      <c r="W898" s="328">
        <v>0.7</v>
      </c>
      <c r="X898" s="328">
        <v>1700</v>
      </c>
      <c r="Y898" s="327" t="s">
        <v>470</v>
      </c>
      <c r="Z898" s="328">
        <v>0.85</v>
      </c>
      <c r="AA898" s="327" t="s">
        <v>471</v>
      </c>
      <c r="AB898" s="327" t="s">
        <v>472</v>
      </c>
      <c r="AC898" s="330">
        <v>220</v>
      </c>
    </row>
    <row r="899" spans="1:29">
      <c r="A899" s="331" t="s">
        <v>788</v>
      </c>
      <c r="B899" s="332">
        <v>9</v>
      </c>
      <c r="C899" s="332">
        <v>477</v>
      </c>
      <c r="D899" s="332" t="s">
        <v>426</v>
      </c>
      <c r="E899" s="333">
        <v>1.5</v>
      </c>
      <c r="F899" s="334">
        <v>45236.990277777775</v>
      </c>
      <c r="G899" s="333">
        <v>1</v>
      </c>
      <c r="H899" s="333">
        <v>51.3675</v>
      </c>
      <c r="I899" s="333">
        <v>7.3593099999999998</v>
      </c>
      <c r="J899" s="333">
        <v>-17.815231000000001</v>
      </c>
      <c r="K899" s="333">
        <v>-16.97035</v>
      </c>
      <c r="L899" s="333">
        <v>987.25199999999995</v>
      </c>
      <c r="M899" s="333">
        <v>149.499394</v>
      </c>
      <c r="N899" s="333">
        <v>17826.62</v>
      </c>
      <c r="O899" s="333">
        <v>17832.430680000001</v>
      </c>
      <c r="P899" s="333">
        <v>2055.569</v>
      </c>
      <c r="Q899" s="332" t="s">
        <v>469</v>
      </c>
      <c r="R899" s="332"/>
      <c r="S899" s="333">
        <v>15</v>
      </c>
      <c r="T899" s="333">
        <v>5</v>
      </c>
      <c r="U899" s="333">
        <v>0.7</v>
      </c>
      <c r="V899" s="333">
        <v>0.7</v>
      </c>
      <c r="W899" s="333">
        <v>0.7</v>
      </c>
      <c r="X899" s="333">
        <v>1700</v>
      </c>
      <c r="Y899" s="332" t="s">
        <v>470</v>
      </c>
      <c r="Z899" s="333">
        <v>0.85</v>
      </c>
      <c r="AA899" s="332" t="s">
        <v>471</v>
      </c>
      <c r="AB899" s="332" t="s">
        <v>472</v>
      </c>
      <c r="AC899" s="335">
        <v>220</v>
      </c>
    </row>
    <row r="900" spans="1:29">
      <c r="A900" s="326" t="s">
        <v>790</v>
      </c>
      <c r="B900" s="327">
        <v>10</v>
      </c>
      <c r="C900" s="327">
        <v>478</v>
      </c>
      <c r="D900" s="327" t="s">
        <v>419</v>
      </c>
      <c r="E900" s="328">
        <v>1.5</v>
      </c>
      <c r="F900" s="329">
        <v>45236.994444444441</v>
      </c>
      <c r="G900" s="328">
        <v>1</v>
      </c>
      <c r="H900" s="328">
        <v>51.3675</v>
      </c>
      <c r="I900" s="328">
        <v>7.1482400000000004</v>
      </c>
      <c r="J900" s="328">
        <v>-17.739262</v>
      </c>
      <c r="K900" s="328">
        <v>-16.894919000000002</v>
      </c>
      <c r="L900" s="328">
        <v>996.98400000000004</v>
      </c>
      <c r="M900" s="328">
        <v>143.50036600000001</v>
      </c>
      <c r="N900" s="328">
        <v>17920.59</v>
      </c>
      <c r="O900" s="328">
        <v>17890.919839999999</v>
      </c>
      <c r="P900" s="328">
        <v>2062.2330000000002</v>
      </c>
      <c r="Q900" s="327" t="s">
        <v>542</v>
      </c>
      <c r="R900" s="327"/>
      <c r="S900" s="328">
        <v>15</v>
      </c>
      <c r="T900" s="328">
        <v>5</v>
      </c>
      <c r="U900" s="328">
        <v>0.7</v>
      </c>
      <c r="V900" s="328">
        <v>0.7</v>
      </c>
      <c r="W900" s="328">
        <v>0.7</v>
      </c>
      <c r="X900" s="328">
        <v>1700</v>
      </c>
      <c r="Y900" s="327" t="s">
        <v>470</v>
      </c>
      <c r="Z900" s="328">
        <v>0.85</v>
      </c>
      <c r="AA900" s="327" t="s">
        <v>471</v>
      </c>
      <c r="AB900" s="327" t="s">
        <v>472</v>
      </c>
      <c r="AC900" s="330">
        <v>220</v>
      </c>
    </row>
    <row r="901" spans="1:29">
      <c r="A901" s="331" t="s">
        <v>791</v>
      </c>
      <c r="B901" s="332">
        <v>10</v>
      </c>
      <c r="C901" s="332">
        <v>478</v>
      </c>
      <c r="D901" s="332" t="s">
        <v>419</v>
      </c>
      <c r="E901" s="333">
        <v>1.5</v>
      </c>
      <c r="F901" s="334">
        <v>45236.998611111114</v>
      </c>
      <c r="G901" s="333">
        <v>1</v>
      </c>
      <c r="H901" s="333">
        <v>51.370800000000003</v>
      </c>
      <c r="I901" s="333">
        <v>7.1046699999999996</v>
      </c>
      <c r="J901" s="333">
        <v>-17.669080999999998</v>
      </c>
      <c r="K901" s="333">
        <v>-16.826356000000001</v>
      </c>
      <c r="L901" s="333">
        <v>980.48400000000004</v>
      </c>
      <c r="M901" s="333">
        <v>119.001762</v>
      </c>
      <c r="N901" s="333">
        <v>17883.57</v>
      </c>
      <c r="O901" s="333">
        <v>17890.919839999999</v>
      </c>
      <c r="P901" s="333">
        <v>2062.2330000000002</v>
      </c>
      <c r="Q901" s="332" t="s">
        <v>469</v>
      </c>
      <c r="R901" s="332"/>
      <c r="S901" s="333">
        <v>15</v>
      </c>
      <c r="T901" s="333">
        <v>5</v>
      </c>
      <c r="U901" s="333">
        <v>0.7</v>
      </c>
      <c r="V901" s="333">
        <v>0.7</v>
      </c>
      <c r="W901" s="333">
        <v>0.7</v>
      </c>
      <c r="X901" s="333">
        <v>1700</v>
      </c>
      <c r="Y901" s="332" t="s">
        <v>470</v>
      </c>
      <c r="Z901" s="333">
        <v>0.85</v>
      </c>
      <c r="AA901" s="332" t="s">
        <v>471</v>
      </c>
      <c r="AB901" s="332" t="s">
        <v>472</v>
      </c>
      <c r="AC901" s="335">
        <v>220</v>
      </c>
    </row>
    <row r="902" spans="1:29">
      <c r="A902" s="326" t="s">
        <v>792</v>
      </c>
      <c r="B902" s="327">
        <v>10</v>
      </c>
      <c r="C902" s="327">
        <v>478</v>
      </c>
      <c r="D902" s="327" t="s">
        <v>419</v>
      </c>
      <c r="E902" s="328">
        <v>1.5</v>
      </c>
      <c r="F902" s="329">
        <v>45237.002083333333</v>
      </c>
      <c r="G902" s="328">
        <v>1</v>
      </c>
      <c r="H902" s="328">
        <v>51.3675</v>
      </c>
      <c r="I902" s="328">
        <v>7.1919399999999998</v>
      </c>
      <c r="J902" s="328">
        <v>-17.713162000000001</v>
      </c>
      <c r="K902" s="328">
        <v>-16.877375000000001</v>
      </c>
      <c r="L902" s="328">
        <v>990.899</v>
      </c>
      <c r="M902" s="328">
        <v>131.999416</v>
      </c>
      <c r="N902" s="328">
        <v>17906.04</v>
      </c>
      <c r="O902" s="328">
        <v>17890.919839999999</v>
      </c>
      <c r="P902" s="328">
        <v>2062.2330000000002</v>
      </c>
      <c r="Q902" s="327" t="s">
        <v>469</v>
      </c>
      <c r="R902" s="327"/>
      <c r="S902" s="328">
        <v>15</v>
      </c>
      <c r="T902" s="328">
        <v>5</v>
      </c>
      <c r="U902" s="328">
        <v>0.7</v>
      </c>
      <c r="V902" s="328">
        <v>0.7</v>
      </c>
      <c r="W902" s="328">
        <v>0.7</v>
      </c>
      <c r="X902" s="328">
        <v>1700</v>
      </c>
      <c r="Y902" s="327" t="s">
        <v>470</v>
      </c>
      <c r="Z902" s="328">
        <v>0.85</v>
      </c>
      <c r="AA902" s="327" t="s">
        <v>471</v>
      </c>
      <c r="AB902" s="327" t="s">
        <v>472</v>
      </c>
      <c r="AC902" s="330">
        <v>220</v>
      </c>
    </row>
    <row r="903" spans="1:29">
      <c r="A903" s="331" t="s">
        <v>793</v>
      </c>
      <c r="B903" s="332">
        <v>10</v>
      </c>
      <c r="C903" s="332">
        <v>478</v>
      </c>
      <c r="D903" s="332" t="s">
        <v>419</v>
      </c>
      <c r="E903" s="333">
        <v>1.5</v>
      </c>
      <c r="F903" s="334">
        <v>45237.005555555559</v>
      </c>
      <c r="G903" s="333">
        <v>1</v>
      </c>
      <c r="H903" s="333">
        <v>51.370800000000003</v>
      </c>
      <c r="I903" s="333">
        <v>7.3326000000000002</v>
      </c>
      <c r="J903" s="333">
        <v>-17.688994000000001</v>
      </c>
      <c r="K903" s="333">
        <v>-16.860030999999999</v>
      </c>
      <c r="L903" s="333">
        <v>1002.89</v>
      </c>
      <c r="M903" s="333">
        <v>132.00029000000001</v>
      </c>
      <c r="N903" s="333">
        <v>17883.150000000001</v>
      </c>
      <c r="O903" s="333">
        <v>17890.919839999999</v>
      </c>
      <c r="P903" s="333">
        <v>2062.2330000000002</v>
      </c>
      <c r="Q903" s="332" t="s">
        <v>469</v>
      </c>
      <c r="R903" s="332"/>
      <c r="S903" s="333">
        <v>15</v>
      </c>
      <c r="T903" s="333">
        <v>5</v>
      </c>
      <c r="U903" s="333">
        <v>0.7</v>
      </c>
      <c r="V903" s="333">
        <v>0.7</v>
      </c>
      <c r="W903" s="333">
        <v>0.7</v>
      </c>
      <c r="X903" s="333">
        <v>1700</v>
      </c>
      <c r="Y903" s="332" t="s">
        <v>470</v>
      </c>
      <c r="Z903" s="333">
        <v>0.85</v>
      </c>
      <c r="AA903" s="332" t="s">
        <v>471</v>
      </c>
      <c r="AB903" s="332" t="s">
        <v>472</v>
      </c>
      <c r="AC903" s="335">
        <v>220</v>
      </c>
    </row>
    <row r="904" spans="1:29">
      <c r="A904" s="336" t="s">
        <v>794</v>
      </c>
      <c r="B904" s="337">
        <v>11</v>
      </c>
      <c r="C904" s="337"/>
      <c r="D904" s="337" t="s">
        <v>468</v>
      </c>
      <c r="E904" s="338">
        <v>1.5</v>
      </c>
      <c r="F904" s="339">
        <v>45237.009722222225</v>
      </c>
      <c r="G904" s="338">
        <v>1</v>
      </c>
      <c r="H904" s="338">
        <v>51.370800000000003</v>
      </c>
      <c r="I904" s="338">
        <v>6.9016900000000003</v>
      </c>
      <c r="J904" s="338">
        <v>-17.672968999999998</v>
      </c>
      <c r="K904" s="338">
        <v>-16.850569</v>
      </c>
      <c r="L904" s="338">
        <v>1001.58</v>
      </c>
      <c r="M904" s="338">
        <v>114.498482</v>
      </c>
      <c r="N904" s="338">
        <v>17897.95</v>
      </c>
      <c r="O904" s="338">
        <v>17908.996739999999</v>
      </c>
      <c r="P904" s="338">
        <v>2064.2930000000001</v>
      </c>
      <c r="Q904" s="337" t="s">
        <v>469</v>
      </c>
      <c r="R904" s="337"/>
      <c r="S904" s="338">
        <v>15</v>
      </c>
      <c r="T904" s="338">
        <v>5</v>
      </c>
      <c r="U904" s="338">
        <v>0.7</v>
      </c>
      <c r="V904" s="338">
        <v>0.7</v>
      </c>
      <c r="W904" s="338">
        <v>0.7</v>
      </c>
      <c r="X904" s="338">
        <v>1700</v>
      </c>
      <c r="Y904" s="337" t="s">
        <v>470</v>
      </c>
      <c r="Z904" s="338">
        <v>0.85</v>
      </c>
      <c r="AA904" s="337" t="s">
        <v>471</v>
      </c>
      <c r="AB904" s="337" t="s">
        <v>472</v>
      </c>
      <c r="AC904" s="340">
        <v>220</v>
      </c>
    </row>
    <row r="905" spans="1:29">
      <c r="A905" s="331" t="s">
        <v>795</v>
      </c>
      <c r="B905" s="332">
        <v>11</v>
      </c>
      <c r="C905" s="332"/>
      <c r="D905" s="332" t="s">
        <v>468</v>
      </c>
      <c r="E905" s="333">
        <v>1.5</v>
      </c>
      <c r="F905" s="334">
        <v>45237.013194444444</v>
      </c>
      <c r="G905" s="333">
        <v>1</v>
      </c>
      <c r="H905" s="333">
        <v>51.370800000000003</v>
      </c>
      <c r="I905" s="333">
        <v>7.2988600000000003</v>
      </c>
      <c r="J905" s="333">
        <v>-17.693968999999999</v>
      </c>
      <c r="K905" s="333">
        <v>-16.883811999999999</v>
      </c>
      <c r="L905" s="333">
        <v>992.35400000000004</v>
      </c>
      <c r="M905" s="333">
        <v>134.49954399999999</v>
      </c>
      <c r="N905" s="333">
        <v>17919.939999999999</v>
      </c>
      <c r="O905" s="333">
        <v>17908.996739999999</v>
      </c>
      <c r="P905" s="333">
        <v>2064.2930000000001</v>
      </c>
      <c r="Q905" s="332" t="s">
        <v>469</v>
      </c>
      <c r="R905" s="332"/>
      <c r="S905" s="333">
        <v>15</v>
      </c>
      <c r="T905" s="333">
        <v>5</v>
      </c>
      <c r="U905" s="333">
        <v>0.7</v>
      </c>
      <c r="V905" s="333">
        <v>0.7</v>
      </c>
      <c r="W905" s="333">
        <v>0.7</v>
      </c>
      <c r="X905" s="333">
        <v>1700</v>
      </c>
      <c r="Y905" s="332" t="s">
        <v>470</v>
      </c>
      <c r="Z905" s="333">
        <v>0.85</v>
      </c>
      <c r="AA905" s="332" t="s">
        <v>471</v>
      </c>
      <c r="AB905" s="332" t="s">
        <v>472</v>
      </c>
      <c r="AC905" s="335">
        <v>220</v>
      </c>
    </row>
    <row r="906" spans="1:29">
      <c r="A906" s="326" t="s">
        <v>796</v>
      </c>
      <c r="B906" s="327">
        <v>11</v>
      </c>
      <c r="C906" s="327"/>
      <c r="D906" s="327" t="s">
        <v>468</v>
      </c>
      <c r="E906" s="328">
        <v>1.5</v>
      </c>
      <c r="F906" s="329">
        <v>45237.017361111109</v>
      </c>
      <c r="G906" s="328">
        <v>1</v>
      </c>
      <c r="H906" s="328">
        <v>51.370800000000003</v>
      </c>
      <c r="I906" s="328">
        <v>7.2541000000000002</v>
      </c>
      <c r="J906" s="328">
        <v>-17.718781</v>
      </c>
      <c r="K906" s="328">
        <v>-16.894112</v>
      </c>
      <c r="L906" s="328">
        <v>997.98199999999997</v>
      </c>
      <c r="M906" s="328">
        <v>133.00004000000001</v>
      </c>
      <c r="N906" s="328">
        <v>17876.099999999999</v>
      </c>
      <c r="O906" s="328">
        <v>17908.996739999999</v>
      </c>
      <c r="P906" s="328">
        <v>2064.2930000000001</v>
      </c>
      <c r="Q906" s="327" t="s">
        <v>542</v>
      </c>
      <c r="R906" s="327"/>
      <c r="S906" s="328">
        <v>15</v>
      </c>
      <c r="T906" s="328">
        <v>5</v>
      </c>
      <c r="U906" s="328">
        <v>0.7</v>
      </c>
      <c r="V906" s="328">
        <v>0.7</v>
      </c>
      <c r="W906" s="328">
        <v>0.7</v>
      </c>
      <c r="X906" s="328">
        <v>1700</v>
      </c>
      <c r="Y906" s="327" t="s">
        <v>470</v>
      </c>
      <c r="Z906" s="328">
        <v>0.85</v>
      </c>
      <c r="AA906" s="327" t="s">
        <v>471</v>
      </c>
      <c r="AB906" s="327" t="s">
        <v>472</v>
      </c>
      <c r="AC906" s="330">
        <v>220</v>
      </c>
    </row>
    <row r="907" spans="1:29">
      <c r="A907" s="331" t="s">
        <v>797</v>
      </c>
      <c r="B907" s="332">
        <v>11</v>
      </c>
      <c r="C907" s="332"/>
      <c r="D907" s="332" t="s">
        <v>468</v>
      </c>
      <c r="E907" s="333">
        <v>1.5</v>
      </c>
      <c r="F907" s="334">
        <v>45237.020833333336</v>
      </c>
      <c r="G907" s="333">
        <v>1</v>
      </c>
      <c r="H907" s="333">
        <v>51.364100000000001</v>
      </c>
      <c r="I907" s="333">
        <v>7.22729</v>
      </c>
      <c r="J907" s="333">
        <v>-17.647380999999999</v>
      </c>
      <c r="K907" s="333">
        <v>-16.808062</v>
      </c>
      <c r="L907" s="333">
        <v>995.779</v>
      </c>
      <c r="M907" s="333">
        <v>121.50085799999999</v>
      </c>
      <c r="N907" s="333">
        <v>17855.02</v>
      </c>
      <c r="O907" s="333">
        <v>17908.996739999999</v>
      </c>
      <c r="P907" s="333">
        <v>2064.2930000000001</v>
      </c>
      <c r="Q907" s="332" t="s">
        <v>542</v>
      </c>
      <c r="R907" s="332"/>
      <c r="S907" s="333">
        <v>15</v>
      </c>
      <c r="T907" s="333">
        <v>5</v>
      </c>
      <c r="U907" s="333">
        <v>0.7</v>
      </c>
      <c r="V907" s="333">
        <v>0.7</v>
      </c>
      <c r="W907" s="333">
        <v>0.7</v>
      </c>
      <c r="X907" s="333">
        <v>1700</v>
      </c>
      <c r="Y907" s="332" t="s">
        <v>470</v>
      </c>
      <c r="Z907" s="333">
        <v>0.85</v>
      </c>
      <c r="AA907" s="332" t="s">
        <v>471</v>
      </c>
      <c r="AB907" s="332" t="s">
        <v>472</v>
      </c>
      <c r="AC907" s="335">
        <v>220</v>
      </c>
    </row>
    <row r="908" spans="1:29">
      <c r="A908" s="326" t="s">
        <v>798</v>
      </c>
      <c r="B908" s="327">
        <v>11</v>
      </c>
      <c r="C908" s="327"/>
      <c r="D908" s="327" t="s">
        <v>468</v>
      </c>
      <c r="E908" s="328">
        <v>1.5</v>
      </c>
      <c r="F908" s="329">
        <v>45237.024305555555</v>
      </c>
      <c r="G908" s="328">
        <v>1</v>
      </c>
      <c r="H908" s="328">
        <v>51.377400000000002</v>
      </c>
      <c r="I908" s="328">
        <v>7.3575299999999997</v>
      </c>
      <c r="J908" s="328">
        <v>-17.652200000000001</v>
      </c>
      <c r="K908" s="328">
        <v>-16.808261999999999</v>
      </c>
      <c r="L908" s="328">
        <v>994.11800000000005</v>
      </c>
      <c r="M908" s="328">
        <v>157.49973399999999</v>
      </c>
      <c r="N908" s="328">
        <v>17909.099999999999</v>
      </c>
      <c r="O908" s="328">
        <v>17908.996739999999</v>
      </c>
      <c r="P908" s="328">
        <v>2064.2930000000001</v>
      </c>
      <c r="Q908" s="327" t="s">
        <v>469</v>
      </c>
      <c r="R908" s="327"/>
      <c r="S908" s="328">
        <v>15</v>
      </c>
      <c r="T908" s="328">
        <v>5</v>
      </c>
      <c r="U908" s="328">
        <v>0.7</v>
      </c>
      <c r="V908" s="328">
        <v>0.7</v>
      </c>
      <c r="W908" s="328">
        <v>0.7</v>
      </c>
      <c r="X908" s="328">
        <v>1700</v>
      </c>
      <c r="Y908" s="327" t="s">
        <v>470</v>
      </c>
      <c r="Z908" s="328">
        <v>0.85</v>
      </c>
      <c r="AA908" s="327" t="s">
        <v>471</v>
      </c>
      <c r="AB908" s="327" t="s">
        <v>472</v>
      </c>
      <c r="AC908" s="330">
        <v>220</v>
      </c>
    </row>
    <row r="909" spans="1:29">
      <c r="F909" s="346"/>
    </row>
    <row r="910" spans="1:29">
      <c r="F910" s="346"/>
    </row>
    <row r="911" spans="1:29">
      <c r="F911" s="346"/>
    </row>
    <row r="912" spans="1:29">
      <c r="F912" s="346"/>
    </row>
    <row r="913" spans="6:6">
      <c r="F913" s="346"/>
    </row>
    <row r="914" spans="6:6">
      <c r="F914" s="346"/>
    </row>
    <row r="915" spans="6:6">
      <c r="F915" s="346"/>
    </row>
    <row r="916" spans="6:6">
      <c r="F916" s="346"/>
    </row>
    <row r="917" spans="6:6">
      <c r="F917" s="346"/>
    </row>
    <row r="918" spans="6:6">
      <c r="F918" s="346"/>
    </row>
    <row r="919" spans="6:6">
      <c r="F919" s="346"/>
    </row>
    <row r="920" spans="6:6">
      <c r="F920" s="346"/>
    </row>
    <row r="921" spans="6:6">
      <c r="F921" s="346"/>
    </row>
    <row r="922" spans="6:6">
      <c r="F922" s="346"/>
    </row>
    <row r="923" spans="6:6">
      <c r="F923" s="346"/>
    </row>
    <row r="924" spans="6:6">
      <c r="F924" s="346"/>
    </row>
    <row r="925" spans="6:6">
      <c r="F925" s="346"/>
    </row>
    <row r="926" spans="6:6">
      <c r="F926" s="346"/>
    </row>
    <row r="927" spans="6:6">
      <c r="F927" s="346"/>
    </row>
    <row r="928" spans="6:6">
      <c r="F928" s="346"/>
    </row>
    <row r="929" spans="6:6">
      <c r="F929" s="346"/>
    </row>
    <row r="930" spans="6:6">
      <c r="F930" s="346"/>
    </row>
    <row r="931" spans="6:6">
      <c r="F931" s="346"/>
    </row>
    <row r="932" spans="6:6">
      <c r="F932" s="346"/>
    </row>
    <row r="933" spans="6:6">
      <c r="F933" s="346"/>
    </row>
    <row r="934" spans="6:6">
      <c r="F934" s="346"/>
    </row>
    <row r="935" spans="6:6">
      <c r="F935" s="346"/>
    </row>
    <row r="936" spans="6:6">
      <c r="F936" s="346"/>
    </row>
    <row r="937" spans="6:6">
      <c r="F937" s="346"/>
    </row>
    <row r="938" spans="6:6">
      <c r="F938" s="346"/>
    </row>
    <row r="939" spans="6:6">
      <c r="F939" s="346"/>
    </row>
    <row r="940" spans="6:6">
      <c r="F940" s="346"/>
    </row>
    <row r="941" spans="6:6">
      <c r="F941" s="346"/>
    </row>
    <row r="942" spans="6:6">
      <c r="F942" s="346"/>
    </row>
    <row r="943" spans="6:6">
      <c r="F943" s="346"/>
    </row>
    <row r="944" spans="6:6">
      <c r="F944" s="346"/>
    </row>
    <row r="945" spans="6:6">
      <c r="F945" s="346"/>
    </row>
    <row r="946" spans="6:6">
      <c r="F946" s="346"/>
    </row>
    <row r="947" spans="6:6">
      <c r="F947" s="346"/>
    </row>
    <row r="948" spans="6:6">
      <c r="F948" s="346"/>
    </row>
    <row r="949" spans="6:6">
      <c r="F949" s="346"/>
    </row>
    <row r="950" spans="6:6">
      <c r="F950" s="346"/>
    </row>
    <row r="951" spans="6:6">
      <c r="F951" s="346"/>
    </row>
    <row r="952" spans="6:6">
      <c r="F952" s="346"/>
    </row>
    <row r="953" spans="6:6">
      <c r="F953" s="346"/>
    </row>
    <row r="954" spans="6:6">
      <c r="F954" s="346"/>
    </row>
    <row r="955" spans="6:6">
      <c r="F955" s="346"/>
    </row>
    <row r="956" spans="6:6">
      <c r="F956" s="346"/>
    </row>
    <row r="957" spans="6:6">
      <c r="F957" s="346"/>
    </row>
    <row r="958" spans="6:6">
      <c r="F958" s="346"/>
    </row>
    <row r="959" spans="6:6">
      <c r="F959" s="346"/>
    </row>
    <row r="960" spans="6:6">
      <c r="F960" s="346"/>
    </row>
    <row r="961" spans="6:6">
      <c r="F961" s="346"/>
    </row>
    <row r="962" spans="6:6">
      <c r="F962" s="346"/>
    </row>
    <row r="963" spans="6:6">
      <c r="F963" s="346"/>
    </row>
    <row r="964" spans="6:6">
      <c r="F964" s="346"/>
    </row>
    <row r="965" spans="6:6">
      <c r="F965" s="346"/>
    </row>
    <row r="966" spans="6:6">
      <c r="F966" s="346"/>
    </row>
    <row r="967" spans="6:6">
      <c r="F967" s="346"/>
    </row>
    <row r="968" spans="6:6">
      <c r="F968" s="346"/>
    </row>
    <row r="969" spans="6:6">
      <c r="F969" s="346"/>
    </row>
    <row r="970" spans="6:6">
      <c r="F970" s="346"/>
    </row>
    <row r="971" spans="6:6">
      <c r="F971" s="346"/>
    </row>
    <row r="972" spans="6:6">
      <c r="F972" s="346"/>
    </row>
    <row r="973" spans="6:6">
      <c r="F973" s="346"/>
    </row>
    <row r="974" spans="6:6">
      <c r="F974" s="346"/>
    </row>
    <row r="975" spans="6:6">
      <c r="F975" s="346"/>
    </row>
    <row r="976" spans="6:6">
      <c r="F976" s="346"/>
    </row>
    <row r="977" spans="6:6">
      <c r="F977" s="346"/>
    </row>
    <row r="978" spans="6:6">
      <c r="F978" s="346"/>
    </row>
    <row r="979" spans="6:6">
      <c r="F979" s="346"/>
    </row>
    <row r="980" spans="6:6">
      <c r="F980" s="346"/>
    </row>
    <row r="981" spans="6:6">
      <c r="F981" s="346"/>
    </row>
    <row r="982" spans="6:6">
      <c r="F982" s="346"/>
    </row>
    <row r="983" spans="6:6">
      <c r="F983" s="346"/>
    </row>
    <row r="984" spans="6:6">
      <c r="F984" s="346"/>
    </row>
    <row r="985" spans="6:6">
      <c r="F985" s="346"/>
    </row>
    <row r="986" spans="6:6">
      <c r="F986" s="346"/>
    </row>
    <row r="987" spans="6:6">
      <c r="F987" s="346"/>
    </row>
    <row r="988" spans="6:6">
      <c r="F988" s="346"/>
    </row>
    <row r="989" spans="6:6">
      <c r="F989" s="346"/>
    </row>
    <row r="990" spans="6:6">
      <c r="F990" s="346"/>
    </row>
    <row r="991" spans="6:6">
      <c r="F991" s="346"/>
    </row>
    <row r="992" spans="6:6">
      <c r="F992" s="346"/>
    </row>
    <row r="993" spans="6:6">
      <c r="F993" s="346"/>
    </row>
    <row r="994" spans="6:6">
      <c r="F994" s="346"/>
    </row>
    <row r="995" spans="6:6">
      <c r="F995" s="346"/>
    </row>
    <row r="996" spans="6:6">
      <c r="F996" s="346"/>
    </row>
    <row r="997" spans="6:6">
      <c r="F997" s="346"/>
    </row>
    <row r="998" spans="6:6">
      <c r="F998" s="346"/>
    </row>
    <row r="999" spans="6:6">
      <c r="F999" s="346"/>
    </row>
    <row r="1000" spans="6:6">
      <c r="F1000" s="34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1.125" defaultRowHeight="15" customHeight="1"/>
  <cols>
    <col min="1" max="2" width="11.125" customWidth="1"/>
    <col min="3" max="3" width="12.5" customWidth="1"/>
    <col min="4" max="4" width="14.125" customWidth="1"/>
    <col min="5" max="6" width="11.125" customWidth="1"/>
    <col min="7" max="7" width="14.375" customWidth="1"/>
    <col min="8" max="13" width="11.125" customWidth="1"/>
  </cols>
  <sheetData>
    <row r="1" spans="1:13" ht="15.75">
      <c r="A1" s="347"/>
      <c r="B1" s="252" t="s">
        <v>931</v>
      </c>
      <c r="C1" s="252" t="s">
        <v>0</v>
      </c>
      <c r="D1" s="253" t="s">
        <v>932</v>
      </c>
      <c r="E1" s="253" t="s">
        <v>414</v>
      </c>
      <c r="F1" s="348" t="s">
        <v>14</v>
      </c>
      <c r="G1" s="272" t="s">
        <v>933</v>
      </c>
      <c r="H1" s="349"/>
      <c r="I1" s="349"/>
      <c r="J1" s="349"/>
      <c r="K1" s="20"/>
      <c r="L1" s="20"/>
      <c r="M1" s="350"/>
    </row>
    <row r="2" spans="1:13" ht="15.75">
      <c r="A2" s="351"/>
      <c r="B2" s="352">
        <v>45213</v>
      </c>
      <c r="C2" s="353" t="s">
        <v>934</v>
      </c>
      <c r="D2" s="354">
        <v>2257.5</v>
      </c>
      <c r="E2" s="355">
        <v>32.494</v>
      </c>
      <c r="F2" s="277" t="s">
        <v>259</v>
      </c>
      <c r="G2" s="277"/>
      <c r="H2" s="356"/>
      <c r="I2" s="356"/>
      <c r="J2" s="356"/>
      <c r="K2" s="20"/>
      <c r="L2" s="20"/>
      <c r="M2" s="357"/>
    </row>
    <row r="3" spans="1:13" ht="15.75">
      <c r="A3" s="242">
        <v>1</v>
      </c>
      <c r="B3" s="236">
        <v>45213</v>
      </c>
      <c r="C3" s="242">
        <v>176</v>
      </c>
      <c r="D3" s="238">
        <v>2304.3000000000002</v>
      </c>
      <c r="E3" s="238">
        <v>34</v>
      </c>
      <c r="F3" s="92" t="s">
        <v>259</v>
      </c>
      <c r="G3" s="92" t="s">
        <v>935</v>
      </c>
      <c r="H3" s="356"/>
      <c r="I3" s="356"/>
      <c r="J3" s="356"/>
      <c r="K3" s="20"/>
      <c r="L3" s="20"/>
      <c r="M3" s="357"/>
    </row>
    <row r="4" spans="1:13" ht="15.75">
      <c r="A4" s="242">
        <v>2</v>
      </c>
      <c r="B4" s="236">
        <v>45213</v>
      </c>
      <c r="C4" s="242">
        <v>177</v>
      </c>
      <c r="D4" s="238">
        <v>2304</v>
      </c>
      <c r="E4" s="238">
        <v>34.26</v>
      </c>
      <c r="F4" s="92" t="s">
        <v>259</v>
      </c>
      <c r="G4" s="92" t="s">
        <v>935</v>
      </c>
      <c r="H4" s="356"/>
      <c r="I4" s="356"/>
      <c r="J4" s="356"/>
      <c r="K4" s="20"/>
      <c r="L4" s="20"/>
      <c r="M4" s="357"/>
    </row>
    <row r="5" spans="1:13" ht="15.75">
      <c r="A5" s="242">
        <v>3</v>
      </c>
      <c r="B5" s="236">
        <v>45213</v>
      </c>
      <c r="C5" s="242">
        <v>178</v>
      </c>
      <c r="D5" s="238">
        <v>2359.5</v>
      </c>
      <c r="E5" s="238">
        <v>34.9</v>
      </c>
      <c r="F5" s="92" t="s">
        <v>259</v>
      </c>
      <c r="G5" s="92" t="s">
        <v>935</v>
      </c>
      <c r="H5" s="356"/>
      <c r="I5" s="356"/>
      <c r="J5" s="356"/>
      <c r="K5" s="20"/>
      <c r="L5" s="20"/>
      <c r="M5" s="357"/>
    </row>
    <row r="6" spans="1:13" ht="15.75">
      <c r="A6" s="242">
        <v>4</v>
      </c>
      <c r="B6" s="236">
        <v>45213</v>
      </c>
      <c r="C6" s="242">
        <v>180</v>
      </c>
      <c r="D6" s="238">
        <v>2323.9</v>
      </c>
      <c r="E6" s="238">
        <v>34.200000000000003</v>
      </c>
      <c r="F6" s="92" t="s">
        <v>259</v>
      </c>
      <c r="G6" s="92" t="s">
        <v>935</v>
      </c>
      <c r="H6" s="356"/>
      <c r="I6" s="356"/>
      <c r="J6" s="356"/>
      <c r="K6" s="20"/>
      <c r="L6" s="20"/>
      <c r="M6" s="357"/>
    </row>
    <row r="7" spans="1:13" ht="15.75">
      <c r="A7" s="242">
        <v>5</v>
      </c>
      <c r="B7" s="236">
        <v>45213</v>
      </c>
      <c r="C7" s="242">
        <v>181</v>
      </c>
      <c r="D7" s="238">
        <v>2317.1</v>
      </c>
      <c r="E7" s="238">
        <v>34.159999999999997</v>
      </c>
      <c r="F7" s="92" t="s">
        <v>259</v>
      </c>
      <c r="G7" s="92" t="s">
        <v>935</v>
      </c>
      <c r="H7" s="356"/>
      <c r="I7" s="356"/>
      <c r="J7" s="356"/>
      <c r="K7" s="20"/>
      <c r="L7" s="20"/>
      <c r="M7" s="357"/>
    </row>
    <row r="8" spans="1:13" ht="15.75">
      <c r="A8" s="242">
        <v>6</v>
      </c>
      <c r="B8" s="236">
        <v>45213</v>
      </c>
      <c r="C8" s="242">
        <v>193</v>
      </c>
      <c r="D8" s="238">
        <v>2297.4</v>
      </c>
      <c r="E8" s="238">
        <v>34.17</v>
      </c>
      <c r="F8" s="92" t="s">
        <v>259</v>
      </c>
      <c r="G8" s="92" t="s">
        <v>935</v>
      </c>
      <c r="H8" s="356"/>
      <c r="I8" s="356"/>
      <c r="J8" s="356"/>
      <c r="K8" s="20"/>
      <c r="L8" s="20"/>
      <c r="M8" s="357"/>
    </row>
    <row r="9" spans="1:13" ht="15.75">
      <c r="A9" s="242">
        <v>7</v>
      </c>
      <c r="B9" s="236">
        <v>45213</v>
      </c>
      <c r="C9" s="242">
        <v>185</v>
      </c>
      <c r="D9" s="238">
        <v>2396.1</v>
      </c>
      <c r="E9" s="238">
        <v>35.549999999999997</v>
      </c>
      <c r="F9" s="92" t="s">
        <v>259</v>
      </c>
      <c r="G9" s="92" t="s">
        <v>935</v>
      </c>
      <c r="H9" s="356"/>
      <c r="I9" s="356"/>
      <c r="J9" s="356"/>
      <c r="K9" s="20"/>
      <c r="L9" s="20"/>
      <c r="M9" s="357"/>
    </row>
    <row r="10" spans="1:13" ht="15.75">
      <c r="A10" s="242">
        <v>8</v>
      </c>
      <c r="B10" s="236">
        <v>45213</v>
      </c>
      <c r="C10" s="242">
        <v>188</v>
      </c>
      <c r="D10" s="238">
        <v>2274</v>
      </c>
      <c r="E10" s="238">
        <v>35.32</v>
      </c>
      <c r="F10" s="92" t="s">
        <v>259</v>
      </c>
      <c r="G10" s="92" t="s">
        <v>935</v>
      </c>
      <c r="H10" s="356"/>
      <c r="I10" s="356"/>
      <c r="J10" s="356"/>
      <c r="K10" s="20"/>
      <c r="L10" s="20"/>
      <c r="M10" s="357"/>
    </row>
    <row r="11" spans="1:13" ht="15.75">
      <c r="A11" s="242">
        <v>9</v>
      </c>
      <c r="B11" s="236">
        <v>45213</v>
      </c>
      <c r="C11" s="242">
        <v>189</v>
      </c>
      <c r="D11" s="238">
        <v>2393.8000000000002</v>
      </c>
      <c r="E11" s="238">
        <v>35.380000000000003</v>
      </c>
      <c r="F11" s="92" t="s">
        <v>259</v>
      </c>
      <c r="G11" s="92" t="s">
        <v>935</v>
      </c>
      <c r="H11" s="356"/>
      <c r="I11" s="356"/>
      <c r="J11" s="356"/>
      <c r="K11" s="20"/>
      <c r="L11" s="20"/>
      <c r="M11" s="357"/>
    </row>
    <row r="12" spans="1:13" ht="15.75">
      <c r="A12" s="242">
        <v>10</v>
      </c>
      <c r="B12" s="236">
        <v>45213</v>
      </c>
      <c r="C12" s="242">
        <v>190</v>
      </c>
      <c r="D12" s="238">
        <v>2360.5</v>
      </c>
      <c r="E12" s="238">
        <v>34.36</v>
      </c>
      <c r="F12" s="92" t="s">
        <v>259</v>
      </c>
      <c r="G12" s="92" t="s">
        <v>935</v>
      </c>
      <c r="H12" s="356"/>
      <c r="I12" s="356"/>
      <c r="J12" s="356"/>
      <c r="K12" s="20"/>
      <c r="L12" s="20"/>
      <c r="M12" s="357"/>
    </row>
    <row r="13" spans="1:13" ht="15.75">
      <c r="A13" s="242">
        <v>11</v>
      </c>
      <c r="B13" s="236">
        <v>45213</v>
      </c>
      <c r="C13" s="242">
        <v>191</v>
      </c>
      <c r="D13" s="238">
        <v>2381.1</v>
      </c>
      <c r="E13" s="238">
        <v>35</v>
      </c>
      <c r="F13" s="92" t="s">
        <v>259</v>
      </c>
      <c r="G13" s="92" t="s">
        <v>935</v>
      </c>
      <c r="H13" s="356"/>
      <c r="I13" s="356"/>
      <c r="J13" s="356"/>
      <c r="K13" s="20"/>
      <c r="L13" s="20"/>
      <c r="M13" s="357"/>
    </row>
    <row r="14" spans="1:13" ht="15.75">
      <c r="A14" s="358"/>
      <c r="B14" s="352">
        <v>45213</v>
      </c>
      <c r="C14" s="280" t="s">
        <v>934</v>
      </c>
      <c r="D14" s="359">
        <v>2283.4</v>
      </c>
      <c r="E14" s="355">
        <v>32.494</v>
      </c>
      <c r="F14" s="92" t="s">
        <v>259</v>
      </c>
      <c r="G14" s="277" t="s">
        <v>935</v>
      </c>
      <c r="H14" s="356"/>
      <c r="I14" s="356"/>
      <c r="J14" s="356"/>
      <c r="K14" s="20"/>
      <c r="L14" s="20"/>
      <c r="M14" s="357"/>
    </row>
    <row r="15" spans="1:13" ht="31.5">
      <c r="A15" s="358"/>
      <c r="B15" s="352">
        <v>45217</v>
      </c>
      <c r="C15" s="360" t="s">
        <v>936</v>
      </c>
      <c r="D15" s="359">
        <v>2232.6</v>
      </c>
      <c r="E15" s="281">
        <v>32.494</v>
      </c>
      <c r="F15" s="92" t="s">
        <v>259</v>
      </c>
      <c r="G15" s="277" t="s">
        <v>935</v>
      </c>
      <c r="H15" s="356"/>
      <c r="I15" s="356"/>
      <c r="J15" s="356"/>
      <c r="K15" s="20"/>
      <c r="L15" s="20"/>
      <c r="M15" s="357"/>
    </row>
    <row r="16" spans="1:13" ht="15.75">
      <c r="A16" s="242">
        <v>12</v>
      </c>
      <c r="B16" s="236">
        <v>45217</v>
      </c>
      <c r="C16" s="242">
        <v>182</v>
      </c>
      <c r="D16" s="238">
        <v>2307.15</v>
      </c>
      <c r="E16" s="238">
        <v>34.869999999999997</v>
      </c>
      <c r="F16" s="92" t="s">
        <v>259</v>
      </c>
      <c r="G16" s="92" t="s">
        <v>935</v>
      </c>
      <c r="H16" s="356"/>
      <c r="I16" s="356"/>
      <c r="J16" s="356"/>
      <c r="K16" s="20"/>
      <c r="L16" s="20"/>
      <c r="M16" s="357"/>
    </row>
    <row r="17" spans="1:13" ht="15.75">
      <c r="A17" s="242">
        <v>13</v>
      </c>
      <c r="B17" s="236">
        <v>45217</v>
      </c>
      <c r="C17" s="242">
        <v>179</v>
      </c>
      <c r="D17" s="238">
        <v>2298.94</v>
      </c>
      <c r="E17" s="238">
        <v>34.49</v>
      </c>
      <c r="F17" s="92" t="s">
        <v>259</v>
      </c>
      <c r="G17" s="92" t="s">
        <v>935</v>
      </c>
      <c r="H17" s="356"/>
      <c r="I17" s="356"/>
      <c r="J17" s="356"/>
      <c r="K17" s="20"/>
      <c r="L17" s="20"/>
      <c r="M17" s="357"/>
    </row>
    <row r="18" spans="1:13" ht="15.75">
      <c r="A18" s="242">
        <v>14</v>
      </c>
      <c r="B18" s="236">
        <v>45217</v>
      </c>
      <c r="C18" s="242">
        <v>183</v>
      </c>
      <c r="D18" s="238">
        <v>2331.84</v>
      </c>
      <c r="E18" s="238">
        <v>34.76</v>
      </c>
      <c r="F18" s="92" t="s">
        <v>259</v>
      </c>
      <c r="G18" s="92" t="s">
        <v>935</v>
      </c>
      <c r="H18" s="356"/>
      <c r="I18" s="356"/>
      <c r="J18" s="356"/>
      <c r="K18" s="20"/>
      <c r="L18" s="20"/>
      <c r="M18" s="357"/>
    </row>
    <row r="19" spans="1:13" ht="31.5">
      <c r="A19" s="358"/>
      <c r="B19" s="352">
        <v>45219</v>
      </c>
      <c r="C19" s="361" t="s">
        <v>936</v>
      </c>
      <c r="D19" s="354">
        <v>2218.5</v>
      </c>
      <c r="E19" s="281">
        <v>32.494</v>
      </c>
      <c r="F19" s="92" t="s">
        <v>259</v>
      </c>
      <c r="G19" s="277" t="s">
        <v>935</v>
      </c>
      <c r="H19" s="356"/>
      <c r="I19" s="356"/>
      <c r="J19" s="356"/>
      <c r="K19" s="20"/>
      <c r="L19" s="20"/>
      <c r="M19" s="357"/>
    </row>
    <row r="20" spans="1:13" ht="15.75">
      <c r="A20" s="242">
        <v>15</v>
      </c>
      <c r="B20" s="236">
        <v>45219</v>
      </c>
      <c r="C20" s="362">
        <v>195</v>
      </c>
      <c r="D20" s="363">
        <v>2227.1</v>
      </c>
      <c r="E20" s="238">
        <v>34.15</v>
      </c>
      <c r="F20" s="92" t="s">
        <v>259</v>
      </c>
      <c r="G20" s="92" t="s">
        <v>935</v>
      </c>
      <c r="H20" s="356"/>
      <c r="I20" s="356"/>
      <c r="J20" s="356"/>
      <c r="K20" s="20"/>
      <c r="L20" s="20"/>
      <c r="M20" s="357"/>
    </row>
    <row r="21" spans="1:13" ht="15.75">
      <c r="A21" s="242">
        <v>16</v>
      </c>
      <c r="B21" s="236">
        <v>45219</v>
      </c>
      <c r="C21" s="362">
        <v>186</v>
      </c>
      <c r="D21" s="363">
        <v>2287.8200000000002</v>
      </c>
      <c r="E21" s="238">
        <v>33.94</v>
      </c>
      <c r="F21" s="92" t="s">
        <v>259</v>
      </c>
      <c r="G21" s="92" t="s">
        <v>935</v>
      </c>
      <c r="H21" s="356"/>
      <c r="I21" s="356"/>
      <c r="J21" s="356"/>
      <c r="K21" s="20"/>
      <c r="L21" s="20"/>
      <c r="M21" s="357"/>
    </row>
    <row r="22" spans="1:13" ht="15.75">
      <c r="A22" s="242">
        <v>17</v>
      </c>
      <c r="B22" s="236">
        <v>45219</v>
      </c>
      <c r="C22" s="362">
        <v>187</v>
      </c>
      <c r="D22" s="363">
        <v>2287.2399999999998</v>
      </c>
      <c r="E22" s="238">
        <v>33.89</v>
      </c>
      <c r="F22" s="92" t="s">
        <v>259</v>
      </c>
      <c r="G22" s="92" t="s">
        <v>935</v>
      </c>
      <c r="H22" s="356"/>
      <c r="I22" s="356"/>
      <c r="J22" s="356"/>
      <c r="K22" s="20"/>
      <c r="L22" s="20"/>
      <c r="M22" s="357"/>
    </row>
    <row r="23" spans="1:13" ht="31.5">
      <c r="A23" s="358"/>
      <c r="B23" s="352">
        <v>45222</v>
      </c>
      <c r="C23" s="364" t="s">
        <v>430</v>
      </c>
      <c r="D23" s="365">
        <v>2190.5</v>
      </c>
      <c r="E23" s="281">
        <v>32.494</v>
      </c>
      <c r="F23" s="92" t="s">
        <v>259</v>
      </c>
      <c r="G23" s="277" t="s">
        <v>935</v>
      </c>
      <c r="H23" s="356"/>
      <c r="I23" s="356"/>
      <c r="J23" s="356"/>
      <c r="K23" s="20"/>
      <c r="L23" s="20"/>
      <c r="M23" s="357"/>
    </row>
    <row r="24" spans="1:13" ht="15.75">
      <c r="A24" s="242">
        <v>18</v>
      </c>
      <c r="B24" s="236">
        <v>45222</v>
      </c>
      <c r="C24" s="362">
        <v>192</v>
      </c>
      <c r="D24" s="363">
        <v>2288.52</v>
      </c>
      <c r="E24" s="238">
        <v>34.15</v>
      </c>
      <c r="F24" s="92" t="s">
        <v>259</v>
      </c>
      <c r="G24" s="92" t="s">
        <v>935</v>
      </c>
      <c r="H24" s="356"/>
      <c r="I24" s="356"/>
      <c r="J24" s="356"/>
      <c r="K24" s="20"/>
      <c r="L24" s="20"/>
      <c r="M24" s="357"/>
    </row>
    <row r="25" spans="1:13" ht="15.75">
      <c r="A25" s="242">
        <v>19</v>
      </c>
      <c r="B25" s="236">
        <v>45222</v>
      </c>
      <c r="C25" s="362">
        <v>194</v>
      </c>
      <c r="D25" s="363">
        <v>2291.2800000000002</v>
      </c>
      <c r="E25" s="238">
        <v>34.119999999999997</v>
      </c>
      <c r="F25" s="92" t="s">
        <v>259</v>
      </c>
      <c r="G25" s="92" t="s">
        <v>935</v>
      </c>
      <c r="H25" s="356"/>
      <c r="I25" s="356"/>
      <c r="J25" s="356"/>
      <c r="K25" s="20"/>
      <c r="L25" s="20"/>
      <c r="M25" s="357"/>
    </row>
    <row r="26" spans="1:13" ht="15.75">
      <c r="A26" s="242">
        <v>20</v>
      </c>
      <c r="B26" s="236">
        <v>45222</v>
      </c>
      <c r="C26" s="362">
        <v>184</v>
      </c>
      <c r="D26" s="363">
        <v>2394.5100000000002</v>
      </c>
      <c r="E26" s="238">
        <v>35.85</v>
      </c>
      <c r="F26" s="92" t="s">
        <v>259</v>
      </c>
      <c r="G26" s="92" t="s">
        <v>935</v>
      </c>
      <c r="H26" s="356"/>
      <c r="I26" s="356"/>
      <c r="J26" s="356"/>
      <c r="K26" s="20"/>
      <c r="L26" s="20"/>
      <c r="M26" s="357"/>
    </row>
    <row r="27" spans="1:13" ht="15.75">
      <c r="A27" s="242">
        <v>21</v>
      </c>
      <c r="B27" s="236">
        <v>45222</v>
      </c>
      <c r="C27" s="362">
        <v>200</v>
      </c>
      <c r="D27" s="363">
        <v>2349.85</v>
      </c>
      <c r="E27" s="238">
        <v>34.729999999999997</v>
      </c>
      <c r="F27" s="92" t="s">
        <v>259</v>
      </c>
      <c r="G27" s="92" t="s">
        <v>935</v>
      </c>
      <c r="H27" s="356"/>
      <c r="I27" s="356"/>
      <c r="J27" s="356"/>
      <c r="K27" s="20"/>
      <c r="L27" s="20"/>
      <c r="M27" s="357"/>
    </row>
    <row r="28" spans="1:13" ht="15.75">
      <c r="A28" s="242">
        <v>22</v>
      </c>
      <c r="B28" s="236">
        <v>45222</v>
      </c>
      <c r="C28" s="362">
        <v>201</v>
      </c>
      <c r="D28" s="363">
        <v>2354.5300000000002</v>
      </c>
      <c r="E28" s="238">
        <v>34.72</v>
      </c>
      <c r="F28" s="92" t="s">
        <v>259</v>
      </c>
      <c r="G28" s="92" t="s">
        <v>935</v>
      </c>
      <c r="H28" s="356"/>
      <c r="I28" s="356"/>
      <c r="J28" s="356"/>
      <c r="K28" s="20"/>
      <c r="L28" s="20"/>
      <c r="M28" s="357"/>
    </row>
    <row r="29" spans="1:13" ht="15.75">
      <c r="A29" s="242">
        <v>23</v>
      </c>
      <c r="B29" s="236">
        <v>45222</v>
      </c>
      <c r="C29" s="362">
        <v>235</v>
      </c>
      <c r="D29" s="363">
        <v>2358.4699999999998</v>
      </c>
      <c r="E29" s="238">
        <v>36.36</v>
      </c>
      <c r="F29" s="92" t="s">
        <v>259</v>
      </c>
      <c r="G29" s="92" t="s">
        <v>935</v>
      </c>
      <c r="H29" s="356"/>
      <c r="I29" s="356"/>
      <c r="J29" s="356"/>
      <c r="K29" s="20"/>
      <c r="L29" s="20"/>
      <c r="M29" s="357"/>
    </row>
    <row r="30" spans="1:13" ht="15.75">
      <c r="A30" s="242">
        <v>24</v>
      </c>
      <c r="B30" s="236">
        <v>45222</v>
      </c>
      <c r="C30" s="242">
        <v>247</v>
      </c>
      <c r="D30" s="363">
        <v>2357.67</v>
      </c>
      <c r="E30" s="238">
        <v>36.5</v>
      </c>
      <c r="F30" s="92" t="s">
        <v>259</v>
      </c>
      <c r="G30" s="92" t="s">
        <v>935</v>
      </c>
      <c r="H30" s="356"/>
      <c r="I30" s="356"/>
      <c r="J30" s="356"/>
      <c r="K30" s="20"/>
      <c r="L30" s="20"/>
      <c r="M30" s="357"/>
    </row>
    <row r="31" spans="1:13" ht="15.75">
      <c r="A31" s="242">
        <v>25</v>
      </c>
      <c r="B31" s="236">
        <v>45222</v>
      </c>
      <c r="C31" s="242">
        <v>257</v>
      </c>
      <c r="D31" s="363">
        <v>2354.58</v>
      </c>
      <c r="E31" s="238">
        <v>36.24</v>
      </c>
      <c r="F31" s="92" t="s">
        <v>259</v>
      </c>
      <c r="G31" s="92" t="s">
        <v>935</v>
      </c>
      <c r="H31" s="356"/>
      <c r="I31" s="356"/>
      <c r="J31" s="356"/>
      <c r="K31" s="20"/>
      <c r="L31" s="20"/>
      <c r="M31" s="357"/>
    </row>
    <row r="32" spans="1:13" ht="15.75">
      <c r="A32" s="242">
        <v>26</v>
      </c>
      <c r="B32" s="236">
        <v>45222</v>
      </c>
      <c r="C32" s="242">
        <v>291</v>
      </c>
      <c r="D32" s="363">
        <v>2348.2800000000002</v>
      </c>
      <c r="E32" s="363">
        <v>36.49</v>
      </c>
      <c r="F32" s="92" t="s">
        <v>259</v>
      </c>
      <c r="G32" s="92" t="s">
        <v>935</v>
      </c>
      <c r="H32" s="356"/>
      <c r="I32" s="356"/>
      <c r="J32" s="356"/>
      <c r="K32" s="20"/>
      <c r="L32" s="20"/>
      <c r="M32" s="357"/>
    </row>
    <row r="33" spans="1:13" ht="15.75">
      <c r="A33" s="242">
        <v>27</v>
      </c>
      <c r="B33" s="236">
        <v>45222</v>
      </c>
      <c r="C33" s="242">
        <v>246</v>
      </c>
      <c r="D33" s="363">
        <v>2356.06</v>
      </c>
      <c r="E33" s="363">
        <v>36.49</v>
      </c>
      <c r="F33" s="92" t="s">
        <v>259</v>
      </c>
      <c r="G33" s="92" t="s">
        <v>935</v>
      </c>
      <c r="H33" s="356"/>
      <c r="I33" s="356"/>
      <c r="J33" s="356"/>
      <c r="K33" s="20"/>
      <c r="L33" s="20"/>
      <c r="M33" s="357"/>
    </row>
    <row r="34" spans="1:13" ht="31.5">
      <c r="A34" s="366"/>
      <c r="B34" s="367">
        <v>45224</v>
      </c>
      <c r="C34" s="364" t="s">
        <v>937</v>
      </c>
      <c r="D34" s="368">
        <v>2215</v>
      </c>
      <c r="E34" s="281">
        <v>32.494</v>
      </c>
      <c r="F34" s="92" t="s">
        <v>259</v>
      </c>
      <c r="G34" s="277" t="s">
        <v>935</v>
      </c>
      <c r="H34" s="356"/>
      <c r="I34" s="356"/>
      <c r="J34" s="356"/>
      <c r="K34" s="20"/>
      <c r="L34" s="20"/>
      <c r="M34" s="357"/>
    </row>
    <row r="35" spans="1:13" ht="15.75">
      <c r="A35" s="242">
        <v>28</v>
      </c>
      <c r="B35" s="236">
        <v>45224</v>
      </c>
      <c r="C35" s="242">
        <v>202</v>
      </c>
      <c r="D35" s="238">
        <v>2323.1</v>
      </c>
      <c r="E35" s="363" t="s">
        <v>938</v>
      </c>
      <c r="F35" s="92" t="s">
        <v>259</v>
      </c>
      <c r="G35" s="92" t="s">
        <v>935</v>
      </c>
      <c r="H35" s="356"/>
      <c r="I35" s="356"/>
      <c r="J35" s="356"/>
      <c r="K35" s="20"/>
      <c r="L35" s="20"/>
      <c r="M35" s="357"/>
    </row>
    <row r="36" spans="1:13" ht="15.75">
      <c r="A36" s="242">
        <v>29</v>
      </c>
      <c r="B36" s="236">
        <v>45224</v>
      </c>
      <c r="C36" s="242">
        <v>203</v>
      </c>
      <c r="D36" s="238">
        <v>2346.91</v>
      </c>
      <c r="E36" s="363" t="s">
        <v>938</v>
      </c>
      <c r="F36" s="92" t="s">
        <v>259</v>
      </c>
      <c r="G36" s="92" t="s">
        <v>935</v>
      </c>
      <c r="H36" s="356"/>
      <c r="I36" s="356"/>
      <c r="J36" s="356"/>
      <c r="K36" s="20"/>
      <c r="L36" s="20"/>
      <c r="M36" s="357"/>
    </row>
    <row r="37" spans="1:13" ht="15.75">
      <c r="A37" s="242">
        <v>30</v>
      </c>
      <c r="B37" s="236">
        <v>45224</v>
      </c>
      <c r="C37" s="242">
        <v>280</v>
      </c>
      <c r="D37" s="238">
        <v>2370.7399999999998</v>
      </c>
      <c r="E37" s="238">
        <v>36.450000000000003</v>
      </c>
      <c r="F37" s="92" t="s">
        <v>259</v>
      </c>
      <c r="G37" s="92" t="s">
        <v>935</v>
      </c>
      <c r="H37" s="356"/>
      <c r="I37" s="356"/>
      <c r="J37" s="356"/>
      <c r="K37" s="20"/>
      <c r="L37" s="20"/>
      <c r="M37" s="357"/>
    </row>
    <row r="38" spans="1:13" ht="15.75">
      <c r="A38" s="242">
        <v>31</v>
      </c>
      <c r="B38" s="236">
        <v>45224</v>
      </c>
      <c r="C38" s="242">
        <v>290</v>
      </c>
      <c r="D38" s="238">
        <v>2324.6999999999998</v>
      </c>
      <c r="E38" s="238">
        <v>36.659999999999997</v>
      </c>
      <c r="F38" s="92" t="s">
        <v>259</v>
      </c>
      <c r="G38" s="92" t="s">
        <v>935</v>
      </c>
      <c r="H38" s="356"/>
      <c r="I38" s="356"/>
      <c r="J38" s="356"/>
      <c r="K38" s="20"/>
      <c r="L38" s="20"/>
      <c r="M38" s="357"/>
    </row>
    <row r="39" spans="1:13" ht="15.75">
      <c r="A39" s="242">
        <v>32</v>
      </c>
      <c r="B39" s="236">
        <v>45224</v>
      </c>
      <c r="C39" s="242">
        <v>269</v>
      </c>
      <c r="D39" s="238">
        <v>2333.75</v>
      </c>
      <c r="E39" s="238">
        <v>36.25</v>
      </c>
      <c r="F39" s="92" t="s">
        <v>259</v>
      </c>
      <c r="G39" s="92" t="s">
        <v>935</v>
      </c>
      <c r="H39" s="356"/>
      <c r="I39" s="356"/>
      <c r="J39" s="356"/>
      <c r="K39" s="20"/>
      <c r="L39" s="20"/>
      <c r="M39" s="357"/>
    </row>
    <row r="40" spans="1:13" ht="15.75">
      <c r="A40" s="242">
        <v>33</v>
      </c>
      <c r="B40" s="236">
        <v>45224</v>
      </c>
      <c r="C40" s="242">
        <v>279</v>
      </c>
      <c r="D40" s="238">
        <v>2334.09</v>
      </c>
      <c r="E40" s="238">
        <v>36.03</v>
      </c>
      <c r="F40" s="92" t="s">
        <v>259</v>
      </c>
      <c r="G40" s="92" t="s">
        <v>935</v>
      </c>
      <c r="H40" s="356"/>
      <c r="I40" s="356"/>
      <c r="J40" s="356"/>
      <c r="K40" s="20"/>
      <c r="L40" s="20"/>
      <c r="M40" s="357"/>
    </row>
    <row r="41" spans="1:13" ht="15.75">
      <c r="A41" s="242">
        <v>34</v>
      </c>
      <c r="B41" s="236">
        <v>45224</v>
      </c>
      <c r="C41" s="242">
        <v>401</v>
      </c>
      <c r="D41" s="238">
        <v>2377.4</v>
      </c>
      <c r="E41" s="238">
        <v>35.96</v>
      </c>
      <c r="F41" s="92" t="s">
        <v>259</v>
      </c>
      <c r="G41" s="92" t="s">
        <v>935</v>
      </c>
      <c r="H41" s="356"/>
      <c r="I41" s="356"/>
      <c r="J41" s="356"/>
      <c r="K41" s="20"/>
      <c r="L41" s="20"/>
      <c r="M41" s="357"/>
    </row>
    <row r="42" spans="1:13" ht="15.75">
      <c r="A42" s="242">
        <v>35</v>
      </c>
      <c r="B42" s="236">
        <v>45224</v>
      </c>
      <c r="C42" s="242">
        <v>533</v>
      </c>
      <c r="D42" s="238">
        <v>2377.4</v>
      </c>
      <c r="E42" s="238">
        <v>36.03</v>
      </c>
      <c r="F42" s="92" t="s">
        <v>259</v>
      </c>
      <c r="G42" s="92" t="s">
        <v>935</v>
      </c>
      <c r="H42" s="356"/>
      <c r="I42" s="356"/>
      <c r="J42" s="356"/>
      <c r="K42" s="20"/>
      <c r="L42" s="20"/>
      <c r="M42" s="357"/>
    </row>
    <row r="43" spans="1:13" ht="15.75">
      <c r="A43" s="242">
        <v>36</v>
      </c>
      <c r="B43" s="236">
        <v>45224</v>
      </c>
      <c r="C43" s="242">
        <v>268</v>
      </c>
      <c r="D43" s="238">
        <v>2217.1999999999998</v>
      </c>
      <c r="E43" s="238">
        <v>36.36</v>
      </c>
      <c r="F43" s="92" t="s">
        <v>259</v>
      </c>
      <c r="G43" s="92" t="s">
        <v>935</v>
      </c>
      <c r="H43" s="356"/>
      <c r="I43" s="356"/>
      <c r="J43" s="356"/>
      <c r="K43" s="20"/>
      <c r="L43" s="20"/>
      <c r="M43" s="357"/>
    </row>
    <row r="44" spans="1:13" ht="15.75">
      <c r="A44" s="242">
        <v>37</v>
      </c>
      <c r="B44" s="236">
        <v>45224</v>
      </c>
      <c r="C44" s="242">
        <v>455</v>
      </c>
      <c r="D44" s="238">
        <v>2374.86</v>
      </c>
      <c r="E44" s="363" t="s">
        <v>938</v>
      </c>
      <c r="F44" s="92" t="s">
        <v>259</v>
      </c>
      <c r="G44" s="92" t="s">
        <v>935</v>
      </c>
      <c r="H44" s="356"/>
      <c r="I44" s="356"/>
      <c r="J44" s="356"/>
      <c r="K44" s="20"/>
      <c r="L44" s="20"/>
      <c r="M44" s="357"/>
    </row>
    <row r="45" spans="1:13" ht="31.5">
      <c r="A45" s="358"/>
      <c r="B45" s="352">
        <v>45224</v>
      </c>
      <c r="C45" s="364" t="s">
        <v>937</v>
      </c>
      <c r="D45" s="355">
        <v>2229.8000000000002</v>
      </c>
      <c r="E45" s="281">
        <v>32.494</v>
      </c>
      <c r="F45" s="92" t="s">
        <v>259</v>
      </c>
      <c r="G45" s="277" t="s">
        <v>935</v>
      </c>
      <c r="H45" s="356"/>
      <c r="I45" s="356"/>
      <c r="J45" s="356"/>
      <c r="K45" s="20"/>
      <c r="L45" s="20"/>
      <c r="M45" s="357"/>
    </row>
    <row r="46" spans="1:13" ht="31.5">
      <c r="A46" s="358"/>
      <c r="B46" s="352">
        <v>45236</v>
      </c>
      <c r="C46" s="364" t="s">
        <v>760</v>
      </c>
      <c r="D46" s="355">
        <v>2278.8000000000002</v>
      </c>
      <c r="E46" s="281">
        <v>32.494</v>
      </c>
      <c r="F46" s="92" t="s">
        <v>259</v>
      </c>
      <c r="G46" s="277" t="s">
        <v>935</v>
      </c>
      <c r="H46" s="356"/>
      <c r="I46" s="356"/>
      <c r="J46" s="356"/>
      <c r="K46" s="20"/>
      <c r="L46" s="20"/>
      <c r="M46" s="357"/>
    </row>
    <row r="47" spans="1:13" ht="15.75">
      <c r="A47" s="242">
        <v>38</v>
      </c>
      <c r="B47" s="236">
        <v>45236</v>
      </c>
      <c r="C47" s="242">
        <v>236</v>
      </c>
      <c r="D47" s="238">
        <v>2400.11</v>
      </c>
      <c r="E47" s="363">
        <v>36.950000000000003</v>
      </c>
      <c r="F47" s="92" t="s">
        <v>259</v>
      </c>
      <c r="G47" s="92" t="s">
        <v>935</v>
      </c>
      <c r="H47" s="356"/>
      <c r="I47" s="356"/>
      <c r="J47" s="356"/>
      <c r="K47" s="20"/>
      <c r="L47" s="20"/>
      <c r="M47" s="357"/>
    </row>
    <row r="48" spans="1:13" ht="15.75">
      <c r="A48" s="242">
        <v>39</v>
      </c>
      <c r="B48" s="236">
        <v>45236</v>
      </c>
      <c r="C48" s="242">
        <v>258</v>
      </c>
      <c r="D48" s="238">
        <v>2365.4</v>
      </c>
      <c r="E48" s="363">
        <v>36.479999999999997</v>
      </c>
      <c r="F48" s="92" t="s">
        <v>259</v>
      </c>
      <c r="G48" s="92" t="s">
        <v>935</v>
      </c>
      <c r="H48" s="356"/>
      <c r="I48" s="356"/>
      <c r="J48" s="356"/>
      <c r="K48" s="20"/>
      <c r="L48" s="20"/>
      <c r="M48" s="357"/>
    </row>
    <row r="49" spans="1:13" ht="15.75">
      <c r="A49" s="242">
        <v>40</v>
      </c>
      <c r="B49" s="236">
        <v>45236</v>
      </c>
      <c r="C49" s="242">
        <v>213</v>
      </c>
      <c r="D49" s="238">
        <v>2358.4</v>
      </c>
      <c r="E49" s="363" t="s">
        <v>938</v>
      </c>
      <c r="F49" s="92" t="s">
        <v>259</v>
      </c>
      <c r="G49" s="92" t="s">
        <v>935</v>
      </c>
      <c r="H49" s="356"/>
      <c r="I49" s="356"/>
      <c r="J49" s="356"/>
      <c r="K49" s="20"/>
      <c r="L49" s="20"/>
      <c r="M49" s="357"/>
    </row>
    <row r="50" spans="1:13" ht="15.75">
      <c r="A50" s="242">
        <v>41</v>
      </c>
      <c r="B50" s="236">
        <v>45236</v>
      </c>
      <c r="C50" s="242">
        <v>214</v>
      </c>
      <c r="D50" s="238">
        <v>2355.4299999999998</v>
      </c>
      <c r="E50" s="363" t="s">
        <v>938</v>
      </c>
      <c r="F50" s="92" t="s">
        <v>259</v>
      </c>
      <c r="G50" s="92" t="s">
        <v>935</v>
      </c>
      <c r="H50" s="356"/>
      <c r="I50" s="356"/>
      <c r="J50" s="356"/>
      <c r="K50" s="20"/>
      <c r="L50" s="20"/>
      <c r="M50" s="357"/>
    </row>
    <row r="51" spans="1:13" ht="15.75">
      <c r="A51" s="242">
        <v>42</v>
      </c>
      <c r="B51" s="236">
        <v>45236</v>
      </c>
      <c r="C51" s="242">
        <v>346</v>
      </c>
      <c r="D51" s="238">
        <v>2412.0100000000002</v>
      </c>
      <c r="E51" s="238">
        <v>35.49</v>
      </c>
      <c r="F51" s="92" t="s">
        <v>259</v>
      </c>
      <c r="G51" s="92" t="s">
        <v>935</v>
      </c>
      <c r="H51" s="356"/>
      <c r="I51" s="356"/>
      <c r="J51" s="356"/>
      <c r="K51" s="20"/>
      <c r="L51" s="20"/>
      <c r="M51" s="357"/>
    </row>
    <row r="52" spans="1:13" ht="15.75">
      <c r="A52" s="242">
        <v>43</v>
      </c>
      <c r="B52" s="236">
        <v>45236</v>
      </c>
      <c r="C52" s="242">
        <v>345</v>
      </c>
      <c r="D52" s="238">
        <v>2344.56</v>
      </c>
      <c r="E52" s="238">
        <v>35.32</v>
      </c>
      <c r="F52" s="92" t="s">
        <v>259</v>
      </c>
      <c r="G52" s="92" t="s">
        <v>935</v>
      </c>
      <c r="H52" s="356"/>
      <c r="I52" s="356"/>
      <c r="J52" s="356"/>
      <c r="K52" s="20"/>
      <c r="L52" s="20"/>
      <c r="M52" s="357"/>
    </row>
    <row r="53" spans="1:13" ht="15.75">
      <c r="A53" s="242">
        <v>44</v>
      </c>
      <c r="B53" s="236">
        <v>45236</v>
      </c>
      <c r="C53" s="242">
        <v>445</v>
      </c>
      <c r="D53" s="238">
        <v>2363.2800000000002</v>
      </c>
      <c r="E53" s="238">
        <v>35.61</v>
      </c>
      <c r="F53" s="92" t="s">
        <v>259</v>
      </c>
      <c r="G53" s="92" t="s">
        <v>935</v>
      </c>
      <c r="H53" s="356"/>
      <c r="I53" s="356"/>
      <c r="J53" s="356"/>
      <c r="K53" s="20"/>
      <c r="L53" s="20"/>
      <c r="M53" s="357"/>
    </row>
    <row r="54" spans="1:13" ht="15.75">
      <c r="A54" s="242">
        <v>45</v>
      </c>
      <c r="B54" s="236">
        <v>45236</v>
      </c>
      <c r="C54" s="242">
        <v>444</v>
      </c>
      <c r="D54" s="238">
        <v>2346.02</v>
      </c>
      <c r="E54" s="238">
        <v>34.83</v>
      </c>
      <c r="F54" s="92" t="s">
        <v>259</v>
      </c>
      <c r="G54" s="92" t="s">
        <v>935</v>
      </c>
      <c r="H54" s="356"/>
      <c r="I54" s="356"/>
      <c r="J54" s="356"/>
      <c r="K54" s="20"/>
      <c r="L54" s="20"/>
      <c r="M54" s="357"/>
    </row>
    <row r="55" spans="1:13" ht="15.75">
      <c r="A55" s="242">
        <v>46</v>
      </c>
      <c r="B55" s="236">
        <v>45236</v>
      </c>
      <c r="C55" s="242">
        <v>379</v>
      </c>
      <c r="D55" s="238">
        <v>2372.33</v>
      </c>
      <c r="E55" s="363">
        <v>35.82</v>
      </c>
      <c r="F55" s="92" t="s">
        <v>259</v>
      </c>
      <c r="G55" s="92" t="s">
        <v>935</v>
      </c>
      <c r="H55" s="356"/>
      <c r="I55" s="356"/>
      <c r="J55" s="356"/>
      <c r="K55" s="20"/>
      <c r="L55" s="20"/>
      <c r="M55" s="357"/>
    </row>
    <row r="56" spans="1:13" ht="15.75">
      <c r="A56" s="242">
        <v>47</v>
      </c>
      <c r="B56" s="236">
        <v>45236</v>
      </c>
      <c r="C56" s="242">
        <v>390</v>
      </c>
      <c r="D56" s="238">
        <v>2363.0700000000002</v>
      </c>
      <c r="E56" s="363">
        <v>36.229999999999997</v>
      </c>
      <c r="F56" s="92" t="s">
        <v>259</v>
      </c>
      <c r="G56" s="92" t="s">
        <v>935</v>
      </c>
      <c r="H56" s="356"/>
      <c r="I56" s="356"/>
      <c r="J56" s="356"/>
      <c r="K56" s="20"/>
      <c r="L56" s="20"/>
      <c r="M56" s="357"/>
    </row>
    <row r="57" spans="1:13" ht="15.75">
      <c r="A57" s="242">
        <v>48</v>
      </c>
      <c r="B57" s="236">
        <v>45236</v>
      </c>
      <c r="C57" s="242">
        <v>224</v>
      </c>
      <c r="D57" s="238">
        <v>2355.21</v>
      </c>
      <c r="E57" s="363" t="s">
        <v>938</v>
      </c>
      <c r="F57" s="92" t="s">
        <v>259</v>
      </c>
      <c r="G57" s="92" t="s">
        <v>935</v>
      </c>
      <c r="H57" s="356"/>
      <c r="I57" s="356"/>
      <c r="J57" s="356"/>
      <c r="K57" s="20"/>
      <c r="L57" s="20"/>
      <c r="M57" s="357"/>
    </row>
    <row r="58" spans="1:13" ht="15.75">
      <c r="A58" s="242">
        <v>49</v>
      </c>
      <c r="B58" s="236">
        <v>45236</v>
      </c>
      <c r="C58" s="242">
        <v>335</v>
      </c>
      <c r="D58" s="238">
        <v>2395.2399999999998</v>
      </c>
      <c r="E58" s="363" t="s">
        <v>938</v>
      </c>
      <c r="F58" s="92" t="s">
        <v>259</v>
      </c>
      <c r="G58" s="92" t="s">
        <v>935</v>
      </c>
      <c r="H58" s="356"/>
      <c r="I58" s="356"/>
      <c r="J58" s="356"/>
      <c r="K58" s="20"/>
      <c r="L58" s="20"/>
      <c r="M58" s="357"/>
    </row>
    <row r="59" spans="1:13" ht="15.75">
      <c r="A59" s="242">
        <v>50</v>
      </c>
      <c r="B59" s="236">
        <v>45236</v>
      </c>
      <c r="C59" s="242">
        <v>313</v>
      </c>
      <c r="D59" s="238">
        <v>2377.56</v>
      </c>
      <c r="E59" s="363">
        <v>36.200000000000003</v>
      </c>
      <c r="F59" s="92" t="s">
        <v>259</v>
      </c>
      <c r="G59" s="92" t="s">
        <v>935</v>
      </c>
      <c r="H59" s="356"/>
      <c r="I59" s="356"/>
      <c r="J59" s="356"/>
      <c r="K59" s="20"/>
      <c r="L59" s="20"/>
      <c r="M59" s="357"/>
    </row>
    <row r="60" spans="1:13" ht="15.75">
      <c r="A60" s="242">
        <v>51</v>
      </c>
      <c r="B60" s="236">
        <v>45236</v>
      </c>
      <c r="C60" s="242">
        <v>301</v>
      </c>
      <c r="D60" s="238">
        <v>2403.75</v>
      </c>
      <c r="E60" s="363" t="s">
        <v>938</v>
      </c>
      <c r="F60" s="92" t="s">
        <v>259</v>
      </c>
      <c r="G60" s="92" t="s">
        <v>935</v>
      </c>
      <c r="H60" s="356"/>
      <c r="I60" s="356"/>
      <c r="J60" s="356"/>
      <c r="K60" s="20"/>
      <c r="L60" s="20"/>
      <c r="M60" s="357"/>
    </row>
    <row r="61" spans="1:13" ht="15.75">
      <c r="A61" s="242">
        <v>52</v>
      </c>
      <c r="B61" s="236">
        <v>45236</v>
      </c>
      <c r="C61" s="242">
        <v>323</v>
      </c>
      <c r="D61" s="238">
        <v>2395.86</v>
      </c>
      <c r="E61" s="238">
        <v>34.71</v>
      </c>
      <c r="F61" s="92" t="s">
        <v>259</v>
      </c>
      <c r="G61" s="92" t="s">
        <v>935</v>
      </c>
      <c r="H61" s="356"/>
      <c r="I61" s="356"/>
      <c r="J61" s="356"/>
      <c r="K61" s="20"/>
      <c r="L61" s="20"/>
      <c r="M61" s="357"/>
    </row>
    <row r="62" spans="1:13" ht="31.5">
      <c r="A62" s="358"/>
      <c r="B62" s="352">
        <v>45237</v>
      </c>
      <c r="C62" s="364" t="s">
        <v>434</v>
      </c>
      <c r="D62" s="365">
        <v>2228.8000000000002</v>
      </c>
      <c r="E62" s="281">
        <v>32.494</v>
      </c>
      <c r="F62" s="92" t="s">
        <v>259</v>
      </c>
      <c r="G62" s="277" t="s">
        <v>935</v>
      </c>
      <c r="H62" s="356"/>
      <c r="I62" s="356"/>
      <c r="J62" s="356"/>
      <c r="K62" s="20"/>
      <c r="L62" s="20"/>
      <c r="M62" s="357"/>
    </row>
    <row r="63" spans="1:13" ht="15.75">
      <c r="A63" s="242">
        <v>53</v>
      </c>
      <c r="B63" s="236">
        <v>45237</v>
      </c>
      <c r="C63" s="242">
        <v>302</v>
      </c>
      <c r="D63" s="238">
        <v>2397.2600000000002</v>
      </c>
      <c r="E63" s="363" t="s">
        <v>938</v>
      </c>
      <c r="F63" s="92" t="s">
        <v>259</v>
      </c>
      <c r="G63" s="92" t="s">
        <v>935</v>
      </c>
      <c r="H63" s="356"/>
      <c r="I63" s="356"/>
      <c r="J63" s="356"/>
      <c r="K63" s="20"/>
      <c r="L63" s="20"/>
      <c r="M63" s="357"/>
    </row>
    <row r="64" spans="1:13" ht="15.75">
      <c r="A64" s="242">
        <v>54</v>
      </c>
      <c r="B64" s="236">
        <v>45237</v>
      </c>
      <c r="C64" s="242">
        <v>334</v>
      </c>
      <c r="D64" s="238">
        <v>2401.6</v>
      </c>
      <c r="E64" s="238">
        <v>31.76</v>
      </c>
      <c r="F64" s="92" t="s">
        <v>259</v>
      </c>
      <c r="G64" s="92" t="s">
        <v>935</v>
      </c>
      <c r="H64" s="356"/>
      <c r="I64" s="356"/>
      <c r="J64" s="356"/>
      <c r="K64" s="20"/>
      <c r="L64" s="20"/>
      <c r="M64" s="357"/>
    </row>
    <row r="65" spans="1:13" ht="15.75">
      <c r="A65" s="242">
        <v>55</v>
      </c>
      <c r="B65" s="236">
        <v>45237</v>
      </c>
      <c r="C65" s="242">
        <v>477</v>
      </c>
      <c r="D65" s="238">
        <v>2375.02</v>
      </c>
      <c r="E65" s="238">
        <v>35.409999999999997</v>
      </c>
      <c r="F65" s="92" t="s">
        <v>259</v>
      </c>
      <c r="G65" s="92" t="s">
        <v>935</v>
      </c>
      <c r="H65" s="356"/>
      <c r="I65" s="356"/>
      <c r="J65" s="356"/>
      <c r="K65" s="20"/>
      <c r="L65" s="20"/>
      <c r="M65" s="357"/>
    </row>
    <row r="66" spans="1:13" ht="15.75">
      <c r="A66" s="242">
        <v>56</v>
      </c>
      <c r="B66" s="236">
        <v>45237</v>
      </c>
      <c r="C66" s="242">
        <v>478</v>
      </c>
      <c r="D66" s="238">
        <v>2380.9299999999998</v>
      </c>
      <c r="E66" s="238">
        <v>35.619999999999997</v>
      </c>
      <c r="F66" s="92" t="s">
        <v>259</v>
      </c>
      <c r="G66" s="92" t="s">
        <v>935</v>
      </c>
      <c r="H66" s="356"/>
      <c r="I66" s="356"/>
      <c r="J66" s="356"/>
      <c r="K66" s="20"/>
      <c r="L66" s="20"/>
      <c r="M66" s="357"/>
    </row>
    <row r="67" spans="1:13" ht="15.75">
      <c r="A67" s="242">
        <v>57</v>
      </c>
      <c r="B67" s="236">
        <v>45237</v>
      </c>
      <c r="C67" s="242">
        <v>609</v>
      </c>
      <c r="D67" s="238">
        <v>2375.6799999999998</v>
      </c>
      <c r="E67" s="238">
        <v>35.42</v>
      </c>
      <c r="F67" s="92" t="s">
        <v>259</v>
      </c>
      <c r="G67" s="92" t="s">
        <v>935</v>
      </c>
      <c r="H67" s="356"/>
      <c r="I67" s="356"/>
      <c r="J67" s="356"/>
      <c r="K67" s="20"/>
      <c r="L67" s="20"/>
      <c r="M67" s="357"/>
    </row>
    <row r="68" spans="1:13" ht="15.75">
      <c r="A68" s="242">
        <v>58</v>
      </c>
      <c r="B68" s="236">
        <v>45237</v>
      </c>
      <c r="C68" s="242">
        <v>610</v>
      </c>
      <c r="D68" s="238">
        <v>2393.9899999999998</v>
      </c>
      <c r="E68" s="238">
        <v>35.340000000000003</v>
      </c>
      <c r="F68" s="92" t="s">
        <v>259</v>
      </c>
      <c r="G68" s="92" t="s">
        <v>935</v>
      </c>
      <c r="H68" s="356"/>
      <c r="I68" s="356"/>
      <c r="J68" s="356"/>
      <c r="K68" s="20"/>
      <c r="L68" s="20"/>
      <c r="M68" s="357"/>
    </row>
    <row r="69" spans="1:13" ht="15.75">
      <c r="A69" s="242">
        <v>59</v>
      </c>
      <c r="B69" s="236">
        <v>45237</v>
      </c>
      <c r="C69" s="242">
        <v>587</v>
      </c>
      <c r="D69" s="238">
        <v>2373.2199999999998</v>
      </c>
      <c r="E69" s="238">
        <v>35.35</v>
      </c>
      <c r="F69" s="92" t="s">
        <v>259</v>
      </c>
      <c r="G69" s="92" t="s">
        <v>935</v>
      </c>
      <c r="H69" s="356"/>
      <c r="I69" s="356"/>
      <c r="J69" s="356"/>
      <c r="K69" s="20"/>
      <c r="L69" s="20"/>
      <c r="M69" s="357"/>
    </row>
    <row r="70" spans="1:13" ht="15.75">
      <c r="A70" s="242">
        <v>60</v>
      </c>
      <c r="B70" s="236">
        <v>45237</v>
      </c>
      <c r="C70" s="242">
        <v>588</v>
      </c>
      <c r="D70" s="238">
        <v>2402.17</v>
      </c>
      <c r="E70" s="238">
        <v>35.78</v>
      </c>
      <c r="F70" s="92" t="s">
        <v>259</v>
      </c>
      <c r="G70" s="92" t="s">
        <v>935</v>
      </c>
      <c r="H70" s="356"/>
      <c r="I70" s="356"/>
      <c r="J70" s="356"/>
      <c r="K70" s="20"/>
      <c r="L70" s="20"/>
      <c r="M70" s="357"/>
    </row>
    <row r="71" spans="1:13" ht="15.75">
      <c r="A71" s="242">
        <v>61</v>
      </c>
      <c r="B71" s="236">
        <v>45237</v>
      </c>
      <c r="C71" s="242">
        <v>367</v>
      </c>
      <c r="D71" s="238">
        <v>2373</v>
      </c>
      <c r="E71" s="238">
        <v>35.17</v>
      </c>
      <c r="F71" s="92" t="s">
        <v>259</v>
      </c>
      <c r="G71" s="92" t="s">
        <v>935</v>
      </c>
      <c r="H71" s="356"/>
      <c r="I71" s="356"/>
      <c r="J71" s="356"/>
      <c r="K71" s="20"/>
      <c r="L71" s="20"/>
      <c r="M71" s="357"/>
    </row>
    <row r="72" spans="1:13" ht="15.75">
      <c r="A72" s="242">
        <v>62</v>
      </c>
      <c r="B72" s="236">
        <v>45237</v>
      </c>
      <c r="C72" s="242">
        <v>368</v>
      </c>
      <c r="D72" s="238">
        <v>2364.5500000000002</v>
      </c>
      <c r="E72" s="238">
        <v>35.4</v>
      </c>
      <c r="F72" s="92" t="s">
        <v>259</v>
      </c>
      <c r="G72" s="92" t="s">
        <v>935</v>
      </c>
      <c r="H72" s="356"/>
      <c r="I72" s="356"/>
      <c r="J72" s="356"/>
      <c r="K72" s="20"/>
      <c r="L72" s="20"/>
      <c r="M72" s="357"/>
    </row>
    <row r="73" spans="1:13" ht="31.5">
      <c r="A73" s="358"/>
      <c r="B73" s="352">
        <v>45238</v>
      </c>
      <c r="C73" s="364" t="s">
        <v>417</v>
      </c>
      <c r="D73" s="355">
        <v>2242.5</v>
      </c>
      <c r="E73" s="281">
        <v>32.494</v>
      </c>
      <c r="F73" s="92" t="s">
        <v>259</v>
      </c>
      <c r="G73" s="277" t="s">
        <v>935</v>
      </c>
      <c r="H73" s="356"/>
      <c r="I73" s="356"/>
      <c r="J73" s="356"/>
      <c r="K73" s="20"/>
      <c r="L73" s="20"/>
      <c r="M73" s="357"/>
    </row>
    <row r="74" spans="1:13" ht="15.75">
      <c r="A74" s="242">
        <v>63</v>
      </c>
      <c r="B74" s="236">
        <v>45238</v>
      </c>
      <c r="C74" s="242">
        <v>357</v>
      </c>
      <c r="D74" s="238">
        <v>2304.9299999999998</v>
      </c>
      <c r="E74" s="238">
        <v>35.89</v>
      </c>
      <c r="F74" s="92" t="s">
        <v>259</v>
      </c>
      <c r="G74" s="92" t="s">
        <v>935</v>
      </c>
      <c r="H74" s="356"/>
      <c r="I74" s="356"/>
      <c r="J74" s="356"/>
      <c r="K74" s="20"/>
      <c r="L74" s="20"/>
      <c r="M74" s="357"/>
    </row>
    <row r="75" spans="1:13" ht="15.75">
      <c r="A75" s="242">
        <v>64</v>
      </c>
      <c r="B75" s="236">
        <v>45238</v>
      </c>
      <c r="C75" s="242">
        <v>356</v>
      </c>
      <c r="D75" s="238">
        <v>2422.67</v>
      </c>
      <c r="E75" s="238">
        <v>36.07</v>
      </c>
      <c r="F75" s="92" t="s">
        <v>259</v>
      </c>
      <c r="G75" s="92" t="s">
        <v>935</v>
      </c>
      <c r="H75" s="356"/>
      <c r="I75" s="356"/>
      <c r="J75" s="356"/>
      <c r="K75" s="20"/>
      <c r="L75" s="20"/>
      <c r="M75" s="357"/>
    </row>
    <row r="76" spans="1:13" ht="15.75">
      <c r="A76" s="242">
        <v>65</v>
      </c>
      <c r="B76" s="236">
        <v>45238</v>
      </c>
      <c r="C76" s="242">
        <v>378</v>
      </c>
      <c r="D76" s="238">
        <v>2310.1</v>
      </c>
      <c r="E76" s="238">
        <v>35.880000000000003</v>
      </c>
      <c r="F76" s="92" t="s">
        <v>259</v>
      </c>
      <c r="G76" s="92" t="s">
        <v>935</v>
      </c>
      <c r="H76" s="356"/>
      <c r="I76" s="356"/>
      <c r="J76" s="356"/>
      <c r="K76" s="20"/>
      <c r="L76" s="20"/>
      <c r="M76" s="357"/>
    </row>
    <row r="77" spans="1:13" ht="15.75">
      <c r="A77" s="242">
        <v>66</v>
      </c>
      <c r="B77" s="236">
        <v>45238</v>
      </c>
      <c r="C77" s="242">
        <v>225</v>
      </c>
      <c r="D77" s="238">
        <v>2430.6</v>
      </c>
      <c r="E77" s="363" t="s">
        <v>938</v>
      </c>
      <c r="F77" s="92" t="s">
        <v>259</v>
      </c>
      <c r="G77" s="92" t="s">
        <v>935</v>
      </c>
      <c r="H77" s="356"/>
      <c r="I77" s="356"/>
      <c r="J77" s="356"/>
      <c r="K77" s="20"/>
      <c r="L77" s="20"/>
      <c r="M77" s="357"/>
    </row>
    <row r="78" spans="1:13" ht="15.75">
      <c r="A78" s="242">
        <v>67</v>
      </c>
      <c r="B78" s="236">
        <v>45238</v>
      </c>
      <c r="C78" s="242">
        <v>456</v>
      </c>
      <c r="D78" s="238">
        <v>2438.58</v>
      </c>
      <c r="E78" s="363" t="s">
        <v>938</v>
      </c>
      <c r="F78" s="92" t="s">
        <v>259</v>
      </c>
      <c r="G78" s="92" t="s">
        <v>935</v>
      </c>
      <c r="H78" s="356"/>
      <c r="I78" s="356"/>
      <c r="J78" s="356"/>
      <c r="K78" s="20"/>
      <c r="L78" s="20"/>
      <c r="M78" s="357"/>
    </row>
    <row r="79" spans="1:13" ht="15.75">
      <c r="A79" s="242">
        <v>68</v>
      </c>
      <c r="B79" s="236">
        <v>45238</v>
      </c>
      <c r="C79" s="242">
        <v>389</v>
      </c>
      <c r="D79" s="238">
        <v>2390.33</v>
      </c>
      <c r="E79" s="238">
        <v>36.04</v>
      </c>
      <c r="F79" s="92" t="s">
        <v>259</v>
      </c>
      <c r="G79" s="92" t="s">
        <v>935</v>
      </c>
      <c r="H79" s="356"/>
      <c r="I79" s="356"/>
      <c r="J79" s="356"/>
      <c r="K79" s="20"/>
      <c r="L79" s="20"/>
      <c r="M79" s="357"/>
    </row>
    <row r="80" spans="1:13" ht="15.75">
      <c r="A80" s="242">
        <v>69</v>
      </c>
      <c r="B80" s="236">
        <v>45238</v>
      </c>
      <c r="C80" s="242">
        <v>434</v>
      </c>
      <c r="D80" s="238">
        <v>2391.21</v>
      </c>
      <c r="E80" s="363" t="s">
        <v>938</v>
      </c>
      <c r="F80" s="92" t="s">
        <v>259</v>
      </c>
      <c r="G80" s="92" t="s">
        <v>935</v>
      </c>
      <c r="H80" s="356"/>
      <c r="I80" s="356"/>
      <c r="J80" s="356"/>
      <c r="K80" s="20"/>
      <c r="L80" s="20"/>
      <c r="M80" s="357"/>
    </row>
    <row r="81" spans="1:13" ht="15.75">
      <c r="A81" s="242">
        <v>70</v>
      </c>
      <c r="B81" s="236">
        <v>45238</v>
      </c>
      <c r="C81" s="242">
        <v>423</v>
      </c>
      <c r="D81" s="238">
        <v>2398.61</v>
      </c>
      <c r="E81" s="238">
        <v>34.229999999999997</v>
      </c>
      <c r="F81" s="92" t="s">
        <v>259</v>
      </c>
      <c r="G81" s="92" t="s">
        <v>935</v>
      </c>
      <c r="H81" s="356"/>
      <c r="I81" s="356"/>
      <c r="J81" s="356"/>
      <c r="K81" s="20"/>
      <c r="L81" s="20"/>
      <c r="M81" s="357"/>
    </row>
    <row r="82" spans="1:13" ht="15.75">
      <c r="A82" s="242">
        <v>71</v>
      </c>
      <c r="B82" s="236">
        <v>45238</v>
      </c>
      <c r="C82" s="242">
        <v>510</v>
      </c>
      <c r="D82" s="238">
        <v>2405.7600000000002</v>
      </c>
      <c r="E82" s="238">
        <v>35.94</v>
      </c>
      <c r="F82" s="92" t="s">
        <v>259</v>
      </c>
      <c r="G82" s="92" t="s">
        <v>935</v>
      </c>
      <c r="H82" s="356"/>
      <c r="I82" s="356"/>
      <c r="J82" s="356"/>
      <c r="K82" s="20"/>
      <c r="L82" s="20"/>
      <c r="M82" s="357"/>
    </row>
    <row r="83" spans="1:13" ht="15.75">
      <c r="A83" s="242">
        <v>72</v>
      </c>
      <c r="B83" s="236">
        <v>45238</v>
      </c>
      <c r="C83" s="242">
        <v>433</v>
      </c>
      <c r="D83" s="238">
        <v>2396.48</v>
      </c>
      <c r="E83" s="363" t="s">
        <v>938</v>
      </c>
      <c r="F83" s="92" t="s">
        <v>259</v>
      </c>
      <c r="G83" s="92" t="s">
        <v>935</v>
      </c>
      <c r="H83" s="356"/>
      <c r="I83" s="356"/>
      <c r="J83" s="356"/>
      <c r="K83" s="20"/>
      <c r="L83" s="20"/>
      <c r="M83" s="357"/>
    </row>
    <row r="84" spans="1:13" ht="15.75">
      <c r="A84" s="242">
        <v>73</v>
      </c>
      <c r="B84" s="236">
        <v>45238</v>
      </c>
      <c r="C84" s="242">
        <v>324</v>
      </c>
      <c r="D84" s="238">
        <v>2409.9499999999998</v>
      </c>
      <c r="E84" s="363">
        <v>34.450000000000003</v>
      </c>
      <c r="F84" s="92" t="s">
        <v>259</v>
      </c>
      <c r="G84" s="92" t="s">
        <v>935</v>
      </c>
      <c r="H84" s="356"/>
      <c r="I84" s="356"/>
      <c r="J84" s="356"/>
      <c r="K84" s="20"/>
      <c r="L84" s="20"/>
      <c r="M84" s="357"/>
    </row>
    <row r="85" spans="1:13" ht="15.75">
      <c r="A85" s="242">
        <v>74</v>
      </c>
      <c r="B85" s="236">
        <v>45238</v>
      </c>
      <c r="C85" s="242">
        <v>412</v>
      </c>
      <c r="D85" s="238">
        <v>2399.35</v>
      </c>
      <c r="E85" s="238">
        <v>35.86</v>
      </c>
      <c r="F85" s="92" t="s">
        <v>259</v>
      </c>
      <c r="G85" s="92" t="s">
        <v>935</v>
      </c>
      <c r="H85" s="356"/>
      <c r="I85" s="356"/>
      <c r="J85" s="356"/>
      <c r="K85" s="20"/>
      <c r="L85" s="20"/>
      <c r="M85" s="357"/>
    </row>
    <row r="86" spans="1:13" ht="31.5">
      <c r="A86" s="358"/>
      <c r="B86" s="352">
        <v>45238</v>
      </c>
      <c r="C86" s="360" t="s">
        <v>417</v>
      </c>
      <c r="D86" s="359">
        <v>2254.8000000000002</v>
      </c>
      <c r="E86" s="281">
        <v>32.494</v>
      </c>
      <c r="F86" s="92" t="s">
        <v>21</v>
      </c>
      <c r="G86" s="277" t="s">
        <v>935</v>
      </c>
      <c r="H86" s="356"/>
      <c r="I86" s="356"/>
      <c r="J86" s="356"/>
      <c r="K86" s="20"/>
      <c r="L86" s="20"/>
      <c r="M86" s="357"/>
    </row>
    <row r="87" spans="1:13" ht="31.5">
      <c r="A87" s="358"/>
      <c r="B87" s="352">
        <v>45239</v>
      </c>
      <c r="C87" s="360" t="s">
        <v>435</v>
      </c>
      <c r="D87" s="359">
        <v>2234.8000000000002</v>
      </c>
      <c r="E87" s="281">
        <v>32.494</v>
      </c>
      <c r="F87" s="92" t="s">
        <v>259</v>
      </c>
      <c r="G87" s="277" t="s">
        <v>935</v>
      </c>
      <c r="H87" s="356"/>
      <c r="I87" s="356"/>
      <c r="J87" s="356"/>
      <c r="K87" s="20"/>
      <c r="L87" s="20"/>
      <c r="M87" s="357"/>
    </row>
    <row r="88" spans="1:13" ht="15.75">
      <c r="A88" s="242">
        <v>75</v>
      </c>
      <c r="B88" s="236">
        <v>45239</v>
      </c>
      <c r="C88" s="242">
        <v>400</v>
      </c>
      <c r="D88" s="238">
        <v>2400.33</v>
      </c>
      <c r="E88" s="238">
        <v>36.32</v>
      </c>
      <c r="F88" s="92" t="s">
        <v>259</v>
      </c>
      <c r="G88" s="92" t="s">
        <v>935</v>
      </c>
      <c r="H88" s="356"/>
      <c r="I88" s="356"/>
      <c r="J88" s="356"/>
      <c r="K88" s="20"/>
      <c r="L88" s="20"/>
      <c r="M88" s="357"/>
    </row>
    <row r="89" spans="1:13" ht="15.75">
      <c r="A89" s="242">
        <v>76</v>
      </c>
      <c r="B89" s="236">
        <v>45239</v>
      </c>
      <c r="C89" s="242">
        <v>422</v>
      </c>
      <c r="D89" s="238">
        <v>2366.9699999999998</v>
      </c>
      <c r="E89" s="238">
        <v>35.61</v>
      </c>
      <c r="F89" s="92" t="s">
        <v>259</v>
      </c>
      <c r="G89" s="92" t="s">
        <v>935</v>
      </c>
      <c r="H89" s="356"/>
      <c r="I89" s="356"/>
      <c r="J89" s="356"/>
      <c r="K89" s="20"/>
      <c r="L89" s="20"/>
      <c r="M89" s="357"/>
    </row>
    <row r="90" spans="1:13" ht="15.75">
      <c r="A90" s="242">
        <v>77</v>
      </c>
      <c r="B90" s="236">
        <v>45239</v>
      </c>
      <c r="C90" s="242">
        <v>466</v>
      </c>
      <c r="D90" s="238">
        <v>2389.6999999999998</v>
      </c>
      <c r="E90" s="238">
        <v>35.82</v>
      </c>
      <c r="F90" s="92" t="s">
        <v>259</v>
      </c>
      <c r="G90" s="92" t="s">
        <v>935</v>
      </c>
      <c r="H90" s="356"/>
      <c r="I90" s="356"/>
      <c r="J90" s="356"/>
      <c r="K90" s="20"/>
      <c r="L90" s="20"/>
      <c r="M90" s="357"/>
    </row>
    <row r="91" spans="1:13" ht="15.75">
      <c r="A91" s="242">
        <v>78</v>
      </c>
      <c r="B91" s="236">
        <v>45239</v>
      </c>
      <c r="C91" s="242">
        <v>467</v>
      </c>
      <c r="D91" s="238">
        <v>2394.77</v>
      </c>
      <c r="E91" s="238">
        <v>36.14</v>
      </c>
      <c r="F91" s="92" t="s">
        <v>259</v>
      </c>
      <c r="G91" s="92" t="s">
        <v>935</v>
      </c>
      <c r="H91" s="356"/>
      <c r="I91" s="356"/>
      <c r="J91" s="356"/>
      <c r="K91" s="20"/>
      <c r="L91" s="20"/>
      <c r="M91" s="357"/>
    </row>
    <row r="92" spans="1:13" ht="15.75">
      <c r="A92" s="242">
        <v>79</v>
      </c>
      <c r="B92" s="236">
        <v>45239</v>
      </c>
      <c r="C92" s="242">
        <v>532</v>
      </c>
      <c r="D92" s="238">
        <v>2388.7800000000002</v>
      </c>
      <c r="E92" s="238">
        <v>35.21</v>
      </c>
      <c r="F92" s="92" t="s">
        <v>259</v>
      </c>
      <c r="G92" s="92" t="s">
        <v>935</v>
      </c>
      <c r="H92" s="356"/>
      <c r="I92" s="356"/>
      <c r="J92" s="356"/>
      <c r="K92" s="20"/>
      <c r="L92" s="20"/>
      <c r="M92" s="357"/>
    </row>
    <row r="93" spans="1:13" ht="15.75">
      <c r="A93" s="242">
        <v>80</v>
      </c>
      <c r="B93" s="236">
        <v>45239</v>
      </c>
      <c r="C93" s="242">
        <v>521</v>
      </c>
      <c r="D93" s="238">
        <v>2403.69</v>
      </c>
      <c r="E93" s="238">
        <v>36.049999999999997</v>
      </c>
      <c r="F93" s="92" t="s">
        <v>259</v>
      </c>
      <c r="G93" s="92" t="s">
        <v>935</v>
      </c>
      <c r="H93" s="356"/>
      <c r="I93" s="356"/>
      <c r="J93" s="356"/>
      <c r="K93" s="20"/>
      <c r="L93" s="20"/>
      <c r="M93" s="357"/>
    </row>
    <row r="94" spans="1:13" ht="15.75">
      <c r="A94" s="242">
        <v>81</v>
      </c>
      <c r="B94" s="236">
        <v>45239</v>
      </c>
      <c r="C94" s="242">
        <v>522</v>
      </c>
      <c r="D94" s="238">
        <v>2395.2600000000002</v>
      </c>
      <c r="E94" s="238">
        <v>36.049999999999997</v>
      </c>
      <c r="F94" s="92" t="s">
        <v>259</v>
      </c>
      <c r="G94" s="92" t="s">
        <v>935</v>
      </c>
      <c r="H94" s="356"/>
      <c r="I94" s="356"/>
      <c r="J94" s="356"/>
      <c r="K94" s="20"/>
      <c r="L94" s="20"/>
      <c r="M94" s="357"/>
    </row>
    <row r="95" spans="1:13" ht="15.75">
      <c r="A95" s="242">
        <v>82</v>
      </c>
      <c r="B95" s="236">
        <v>45239</v>
      </c>
      <c r="C95" s="242">
        <v>511</v>
      </c>
      <c r="D95" s="238">
        <v>2341.94</v>
      </c>
      <c r="E95" s="238">
        <v>36.06</v>
      </c>
      <c r="F95" s="92" t="s">
        <v>259</v>
      </c>
      <c r="G95" s="92" t="s">
        <v>935</v>
      </c>
      <c r="H95" s="356"/>
      <c r="I95" s="356"/>
      <c r="J95" s="356"/>
      <c r="K95" s="20"/>
      <c r="L95" s="20"/>
      <c r="M95" s="357"/>
    </row>
    <row r="96" spans="1:13" ht="15.75">
      <c r="A96" s="242">
        <v>83</v>
      </c>
      <c r="B96" s="236">
        <v>45239</v>
      </c>
      <c r="C96" s="242">
        <v>499</v>
      </c>
      <c r="D96" s="238">
        <v>2318.48</v>
      </c>
      <c r="E96" s="238">
        <v>35.32</v>
      </c>
      <c r="F96" s="92" t="s">
        <v>259</v>
      </c>
      <c r="G96" s="92" t="s">
        <v>935</v>
      </c>
      <c r="H96" s="356"/>
      <c r="I96" s="356"/>
      <c r="J96" s="356"/>
      <c r="K96" s="20"/>
      <c r="L96" s="20"/>
      <c r="M96" s="357"/>
    </row>
    <row r="97" spans="1:13" ht="15.75">
      <c r="A97" s="242">
        <v>84</v>
      </c>
      <c r="B97" s="236">
        <v>45239</v>
      </c>
      <c r="C97" s="242">
        <v>500</v>
      </c>
      <c r="D97" s="238">
        <v>2336.3000000000002</v>
      </c>
      <c r="E97" s="238">
        <v>35.46</v>
      </c>
      <c r="F97" s="92" t="s">
        <v>259</v>
      </c>
      <c r="G97" s="92" t="s">
        <v>935</v>
      </c>
      <c r="H97" s="356"/>
      <c r="I97" s="356"/>
      <c r="J97" s="356"/>
      <c r="K97" s="20"/>
      <c r="L97" s="20"/>
      <c r="M97" s="357"/>
    </row>
    <row r="98" spans="1:13" ht="15.75">
      <c r="A98" s="242">
        <v>85</v>
      </c>
      <c r="B98" s="236">
        <v>45239</v>
      </c>
      <c r="C98" s="242">
        <v>543</v>
      </c>
      <c r="D98" s="238">
        <v>2343.34</v>
      </c>
      <c r="E98" s="238">
        <v>35.24</v>
      </c>
      <c r="F98" s="92" t="s">
        <v>259</v>
      </c>
      <c r="G98" s="92" t="s">
        <v>935</v>
      </c>
      <c r="H98" s="356"/>
      <c r="I98" s="356"/>
      <c r="J98" s="356"/>
      <c r="K98" s="20"/>
      <c r="L98" s="20"/>
      <c r="M98" s="357"/>
    </row>
    <row r="99" spans="1:13" ht="15.75">
      <c r="A99" s="242">
        <v>86</v>
      </c>
      <c r="B99" s="236">
        <v>45239</v>
      </c>
      <c r="C99" s="242">
        <v>544</v>
      </c>
      <c r="D99" s="238">
        <v>2372.36</v>
      </c>
      <c r="E99" s="238">
        <v>35.31</v>
      </c>
      <c r="F99" s="92" t="s">
        <v>259</v>
      </c>
      <c r="G99" s="92" t="s">
        <v>935</v>
      </c>
      <c r="H99" s="356"/>
      <c r="I99" s="356"/>
      <c r="J99" s="356"/>
      <c r="K99" s="20"/>
      <c r="L99" s="20"/>
      <c r="M99" s="357"/>
    </row>
    <row r="100" spans="1:13" ht="15.75">
      <c r="A100" s="242">
        <v>87</v>
      </c>
      <c r="B100" s="236">
        <v>45239</v>
      </c>
      <c r="C100" s="242">
        <v>411</v>
      </c>
      <c r="D100" s="238">
        <v>2407.6</v>
      </c>
      <c r="E100" s="238">
        <v>35.880000000000003</v>
      </c>
      <c r="F100" s="92" t="s">
        <v>259</v>
      </c>
      <c r="G100" s="92" t="s">
        <v>935</v>
      </c>
      <c r="H100" s="356"/>
      <c r="I100" s="356"/>
      <c r="J100" s="356"/>
      <c r="K100" s="20"/>
      <c r="L100" s="20"/>
      <c r="M100" s="357"/>
    </row>
    <row r="101" spans="1:13" ht="15.75">
      <c r="A101" s="242">
        <v>88</v>
      </c>
      <c r="B101" s="236">
        <v>45239</v>
      </c>
      <c r="C101" s="242">
        <v>554</v>
      </c>
      <c r="D101" s="238">
        <v>2330.5</v>
      </c>
      <c r="E101" s="238">
        <v>35.22</v>
      </c>
      <c r="F101" s="92" t="s">
        <v>259</v>
      </c>
      <c r="G101" s="92" t="s">
        <v>935</v>
      </c>
      <c r="H101" s="356"/>
      <c r="I101" s="356"/>
      <c r="J101" s="356"/>
      <c r="K101" s="20"/>
      <c r="L101" s="20"/>
      <c r="M101" s="357"/>
    </row>
    <row r="102" spans="1:13" ht="15.75">
      <c r="A102" s="242">
        <v>89</v>
      </c>
      <c r="B102" s="236">
        <v>45239</v>
      </c>
      <c r="C102" s="242">
        <v>555</v>
      </c>
      <c r="D102" s="238">
        <v>2357.79</v>
      </c>
      <c r="E102" s="238">
        <v>35.35</v>
      </c>
      <c r="F102" s="92" t="s">
        <v>259</v>
      </c>
      <c r="G102" s="92" t="s">
        <v>935</v>
      </c>
      <c r="H102" s="356"/>
      <c r="I102" s="356"/>
      <c r="J102" s="356"/>
      <c r="K102" s="20"/>
      <c r="L102" s="20"/>
      <c r="M102" s="357"/>
    </row>
    <row r="103" spans="1:13" ht="15.75">
      <c r="A103" s="242">
        <v>90</v>
      </c>
      <c r="B103" s="236">
        <v>45239</v>
      </c>
      <c r="C103" s="242">
        <v>565</v>
      </c>
      <c r="D103" s="238">
        <v>2346.8000000000002</v>
      </c>
      <c r="E103" s="238">
        <v>35.380000000000003</v>
      </c>
      <c r="F103" s="92" t="s">
        <v>259</v>
      </c>
      <c r="G103" s="92" t="s">
        <v>935</v>
      </c>
      <c r="H103" s="356"/>
      <c r="I103" s="356"/>
      <c r="J103" s="356"/>
      <c r="K103" s="20"/>
      <c r="L103" s="20"/>
      <c r="M103" s="357"/>
    </row>
    <row r="104" spans="1:13" ht="15.75">
      <c r="A104" s="242">
        <v>91</v>
      </c>
      <c r="B104" s="236">
        <v>45239</v>
      </c>
      <c r="C104" s="242">
        <v>566</v>
      </c>
      <c r="D104" s="238">
        <v>2350.4899999999998</v>
      </c>
      <c r="E104" s="238">
        <v>35.619999999999997</v>
      </c>
      <c r="F104" s="92" t="s">
        <v>259</v>
      </c>
      <c r="G104" s="92" t="s">
        <v>935</v>
      </c>
      <c r="H104" s="356"/>
      <c r="I104" s="356"/>
      <c r="J104" s="356"/>
      <c r="K104" s="20"/>
      <c r="L104" s="20"/>
      <c r="M104" s="357"/>
    </row>
    <row r="105" spans="1:13" ht="15.75">
      <c r="A105" s="242">
        <v>92</v>
      </c>
      <c r="B105" s="236">
        <v>45239</v>
      </c>
      <c r="C105" s="242">
        <v>576</v>
      </c>
      <c r="D105" s="238">
        <v>2395.92</v>
      </c>
      <c r="E105" s="238">
        <v>35.270000000000003</v>
      </c>
      <c r="F105" s="92" t="s">
        <v>259</v>
      </c>
      <c r="G105" s="92" t="s">
        <v>935</v>
      </c>
      <c r="H105" s="356"/>
      <c r="I105" s="356"/>
      <c r="J105" s="356"/>
      <c r="K105" s="20"/>
      <c r="L105" s="20"/>
      <c r="M105" s="357"/>
    </row>
    <row r="106" spans="1:13" ht="15.75">
      <c r="A106" s="242">
        <v>93</v>
      </c>
      <c r="B106" s="236">
        <v>45239</v>
      </c>
      <c r="C106" s="242">
        <v>577</v>
      </c>
      <c r="D106" s="238">
        <v>2374.77</v>
      </c>
      <c r="E106" s="238">
        <v>35.75</v>
      </c>
      <c r="F106" s="92" t="s">
        <v>259</v>
      </c>
      <c r="G106" s="92" t="s">
        <v>935</v>
      </c>
      <c r="H106" s="356"/>
      <c r="I106" s="356"/>
      <c r="J106" s="356"/>
      <c r="K106" s="20"/>
      <c r="L106" s="20"/>
      <c r="M106" s="357"/>
    </row>
    <row r="107" spans="1:13" ht="15.75">
      <c r="A107" s="242">
        <v>94</v>
      </c>
      <c r="B107" s="236">
        <v>45239</v>
      </c>
      <c r="C107" s="242">
        <v>312</v>
      </c>
      <c r="D107" s="238">
        <v>2414.23</v>
      </c>
      <c r="E107" s="238">
        <v>35.99</v>
      </c>
      <c r="F107" s="92" t="s">
        <v>259</v>
      </c>
      <c r="G107" s="92" t="s">
        <v>935</v>
      </c>
      <c r="H107" s="356"/>
      <c r="I107" s="356"/>
      <c r="J107" s="356"/>
      <c r="K107" s="20"/>
      <c r="L107" s="20"/>
      <c r="M107" s="357"/>
    </row>
    <row r="108" spans="1:13" ht="31.5">
      <c r="A108" s="358"/>
      <c r="B108" s="352">
        <v>45239</v>
      </c>
      <c r="C108" s="360" t="s">
        <v>435</v>
      </c>
      <c r="D108" s="359">
        <v>2229.6</v>
      </c>
      <c r="E108" s="281">
        <v>32.494</v>
      </c>
      <c r="F108" s="92" t="s">
        <v>259</v>
      </c>
      <c r="G108" s="277" t="s">
        <v>935</v>
      </c>
      <c r="H108" s="356"/>
      <c r="I108" s="356"/>
      <c r="J108" s="356"/>
      <c r="K108" s="20"/>
      <c r="L108" s="20"/>
      <c r="M108" s="357"/>
    </row>
    <row r="109" spans="1:13" ht="15.75">
      <c r="A109" s="369"/>
      <c r="B109" s="369"/>
      <c r="C109" s="369"/>
      <c r="D109" s="370"/>
      <c r="E109" s="370"/>
      <c r="F109" s="292"/>
      <c r="G109" s="371"/>
      <c r="H109" s="356"/>
      <c r="I109" s="356"/>
      <c r="J109" s="356"/>
      <c r="K109" s="20"/>
      <c r="L109" s="20"/>
      <c r="M109" s="357"/>
    </row>
    <row r="110" spans="1:13" ht="15.75">
      <c r="A110" s="369"/>
      <c r="B110" s="369"/>
      <c r="C110" s="369"/>
      <c r="D110" s="370"/>
      <c r="E110" s="370"/>
      <c r="F110" s="292"/>
      <c r="G110" s="371"/>
      <c r="H110" s="356"/>
      <c r="I110" s="356"/>
      <c r="J110" s="356"/>
      <c r="K110" s="20"/>
      <c r="L110" s="20"/>
      <c r="M110" s="357"/>
    </row>
    <row r="111" spans="1:13" ht="15.75">
      <c r="A111" s="369"/>
      <c r="B111" s="369"/>
      <c r="C111" s="369"/>
      <c r="D111" s="370"/>
      <c r="E111" s="370"/>
      <c r="F111" s="292"/>
      <c r="G111" s="371"/>
      <c r="H111" s="356"/>
      <c r="I111" s="356"/>
      <c r="J111" s="356"/>
      <c r="K111" s="20"/>
      <c r="L111" s="20"/>
      <c r="M111" s="357"/>
    </row>
    <row r="112" spans="1:13" ht="15.75">
      <c r="A112" s="369"/>
      <c r="B112" s="369"/>
      <c r="C112" s="369"/>
      <c r="D112" s="370"/>
      <c r="E112" s="370"/>
      <c r="F112" s="292"/>
      <c r="G112" s="371"/>
      <c r="H112" s="356"/>
      <c r="I112" s="356"/>
      <c r="J112" s="356"/>
      <c r="K112" s="20"/>
      <c r="L112" s="20"/>
      <c r="M112" s="357"/>
    </row>
    <row r="113" spans="1:13" ht="15.75">
      <c r="A113" s="369"/>
      <c r="B113" s="369"/>
      <c r="C113" s="369"/>
      <c r="D113" s="370"/>
      <c r="E113" s="370"/>
      <c r="F113" s="292"/>
      <c r="G113" s="371"/>
      <c r="H113" s="356"/>
      <c r="I113" s="356"/>
      <c r="J113" s="356"/>
      <c r="K113" s="20"/>
      <c r="L113" s="20"/>
      <c r="M113" s="357"/>
    </row>
    <row r="114" spans="1:13" ht="15.75">
      <c r="A114" s="369"/>
      <c r="B114" s="369"/>
      <c r="C114" s="369"/>
      <c r="D114" s="370"/>
      <c r="E114" s="370"/>
      <c r="F114" s="292"/>
      <c r="G114" s="371"/>
      <c r="H114" s="356"/>
      <c r="I114" s="356"/>
      <c r="J114" s="356"/>
      <c r="K114" s="20"/>
      <c r="L114" s="20"/>
      <c r="M114" s="357"/>
    </row>
    <row r="115" spans="1:13" ht="15.75">
      <c r="A115" s="369"/>
      <c r="B115" s="369"/>
      <c r="C115" s="369"/>
      <c r="D115" s="370"/>
      <c r="E115" s="370"/>
      <c r="F115" s="292"/>
      <c r="G115" s="371"/>
      <c r="H115" s="356"/>
      <c r="I115" s="356"/>
      <c r="J115" s="356"/>
      <c r="K115" s="20"/>
      <c r="L115" s="20"/>
      <c r="M115" s="357"/>
    </row>
    <row r="116" spans="1:13" ht="15.75">
      <c r="A116" s="369"/>
      <c r="B116" s="369"/>
      <c r="C116" s="369"/>
      <c r="D116" s="370"/>
      <c r="E116" s="370"/>
      <c r="F116" s="292"/>
      <c r="G116" s="371"/>
      <c r="H116" s="356"/>
      <c r="I116" s="356"/>
      <c r="J116" s="356"/>
      <c r="K116" s="20"/>
      <c r="L116" s="20"/>
      <c r="M116" s="357"/>
    </row>
    <row r="117" spans="1:13" ht="15.75">
      <c r="A117" s="369"/>
      <c r="B117" s="369"/>
      <c r="C117" s="369"/>
      <c r="D117" s="370"/>
      <c r="E117" s="370"/>
      <c r="F117" s="292"/>
      <c r="G117" s="371"/>
      <c r="H117" s="356"/>
      <c r="I117" s="356"/>
      <c r="J117" s="356"/>
      <c r="K117" s="20"/>
      <c r="L117" s="20"/>
      <c r="M117" s="357"/>
    </row>
    <row r="118" spans="1:13" ht="15.75">
      <c r="A118" s="369"/>
      <c r="B118" s="369"/>
      <c r="C118" s="369"/>
      <c r="D118" s="370"/>
      <c r="E118" s="370"/>
      <c r="F118" s="292"/>
      <c r="G118" s="371"/>
      <c r="H118" s="356"/>
      <c r="I118" s="356"/>
      <c r="J118" s="356"/>
      <c r="K118" s="20"/>
      <c r="L118" s="20"/>
      <c r="M118" s="357"/>
    </row>
    <row r="119" spans="1:13" ht="15.75">
      <c r="A119" s="369"/>
      <c r="B119" s="369"/>
      <c r="C119" s="369"/>
      <c r="D119" s="370"/>
      <c r="E119" s="370"/>
      <c r="F119" s="292"/>
      <c r="G119" s="371"/>
      <c r="H119" s="356"/>
      <c r="I119" s="356"/>
      <c r="J119" s="356"/>
      <c r="K119" s="20"/>
      <c r="L119" s="20"/>
      <c r="M119" s="357"/>
    </row>
    <row r="120" spans="1:13" ht="15.75">
      <c r="A120" s="369"/>
      <c r="B120" s="369"/>
      <c r="C120" s="369"/>
      <c r="D120" s="370"/>
      <c r="E120" s="370"/>
      <c r="F120" s="292"/>
      <c r="G120" s="371"/>
      <c r="H120" s="356"/>
      <c r="I120" s="356"/>
      <c r="J120" s="356"/>
      <c r="K120" s="20"/>
      <c r="L120" s="20"/>
      <c r="M120" s="357"/>
    </row>
    <row r="121" spans="1:13" ht="15.75">
      <c r="A121" s="369"/>
      <c r="B121" s="369"/>
      <c r="C121" s="369"/>
      <c r="D121" s="370"/>
      <c r="E121" s="370"/>
      <c r="F121" s="292"/>
      <c r="G121" s="371"/>
      <c r="H121" s="356"/>
      <c r="I121" s="356"/>
      <c r="J121" s="356"/>
      <c r="K121" s="20"/>
      <c r="L121" s="20"/>
      <c r="M121" s="357"/>
    </row>
    <row r="122" spans="1:13" ht="15.75">
      <c r="A122" s="369"/>
      <c r="B122" s="369"/>
      <c r="C122" s="369"/>
      <c r="D122" s="370"/>
      <c r="E122" s="370"/>
      <c r="F122" s="292"/>
      <c r="G122" s="371"/>
      <c r="H122" s="356"/>
      <c r="I122" s="356"/>
      <c r="J122" s="356"/>
      <c r="K122" s="20"/>
      <c r="L122" s="20"/>
      <c r="M122" s="357"/>
    </row>
    <row r="123" spans="1:13" ht="15.75">
      <c r="A123" s="369"/>
      <c r="B123" s="369"/>
      <c r="C123" s="369"/>
      <c r="D123" s="370"/>
      <c r="E123" s="370"/>
      <c r="F123" s="292"/>
      <c r="G123" s="371"/>
      <c r="H123" s="356"/>
      <c r="I123" s="356"/>
      <c r="J123" s="356"/>
      <c r="K123" s="20"/>
      <c r="L123" s="20"/>
      <c r="M123" s="357"/>
    </row>
    <row r="124" spans="1:13" ht="15.75">
      <c r="A124" s="369"/>
      <c r="B124" s="369"/>
      <c r="C124" s="369"/>
      <c r="D124" s="370"/>
      <c r="E124" s="370"/>
      <c r="F124" s="292"/>
      <c r="G124" s="371"/>
      <c r="H124" s="356"/>
      <c r="I124" s="356"/>
      <c r="J124" s="356"/>
      <c r="K124" s="20"/>
      <c r="L124" s="20"/>
      <c r="M124" s="357"/>
    </row>
    <row r="125" spans="1:13" ht="15.75">
      <c r="A125" s="369"/>
      <c r="B125" s="369"/>
      <c r="C125" s="369"/>
      <c r="D125" s="370"/>
      <c r="E125" s="370"/>
      <c r="F125" s="292"/>
      <c r="G125" s="371"/>
      <c r="H125" s="356"/>
      <c r="I125" s="356"/>
      <c r="J125" s="356"/>
      <c r="K125" s="20"/>
      <c r="L125" s="20"/>
      <c r="M125" s="357"/>
    </row>
    <row r="126" spans="1:13" ht="15.75">
      <c r="A126" s="369"/>
      <c r="B126" s="369"/>
      <c r="C126" s="369"/>
      <c r="D126" s="370"/>
      <c r="E126" s="370"/>
      <c r="F126" s="292"/>
      <c r="G126" s="371"/>
      <c r="H126" s="356"/>
      <c r="I126" s="356"/>
      <c r="J126" s="356"/>
      <c r="K126" s="20"/>
      <c r="L126" s="20"/>
      <c r="M126" s="357"/>
    </row>
    <row r="127" spans="1:13" ht="15.75">
      <c r="A127" s="369"/>
      <c r="B127" s="369"/>
      <c r="C127" s="369"/>
      <c r="D127" s="370"/>
      <c r="E127" s="370"/>
      <c r="F127" s="292"/>
      <c r="G127" s="371"/>
      <c r="H127" s="356"/>
      <c r="I127" s="356"/>
      <c r="J127" s="356"/>
      <c r="K127" s="20"/>
      <c r="L127" s="20"/>
      <c r="M127" s="357"/>
    </row>
    <row r="128" spans="1:13" ht="15.75">
      <c r="A128" s="369"/>
      <c r="B128" s="369"/>
      <c r="C128" s="369"/>
      <c r="D128" s="370"/>
      <c r="E128" s="370"/>
      <c r="F128" s="292"/>
      <c r="G128" s="371"/>
      <c r="H128" s="356"/>
      <c r="I128" s="356"/>
      <c r="J128" s="356"/>
      <c r="K128" s="20"/>
      <c r="L128" s="20"/>
      <c r="M128" s="357"/>
    </row>
    <row r="129" spans="1:13" ht="15.75">
      <c r="A129" s="369"/>
      <c r="B129" s="369"/>
      <c r="C129" s="369"/>
      <c r="D129" s="370"/>
      <c r="E129" s="370"/>
      <c r="F129" s="292"/>
      <c r="G129" s="371"/>
      <c r="H129" s="356"/>
      <c r="I129" s="356"/>
      <c r="J129" s="356"/>
      <c r="K129" s="20"/>
      <c r="L129" s="20"/>
      <c r="M129" s="357"/>
    </row>
    <row r="130" spans="1:13" ht="15.75">
      <c r="A130" s="369"/>
      <c r="B130" s="369"/>
      <c r="C130" s="369"/>
      <c r="D130" s="370"/>
      <c r="E130" s="370"/>
      <c r="F130" s="292"/>
      <c r="G130" s="371"/>
      <c r="H130" s="356"/>
      <c r="I130" s="356"/>
      <c r="J130" s="356"/>
      <c r="K130" s="20"/>
      <c r="L130" s="20"/>
      <c r="M130" s="357"/>
    </row>
    <row r="131" spans="1:13" ht="15.75">
      <c r="A131" s="369"/>
      <c r="B131" s="369"/>
      <c r="C131" s="369"/>
      <c r="D131" s="370"/>
      <c r="E131" s="370"/>
      <c r="F131" s="292"/>
      <c r="G131" s="371"/>
      <c r="H131" s="356"/>
      <c r="I131" s="356"/>
      <c r="J131" s="356"/>
      <c r="K131" s="20"/>
      <c r="L131" s="20"/>
      <c r="M131" s="357"/>
    </row>
    <row r="132" spans="1:13" ht="15.75">
      <c r="A132" s="369"/>
      <c r="B132" s="369"/>
      <c r="C132" s="369"/>
      <c r="D132" s="370"/>
      <c r="E132" s="370"/>
      <c r="F132" s="292"/>
      <c r="G132" s="371"/>
      <c r="H132" s="356"/>
      <c r="I132" s="356"/>
      <c r="J132" s="356"/>
      <c r="K132" s="20"/>
      <c r="L132" s="20"/>
      <c r="M132" s="357"/>
    </row>
    <row r="133" spans="1:13" ht="15.75">
      <c r="A133" s="369"/>
      <c r="B133" s="369"/>
      <c r="C133" s="369"/>
      <c r="D133" s="370"/>
      <c r="E133" s="370"/>
      <c r="F133" s="292"/>
      <c r="G133" s="371"/>
      <c r="H133" s="356"/>
      <c r="I133" s="356"/>
      <c r="J133" s="356"/>
      <c r="K133" s="20"/>
      <c r="L133" s="20"/>
      <c r="M133" s="357"/>
    </row>
    <row r="134" spans="1:13" ht="15.75">
      <c r="A134" s="369"/>
      <c r="B134" s="369"/>
      <c r="C134" s="369"/>
      <c r="D134" s="370"/>
      <c r="E134" s="370"/>
      <c r="F134" s="292"/>
      <c r="G134" s="371"/>
      <c r="H134" s="356"/>
      <c r="I134" s="356"/>
      <c r="J134" s="356"/>
      <c r="K134" s="20"/>
      <c r="M134" s="357"/>
    </row>
    <row r="135" spans="1:13" ht="15.75">
      <c r="A135" s="369"/>
      <c r="B135" s="369"/>
      <c r="C135" s="369"/>
      <c r="D135" s="370"/>
      <c r="E135" s="370"/>
      <c r="F135" s="292"/>
      <c r="G135" s="371"/>
      <c r="H135" s="356"/>
      <c r="I135" s="356"/>
      <c r="J135" s="356"/>
      <c r="K135" s="20"/>
      <c r="M135" s="357"/>
    </row>
    <row r="136" spans="1:13" ht="15.75">
      <c r="A136" s="369"/>
      <c r="B136" s="369"/>
      <c r="C136" s="369"/>
      <c r="D136" s="370"/>
      <c r="E136" s="370"/>
      <c r="F136" s="292"/>
      <c r="G136" s="371"/>
      <c r="H136" s="356"/>
      <c r="I136" s="356"/>
      <c r="J136" s="356"/>
      <c r="K136" s="20"/>
      <c r="L136" s="20"/>
      <c r="M136" s="357"/>
    </row>
    <row r="137" spans="1:13" ht="15.75">
      <c r="A137" s="369"/>
      <c r="B137" s="369"/>
      <c r="C137" s="369"/>
      <c r="D137" s="370"/>
      <c r="E137" s="370"/>
      <c r="F137" s="292"/>
      <c r="G137" s="371"/>
      <c r="H137" s="356"/>
      <c r="I137" s="356"/>
      <c r="J137" s="356"/>
      <c r="K137" s="20"/>
      <c r="L137" s="20"/>
      <c r="M137" s="357"/>
    </row>
    <row r="138" spans="1:13" ht="15.75">
      <c r="A138" s="369"/>
      <c r="B138" s="369"/>
      <c r="C138" s="369"/>
      <c r="D138" s="370"/>
      <c r="E138" s="370"/>
      <c r="F138" s="292"/>
      <c r="G138" s="371"/>
      <c r="H138" s="356"/>
      <c r="I138" s="356"/>
      <c r="J138" s="356"/>
      <c r="K138" s="20"/>
      <c r="L138" s="20"/>
      <c r="M138" s="357"/>
    </row>
    <row r="139" spans="1:13" ht="15.75">
      <c r="A139" s="369"/>
      <c r="B139" s="369"/>
      <c r="C139" s="369"/>
      <c r="D139" s="370"/>
      <c r="E139" s="370"/>
      <c r="F139" s="292"/>
      <c r="G139" s="371"/>
      <c r="H139" s="356"/>
      <c r="I139" s="356"/>
      <c r="J139" s="356"/>
      <c r="K139" s="20"/>
      <c r="L139" s="20"/>
      <c r="M139" s="357"/>
    </row>
    <row r="140" spans="1:13" ht="15.75">
      <c r="A140" s="369"/>
      <c r="B140" s="369"/>
      <c r="C140" s="369"/>
      <c r="D140" s="370"/>
      <c r="E140" s="370"/>
      <c r="F140" s="292"/>
      <c r="G140" s="371"/>
      <c r="H140" s="356"/>
      <c r="I140" s="356"/>
      <c r="J140" s="356"/>
      <c r="K140" s="20"/>
      <c r="L140" s="20"/>
      <c r="M140" s="357"/>
    </row>
    <row r="141" spans="1:13" ht="15.75">
      <c r="A141" s="369"/>
      <c r="B141" s="369"/>
      <c r="C141" s="369"/>
      <c r="D141" s="370"/>
      <c r="E141" s="370"/>
      <c r="F141" s="292"/>
      <c r="G141" s="371"/>
      <c r="H141" s="356"/>
      <c r="I141" s="356"/>
      <c r="J141" s="356"/>
      <c r="K141" s="20"/>
      <c r="L141" s="20"/>
      <c r="M141" s="357"/>
    </row>
    <row r="142" spans="1:13" ht="15.75">
      <c r="A142" s="369"/>
      <c r="B142" s="369"/>
      <c r="C142" s="369"/>
      <c r="D142" s="370"/>
      <c r="E142" s="370"/>
      <c r="F142" s="292"/>
      <c r="G142" s="371"/>
      <c r="H142" s="356"/>
      <c r="I142" s="356"/>
      <c r="J142" s="356"/>
      <c r="K142" s="20"/>
      <c r="L142" s="20"/>
      <c r="M142" s="357"/>
    </row>
    <row r="143" spans="1:13" ht="15.75">
      <c r="A143" s="369"/>
      <c r="B143" s="369"/>
      <c r="C143" s="369"/>
      <c r="D143" s="370"/>
      <c r="E143" s="370"/>
      <c r="F143" s="292"/>
      <c r="G143" s="371"/>
      <c r="H143" s="356"/>
      <c r="I143" s="356"/>
      <c r="J143" s="356"/>
      <c r="K143" s="20"/>
      <c r="L143" s="20"/>
      <c r="M143" s="357"/>
    </row>
    <row r="144" spans="1:13" ht="15.75">
      <c r="A144" s="369"/>
      <c r="B144" s="369"/>
      <c r="C144" s="369"/>
      <c r="D144" s="370"/>
      <c r="E144" s="370"/>
      <c r="F144" s="292"/>
      <c r="G144" s="371"/>
      <c r="H144" s="356"/>
      <c r="I144" s="356"/>
      <c r="J144" s="356"/>
      <c r="K144" s="20"/>
      <c r="L144" s="20"/>
      <c r="M144" s="357"/>
    </row>
    <row r="145" spans="1:13" ht="15.75">
      <c r="A145" s="369"/>
      <c r="B145" s="369"/>
      <c r="C145" s="369"/>
      <c r="D145" s="370"/>
      <c r="E145" s="370"/>
      <c r="F145" s="292"/>
      <c r="G145" s="371"/>
      <c r="H145" s="356"/>
      <c r="I145" s="356"/>
      <c r="J145" s="356"/>
      <c r="K145" s="20"/>
      <c r="L145" s="20"/>
      <c r="M145" s="357"/>
    </row>
    <row r="146" spans="1:13" ht="15.75">
      <c r="A146" s="369"/>
      <c r="B146" s="369"/>
      <c r="C146" s="369"/>
      <c r="D146" s="370"/>
      <c r="E146" s="370"/>
      <c r="F146" s="292"/>
      <c r="G146" s="371"/>
      <c r="H146" s="356"/>
      <c r="I146" s="356"/>
      <c r="J146" s="356"/>
      <c r="K146" s="20"/>
      <c r="L146" s="20"/>
      <c r="M146" s="357"/>
    </row>
    <row r="147" spans="1:13" ht="15.75">
      <c r="A147" s="369"/>
      <c r="B147" s="369"/>
      <c r="C147" s="369"/>
      <c r="D147" s="370"/>
      <c r="E147" s="370"/>
      <c r="F147" s="292"/>
      <c r="G147" s="371"/>
      <c r="H147" s="356"/>
      <c r="I147" s="356"/>
      <c r="J147" s="356"/>
      <c r="K147" s="20"/>
      <c r="L147" s="20"/>
      <c r="M147" s="357"/>
    </row>
    <row r="148" spans="1:13" ht="15.75">
      <c r="A148" s="369"/>
      <c r="B148" s="369"/>
      <c r="C148" s="369"/>
      <c r="D148" s="370"/>
      <c r="E148" s="370"/>
      <c r="F148" s="292"/>
      <c r="G148" s="371"/>
      <c r="H148" s="356"/>
      <c r="I148" s="356"/>
      <c r="J148" s="356"/>
      <c r="K148" s="20"/>
      <c r="L148" s="20"/>
      <c r="M148" s="357"/>
    </row>
    <row r="149" spans="1:13" ht="15.75">
      <c r="A149" s="369"/>
      <c r="B149" s="369"/>
      <c r="C149" s="369"/>
      <c r="D149" s="370"/>
      <c r="E149" s="370"/>
      <c r="F149" s="292"/>
      <c r="G149" s="371"/>
      <c r="H149" s="356"/>
      <c r="I149" s="356"/>
      <c r="J149" s="356"/>
      <c r="K149" s="20"/>
      <c r="L149" s="20"/>
      <c r="M149" s="357"/>
    </row>
    <row r="150" spans="1:13" ht="15.75">
      <c r="A150" s="369"/>
      <c r="B150" s="369"/>
      <c r="C150" s="369"/>
      <c r="D150" s="370"/>
      <c r="E150" s="370"/>
      <c r="F150" s="292"/>
      <c r="G150" s="371"/>
      <c r="H150" s="356"/>
      <c r="I150" s="356"/>
      <c r="J150" s="356"/>
      <c r="K150" s="20"/>
      <c r="L150" s="20"/>
      <c r="M150" s="357"/>
    </row>
    <row r="151" spans="1:13" ht="15.75">
      <c r="A151" s="369"/>
      <c r="B151" s="369"/>
      <c r="C151" s="369"/>
      <c r="D151" s="370"/>
      <c r="E151" s="370"/>
      <c r="F151" s="292"/>
      <c r="G151" s="371"/>
      <c r="H151" s="356"/>
      <c r="I151" s="356"/>
      <c r="J151" s="356"/>
      <c r="K151" s="20"/>
      <c r="L151" s="20"/>
      <c r="M151" s="357"/>
    </row>
    <row r="152" spans="1:13" ht="15.75">
      <c r="A152" s="369"/>
      <c r="B152" s="369"/>
      <c r="C152" s="369"/>
      <c r="D152" s="370"/>
      <c r="E152" s="370"/>
      <c r="F152" s="292"/>
      <c r="G152" s="371"/>
      <c r="H152" s="356"/>
      <c r="I152" s="356"/>
      <c r="J152" s="356"/>
      <c r="K152" s="20"/>
      <c r="L152" s="20"/>
      <c r="M152" s="357"/>
    </row>
    <row r="153" spans="1:13" ht="15.75">
      <c r="A153" s="369"/>
      <c r="B153" s="369"/>
      <c r="C153" s="369"/>
      <c r="D153" s="370"/>
      <c r="E153" s="370"/>
      <c r="F153" s="292"/>
      <c r="G153" s="371"/>
      <c r="H153" s="356"/>
      <c r="I153" s="356"/>
      <c r="J153" s="356"/>
      <c r="K153" s="20"/>
      <c r="L153" s="20"/>
      <c r="M153" s="357"/>
    </row>
    <row r="154" spans="1:13" ht="15.75">
      <c r="A154" s="369"/>
      <c r="B154" s="369"/>
      <c r="C154" s="369"/>
      <c r="D154" s="370"/>
      <c r="E154" s="370"/>
      <c r="F154" s="292"/>
      <c r="G154" s="371"/>
      <c r="H154" s="356"/>
      <c r="I154" s="356"/>
      <c r="J154" s="356"/>
      <c r="K154" s="20"/>
      <c r="L154" s="20"/>
      <c r="M154" s="357"/>
    </row>
    <row r="155" spans="1:13" ht="15.75">
      <c r="A155" s="369"/>
      <c r="B155" s="369"/>
      <c r="C155" s="369"/>
      <c r="D155" s="370"/>
      <c r="E155" s="370"/>
      <c r="F155" s="292"/>
      <c r="G155" s="371"/>
      <c r="H155" s="356"/>
      <c r="I155" s="356"/>
      <c r="J155" s="356"/>
      <c r="K155" s="20"/>
      <c r="L155" s="20"/>
      <c r="M155" s="357"/>
    </row>
    <row r="156" spans="1:13" ht="15.75">
      <c r="A156" s="369"/>
      <c r="B156" s="369"/>
      <c r="C156" s="369"/>
      <c r="D156" s="370"/>
      <c r="E156" s="370"/>
      <c r="F156" s="292"/>
      <c r="G156" s="371"/>
      <c r="H156" s="356"/>
      <c r="I156" s="356"/>
      <c r="J156" s="356"/>
      <c r="K156" s="20"/>
      <c r="L156" s="20"/>
      <c r="M156" s="357"/>
    </row>
    <row r="157" spans="1:13" ht="15.75">
      <c r="A157" s="369"/>
      <c r="B157" s="369"/>
      <c r="C157" s="369"/>
      <c r="D157" s="370"/>
      <c r="E157" s="370"/>
      <c r="F157" s="292"/>
      <c r="G157" s="371"/>
      <c r="H157" s="356"/>
      <c r="I157" s="356"/>
      <c r="J157" s="356"/>
      <c r="K157" s="20"/>
      <c r="L157" s="20"/>
      <c r="M157" s="357"/>
    </row>
    <row r="158" spans="1:13" ht="15.75">
      <c r="A158" s="369"/>
      <c r="B158" s="369"/>
      <c r="C158" s="369"/>
      <c r="D158" s="370"/>
      <c r="E158" s="370"/>
      <c r="F158" s="292"/>
      <c r="G158" s="371"/>
      <c r="H158" s="356"/>
      <c r="I158" s="356"/>
      <c r="J158" s="356"/>
      <c r="K158" s="20"/>
      <c r="L158" s="20"/>
      <c r="M158" s="357"/>
    </row>
    <row r="159" spans="1:13" ht="15.75">
      <c r="A159" s="369"/>
      <c r="B159" s="369"/>
      <c r="C159" s="369"/>
      <c r="D159" s="370"/>
      <c r="E159" s="370"/>
      <c r="F159" s="292"/>
      <c r="G159" s="371"/>
      <c r="H159" s="356"/>
      <c r="I159" s="356"/>
      <c r="J159" s="356"/>
      <c r="K159" s="20"/>
      <c r="L159" s="20"/>
      <c r="M159" s="357"/>
    </row>
    <row r="160" spans="1:13" ht="15.75">
      <c r="A160" s="369"/>
      <c r="B160" s="369"/>
      <c r="C160" s="369"/>
      <c r="D160" s="370"/>
      <c r="E160" s="370"/>
      <c r="F160" s="292"/>
      <c r="G160" s="371"/>
      <c r="H160" s="356"/>
      <c r="I160" s="356"/>
      <c r="J160" s="356"/>
      <c r="K160" s="20"/>
      <c r="L160" s="20"/>
      <c r="M160" s="357"/>
    </row>
    <row r="161" spans="1:13" ht="15.75">
      <c r="A161" s="369"/>
      <c r="B161" s="369"/>
      <c r="C161" s="369"/>
      <c r="D161" s="370"/>
      <c r="E161" s="370"/>
      <c r="F161" s="292"/>
      <c r="G161" s="371"/>
      <c r="H161" s="356"/>
      <c r="I161" s="356"/>
      <c r="J161" s="356"/>
      <c r="K161" s="20"/>
      <c r="L161" s="20"/>
      <c r="M161" s="357"/>
    </row>
    <row r="162" spans="1:13" ht="15.75">
      <c r="A162" s="369"/>
      <c r="B162" s="369"/>
      <c r="C162" s="369"/>
      <c r="D162" s="370"/>
      <c r="E162" s="370"/>
      <c r="F162" s="292"/>
      <c r="G162" s="371"/>
      <c r="H162" s="356"/>
      <c r="I162" s="356"/>
      <c r="J162" s="356"/>
      <c r="K162" s="20"/>
      <c r="L162" s="20"/>
      <c r="M162" s="357"/>
    </row>
    <row r="163" spans="1:13" ht="15.75">
      <c r="A163" s="369"/>
      <c r="B163" s="369"/>
      <c r="C163" s="369"/>
      <c r="D163" s="370"/>
      <c r="E163" s="370"/>
      <c r="F163" s="292"/>
      <c r="G163" s="371"/>
      <c r="H163" s="356"/>
      <c r="I163" s="356"/>
      <c r="J163" s="356"/>
      <c r="K163" s="20"/>
      <c r="L163" s="20"/>
      <c r="M163" s="357"/>
    </row>
    <row r="164" spans="1:13" ht="15.75">
      <c r="A164" s="369"/>
      <c r="B164" s="369"/>
      <c r="C164" s="369"/>
      <c r="D164" s="370"/>
      <c r="E164" s="370"/>
      <c r="F164" s="292"/>
      <c r="G164" s="371"/>
      <c r="H164" s="356"/>
      <c r="I164" s="356"/>
      <c r="J164" s="356"/>
      <c r="K164" s="20"/>
      <c r="L164" s="20"/>
      <c r="M164" s="357"/>
    </row>
    <row r="165" spans="1:13" ht="15.75">
      <c r="A165" s="369"/>
      <c r="B165" s="369"/>
      <c r="C165" s="369"/>
      <c r="D165" s="370"/>
      <c r="E165" s="370"/>
      <c r="F165" s="292"/>
      <c r="G165" s="371"/>
      <c r="H165" s="356"/>
      <c r="I165" s="356"/>
      <c r="J165" s="356"/>
      <c r="K165" s="20"/>
      <c r="L165" s="20"/>
      <c r="M165" s="357"/>
    </row>
    <row r="166" spans="1:13" ht="15.75">
      <c r="A166" s="369"/>
      <c r="B166" s="369"/>
      <c r="C166" s="369"/>
      <c r="D166" s="370"/>
      <c r="E166" s="370"/>
      <c r="F166" s="292"/>
      <c r="G166" s="371"/>
      <c r="H166" s="356"/>
      <c r="I166" s="356"/>
      <c r="J166" s="356"/>
      <c r="K166" s="20"/>
      <c r="L166" s="20"/>
      <c r="M166" s="357"/>
    </row>
    <row r="167" spans="1:13" ht="15.75">
      <c r="A167" s="369"/>
      <c r="B167" s="369"/>
      <c r="C167" s="369"/>
      <c r="D167" s="370"/>
      <c r="E167" s="370"/>
      <c r="F167" s="292"/>
      <c r="G167" s="371"/>
      <c r="H167" s="356"/>
      <c r="I167" s="356"/>
      <c r="J167" s="356"/>
      <c r="K167" s="20"/>
      <c r="L167" s="20"/>
      <c r="M167" s="357"/>
    </row>
    <row r="168" spans="1:13" ht="15.75">
      <c r="A168" s="369"/>
      <c r="B168" s="369"/>
      <c r="C168" s="369"/>
      <c r="D168" s="370"/>
      <c r="E168" s="370"/>
      <c r="F168" s="292"/>
      <c r="G168" s="371"/>
      <c r="H168" s="356"/>
      <c r="I168" s="356"/>
      <c r="J168" s="356"/>
      <c r="K168" s="20"/>
      <c r="L168" s="20"/>
      <c r="M168" s="357"/>
    </row>
    <row r="169" spans="1:13" ht="15.75">
      <c r="A169" s="369"/>
      <c r="B169" s="369"/>
      <c r="C169" s="369"/>
      <c r="D169" s="370"/>
      <c r="E169" s="370"/>
      <c r="F169" s="292"/>
      <c r="G169" s="371"/>
      <c r="H169" s="356"/>
      <c r="I169" s="356"/>
      <c r="J169" s="356"/>
      <c r="K169" s="20"/>
      <c r="L169" s="20"/>
      <c r="M169" s="357"/>
    </row>
    <row r="170" spans="1:13" ht="15.75">
      <c r="A170" s="369"/>
      <c r="B170" s="369"/>
      <c r="C170" s="369"/>
      <c r="D170" s="370"/>
      <c r="E170" s="370"/>
      <c r="F170" s="292"/>
      <c r="G170" s="371"/>
      <c r="H170" s="356"/>
      <c r="I170" s="356"/>
      <c r="J170" s="356"/>
      <c r="K170" s="20"/>
      <c r="L170" s="20"/>
      <c r="M170" s="357"/>
    </row>
    <row r="171" spans="1:13" ht="15.75">
      <c r="A171" s="369"/>
      <c r="B171" s="369"/>
      <c r="C171" s="369"/>
      <c r="D171" s="370"/>
      <c r="E171" s="370"/>
      <c r="F171" s="292"/>
      <c r="G171" s="371"/>
      <c r="H171" s="356"/>
      <c r="I171" s="356"/>
      <c r="J171" s="356"/>
      <c r="K171" s="20"/>
      <c r="L171" s="20"/>
      <c r="M171" s="357"/>
    </row>
    <row r="172" spans="1:13" ht="15.75">
      <c r="A172" s="369"/>
      <c r="B172" s="369"/>
      <c r="C172" s="369"/>
      <c r="D172" s="370"/>
      <c r="E172" s="370"/>
      <c r="F172" s="292"/>
      <c r="G172" s="371"/>
      <c r="H172" s="356"/>
      <c r="I172" s="356"/>
      <c r="J172" s="356"/>
      <c r="K172" s="20"/>
      <c r="L172" s="20"/>
      <c r="M172" s="357"/>
    </row>
    <row r="173" spans="1:13" ht="15.75">
      <c r="A173" s="369"/>
      <c r="B173" s="369"/>
      <c r="C173" s="369"/>
      <c r="D173" s="370"/>
      <c r="E173" s="370"/>
      <c r="F173" s="292"/>
      <c r="G173" s="371"/>
      <c r="H173" s="356"/>
      <c r="I173" s="356"/>
      <c r="J173" s="356"/>
      <c r="K173" s="20"/>
      <c r="L173" s="20"/>
      <c r="M173" s="357"/>
    </row>
    <row r="174" spans="1:13" ht="15.75">
      <c r="A174" s="369"/>
      <c r="B174" s="369"/>
      <c r="C174" s="369"/>
      <c r="D174" s="370"/>
      <c r="E174" s="370"/>
      <c r="F174" s="292"/>
      <c r="G174" s="371"/>
      <c r="H174" s="356"/>
      <c r="I174" s="356"/>
      <c r="J174" s="356"/>
      <c r="K174" s="20"/>
      <c r="L174" s="20"/>
      <c r="M174" s="357"/>
    </row>
    <row r="175" spans="1:13" ht="15.75">
      <c r="A175" s="369"/>
      <c r="B175" s="369"/>
      <c r="C175" s="369"/>
      <c r="D175" s="370"/>
      <c r="E175" s="370"/>
      <c r="F175" s="292"/>
      <c r="G175" s="371"/>
      <c r="H175" s="356"/>
      <c r="I175" s="356"/>
      <c r="J175" s="356"/>
      <c r="K175" s="20"/>
      <c r="L175" s="20"/>
      <c r="M175" s="357"/>
    </row>
    <row r="176" spans="1:13" ht="15.75">
      <c r="A176" s="369"/>
      <c r="B176" s="369"/>
      <c r="C176" s="369"/>
      <c r="D176" s="370"/>
      <c r="E176" s="370"/>
      <c r="F176" s="292"/>
      <c r="G176" s="371"/>
      <c r="H176" s="356"/>
      <c r="I176" s="356"/>
      <c r="J176" s="356"/>
      <c r="K176" s="20"/>
      <c r="L176" s="20"/>
      <c r="M176" s="357"/>
    </row>
    <row r="177" spans="1:13" ht="15.75">
      <c r="A177" s="369"/>
      <c r="B177" s="369"/>
      <c r="C177" s="369"/>
      <c r="D177" s="370"/>
      <c r="E177" s="370"/>
      <c r="F177" s="292"/>
      <c r="G177" s="371"/>
      <c r="H177" s="356"/>
      <c r="I177" s="356"/>
      <c r="J177" s="356"/>
      <c r="K177" s="20"/>
      <c r="L177" s="20"/>
      <c r="M177" s="357"/>
    </row>
    <row r="178" spans="1:13" ht="15.75">
      <c r="A178" s="369"/>
      <c r="B178" s="369"/>
      <c r="C178" s="369"/>
      <c r="D178" s="370"/>
      <c r="E178" s="370"/>
      <c r="F178" s="292"/>
      <c r="G178" s="371"/>
      <c r="H178" s="356"/>
      <c r="I178" s="356"/>
      <c r="J178" s="356"/>
      <c r="K178" s="20"/>
      <c r="L178" s="20"/>
      <c r="M178" s="357"/>
    </row>
    <row r="179" spans="1:13" ht="15.75">
      <c r="A179" s="369"/>
      <c r="B179" s="369"/>
      <c r="C179" s="369"/>
      <c r="D179" s="370"/>
      <c r="E179" s="370"/>
      <c r="F179" s="292"/>
      <c r="G179" s="371"/>
      <c r="H179" s="356"/>
      <c r="I179" s="356"/>
      <c r="J179" s="356"/>
      <c r="K179" s="20"/>
      <c r="L179" s="20"/>
      <c r="M179" s="357"/>
    </row>
    <row r="180" spans="1:13" ht="15.75">
      <c r="A180" s="369"/>
      <c r="B180" s="369"/>
      <c r="C180" s="369"/>
      <c r="D180" s="370"/>
      <c r="E180" s="370"/>
      <c r="F180" s="292"/>
      <c r="G180" s="371"/>
      <c r="H180" s="356"/>
      <c r="I180" s="356"/>
      <c r="J180" s="356"/>
      <c r="K180" s="20"/>
      <c r="L180" s="20"/>
      <c r="M180" s="357"/>
    </row>
    <row r="181" spans="1:13" ht="15.75">
      <c r="A181" s="369"/>
      <c r="B181" s="369"/>
      <c r="C181" s="369"/>
      <c r="D181" s="370"/>
      <c r="E181" s="370"/>
      <c r="F181" s="292"/>
      <c r="G181" s="371"/>
      <c r="H181" s="356"/>
      <c r="I181" s="356"/>
      <c r="J181" s="356"/>
      <c r="K181" s="20"/>
      <c r="L181" s="20"/>
      <c r="M181" s="357"/>
    </row>
    <row r="182" spans="1:13" ht="15.75">
      <c r="A182" s="369"/>
      <c r="B182" s="369"/>
      <c r="C182" s="369"/>
      <c r="D182" s="370"/>
      <c r="E182" s="370"/>
      <c r="F182" s="292"/>
      <c r="G182" s="371"/>
      <c r="H182" s="356"/>
      <c r="I182" s="356"/>
      <c r="J182" s="356"/>
      <c r="K182" s="20"/>
      <c r="L182" s="20"/>
      <c r="M182" s="357"/>
    </row>
    <row r="183" spans="1:13" ht="15.75">
      <c r="A183" s="369"/>
      <c r="B183" s="369"/>
      <c r="C183" s="369"/>
      <c r="D183" s="370"/>
      <c r="E183" s="370"/>
      <c r="F183" s="292"/>
      <c r="G183" s="371"/>
      <c r="H183" s="356"/>
      <c r="I183" s="356"/>
      <c r="J183" s="356"/>
      <c r="K183" s="20"/>
      <c r="L183" s="20"/>
      <c r="M183" s="357"/>
    </row>
    <row r="184" spans="1:13" ht="15.75">
      <c r="A184" s="369"/>
      <c r="B184" s="369"/>
      <c r="C184" s="369"/>
      <c r="D184" s="370"/>
      <c r="E184" s="370"/>
      <c r="F184" s="292"/>
      <c r="G184" s="371"/>
      <c r="H184" s="356"/>
      <c r="I184" s="356"/>
      <c r="J184" s="356"/>
      <c r="K184" s="20"/>
      <c r="L184" s="20"/>
      <c r="M184" s="357"/>
    </row>
    <row r="185" spans="1:13" ht="15.75">
      <c r="A185" s="369"/>
      <c r="B185" s="369"/>
      <c r="C185" s="369"/>
      <c r="D185" s="370"/>
      <c r="E185" s="370"/>
      <c r="F185" s="292"/>
      <c r="G185" s="371"/>
      <c r="H185" s="356"/>
      <c r="I185" s="356"/>
      <c r="J185" s="356"/>
      <c r="K185" s="20"/>
      <c r="L185" s="20"/>
      <c r="M185" s="357"/>
    </row>
    <row r="186" spans="1:13" ht="15.75">
      <c r="A186" s="369"/>
      <c r="B186" s="369"/>
      <c r="C186" s="369"/>
      <c r="D186" s="370"/>
      <c r="E186" s="370"/>
      <c r="F186" s="292"/>
      <c r="G186" s="371"/>
      <c r="H186" s="356"/>
      <c r="I186" s="356"/>
      <c r="J186" s="356"/>
      <c r="K186" s="20"/>
      <c r="L186" s="20"/>
      <c r="M186" s="357"/>
    </row>
    <row r="187" spans="1:13" ht="15.75">
      <c r="A187" s="369"/>
      <c r="B187" s="369"/>
      <c r="C187" s="369"/>
      <c r="D187" s="370"/>
      <c r="E187" s="370"/>
      <c r="F187" s="292"/>
      <c r="G187" s="371"/>
      <c r="H187" s="356"/>
      <c r="I187" s="356"/>
      <c r="J187" s="356"/>
      <c r="K187" s="20"/>
      <c r="L187" s="20"/>
      <c r="M187" s="357"/>
    </row>
    <row r="188" spans="1:13" ht="15.75">
      <c r="A188" s="369"/>
      <c r="B188" s="369"/>
      <c r="C188" s="369"/>
      <c r="D188" s="370"/>
      <c r="E188" s="370"/>
      <c r="F188" s="292"/>
      <c r="G188" s="371"/>
      <c r="H188" s="356"/>
      <c r="I188" s="356"/>
      <c r="J188" s="356"/>
      <c r="K188" s="20"/>
      <c r="L188" s="20"/>
      <c r="M188" s="357"/>
    </row>
    <row r="189" spans="1:13" ht="15.75">
      <c r="A189" s="369"/>
      <c r="B189" s="369"/>
      <c r="C189" s="369"/>
      <c r="D189" s="370"/>
      <c r="E189" s="370"/>
      <c r="F189" s="292"/>
      <c r="G189" s="371"/>
      <c r="H189" s="356"/>
      <c r="I189" s="356"/>
      <c r="J189" s="356"/>
      <c r="K189" s="20"/>
      <c r="L189" s="20"/>
      <c r="M189" s="357"/>
    </row>
    <row r="190" spans="1:13" ht="15.75">
      <c r="A190" s="369"/>
      <c r="B190" s="369"/>
      <c r="C190" s="369"/>
      <c r="D190" s="370"/>
      <c r="E190" s="370"/>
      <c r="F190" s="292"/>
      <c r="G190" s="371"/>
      <c r="H190" s="356"/>
      <c r="I190" s="356"/>
      <c r="J190" s="356"/>
      <c r="K190" s="20"/>
      <c r="L190" s="20"/>
      <c r="M190" s="357"/>
    </row>
    <row r="191" spans="1:13" ht="15.75">
      <c r="A191" s="369"/>
      <c r="B191" s="369"/>
      <c r="C191" s="369"/>
      <c r="D191" s="370"/>
      <c r="E191" s="370"/>
      <c r="F191" s="292"/>
      <c r="G191" s="371"/>
      <c r="H191" s="356"/>
      <c r="I191" s="356"/>
      <c r="J191" s="356"/>
      <c r="K191" s="20"/>
      <c r="L191" s="20"/>
      <c r="M191" s="357"/>
    </row>
    <row r="192" spans="1:13" ht="15.75">
      <c r="A192" s="369"/>
      <c r="B192" s="369"/>
      <c r="C192" s="369"/>
      <c r="D192" s="370"/>
      <c r="E192" s="370"/>
      <c r="F192" s="292"/>
      <c r="G192" s="371"/>
      <c r="H192" s="356"/>
      <c r="I192" s="356"/>
      <c r="J192" s="356"/>
      <c r="K192" s="20"/>
      <c r="L192" s="20"/>
      <c r="M192" s="357"/>
    </row>
    <row r="193" spans="1:13" ht="15.75">
      <c r="A193" s="369"/>
      <c r="B193" s="369"/>
      <c r="C193" s="369"/>
      <c r="D193" s="370"/>
      <c r="E193" s="370"/>
      <c r="F193" s="292"/>
      <c r="G193" s="371"/>
      <c r="H193" s="356"/>
      <c r="I193" s="356"/>
      <c r="J193" s="356"/>
      <c r="K193" s="20"/>
      <c r="L193" s="20"/>
      <c r="M193" s="357"/>
    </row>
    <row r="194" spans="1:13" ht="15.75">
      <c r="A194" s="369"/>
      <c r="B194" s="369"/>
      <c r="C194" s="369"/>
      <c r="D194" s="370"/>
      <c r="E194" s="370"/>
      <c r="F194" s="292"/>
      <c r="G194" s="371"/>
      <c r="H194" s="356"/>
      <c r="I194" s="356"/>
      <c r="J194" s="356"/>
      <c r="K194" s="20"/>
      <c r="L194" s="20"/>
      <c r="M194" s="357"/>
    </row>
    <row r="195" spans="1:13" ht="15.75">
      <c r="A195" s="369"/>
      <c r="B195" s="369"/>
      <c r="C195" s="369"/>
      <c r="D195" s="370"/>
      <c r="E195" s="370"/>
      <c r="F195" s="292"/>
      <c r="G195" s="371"/>
      <c r="H195" s="356"/>
      <c r="I195" s="356"/>
      <c r="J195" s="356"/>
      <c r="K195" s="20"/>
      <c r="L195" s="20"/>
      <c r="M195" s="357"/>
    </row>
    <row r="196" spans="1:13" ht="15.75">
      <c r="A196" s="369"/>
      <c r="B196" s="369"/>
      <c r="C196" s="369"/>
      <c r="D196" s="370"/>
      <c r="E196" s="370"/>
      <c r="F196" s="292"/>
      <c r="G196" s="371"/>
      <c r="H196" s="356"/>
      <c r="I196" s="356"/>
      <c r="J196" s="356"/>
      <c r="K196" s="20"/>
      <c r="L196" s="20"/>
      <c r="M196" s="357"/>
    </row>
    <row r="197" spans="1:13" ht="15.75">
      <c r="A197" s="369"/>
      <c r="B197" s="369"/>
      <c r="C197" s="369"/>
      <c r="D197" s="370"/>
      <c r="E197" s="370"/>
      <c r="F197" s="292"/>
      <c r="G197" s="371"/>
      <c r="H197" s="356"/>
      <c r="I197" s="356"/>
      <c r="J197" s="356"/>
      <c r="K197" s="20"/>
      <c r="L197" s="20"/>
      <c r="M197" s="357"/>
    </row>
    <row r="198" spans="1:13" ht="15.75">
      <c r="A198" s="369"/>
      <c r="B198" s="369"/>
      <c r="C198" s="369"/>
      <c r="D198" s="370"/>
      <c r="E198" s="370"/>
      <c r="F198" s="292"/>
      <c r="G198" s="371"/>
      <c r="H198" s="356"/>
      <c r="I198" s="356"/>
      <c r="J198" s="356"/>
      <c r="K198" s="20"/>
      <c r="L198" s="20"/>
      <c r="M198" s="357"/>
    </row>
    <row r="199" spans="1:13" ht="15.75">
      <c r="A199" s="369"/>
      <c r="B199" s="369"/>
      <c r="C199" s="369"/>
      <c r="D199" s="370"/>
      <c r="E199" s="370"/>
      <c r="F199" s="292"/>
      <c r="G199" s="371"/>
      <c r="H199" s="356"/>
      <c r="I199" s="356"/>
      <c r="J199" s="356"/>
      <c r="K199" s="20"/>
      <c r="L199" s="20"/>
      <c r="M199" s="357"/>
    </row>
    <row r="200" spans="1:13" ht="15.75">
      <c r="A200" s="369"/>
      <c r="B200" s="369"/>
      <c r="C200" s="369"/>
      <c r="D200" s="370"/>
      <c r="E200" s="370"/>
      <c r="F200" s="292"/>
      <c r="G200" s="371"/>
      <c r="H200" s="356"/>
      <c r="I200" s="356"/>
      <c r="J200" s="356"/>
      <c r="K200" s="20"/>
      <c r="L200" s="20"/>
      <c r="M200" s="357"/>
    </row>
    <row r="201" spans="1:13" ht="15.75">
      <c r="A201" s="369"/>
      <c r="B201" s="369"/>
      <c r="C201" s="369"/>
      <c r="D201" s="370"/>
      <c r="E201" s="370"/>
      <c r="F201" s="292"/>
      <c r="G201" s="371"/>
      <c r="H201" s="356"/>
      <c r="I201" s="356"/>
      <c r="J201" s="356"/>
      <c r="K201" s="20"/>
      <c r="L201" s="20"/>
      <c r="M201" s="357"/>
    </row>
    <row r="202" spans="1:13" ht="15.75">
      <c r="A202" s="369"/>
      <c r="B202" s="369"/>
      <c r="C202" s="369"/>
      <c r="D202" s="370"/>
      <c r="E202" s="370"/>
      <c r="F202" s="292"/>
      <c r="G202" s="371"/>
      <c r="H202" s="356"/>
      <c r="I202" s="356"/>
      <c r="J202" s="356"/>
      <c r="K202" s="20"/>
      <c r="L202" s="20"/>
      <c r="M202" s="357"/>
    </row>
    <row r="203" spans="1:13" ht="15.75">
      <c r="A203" s="369"/>
      <c r="B203" s="369"/>
      <c r="C203" s="369"/>
      <c r="D203" s="370"/>
      <c r="E203" s="370"/>
      <c r="F203" s="292"/>
      <c r="G203" s="371"/>
      <c r="H203" s="356"/>
      <c r="I203" s="356"/>
      <c r="J203" s="356"/>
      <c r="K203" s="20"/>
      <c r="L203" s="20"/>
      <c r="M203" s="357"/>
    </row>
    <row r="204" spans="1:13" ht="15.75">
      <c r="A204" s="369"/>
      <c r="B204" s="369"/>
      <c r="C204" s="369"/>
      <c r="D204" s="370"/>
      <c r="E204" s="370"/>
      <c r="F204" s="292"/>
      <c r="G204" s="371"/>
      <c r="H204" s="356"/>
      <c r="I204" s="356"/>
      <c r="J204" s="356"/>
      <c r="K204" s="20"/>
      <c r="L204" s="20"/>
      <c r="M204" s="357"/>
    </row>
    <row r="205" spans="1:13" ht="15.75">
      <c r="A205" s="369"/>
      <c r="B205" s="369"/>
      <c r="C205" s="369"/>
      <c r="D205" s="370"/>
      <c r="E205" s="370"/>
      <c r="F205" s="292"/>
      <c r="G205" s="371"/>
      <c r="H205" s="356"/>
      <c r="I205" s="356"/>
      <c r="J205" s="356"/>
      <c r="K205" s="20"/>
      <c r="L205" s="20"/>
      <c r="M205" s="357"/>
    </row>
    <row r="206" spans="1:13" ht="15.75">
      <c r="A206" s="369"/>
      <c r="B206" s="369"/>
      <c r="C206" s="369"/>
      <c r="D206" s="370"/>
      <c r="E206" s="370"/>
      <c r="F206" s="292"/>
      <c r="G206" s="371"/>
      <c r="H206" s="356"/>
      <c r="I206" s="356"/>
      <c r="J206" s="356"/>
      <c r="K206" s="20"/>
      <c r="L206" s="20"/>
      <c r="M206" s="357"/>
    </row>
    <row r="207" spans="1:13" ht="15.75">
      <c r="A207" s="369"/>
      <c r="B207" s="369"/>
      <c r="C207" s="369"/>
      <c r="D207" s="370"/>
      <c r="E207" s="370"/>
      <c r="F207" s="292"/>
      <c r="G207" s="371"/>
      <c r="H207" s="356"/>
      <c r="I207" s="356"/>
      <c r="J207" s="356"/>
      <c r="K207" s="20"/>
      <c r="L207" s="20"/>
      <c r="M207" s="357"/>
    </row>
    <row r="208" spans="1:13" ht="15.75">
      <c r="A208" s="369"/>
      <c r="B208" s="369"/>
      <c r="C208" s="369"/>
      <c r="D208" s="370"/>
      <c r="E208" s="370"/>
      <c r="F208" s="292"/>
      <c r="G208" s="371"/>
      <c r="H208" s="356"/>
      <c r="I208" s="356"/>
      <c r="J208" s="356"/>
      <c r="K208" s="20"/>
      <c r="L208" s="20"/>
      <c r="M208" s="357"/>
    </row>
    <row r="209" spans="1:13" ht="15.75">
      <c r="A209" s="369"/>
      <c r="B209" s="369"/>
      <c r="C209" s="369"/>
      <c r="D209" s="370"/>
      <c r="E209" s="370"/>
      <c r="F209" s="292"/>
      <c r="G209" s="371"/>
      <c r="H209" s="356"/>
      <c r="I209" s="356"/>
      <c r="J209" s="356"/>
      <c r="K209" s="20"/>
      <c r="L209" s="20"/>
      <c r="M209" s="357"/>
    </row>
    <row r="210" spans="1:13" ht="15.75">
      <c r="A210" s="369"/>
      <c r="B210" s="369"/>
      <c r="C210" s="369"/>
      <c r="D210" s="370"/>
      <c r="E210" s="370"/>
      <c r="F210" s="292"/>
      <c r="G210" s="371"/>
      <c r="H210" s="356"/>
      <c r="I210" s="356"/>
      <c r="J210" s="356"/>
      <c r="K210" s="20"/>
      <c r="L210" s="20"/>
      <c r="M210" s="357"/>
    </row>
    <row r="211" spans="1:13" ht="15.75">
      <c r="A211" s="369"/>
      <c r="B211" s="369"/>
      <c r="C211" s="369"/>
      <c r="D211" s="370"/>
      <c r="E211" s="370"/>
      <c r="F211" s="292"/>
      <c r="G211" s="371"/>
      <c r="H211" s="356"/>
      <c r="I211" s="356"/>
      <c r="J211" s="356"/>
      <c r="K211" s="20"/>
      <c r="L211" s="20"/>
      <c r="M211" s="357"/>
    </row>
    <row r="212" spans="1:13" ht="15.75">
      <c r="A212" s="369"/>
      <c r="B212" s="369"/>
      <c r="C212" s="369"/>
      <c r="D212" s="370"/>
      <c r="E212" s="370"/>
      <c r="F212" s="292"/>
      <c r="G212" s="371"/>
      <c r="H212" s="356"/>
      <c r="I212" s="356"/>
      <c r="J212" s="356"/>
      <c r="K212" s="20"/>
      <c r="L212" s="20"/>
      <c r="M212" s="357"/>
    </row>
    <row r="213" spans="1:13" ht="15.75">
      <c r="A213" s="369"/>
      <c r="B213" s="369"/>
      <c r="C213" s="369"/>
      <c r="D213" s="370"/>
      <c r="E213" s="370"/>
      <c r="F213" s="292"/>
      <c r="G213" s="371"/>
      <c r="H213" s="356"/>
      <c r="I213" s="356"/>
      <c r="J213" s="356"/>
      <c r="K213" s="20"/>
      <c r="L213" s="20"/>
      <c r="M213" s="357"/>
    </row>
    <row r="214" spans="1:13" ht="15.75">
      <c r="A214" s="369"/>
      <c r="B214" s="369"/>
      <c r="C214" s="369"/>
      <c r="D214" s="370"/>
      <c r="E214" s="370"/>
      <c r="F214" s="292"/>
      <c r="G214" s="371"/>
      <c r="H214" s="356"/>
      <c r="I214" s="356"/>
      <c r="J214" s="356"/>
      <c r="K214" s="20"/>
      <c r="L214" s="20"/>
      <c r="M214" s="357"/>
    </row>
    <row r="215" spans="1:13" ht="15.75">
      <c r="A215" s="369"/>
      <c r="B215" s="369"/>
      <c r="C215" s="369"/>
      <c r="D215" s="370"/>
      <c r="E215" s="370"/>
      <c r="F215" s="292"/>
      <c r="G215" s="371"/>
      <c r="H215" s="356"/>
      <c r="I215" s="356"/>
      <c r="J215" s="356"/>
      <c r="K215" s="20"/>
      <c r="L215" s="20"/>
      <c r="M215" s="357"/>
    </row>
    <row r="216" spans="1:13" ht="15.75">
      <c r="A216" s="369"/>
      <c r="B216" s="369"/>
      <c r="C216" s="369"/>
      <c r="D216" s="370"/>
      <c r="E216" s="370"/>
      <c r="F216" s="292"/>
      <c r="G216" s="371"/>
      <c r="H216" s="356"/>
      <c r="I216" s="356"/>
      <c r="J216" s="356"/>
      <c r="K216" s="20"/>
      <c r="L216" s="20"/>
      <c r="M216" s="357"/>
    </row>
    <row r="217" spans="1:13" ht="15.75">
      <c r="A217" s="369"/>
      <c r="B217" s="369"/>
      <c r="C217" s="369"/>
      <c r="D217" s="370"/>
      <c r="E217" s="370"/>
      <c r="F217" s="292"/>
      <c r="G217" s="371"/>
      <c r="H217" s="356"/>
      <c r="I217" s="356"/>
      <c r="J217" s="356"/>
      <c r="K217" s="20"/>
      <c r="L217" s="20"/>
      <c r="M217" s="357"/>
    </row>
    <row r="218" spans="1:13" ht="15.75">
      <c r="A218" s="369"/>
      <c r="B218" s="369"/>
      <c r="C218" s="369"/>
      <c r="D218" s="370"/>
      <c r="E218" s="370"/>
      <c r="F218" s="292"/>
      <c r="G218" s="371"/>
      <c r="H218" s="356"/>
      <c r="I218" s="356"/>
      <c r="J218" s="356"/>
      <c r="K218" s="20"/>
      <c r="L218" s="20"/>
      <c r="M218" s="357"/>
    </row>
    <row r="219" spans="1:13" ht="15.75">
      <c r="A219" s="369"/>
      <c r="B219" s="369"/>
      <c r="C219" s="369"/>
      <c r="D219" s="370"/>
      <c r="E219" s="370"/>
      <c r="F219" s="292"/>
      <c r="G219" s="371"/>
      <c r="H219" s="356"/>
      <c r="I219" s="356"/>
      <c r="J219" s="356"/>
      <c r="K219" s="20"/>
      <c r="L219" s="20"/>
      <c r="M219" s="357"/>
    </row>
    <row r="220" spans="1:13" ht="15.75">
      <c r="A220" s="369"/>
      <c r="B220" s="369"/>
      <c r="C220" s="369"/>
      <c r="D220" s="370"/>
      <c r="E220" s="370"/>
      <c r="F220" s="292"/>
      <c r="G220" s="371"/>
      <c r="H220" s="356"/>
      <c r="I220" s="356"/>
      <c r="J220" s="356"/>
      <c r="K220" s="20"/>
      <c r="L220" s="20"/>
      <c r="M220" s="357"/>
    </row>
    <row r="221" spans="1:13" ht="15.75">
      <c r="A221" s="369"/>
      <c r="B221" s="369"/>
      <c r="C221" s="369"/>
      <c r="D221" s="370"/>
      <c r="E221" s="370"/>
      <c r="F221" s="292"/>
      <c r="G221" s="371"/>
      <c r="H221" s="356"/>
      <c r="I221" s="356"/>
      <c r="J221" s="356"/>
      <c r="K221" s="20"/>
      <c r="L221" s="20"/>
      <c r="M221" s="357"/>
    </row>
    <row r="222" spans="1:13" ht="15.75">
      <c r="A222" s="369"/>
      <c r="B222" s="369"/>
      <c r="C222" s="369"/>
      <c r="D222" s="370"/>
      <c r="E222" s="370"/>
      <c r="F222" s="292"/>
      <c r="G222" s="371"/>
      <c r="H222" s="356"/>
      <c r="I222" s="356"/>
      <c r="J222" s="356"/>
      <c r="K222" s="20"/>
      <c r="L222" s="20"/>
      <c r="M222" s="357"/>
    </row>
    <row r="223" spans="1:13" ht="15.75">
      <c r="A223" s="369"/>
      <c r="B223" s="369"/>
      <c r="C223" s="369"/>
      <c r="D223" s="370"/>
      <c r="E223" s="370"/>
      <c r="F223" s="292"/>
      <c r="G223" s="371"/>
      <c r="H223" s="356"/>
      <c r="I223" s="356"/>
      <c r="J223" s="356"/>
      <c r="K223" s="20"/>
      <c r="L223" s="20"/>
      <c r="M223" s="357"/>
    </row>
    <row r="224" spans="1:13" ht="15.75">
      <c r="A224" s="369"/>
      <c r="B224" s="369"/>
      <c r="C224" s="369"/>
      <c r="D224" s="370"/>
      <c r="E224" s="370"/>
      <c r="F224" s="292"/>
      <c r="G224" s="371"/>
      <c r="H224" s="356"/>
      <c r="I224" s="356"/>
      <c r="J224" s="356"/>
      <c r="K224" s="20"/>
      <c r="L224" s="20"/>
      <c r="M224" s="357"/>
    </row>
    <row r="225" spans="1:13" ht="15.75">
      <c r="A225" s="369"/>
      <c r="B225" s="369"/>
      <c r="C225" s="369"/>
      <c r="D225" s="370"/>
      <c r="E225" s="370"/>
      <c r="F225" s="292"/>
      <c r="G225" s="371"/>
      <c r="H225" s="356"/>
      <c r="I225" s="356"/>
      <c r="J225" s="356"/>
      <c r="K225" s="20"/>
      <c r="L225" s="20"/>
      <c r="M225" s="357"/>
    </row>
    <row r="226" spans="1:13" ht="15.75">
      <c r="A226" s="369"/>
      <c r="B226" s="369"/>
      <c r="C226" s="369"/>
      <c r="D226" s="370"/>
      <c r="E226" s="370"/>
      <c r="F226" s="292"/>
      <c r="G226" s="371"/>
      <c r="H226" s="356"/>
      <c r="I226" s="356"/>
      <c r="J226" s="356"/>
      <c r="K226" s="20"/>
      <c r="L226" s="20"/>
      <c r="M226" s="357"/>
    </row>
    <row r="227" spans="1:13" ht="15.75">
      <c r="A227" s="369"/>
      <c r="B227" s="369"/>
      <c r="C227" s="369"/>
      <c r="D227" s="370"/>
      <c r="E227" s="370"/>
      <c r="F227" s="292"/>
      <c r="G227" s="371"/>
      <c r="H227" s="356"/>
      <c r="I227" s="356"/>
      <c r="J227" s="356"/>
      <c r="K227" s="20"/>
      <c r="L227" s="20"/>
      <c r="M227" s="357"/>
    </row>
    <row r="228" spans="1:13" ht="15.75">
      <c r="A228" s="369"/>
      <c r="B228" s="369"/>
      <c r="C228" s="369"/>
      <c r="D228" s="370"/>
      <c r="E228" s="370"/>
      <c r="F228" s="292"/>
      <c r="G228" s="371"/>
      <c r="H228" s="356"/>
      <c r="I228" s="356"/>
      <c r="J228" s="356"/>
      <c r="K228" s="20"/>
      <c r="L228" s="20"/>
      <c r="M228" s="357"/>
    </row>
    <row r="229" spans="1:13" ht="15.75">
      <c r="A229" s="369"/>
      <c r="B229" s="369"/>
      <c r="C229" s="369"/>
      <c r="D229" s="370"/>
      <c r="E229" s="370"/>
      <c r="F229" s="292"/>
      <c r="G229" s="371"/>
      <c r="H229" s="356"/>
      <c r="I229" s="356"/>
      <c r="J229" s="356"/>
      <c r="K229" s="20"/>
      <c r="L229" s="20"/>
      <c r="M229" s="357"/>
    </row>
    <row r="230" spans="1:13" ht="15.75">
      <c r="A230" s="369"/>
      <c r="B230" s="369"/>
      <c r="C230" s="369"/>
      <c r="D230" s="370"/>
      <c r="E230" s="370"/>
      <c r="F230" s="292"/>
      <c r="G230" s="371"/>
      <c r="H230" s="356"/>
      <c r="I230" s="356"/>
      <c r="J230" s="356"/>
      <c r="K230" s="20"/>
      <c r="L230" s="20"/>
      <c r="M230" s="357"/>
    </row>
    <row r="231" spans="1:13" ht="15.75">
      <c r="A231" s="369"/>
      <c r="B231" s="369"/>
      <c r="C231" s="369"/>
      <c r="D231" s="370"/>
      <c r="E231" s="370"/>
      <c r="F231" s="292"/>
      <c r="G231" s="371"/>
      <c r="H231" s="356"/>
      <c r="I231" s="356"/>
      <c r="J231" s="356"/>
      <c r="K231" s="20"/>
      <c r="L231" s="20"/>
      <c r="M231" s="357"/>
    </row>
    <row r="232" spans="1:13" ht="15.75">
      <c r="A232" s="369"/>
      <c r="B232" s="369"/>
      <c r="C232" s="369"/>
      <c r="D232" s="370"/>
      <c r="E232" s="370"/>
      <c r="F232" s="292"/>
      <c r="G232" s="371"/>
      <c r="H232" s="356"/>
      <c r="I232" s="356"/>
      <c r="J232" s="356"/>
      <c r="K232" s="20"/>
      <c r="L232" s="20"/>
      <c r="M232" s="357"/>
    </row>
    <row r="233" spans="1:13" ht="15.75">
      <c r="A233" s="369"/>
      <c r="B233" s="369"/>
      <c r="C233" s="369"/>
      <c r="D233" s="370"/>
      <c r="E233" s="370"/>
      <c r="F233" s="292"/>
      <c r="G233" s="371"/>
      <c r="H233" s="356"/>
      <c r="I233" s="356"/>
      <c r="J233" s="356"/>
      <c r="K233" s="20"/>
      <c r="L233" s="20"/>
      <c r="M233" s="357"/>
    </row>
    <row r="234" spans="1:13" ht="15.75">
      <c r="A234" s="369"/>
      <c r="B234" s="369"/>
      <c r="C234" s="369"/>
      <c r="D234" s="370"/>
      <c r="E234" s="370"/>
      <c r="F234" s="292"/>
      <c r="G234" s="371"/>
      <c r="H234" s="356"/>
      <c r="I234" s="356"/>
      <c r="J234" s="356"/>
      <c r="K234" s="20"/>
      <c r="L234" s="20"/>
      <c r="M234" s="357"/>
    </row>
    <row r="235" spans="1:13" ht="15.75">
      <c r="A235" s="369"/>
      <c r="B235" s="369"/>
      <c r="C235" s="369"/>
      <c r="D235" s="370"/>
      <c r="E235" s="370"/>
      <c r="F235" s="292"/>
      <c r="G235" s="371"/>
      <c r="H235" s="356"/>
      <c r="I235" s="356"/>
      <c r="J235" s="356"/>
      <c r="K235" s="20"/>
      <c r="L235" s="20"/>
      <c r="M235" s="357"/>
    </row>
    <row r="236" spans="1:13" ht="15.75">
      <c r="A236" s="369"/>
      <c r="B236" s="369"/>
      <c r="C236" s="369"/>
      <c r="D236" s="370"/>
      <c r="E236" s="370"/>
      <c r="F236" s="292"/>
      <c r="G236" s="371"/>
      <c r="H236" s="356"/>
      <c r="I236" s="356"/>
      <c r="J236" s="356"/>
      <c r="K236" s="20"/>
      <c r="L236" s="20"/>
      <c r="M236" s="357"/>
    </row>
    <row r="237" spans="1:13" ht="15.75">
      <c r="A237" s="369"/>
      <c r="B237" s="369"/>
      <c r="C237" s="369"/>
      <c r="D237" s="370"/>
      <c r="E237" s="370"/>
      <c r="F237" s="292"/>
      <c r="G237" s="371"/>
      <c r="H237" s="356"/>
      <c r="I237" s="356"/>
      <c r="J237" s="356"/>
      <c r="K237" s="20"/>
      <c r="L237" s="20"/>
      <c r="M237" s="357"/>
    </row>
    <row r="238" spans="1:13" ht="15.75">
      <c r="A238" s="369"/>
      <c r="B238" s="369"/>
      <c r="C238" s="369"/>
      <c r="D238" s="370"/>
      <c r="E238" s="370"/>
      <c r="F238" s="292"/>
      <c r="G238" s="371"/>
      <c r="H238" s="356"/>
      <c r="I238" s="356"/>
      <c r="J238" s="356"/>
      <c r="K238" s="20"/>
      <c r="L238" s="20"/>
      <c r="M238" s="357"/>
    </row>
    <row r="239" spans="1:13" ht="15.75">
      <c r="A239" s="369"/>
      <c r="B239" s="369"/>
      <c r="C239" s="369"/>
      <c r="D239" s="370"/>
      <c r="E239" s="370"/>
      <c r="F239" s="292"/>
      <c r="G239" s="371"/>
      <c r="H239" s="356"/>
      <c r="I239" s="356"/>
      <c r="J239" s="356"/>
      <c r="K239" s="20"/>
      <c r="L239" s="20"/>
      <c r="M239" s="357"/>
    </row>
    <row r="240" spans="1:13" ht="15.75">
      <c r="A240" s="369"/>
      <c r="B240" s="369"/>
      <c r="C240" s="369"/>
      <c r="D240" s="370"/>
      <c r="E240" s="370"/>
      <c r="F240" s="292"/>
      <c r="G240" s="371"/>
      <c r="H240" s="356"/>
      <c r="I240" s="356"/>
      <c r="J240" s="356"/>
      <c r="K240" s="20"/>
      <c r="L240" s="20"/>
      <c r="M240" s="357"/>
    </row>
    <row r="241" spans="1:13" ht="15.75">
      <c r="A241" s="369"/>
      <c r="B241" s="369"/>
      <c r="C241" s="369"/>
      <c r="D241" s="370"/>
      <c r="E241" s="370"/>
      <c r="F241" s="292"/>
      <c r="G241" s="371"/>
      <c r="H241" s="356"/>
      <c r="I241" s="356"/>
      <c r="J241" s="356"/>
      <c r="K241" s="20"/>
      <c r="L241" s="20"/>
      <c r="M241" s="357"/>
    </row>
    <row r="242" spans="1:13" ht="15.75">
      <c r="A242" s="369"/>
      <c r="B242" s="369"/>
      <c r="C242" s="369"/>
      <c r="D242" s="370"/>
      <c r="E242" s="370"/>
      <c r="F242" s="292"/>
      <c r="G242" s="371"/>
      <c r="H242" s="356"/>
      <c r="I242" s="356"/>
      <c r="J242" s="356"/>
      <c r="K242" s="20"/>
      <c r="L242" s="20"/>
      <c r="M242" s="357"/>
    </row>
    <row r="243" spans="1:13" ht="15.75">
      <c r="A243" s="369"/>
      <c r="B243" s="369"/>
      <c r="C243" s="369"/>
      <c r="D243" s="370"/>
      <c r="E243" s="370"/>
      <c r="F243" s="292"/>
      <c r="G243" s="371"/>
      <c r="H243" s="356"/>
      <c r="I243" s="356"/>
      <c r="J243" s="356"/>
      <c r="K243" s="20"/>
      <c r="L243" s="20"/>
      <c r="M243" s="357"/>
    </row>
    <row r="244" spans="1:13" ht="15.75">
      <c r="A244" s="369"/>
      <c r="B244" s="369"/>
      <c r="C244" s="369"/>
      <c r="D244" s="370"/>
      <c r="E244" s="370"/>
      <c r="F244" s="292"/>
      <c r="G244" s="371"/>
      <c r="H244" s="356"/>
      <c r="I244" s="356"/>
      <c r="J244" s="356"/>
      <c r="K244" s="20"/>
      <c r="L244" s="20"/>
      <c r="M244" s="357"/>
    </row>
    <row r="245" spans="1:13" ht="15.75">
      <c r="A245" s="369"/>
      <c r="B245" s="369"/>
      <c r="C245" s="369"/>
      <c r="D245" s="370"/>
      <c r="E245" s="370"/>
      <c r="F245" s="292"/>
      <c r="G245" s="371"/>
      <c r="H245" s="356"/>
      <c r="I245" s="356"/>
      <c r="J245" s="356"/>
      <c r="K245" s="20"/>
      <c r="L245" s="20"/>
      <c r="M245" s="357"/>
    </row>
    <row r="246" spans="1:13" ht="15.75">
      <c r="A246" s="369"/>
      <c r="B246" s="369"/>
      <c r="C246" s="369"/>
      <c r="D246" s="370"/>
      <c r="E246" s="370"/>
      <c r="F246" s="292"/>
      <c r="G246" s="371"/>
      <c r="H246" s="356"/>
      <c r="I246" s="356"/>
      <c r="J246" s="356"/>
      <c r="K246" s="20"/>
      <c r="L246" s="20"/>
      <c r="M246" s="357"/>
    </row>
    <row r="247" spans="1:13" ht="15.75">
      <c r="A247" s="369"/>
      <c r="B247" s="369"/>
      <c r="C247" s="369"/>
      <c r="D247" s="370"/>
      <c r="E247" s="370"/>
      <c r="F247" s="292"/>
      <c r="G247" s="371"/>
      <c r="H247" s="356"/>
      <c r="I247" s="356"/>
      <c r="J247" s="356"/>
      <c r="K247" s="20"/>
      <c r="L247" s="20"/>
      <c r="M247" s="357"/>
    </row>
    <row r="248" spans="1:13" ht="15.75">
      <c r="A248" s="369"/>
      <c r="B248" s="369"/>
      <c r="C248" s="369"/>
      <c r="D248" s="370"/>
      <c r="E248" s="370"/>
      <c r="F248" s="292"/>
      <c r="G248" s="371"/>
      <c r="H248" s="356"/>
      <c r="I248" s="356"/>
      <c r="J248" s="356"/>
      <c r="K248" s="20"/>
      <c r="L248" s="20"/>
      <c r="M248" s="357"/>
    </row>
    <row r="249" spans="1:13" ht="15.75">
      <c r="A249" s="369"/>
      <c r="B249" s="369"/>
      <c r="C249" s="369"/>
      <c r="D249" s="370"/>
      <c r="E249" s="370"/>
      <c r="F249" s="292"/>
      <c r="G249" s="371"/>
      <c r="H249" s="356"/>
      <c r="I249" s="356"/>
      <c r="J249" s="356"/>
      <c r="K249" s="20"/>
      <c r="L249" s="20"/>
      <c r="M249" s="357"/>
    </row>
    <row r="250" spans="1:13" ht="15.75">
      <c r="A250" s="369"/>
      <c r="B250" s="369"/>
      <c r="C250" s="369"/>
      <c r="D250" s="370"/>
      <c r="E250" s="370"/>
      <c r="F250" s="292"/>
      <c r="G250" s="371"/>
      <c r="H250" s="356"/>
      <c r="I250" s="356"/>
      <c r="J250" s="356"/>
      <c r="K250" s="20"/>
      <c r="L250" s="20"/>
      <c r="M250" s="357"/>
    </row>
    <row r="251" spans="1:13" ht="15.75">
      <c r="A251" s="369"/>
      <c r="B251" s="369"/>
      <c r="C251" s="369"/>
      <c r="D251" s="370"/>
      <c r="E251" s="370"/>
      <c r="F251" s="292"/>
      <c r="G251" s="371"/>
      <c r="H251" s="356"/>
      <c r="I251" s="356"/>
      <c r="J251" s="356"/>
      <c r="K251" s="20"/>
      <c r="L251" s="20"/>
      <c r="M251" s="357"/>
    </row>
    <row r="252" spans="1:13" ht="15.75">
      <c r="A252" s="369"/>
      <c r="B252" s="369"/>
      <c r="C252" s="369"/>
      <c r="D252" s="370"/>
      <c r="E252" s="370"/>
      <c r="F252" s="292"/>
      <c r="G252" s="371"/>
      <c r="H252" s="356"/>
      <c r="I252" s="356"/>
      <c r="J252" s="356"/>
      <c r="K252" s="20"/>
      <c r="L252" s="20"/>
      <c r="M252" s="357"/>
    </row>
    <row r="253" spans="1:13" ht="15.75">
      <c r="A253" s="369"/>
      <c r="B253" s="369"/>
      <c r="C253" s="369"/>
      <c r="D253" s="370"/>
      <c r="E253" s="370"/>
      <c r="F253" s="292"/>
      <c r="G253" s="371"/>
      <c r="H253" s="356"/>
      <c r="I253" s="356"/>
      <c r="J253" s="356"/>
      <c r="K253" s="20"/>
      <c r="L253" s="20"/>
      <c r="M253" s="357"/>
    </row>
    <row r="254" spans="1:13" ht="15.75">
      <c r="A254" s="369"/>
      <c r="B254" s="369"/>
      <c r="C254" s="369"/>
      <c r="D254" s="370"/>
      <c r="E254" s="370"/>
      <c r="F254" s="292"/>
      <c r="G254" s="371"/>
      <c r="H254" s="356"/>
      <c r="I254" s="356"/>
      <c r="J254" s="356"/>
      <c r="K254" s="20"/>
      <c r="L254" s="20"/>
      <c r="M254" s="357"/>
    </row>
    <row r="255" spans="1:13" ht="15.75">
      <c r="A255" s="369"/>
      <c r="B255" s="369"/>
      <c r="C255" s="369"/>
      <c r="D255" s="370"/>
      <c r="E255" s="370"/>
      <c r="F255" s="292"/>
      <c r="G255" s="371"/>
      <c r="H255" s="356"/>
      <c r="I255" s="356"/>
      <c r="J255" s="356"/>
      <c r="K255" s="20"/>
      <c r="L255" s="20"/>
      <c r="M255" s="357"/>
    </row>
    <row r="256" spans="1:13" ht="15.75">
      <c r="A256" s="369"/>
      <c r="B256" s="369"/>
      <c r="C256" s="369"/>
      <c r="D256" s="370"/>
      <c r="E256" s="370"/>
      <c r="F256" s="292"/>
      <c r="G256" s="371"/>
      <c r="H256" s="356"/>
      <c r="I256" s="356"/>
      <c r="J256" s="356"/>
      <c r="K256" s="20"/>
      <c r="L256" s="20"/>
      <c r="M256" s="357"/>
    </row>
    <row r="257" spans="1:13" ht="15.75">
      <c r="A257" s="369"/>
      <c r="B257" s="369"/>
      <c r="C257" s="369"/>
      <c r="D257" s="370"/>
      <c r="E257" s="370"/>
      <c r="F257" s="292"/>
      <c r="G257" s="371"/>
      <c r="H257" s="356"/>
      <c r="I257" s="356"/>
      <c r="J257" s="356"/>
      <c r="K257" s="20"/>
      <c r="L257" s="20"/>
      <c r="M257" s="357"/>
    </row>
    <row r="258" spans="1:13" ht="15.75">
      <c r="A258" s="369"/>
      <c r="B258" s="369"/>
      <c r="C258" s="369"/>
      <c r="D258" s="370"/>
      <c r="E258" s="370"/>
      <c r="F258" s="292"/>
      <c r="G258" s="371"/>
      <c r="H258" s="356"/>
      <c r="I258" s="356"/>
      <c r="J258" s="356"/>
      <c r="K258" s="20"/>
      <c r="L258" s="20"/>
      <c r="M258" s="357"/>
    </row>
    <row r="259" spans="1:13" ht="15.75">
      <c r="A259" s="369"/>
      <c r="B259" s="369"/>
      <c r="C259" s="369"/>
      <c r="D259" s="370"/>
      <c r="E259" s="370"/>
      <c r="F259" s="292"/>
      <c r="G259" s="371"/>
      <c r="H259" s="356"/>
      <c r="I259" s="356"/>
      <c r="J259" s="356"/>
      <c r="K259" s="20"/>
      <c r="L259" s="20"/>
      <c r="M259" s="357"/>
    </row>
    <row r="260" spans="1:13" ht="15.75">
      <c r="A260" s="369"/>
      <c r="B260" s="369"/>
      <c r="C260" s="369"/>
      <c r="D260" s="370"/>
      <c r="E260" s="370"/>
      <c r="F260" s="292"/>
      <c r="G260" s="371"/>
      <c r="H260" s="356"/>
      <c r="I260" s="356"/>
      <c r="J260" s="356"/>
      <c r="K260" s="20"/>
      <c r="L260" s="20"/>
      <c r="M260" s="357"/>
    </row>
    <row r="261" spans="1:13" ht="15.75">
      <c r="A261" s="369"/>
      <c r="B261" s="369"/>
      <c r="C261" s="369"/>
      <c r="D261" s="370"/>
      <c r="E261" s="370"/>
      <c r="F261" s="292"/>
      <c r="G261" s="371"/>
      <c r="H261" s="356"/>
      <c r="I261" s="356"/>
      <c r="J261" s="356"/>
      <c r="K261" s="20"/>
      <c r="L261" s="20"/>
      <c r="M261" s="357"/>
    </row>
    <row r="262" spans="1:13" ht="15.75">
      <c r="A262" s="369"/>
      <c r="B262" s="369"/>
      <c r="C262" s="369"/>
      <c r="D262" s="370"/>
      <c r="E262" s="370"/>
      <c r="F262" s="292"/>
      <c r="G262" s="371"/>
      <c r="H262" s="356"/>
      <c r="I262" s="356"/>
      <c r="J262" s="356"/>
      <c r="K262" s="20"/>
      <c r="L262" s="20"/>
      <c r="M262" s="357"/>
    </row>
    <row r="263" spans="1:13" ht="15.75">
      <c r="A263" s="369"/>
      <c r="B263" s="369"/>
      <c r="C263" s="369"/>
      <c r="D263" s="370"/>
      <c r="E263" s="370"/>
      <c r="F263" s="292"/>
      <c r="G263" s="371"/>
      <c r="H263" s="356"/>
      <c r="I263" s="356"/>
      <c r="J263" s="356"/>
      <c r="K263" s="20"/>
      <c r="L263" s="20"/>
      <c r="M263" s="357"/>
    </row>
    <row r="264" spans="1:13" ht="15.75">
      <c r="A264" s="369"/>
      <c r="B264" s="369"/>
      <c r="C264" s="369"/>
      <c r="D264" s="370"/>
      <c r="E264" s="370"/>
      <c r="F264" s="292"/>
      <c r="G264" s="371"/>
      <c r="H264" s="356"/>
      <c r="I264" s="356"/>
      <c r="J264" s="356"/>
      <c r="K264" s="20"/>
      <c r="L264" s="20"/>
      <c r="M264" s="357"/>
    </row>
    <row r="265" spans="1:13" ht="15.75">
      <c r="A265" s="369"/>
      <c r="B265" s="369"/>
      <c r="C265" s="369"/>
      <c r="D265" s="370"/>
      <c r="E265" s="370"/>
      <c r="F265" s="292"/>
      <c r="G265" s="371"/>
      <c r="H265" s="356"/>
      <c r="I265" s="356"/>
      <c r="J265" s="356"/>
      <c r="K265" s="20"/>
      <c r="L265" s="20"/>
      <c r="M265" s="357"/>
    </row>
    <row r="266" spans="1:13" ht="15.75">
      <c r="A266" s="369"/>
      <c r="B266" s="369"/>
      <c r="C266" s="369"/>
      <c r="D266" s="370"/>
      <c r="E266" s="370"/>
      <c r="F266" s="292"/>
      <c r="G266" s="371"/>
      <c r="H266" s="356"/>
      <c r="I266" s="356"/>
      <c r="J266" s="356"/>
      <c r="K266" s="20"/>
      <c r="L266" s="20"/>
      <c r="M266" s="357"/>
    </row>
    <row r="267" spans="1:13" ht="15.75">
      <c r="A267" s="369"/>
      <c r="B267" s="369"/>
      <c r="C267" s="369"/>
      <c r="D267" s="370"/>
      <c r="E267" s="370"/>
      <c r="F267" s="292"/>
      <c r="G267" s="371"/>
      <c r="H267" s="356"/>
      <c r="I267" s="356"/>
      <c r="J267" s="356"/>
      <c r="K267" s="20"/>
      <c r="L267" s="20"/>
      <c r="M267" s="357"/>
    </row>
    <row r="268" spans="1:13" ht="15.75">
      <c r="A268" s="369"/>
      <c r="B268" s="369"/>
      <c r="C268" s="369"/>
      <c r="D268" s="370"/>
      <c r="E268" s="370"/>
      <c r="F268" s="292"/>
      <c r="G268" s="371"/>
      <c r="H268" s="356"/>
      <c r="I268" s="356"/>
      <c r="J268" s="356"/>
      <c r="K268" s="20"/>
      <c r="L268" s="20"/>
      <c r="M268" s="357"/>
    </row>
    <row r="269" spans="1:13" ht="15.75">
      <c r="A269" s="369"/>
      <c r="B269" s="369"/>
      <c r="C269" s="369"/>
      <c r="D269" s="370"/>
      <c r="E269" s="370"/>
      <c r="F269" s="292"/>
      <c r="G269" s="371"/>
      <c r="H269" s="356"/>
      <c r="I269" s="356"/>
      <c r="J269" s="356"/>
      <c r="K269" s="20"/>
      <c r="L269" s="20"/>
      <c r="M269" s="357"/>
    </row>
    <row r="270" spans="1:13" ht="15.75">
      <c r="A270" s="369"/>
      <c r="B270" s="369"/>
      <c r="C270" s="369"/>
      <c r="D270" s="370"/>
      <c r="E270" s="370"/>
      <c r="F270" s="292"/>
      <c r="G270" s="371"/>
      <c r="H270" s="356"/>
      <c r="I270" s="356"/>
      <c r="J270" s="356"/>
      <c r="K270" s="20"/>
      <c r="L270" s="20"/>
      <c r="M270" s="357"/>
    </row>
    <row r="271" spans="1:13" ht="15.75">
      <c r="A271" s="369"/>
      <c r="B271" s="369"/>
      <c r="C271" s="369"/>
      <c r="D271" s="370"/>
      <c r="E271" s="370"/>
      <c r="F271" s="292"/>
      <c r="G271" s="371"/>
      <c r="H271" s="356"/>
      <c r="I271" s="356"/>
      <c r="J271" s="356"/>
      <c r="K271" s="20"/>
      <c r="L271" s="20"/>
      <c r="M271" s="357"/>
    </row>
    <row r="272" spans="1:13" ht="15.75">
      <c r="A272" s="369"/>
      <c r="B272" s="369"/>
      <c r="C272" s="369"/>
      <c r="D272" s="370"/>
      <c r="E272" s="370"/>
      <c r="F272" s="292"/>
      <c r="G272" s="371"/>
      <c r="H272" s="356"/>
      <c r="I272" s="356"/>
      <c r="J272" s="356"/>
      <c r="K272" s="20"/>
      <c r="L272" s="20"/>
      <c r="M272" s="357"/>
    </row>
    <row r="273" spans="1:13" ht="15.75">
      <c r="A273" s="369"/>
      <c r="B273" s="369"/>
      <c r="C273" s="369"/>
      <c r="D273" s="370"/>
      <c r="E273" s="370"/>
      <c r="F273" s="292"/>
      <c r="G273" s="371"/>
      <c r="H273" s="356"/>
      <c r="I273" s="356"/>
      <c r="J273" s="356"/>
      <c r="K273" s="20"/>
      <c r="L273" s="20"/>
      <c r="M273" s="357"/>
    </row>
    <row r="274" spans="1:13" ht="15.75">
      <c r="A274" s="369"/>
      <c r="B274" s="369"/>
      <c r="C274" s="369"/>
      <c r="D274" s="370"/>
      <c r="E274" s="370"/>
      <c r="F274" s="292"/>
      <c r="G274" s="371"/>
      <c r="H274" s="356"/>
      <c r="I274" s="356"/>
      <c r="J274" s="356"/>
      <c r="K274" s="20"/>
      <c r="L274" s="20"/>
      <c r="M274" s="357"/>
    </row>
    <row r="275" spans="1:13" ht="15.75">
      <c r="A275" s="369"/>
      <c r="B275" s="369"/>
      <c r="C275" s="369"/>
      <c r="D275" s="370"/>
      <c r="E275" s="370"/>
      <c r="F275" s="292"/>
      <c r="G275" s="371"/>
      <c r="H275" s="356"/>
      <c r="I275" s="356"/>
      <c r="J275" s="356"/>
      <c r="K275" s="20"/>
      <c r="L275" s="20"/>
      <c r="M275" s="357"/>
    </row>
    <row r="276" spans="1:13" ht="15.75">
      <c r="A276" s="369"/>
      <c r="B276" s="369"/>
      <c r="C276" s="369"/>
      <c r="D276" s="370"/>
      <c r="E276" s="370"/>
      <c r="F276" s="292"/>
      <c r="G276" s="371"/>
      <c r="H276" s="356"/>
      <c r="I276" s="356"/>
      <c r="J276" s="356"/>
      <c r="K276" s="20"/>
      <c r="L276" s="20"/>
      <c r="M276" s="357"/>
    </row>
    <row r="277" spans="1:13" ht="15.75">
      <c r="A277" s="369"/>
      <c r="B277" s="369"/>
      <c r="C277" s="369"/>
      <c r="D277" s="370"/>
      <c r="E277" s="370"/>
      <c r="F277" s="292"/>
      <c r="G277" s="371"/>
      <c r="H277" s="356"/>
      <c r="I277" s="356"/>
      <c r="J277" s="356"/>
      <c r="K277" s="20"/>
      <c r="L277" s="20"/>
      <c r="M277" s="357"/>
    </row>
    <row r="278" spans="1:13" ht="15.75">
      <c r="A278" s="369"/>
      <c r="B278" s="369"/>
      <c r="C278" s="369"/>
      <c r="D278" s="370"/>
      <c r="E278" s="370"/>
      <c r="F278" s="292"/>
      <c r="G278" s="371"/>
      <c r="H278" s="356"/>
      <c r="I278" s="356"/>
      <c r="J278" s="356"/>
      <c r="K278" s="20"/>
      <c r="L278" s="20"/>
      <c r="M278" s="357"/>
    </row>
    <row r="279" spans="1:13" ht="15.75">
      <c r="A279" s="369"/>
      <c r="B279" s="369"/>
      <c r="C279" s="369"/>
      <c r="D279" s="370"/>
      <c r="E279" s="370"/>
      <c r="F279" s="292"/>
      <c r="G279" s="371"/>
      <c r="H279" s="356"/>
      <c r="I279" s="356"/>
      <c r="J279" s="356"/>
      <c r="K279" s="20"/>
      <c r="L279" s="20"/>
      <c r="M279" s="357"/>
    </row>
    <row r="280" spans="1:13" ht="15.75">
      <c r="A280" s="369"/>
      <c r="B280" s="369"/>
      <c r="C280" s="369"/>
      <c r="D280" s="370"/>
      <c r="E280" s="370"/>
      <c r="F280" s="292"/>
      <c r="G280" s="371"/>
      <c r="H280" s="356"/>
      <c r="I280" s="356"/>
      <c r="J280" s="356"/>
      <c r="K280" s="20"/>
      <c r="L280" s="20"/>
      <c r="M280" s="357"/>
    </row>
    <row r="281" spans="1:13" ht="15.75">
      <c r="A281" s="369"/>
      <c r="B281" s="369"/>
      <c r="C281" s="369"/>
      <c r="D281" s="370"/>
      <c r="E281" s="370"/>
      <c r="F281" s="292"/>
      <c r="G281" s="371"/>
      <c r="H281" s="356"/>
      <c r="I281" s="356"/>
      <c r="J281" s="356"/>
      <c r="K281" s="20"/>
      <c r="L281" s="20"/>
      <c r="M281" s="357"/>
    </row>
    <row r="282" spans="1:13" ht="15.75">
      <c r="A282" s="369"/>
      <c r="B282" s="369"/>
      <c r="C282" s="369"/>
      <c r="D282" s="370"/>
      <c r="E282" s="370"/>
      <c r="F282" s="292"/>
      <c r="G282" s="371"/>
      <c r="H282" s="356"/>
      <c r="I282" s="356"/>
      <c r="J282" s="356"/>
      <c r="K282" s="20"/>
      <c r="L282" s="20"/>
      <c r="M282" s="357"/>
    </row>
    <row r="283" spans="1:13" ht="15.75">
      <c r="A283" s="369"/>
      <c r="B283" s="369"/>
      <c r="C283" s="369"/>
      <c r="D283" s="370"/>
      <c r="E283" s="370"/>
      <c r="F283" s="292"/>
      <c r="G283" s="371"/>
      <c r="H283" s="356"/>
      <c r="I283" s="356"/>
      <c r="J283" s="356"/>
      <c r="K283" s="20"/>
      <c r="L283" s="20"/>
      <c r="M283" s="357"/>
    </row>
    <row r="284" spans="1:13" ht="15.75">
      <c r="A284" s="369"/>
      <c r="B284" s="369"/>
      <c r="C284" s="369"/>
      <c r="D284" s="370"/>
      <c r="E284" s="370"/>
      <c r="F284" s="292"/>
      <c r="G284" s="371"/>
      <c r="H284" s="356"/>
      <c r="I284" s="356"/>
      <c r="J284" s="356"/>
      <c r="K284" s="20"/>
      <c r="L284" s="20"/>
      <c r="M284" s="357"/>
    </row>
    <row r="285" spans="1:13" ht="15.75">
      <c r="A285" s="369"/>
      <c r="B285" s="369"/>
      <c r="C285" s="369"/>
      <c r="D285" s="370"/>
      <c r="E285" s="370"/>
      <c r="F285" s="292"/>
      <c r="G285" s="371"/>
      <c r="H285" s="356"/>
      <c r="I285" s="356"/>
      <c r="J285" s="356"/>
      <c r="K285" s="20"/>
      <c r="L285" s="20"/>
      <c r="M285" s="357"/>
    </row>
    <row r="286" spans="1:13" ht="15.75">
      <c r="A286" s="369"/>
      <c r="B286" s="369"/>
      <c r="C286" s="369"/>
      <c r="D286" s="370"/>
      <c r="E286" s="370"/>
      <c r="F286" s="292"/>
      <c r="G286" s="371"/>
      <c r="H286" s="356"/>
      <c r="I286" s="356"/>
      <c r="J286" s="356"/>
      <c r="K286" s="20"/>
      <c r="L286" s="20"/>
      <c r="M286" s="357"/>
    </row>
    <row r="287" spans="1:13" ht="15.75">
      <c r="A287" s="369"/>
      <c r="B287" s="369"/>
      <c r="C287" s="369"/>
      <c r="D287" s="370"/>
      <c r="E287" s="370"/>
      <c r="F287" s="292"/>
      <c r="G287" s="371"/>
      <c r="H287" s="356"/>
      <c r="I287" s="356"/>
      <c r="J287" s="356"/>
      <c r="K287" s="20"/>
      <c r="L287" s="20"/>
      <c r="M287" s="357"/>
    </row>
    <row r="288" spans="1:13" ht="15.75">
      <c r="A288" s="369"/>
      <c r="B288" s="369"/>
      <c r="C288" s="369"/>
      <c r="D288" s="370"/>
      <c r="E288" s="370"/>
      <c r="F288" s="292"/>
      <c r="G288" s="371"/>
      <c r="H288" s="356"/>
      <c r="I288" s="356"/>
      <c r="J288" s="356"/>
      <c r="K288" s="20"/>
      <c r="L288" s="20"/>
      <c r="M288" s="357"/>
    </row>
    <row r="289" spans="1:13" ht="15.75">
      <c r="A289" s="369"/>
      <c r="B289" s="369"/>
      <c r="C289" s="369"/>
      <c r="D289" s="370"/>
      <c r="E289" s="370"/>
      <c r="F289" s="292"/>
      <c r="G289" s="371"/>
      <c r="H289" s="356"/>
      <c r="I289" s="356"/>
      <c r="J289" s="356"/>
      <c r="K289" s="20"/>
      <c r="L289" s="20"/>
      <c r="M289" s="357"/>
    </row>
    <row r="290" spans="1:13" ht="15.75">
      <c r="A290" s="369"/>
      <c r="B290" s="369"/>
      <c r="C290" s="369"/>
      <c r="D290" s="370"/>
      <c r="E290" s="370"/>
      <c r="F290" s="292"/>
      <c r="G290" s="371"/>
      <c r="H290" s="356"/>
      <c r="I290" s="356"/>
      <c r="J290" s="356"/>
      <c r="K290" s="20"/>
      <c r="L290" s="20"/>
      <c r="M290" s="357"/>
    </row>
    <row r="291" spans="1:13" ht="15.75">
      <c r="A291" s="369"/>
      <c r="B291" s="369"/>
      <c r="C291" s="369"/>
      <c r="D291" s="370"/>
      <c r="E291" s="370"/>
      <c r="F291" s="292"/>
      <c r="G291" s="371"/>
      <c r="H291" s="356"/>
      <c r="I291" s="356"/>
      <c r="J291" s="356"/>
      <c r="K291" s="20"/>
      <c r="L291" s="20"/>
      <c r="M291" s="357"/>
    </row>
    <row r="292" spans="1:13" ht="15.75">
      <c r="A292" s="369"/>
      <c r="B292" s="369"/>
      <c r="C292" s="369"/>
      <c r="D292" s="370"/>
      <c r="E292" s="370"/>
      <c r="F292" s="292"/>
      <c r="G292" s="371"/>
      <c r="H292" s="356"/>
      <c r="I292" s="356"/>
      <c r="J292" s="356"/>
      <c r="K292" s="20"/>
      <c r="L292" s="20"/>
      <c r="M292" s="357"/>
    </row>
    <row r="293" spans="1:13" ht="15.75">
      <c r="A293" s="369"/>
      <c r="B293" s="369"/>
      <c r="C293" s="369"/>
      <c r="D293" s="370"/>
      <c r="E293" s="370"/>
      <c r="F293" s="292"/>
      <c r="G293" s="371"/>
      <c r="H293" s="356"/>
      <c r="I293" s="356"/>
      <c r="J293" s="356"/>
      <c r="K293" s="20"/>
      <c r="L293" s="20"/>
      <c r="M293" s="357"/>
    </row>
    <row r="294" spans="1:13" ht="15.75">
      <c r="A294" s="369"/>
      <c r="B294" s="369"/>
      <c r="C294" s="369"/>
      <c r="D294" s="370"/>
      <c r="E294" s="370"/>
      <c r="F294" s="292"/>
      <c r="G294" s="371"/>
      <c r="H294" s="356"/>
      <c r="I294" s="356"/>
      <c r="J294" s="356"/>
      <c r="K294" s="20"/>
      <c r="L294" s="20"/>
      <c r="M294" s="357"/>
    </row>
    <row r="295" spans="1:13" ht="15.75">
      <c r="A295" s="369"/>
      <c r="B295" s="369"/>
      <c r="C295" s="369"/>
      <c r="D295" s="370"/>
      <c r="E295" s="370"/>
      <c r="F295" s="292"/>
      <c r="G295" s="371"/>
      <c r="H295" s="356"/>
      <c r="I295" s="356"/>
      <c r="J295" s="356"/>
      <c r="K295" s="20"/>
      <c r="L295" s="20"/>
      <c r="M295" s="357"/>
    </row>
    <row r="296" spans="1:13" ht="15.75">
      <c r="A296" s="369"/>
      <c r="B296" s="369"/>
      <c r="C296" s="369"/>
      <c r="D296" s="370"/>
      <c r="E296" s="370"/>
      <c r="F296" s="292"/>
      <c r="G296" s="371"/>
      <c r="H296" s="356"/>
      <c r="I296" s="356"/>
      <c r="J296" s="356"/>
      <c r="K296" s="20"/>
      <c r="L296" s="20"/>
      <c r="M296" s="357"/>
    </row>
    <row r="297" spans="1:13" ht="15.75">
      <c r="A297" s="369"/>
      <c r="B297" s="369"/>
      <c r="C297" s="369"/>
      <c r="D297" s="370"/>
      <c r="E297" s="370"/>
      <c r="F297" s="292"/>
      <c r="G297" s="371"/>
      <c r="H297" s="356"/>
      <c r="I297" s="356"/>
      <c r="J297" s="356"/>
      <c r="K297" s="20"/>
      <c r="L297" s="20"/>
      <c r="M297" s="357"/>
    </row>
    <row r="298" spans="1:13" ht="15.75">
      <c r="A298" s="369"/>
      <c r="B298" s="369"/>
      <c r="C298" s="369"/>
      <c r="D298" s="370"/>
      <c r="E298" s="370"/>
      <c r="F298" s="292"/>
      <c r="G298" s="371"/>
      <c r="H298" s="356"/>
      <c r="I298" s="356"/>
      <c r="J298" s="356"/>
      <c r="K298" s="20"/>
      <c r="L298" s="20"/>
      <c r="M298" s="357"/>
    </row>
    <row r="299" spans="1:13" ht="15.75">
      <c r="A299" s="369"/>
      <c r="B299" s="369"/>
      <c r="C299" s="369"/>
      <c r="D299" s="370"/>
      <c r="E299" s="370"/>
      <c r="F299" s="292"/>
      <c r="G299" s="371"/>
      <c r="H299" s="356"/>
      <c r="I299" s="356"/>
      <c r="J299" s="356"/>
      <c r="K299" s="20"/>
      <c r="L299" s="20"/>
      <c r="M299" s="357"/>
    </row>
    <row r="300" spans="1:13" ht="15.75">
      <c r="A300" s="369"/>
      <c r="B300" s="369"/>
      <c r="C300" s="369"/>
      <c r="D300" s="370"/>
      <c r="E300" s="370"/>
      <c r="F300" s="292"/>
      <c r="G300" s="371"/>
      <c r="H300" s="356"/>
      <c r="I300" s="356"/>
      <c r="J300" s="356"/>
      <c r="K300" s="20"/>
      <c r="L300" s="20"/>
      <c r="M300" s="357"/>
    </row>
    <row r="301" spans="1:13" ht="15.75">
      <c r="A301" s="369"/>
      <c r="B301" s="369"/>
      <c r="C301" s="369"/>
      <c r="D301" s="370"/>
      <c r="E301" s="370"/>
      <c r="F301" s="292"/>
      <c r="G301" s="371"/>
      <c r="H301" s="356"/>
      <c r="I301" s="356"/>
      <c r="J301" s="356"/>
      <c r="K301" s="20"/>
      <c r="L301" s="20"/>
      <c r="M301" s="357"/>
    </row>
    <row r="302" spans="1:13" ht="15.75">
      <c r="A302" s="369"/>
      <c r="B302" s="369"/>
      <c r="C302" s="369"/>
      <c r="D302" s="370"/>
      <c r="E302" s="370"/>
      <c r="F302" s="292"/>
      <c r="G302" s="371"/>
      <c r="H302" s="356"/>
      <c r="I302" s="356"/>
      <c r="J302" s="356"/>
      <c r="K302" s="20"/>
      <c r="L302" s="20"/>
      <c r="M302" s="357"/>
    </row>
    <row r="303" spans="1:13" ht="15.75">
      <c r="A303" s="369"/>
      <c r="B303" s="369"/>
      <c r="C303" s="369"/>
      <c r="D303" s="370"/>
      <c r="E303" s="370"/>
      <c r="F303" s="292"/>
      <c r="G303" s="371"/>
      <c r="H303" s="356"/>
      <c r="I303" s="356"/>
      <c r="J303" s="356"/>
      <c r="K303" s="20"/>
      <c r="L303" s="20"/>
      <c r="M303" s="357"/>
    </row>
    <row r="304" spans="1:13" ht="15.75">
      <c r="A304" s="369"/>
      <c r="B304" s="369"/>
      <c r="C304" s="369"/>
      <c r="D304" s="370"/>
      <c r="E304" s="370"/>
      <c r="F304" s="292"/>
      <c r="G304" s="371"/>
      <c r="H304" s="356"/>
      <c r="I304" s="356"/>
      <c r="J304" s="356"/>
      <c r="K304" s="20"/>
      <c r="L304" s="20"/>
      <c r="M304" s="357"/>
    </row>
    <row r="305" spans="1:13" ht="15.75">
      <c r="A305" s="369"/>
      <c r="B305" s="369"/>
      <c r="C305" s="369"/>
      <c r="D305" s="370"/>
      <c r="E305" s="370"/>
      <c r="F305" s="292"/>
      <c r="G305" s="371"/>
      <c r="H305" s="356"/>
      <c r="I305" s="356"/>
      <c r="J305" s="356"/>
      <c r="K305" s="20"/>
      <c r="L305" s="20"/>
      <c r="M305" s="357"/>
    </row>
    <row r="306" spans="1:13" ht="15.75">
      <c r="A306" s="369"/>
      <c r="B306" s="369"/>
      <c r="C306" s="369"/>
      <c r="D306" s="370"/>
      <c r="E306" s="370"/>
      <c r="F306" s="292"/>
      <c r="G306" s="371"/>
      <c r="H306" s="356"/>
      <c r="I306" s="356"/>
      <c r="J306" s="356"/>
      <c r="K306" s="20"/>
      <c r="L306" s="20"/>
      <c r="M306" s="357"/>
    </row>
    <row r="307" spans="1:13" ht="15.75">
      <c r="A307" s="369"/>
      <c r="B307" s="369"/>
      <c r="C307" s="369"/>
      <c r="D307" s="370"/>
      <c r="E307" s="370"/>
      <c r="F307" s="292"/>
      <c r="G307" s="371"/>
      <c r="H307" s="356"/>
      <c r="I307" s="356"/>
      <c r="J307" s="356"/>
      <c r="K307" s="20"/>
      <c r="L307" s="20"/>
      <c r="M307" s="357"/>
    </row>
    <row r="308" spans="1:13" ht="15.75">
      <c r="A308" s="369"/>
      <c r="B308" s="369"/>
      <c r="C308" s="369"/>
      <c r="D308" s="370"/>
      <c r="E308" s="370"/>
      <c r="F308" s="292"/>
      <c r="G308" s="371"/>
      <c r="H308" s="356"/>
      <c r="I308" s="356"/>
      <c r="J308" s="356"/>
      <c r="K308" s="20"/>
      <c r="L308" s="20"/>
      <c r="M308" s="357"/>
    </row>
    <row r="309" spans="1:13" ht="15.75">
      <c r="A309" s="369"/>
      <c r="B309" s="369"/>
      <c r="C309" s="369"/>
      <c r="D309" s="370"/>
      <c r="E309" s="370"/>
      <c r="F309" s="292"/>
      <c r="G309" s="371"/>
      <c r="H309" s="356"/>
      <c r="I309" s="356"/>
      <c r="J309" s="356"/>
      <c r="K309" s="20"/>
      <c r="L309" s="20"/>
      <c r="M309" s="357"/>
    </row>
    <row r="310" spans="1:13" ht="15.75">
      <c r="A310" s="369"/>
      <c r="B310" s="369"/>
      <c r="C310" s="369"/>
      <c r="D310" s="370"/>
      <c r="E310" s="370"/>
      <c r="F310" s="292"/>
      <c r="G310" s="371"/>
      <c r="H310" s="356"/>
      <c r="I310" s="356"/>
      <c r="J310" s="356"/>
      <c r="K310" s="20"/>
      <c r="L310" s="20"/>
      <c r="M310" s="357"/>
    </row>
    <row r="311" spans="1:13" ht="15.75">
      <c r="A311" s="369"/>
      <c r="B311" s="369"/>
      <c r="C311" s="369"/>
      <c r="D311" s="370"/>
      <c r="E311" s="370"/>
      <c r="F311" s="292"/>
      <c r="G311" s="371"/>
      <c r="H311" s="356"/>
      <c r="I311" s="356"/>
      <c r="J311" s="356"/>
      <c r="K311" s="20"/>
      <c r="L311" s="20"/>
      <c r="M311" s="357"/>
    </row>
    <row r="312" spans="1:13" ht="15.75">
      <c r="A312" s="369"/>
      <c r="B312" s="369"/>
      <c r="C312" s="369"/>
      <c r="D312" s="370"/>
      <c r="E312" s="370"/>
      <c r="F312" s="292"/>
      <c r="G312" s="371"/>
      <c r="H312" s="356"/>
      <c r="I312" s="356"/>
      <c r="J312" s="356"/>
      <c r="K312" s="20"/>
      <c r="L312" s="20"/>
      <c r="M312" s="357"/>
    </row>
    <row r="313" spans="1:13" ht="15.75">
      <c r="A313" s="369"/>
      <c r="B313" s="369"/>
      <c r="C313" s="369"/>
      <c r="D313" s="370"/>
      <c r="E313" s="370"/>
      <c r="F313" s="292"/>
      <c r="G313" s="371"/>
      <c r="H313" s="356"/>
      <c r="I313" s="356"/>
      <c r="J313" s="356"/>
      <c r="K313" s="20"/>
      <c r="L313" s="20"/>
      <c r="M313" s="357"/>
    </row>
    <row r="314" spans="1:13" ht="15.75">
      <c r="A314" s="369"/>
      <c r="B314" s="369"/>
      <c r="C314" s="369"/>
      <c r="D314" s="370"/>
      <c r="E314" s="370"/>
      <c r="F314" s="292"/>
      <c r="G314" s="371"/>
      <c r="H314" s="356"/>
      <c r="I314" s="356"/>
      <c r="J314" s="356"/>
      <c r="K314" s="20"/>
      <c r="L314" s="20"/>
      <c r="M314" s="357"/>
    </row>
    <row r="315" spans="1:13" ht="15.75">
      <c r="A315" s="369"/>
      <c r="B315" s="369"/>
      <c r="C315" s="369"/>
      <c r="D315" s="370"/>
      <c r="E315" s="370"/>
      <c r="F315" s="292"/>
      <c r="G315" s="371"/>
      <c r="H315" s="356"/>
      <c r="I315" s="356"/>
      <c r="J315" s="356"/>
      <c r="K315" s="20"/>
      <c r="L315" s="20"/>
      <c r="M315" s="357"/>
    </row>
    <row r="316" spans="1:13" ht="15.75">
      <c r="A316" s="369"/>
      <c r="B316" s="369"/>
      <c r="C316" s="369"/>
      <c r="D316" s="370"/>
      <c r="E316" s="370"/>
      <c r="F316" s="292"/>
      <c r="G316" s="371"/>
      <c r="H316" s="356"/>
      <c r="I316" s="356"/>
      <c r="J316" s="356"/>
      <c r="K316" s="20"/>
      <c r="L316" s="20"/>
      <c r="M316" s="357"/>
    </row>
    <row r="317" spans="1:13" ht="15.75">
      <c r="A317" s="369"/>
      <c r="B317" s="369"/>
      <c r="C317" s="369"/>
      <c r="D317" s="370"/>
      <c r="E317" s="370"/>
      <c r="F317" s="292"/>
      <c r="G317" s="371"/>
      <c r="H317" s="356"/>
      <c r="I317" s="356"/>
      <c r="J317" s="356"/>
      <c r="K317" s="20"/>
      <c r="L317" s="20"/>
      <c r="M317" s="357"/>
    </row>
    <row r="318" spans="1:13" ht="15.75">
      <c r="A318" s="369"/>
      <c r="B318" s="369"/>
      <c r="C318" s="369"/>
      <c r="D318" s="370"/>
      <c r="E318" s="370"/>
      <c r="F318" s="292"/>
      <c r="G318" s="371"/>
      <c r="H318" s="356"/>
      <c r="I318" s="356"/>
      <c r="J318" s="356"/>
      <c r="K318" s="20"/>
      <c r="L318" s="20"/>
      <c r="M318" s="357"/>
    </row>
    <row r="319" spans="1:13" ht="15.75">
      <c r="A319" s="369"/>
      <c r="B319" s="369"/>
      <c r="C319" s="369"/>
      <c r="D319" s="370"/>
      <c r="E319" s="370"/>
      <c r="F319" s="292"/>
      <c r="G319" s="371"/>
      <c r="H319" s="356"/>
      <c r="I319" s="356"/>
      <c r="J319" s="356"/>
      <c r="K319" s="20"/>
      <c r="L319" s="20"/>
      <c r="M319" s="357"/>
    </row>
    <row r="320" spans="1:13" ht="15.75">
      <c r="A320" s="369"/>
      <c r="B320" s="369"/>
      <c r="C320" s="369"/>
      <c r="D320" s="370"/>
      <c r="E320" s="370"/>
      <c r="F320" s="292"/>
      <c r="G320" s="371"/>
      <c r="H320" s="356"/>
      <c r="I320" s="356"/>
      <c r="J320" s="356"/>
      <c r="K320" s="20"/>
      <c r="L320" s="20"/>
      <c r="M320" s="357"/>
    </row>
    <row r="321" spans="1:13" ht="15.75">
      <c r="A321" s="369"/>
      <c r="B321" s="369"/>
      <c r="C321" s="369"/>
      <c r="D321" s="370"/>
      <c r="E321" s="370"/>
      <c r="F321" s="292"/>
      <c r="G321" s="371"/>
      <c r="H321" s="356"/>
      <c r="I321" s="356"/>
      <c r="J321" s="356"/>
      <c r="K321" s="20"/>
      <c r="L321" s="20"/>
      <c r="M321" s="357"/>
    </row>
    <row r="322" spans="1:13" ht="15.75">
      <c r="A322" s="369"/>
      <c r="B322" s="369"/>
      <c r="C322" s="369"/>
      <c r="D322" s="370"/>
      <c r="E322" s="370"/>
      <c r="F322" s="292"/>
      <c r="G322" s="371"/>
      <c r="H322" s="356"/>
      <c r="I322" s="356"/>
      <c r="J322" s="356"/>
      <c r="K322" s="20"/>
      <c r="L322" s="20"/>
      <c r="M322" s="357"/>
    </row>
    <row r="323" spans="1:13" ht="15.75">
      <c r="A323" s="369"/>
      <c r="B323" s="369"/>
      <c r="C323" s="369"/>
      <c r="D323" s="370"/>
      <c r="E323" s="370"/>
      <c r="F323" s="292"/>
      <c r="G323" s="371"/>
      <c r="H323" s="356"/>
      <c r="I323" s="356"/>
      <c r="J323" s="356"/>
      <c r="K323" s="20"/>
      <c r="L323" s="20"/>
      <c r="M323" s="357"/>
    </row>
    <row r="324" spans="1:13" ht="15.75">
      <c r="A324" s="369"/>
      <c r="B324" s="369"/>
      <c r="C324" s="369"/>
      <c r="D324" s="370"/>
      <c r="E324" s="370"/>
      <c r="F324" s="292"/>
      <c r="G324" s="371"/>
      <c r="H324" s="356"/>
      <c r="I324" s="356"/>
      <c r="J324" s="356"/>
      <c r="K324" s="20"/>
      <c r="L324" s="20"/>
      <c r="M324" s="357"/>
    </row>
    <row r="325" spans="1:13" ht="15.75">
      <c r="A325" s="369"/>
      <c r="B325" s="369"/>
      <c r="C325" s="369"/>
      <c r="D325" s="370"/>
      <c r="E325" s="370"/>
      <c r="F325" s="292"/>
      <c r="G325" s="371"/>
      <c r="H325" s="356"/>
      <c r="I325" s="356"/>
      <c r="J325" s="356"/>
      <c r="K325" s="20"/>
      <c r="L325" s="20"/>
      <c r="M325" s="357"/>
    </row>
    <row r="326" spans="1:13" ht="15.75">
      <c r="A326" s="369"/>
      <c r="B326" s="369"/>
      <c r="C326" s="369"/>
      <c r="D326" s="370"/>
      <c r="E326" s="370"/>
      <c r="F326" s="292"/>
      <c r="G326" s="371"/>
      <c r="H326" s="356"/>
      <c r="I326" s="356"/>
      <c r="J326" s="356"/>
      <c r="K326" s="20"/>
      <c r="L326" s="20"/>
      <c r="M326" s="357"/>
    </row>
    <row r="327" spans="1:13" ht="15.75">
      <c r="A327" s="369"/>
      <c r="B327" s="369"/>
      <c r="C327" s="369"/>
      <c r="D327" s="370"/>
      <c r="E327" s="370"/>
      <c r="F327" s="292"/>
      <c r="G327" s="371"/>
      <c r="H327" s="356"/>
      <c r="I327" s="356"/>
      <c r="J327" s="356"/>
      <c r="K327" s="20"/>
      <c r="L327" s="20"/>
      <c r="M327" s="357"/>
    </row>
    <row r="328" spans="1:13" ht="15.75">
      <c r="A328" s="369"/>
      <c r="B328" s="369"/>
      <c r="C328" s="369"/>
      <c r="D328" s="370"/>
      <c r="E328" s="370"/>
      <c r="F328" s="292"/>
      <c r="G328" s="371"/>
      <c r="H328" s="356"/>
      <c r="I328" s="356"/>
      <c r="J328" s="356"/>
      <c r="K328" s="20"/>
      <c r="L328" s="20"/>
      <c r="M328" s="357"/>
    </row>
    <row r="329" spans="1:13" ht="15.75">
      <c r="A329" s="369"/>
      <c r="B329" s="369"/>
      <c r="C329" s="369"/>
      <c r="D329" s="370"/>
      <c r="E329" s="370"/>
      <c r="F329" s="292"/>
      <c r="G329" s="371"/>
      <c r="H329" s="356"/>
      <c r="I329" s="356"/>
      <c r="J329" s="356"/>
      <c r="K329" s="20"/>
      <c r="L329" s="20"/>
      <c r="M329" s="357"/>
    </row>
    <row r="330" spans="1:13" ht="15.75">
      <c r="A330" s="369"/>
      <c r="B330" s="369"/>
      <c r="C330" s="369"/>
      <c r="D330" s="370"/>
      <c r="E330" s="370"/>
      <c r="F330" s="292"/>
      <c r="G330" s="371"/>
      <c r="H330" s="356"/>
      <c r="I330" s="356"/>
      <c r="J330" s="356"/>
      <c r="K330" s="20"/>
      <c r="L330" s="20"/>
      <c r="M330" s="357"/>
    </row>
    <row r="331" spans="1:13" ht="15.75">
      <c r="A331" s="369"/>
      <c r="B331" s="369"/>
      <c r="C331" s="369"/>
      <c r="D331" s="370"/>
      <c r="E331" s="370"/>
      <c r="F331" s="292"/>
      <c r="G331" s="371"/>
      <c r="H331" s="356"/>
      <c r="I331" s="356"/>
      <c r="J331" s="356"/>
      <c r="K331" s="20"/>
      <c r="L331" s="20"/>
      <c r="M331" s="357"/>
    </row>
    <row r="332" spans="1:13" ht="15.75">
      <c r="A332" s="369"/>
      <c r="B332" s="369"/>
      <c r="C332" s="369"/>
      <c r="D332" s="370"/>
      <c r="E332" s="370"/>
      <c r="F332" s="292"/>
      <c r="G332" s="371"/>
      <c r="H332" s="356"/>
      <c r="I332" s="356"/>
      <c r="J332" s="356"/>
      <c r="K332" s="20"/>
      <c r="L332" s="20"/>
      <c r="M332" s="357"/>
    </row>
    <row r="333" spans="1:13" ht="15.75">
      <c r="A333" s="369"/>
      <c r="B333" s="369"/>
      <c r="C333" s="369"/>
      <c r="D333" s="370"/>
      <c r="E333" s="370"/>
      <c r="F333" s="292"/>
      <c r="G333" s="371"/>
      <c r="H333" s="356"/>
      <c r="I333" s="356"/>
      <c r="J333" s="356"/>
      <c r="K333" s="20"/>
      <c r="L333" s="20"/>
      <c r="M333" s="357"/>
    </row>
    <row r="334" spans="1:13" ht="15.75">
      <c r="A334" s="369"/>
      <c r="B334" s="369"/>
      <c r="C334" s="369"/>
      <c r="D334" s="370"/>
      <c r="E334" s="370"/>
      <c r="F334" s="292"/>
      <c r="G334" s="371"/>
      <c r="H334" s="356"/>
      <c r="I334" s="356"/>
      <c r="J334" s="356"/>
      <c r="K334" s="20"/>
      <c r="L334" s="20"/>
      <c r="M334" s="357"/>
    </row>
    <row r="335" spans="1:13" ht="15.75">
      <c r="A335" s="369"/>
      <c r="B335" s="369"/>
      <c r="C335" s="369"/>
      <c r="D335" s="370"/>
      <c r="E335" s="370"/>
      <c r="F335" s="292"/>
      <c r="G335" s="371"/>
      <c r="H335" s="356"/>
      <c r="I335" s="356"/>
      <c r="J335" s="356"/>
      <c r="K335" s="20"/>
      <c r="L335" s="20"/>
      <c r="M335" s="357"/>
    </row>
    <row r="336" spans="1:13" ht="15.75">
      <c r="A336" s="369"/>
      <c r="B336" s="369"/>
      <c r="C336" s="369"/>
      <c r="D336" s="370"/>
      <c r="E336" s="370"/>
      <c r="F336" s="292"/>
      <c r="G336" s="371"/>
      <c r="H336" s="356"/>
      <c r="I336" s="356"/>
      <c r="J336" s="356"/>
      <c r="K336" s="20"/>
      <c r="L336" s="20"/>
      <c r="M336" s="357"/>
    </row>
    <row r="337" spans="1:13" ht="15.75">
      <c r="A337" s="369"/>
      <c r="B337" s="369"/>
      <c r="C337" s="369"/>
      <c r="D337" s="370"/>
      <c r="E337" s="370"/>
      <c r="F337" s="292"/>
      <c r="G337" s="371"/>
      <c r="H337" s="356"/>
      <c r="I337" s="356"/>
      <c r="J337" s="356"/>
      <c r="K337" s="20"/>
      <c r="L337" s="20"/>
      <c r="M337" s="357"/>
    </row>
    <row r="338" spans="1:13" ht="15.75">
      <c r="A338" s="369"/>
      <c r="B338" s="369"/>
      <c r="C338" s="369"/>
      <c r="D338" s="370"/>
      <c r="E338" s="370"/>
      <c r="F338" s="292"/>
      <c r="G338" s="371"/>
      <c r="H338" s="356"/>
      <c r="I338" s="356"/>
      <c r="J338" s="356"/>
      <c r="K338" s="20"/>
      <c r="L338" s="20"/>
      <c r="M338" s="357"/>
    </row>
    <row r="339" spans="1:13" ht="15.75">
      <c r="A339" s="369"/>
      <c r="B339" s="369"/>
      <c r="C339" s="369"/>
      <c r="D339" s="370"/>
      <c r="E339" s="370"/>
      <c r="F339" s="292"/>
      <c r="G339" s="371"/>
      <c r="H339" s="356"/>
      <c r="I339" s="356"/>
      <c r="J339" s="356"/>
      <c r="K339" s="20"/>
      <c r="L339" s="20"/>
      <c r="M339" s="357"/>
    </row>
    <row r="340" spans="1:13" ht="15.75">
      <c r="A340" s="369"/>
      <c r="B340" s="369"/>
      <c r="C340" s="369"/>
      <c r="D340" s="370"/>
      <c r="E340" s="370"/>
      <c r="F340" s="292"/>
      <c r="G340" s="371"/>
      <c r="H340" s="356"/>
      <c r="I340" s="356"/>
      <c r="J340" s="356"/>
      <c r="K340" s="20"/>
      <c r="L340" s="20"/>
      <c r="M340" s="357"/>
    </row>
    <row r="341" spans="1:13" ht="15.75">
      <c r="A341" s="369"/>
      <c r="B341" s="369"/>
      <c r="C341" s="369"/>
      <c r="D341" s="370"/>
      <c r="E341" s="370"/>
      <c r="F341" s="292"/>
      <c r="G341" s="371"/>
      <c r="H341" s="356"/>
      <c r="I341" s="356"/>
      <c r="J341" s="356"/>
      <c r="K341" s="20"/>
      <c r="L341" s="20"/>
      <c r="M341" s="357"/>
    </row>
    <row r="342" spans="1:13" ht="15.75">
      <c r="A342" s="369"/>
      <c r="B342" s="369"/>
      <c r="C342" s="369"/>
      <c r="D342" s="370"/>
      <c r="E342" s="370"/>
      <c r="F342" s="292"/>
      <c r="G342" s="371"/>
      <c r="H342" s="356"/>
      <c r="I342" s="356"/>
      <c r="J342" s="356"/>
      <c r="K342" s="20"/>
      <c r="L342" s="20"/>
      <c r="M342" s="357"/>
    </row>
    <row r="343" spans="1:13" ht="15.75">
      <c r="A343" s="369"/>
      <c r="B343" s="369"/>
      <c r="C343" s="369"/>
      <c r="D343" s="370"/>
      <c r="E343" s="370"/>
      <c r="F343" s="292"/>
      <c r="G343" s="371"/>
      <c r="H343" s="356"/>
      <c r="I343" s="356"/>
      <c r="J343" s="356"/>
      <c r="K343" s="20"/>
      <c r="L343" s="20"/>
      <c r="M343" s="357"/>
    </row>
    <row r="344" spans="1:13" ht="15.75">
      <c r="A344" s="369"/>
      <c r="B344" s="369"/>
      <c r="C344" s="369"/>
      <c r="D344" s="370"/>
      <c r="E344" s="370"/>
      <c r="F344" s="292"/>
      <c r="G344" s="371"/>
      <c r="H344" s="356"/>
      <c r="I344" s="356"/>
      <c r="J344" s="356"/>
      <c r="K344" s="20"/>
      <c r="L344" s="20"/>
      <c r="M344" s="357"/>
    </row>
    <row r="345" spans="1:13" ht="15.75">
      <c r="A345" s="369"/>
      <c r="B345" s="369"/>
      <c r="C345" s="369"/>
      <c r="D345" s="370"/>
      <c r="E345" s="370"/>
      <c r="F345" s="292"/>
      <c r="G345" s="371"/>
      <c r="H345" s="356"/>
      <c r="I345" s="356"/>
      <c r="J345" s="356"/>
      <c r="K345" s="20"/>
      <c r="L345" s="20"/>
      <c r="M345" s="357"/>
    </row>
    <row r="346" spans="1:13" ht="15.75" customHeight="1">
      <c r="A346" s="369"/>
      <c r="B346" s="369"/>
      <c r="C346" s="369"/>
      <c r="D346" s="370"/>
      <c r="E346" s="370"/>
      <c r="F346" s="292"/>
      <c r="G346" s="371"/>
      <c r="H346" s="356"/>
      <c r="I346" s="356"/>
      <c r="J346" s="356"/>
      <c r="K346" s="20"/>
      <c r="L346" s="20"/>
      <c r="M346" s="357"/>
    </row>
    <row r="347" spans="1:13" ht="15.75">
      <c r="A347" s="369"/>
      <c r="B347" s="369"/>
      <c r="C347" s="369"/>
      <c r="D347" s="370"/>
      <c r="E347" s="370"/>
      <c r="F347" s="292"/>
      <c r="G347" s="371"/>
      <c r="H347" s="356"/>
      <c r="I347" s="356"/>
      <c r="J347" s="356"/>
      <c r="K347" s="20"/>
      <c r="L347" s="20"/>
      <c r="M347" s="357"/>
    </row>
    <row r="348" spans="1:13" ht="15.75">
      <c r="A348" s="369"/>
      <c r="B348" s="369"/>
      <c r="C348" s="369"/>
      <c r="D348" s="370"/>
      <c r="E348" s="370"/>
      <c r="F348" s="292"/>
      <c r="G348" s="371"/>
      <c r="H348" s="356"/>
      <c r="I348" s="356"/>
      <c r="J348" s="356"/>
      <c r="K348" s="20"/>
      <c r="L348" s="20"/>
      <c r="M348" s="357"/>
    </row>
    <row r="349" spans="1:13" ht="15.75">
      <c r="A349" s="369"/>
      <c r="B349" s="369"/>
      <c r="C349" s="369"/>
      <c r="D349" s="370"/>
      <c r="E349" s="370"/>
      <c r="F349" s="292"/>
      <c r="G349" s="371"/>
      <c r="H349" s="356"/>
      <c r="I349" s="356"/>
      <c r="J349" s="356"/>
      <c r="K349" s="20"/>
      <c r="L349" s="20"/>
      <c r="M349" s="357"/>
    </row>
    <row r="350" spans="1:13" ht="15.75">
      <c r="A350" s="369"/>
      <c r="B350" s="369"/>
      <c r="C350" s="369"/>
      <c r="D350" s="370"/>
      <c r="E350" s="370"/>
      <c r="F350" s="292"/>
      <c r="G350" s="371"/>
      <c r="H350" s="356"/>
      <c r="I350" s="356"/>
      <c r="J350" s="356"/>
      <c r="K350" s="20"/>
      <c r="L350" s="20"/>
      <c r="M350" s="357"/>
    </row>
    <row r="351" spans="1:13" ht="15.75">
      <c r="A351" s="369"/>
      <c r="B351" s="369"/>
      <c r="C351" s="369"/>
      <c r="D351" s="370"/>
      <c r="E351" s="370"/>
      <c r="F351" s="292"/>
      <c r="G351" s="371"/>
      <c r="H351" s="356"/>
      <c r="I351" s="356"/>
      <c r="J351" s="356"/>
      <c r="K351" s="20"/>
      <c r="L351" s="20"/>
      <c r="M351" s="357"/>
    </row>
    <row r="352" spans="1:13" ht="15.75">
      <c r="A352" s="369"/>
      <c r="B352" s="369"/>
      <c r="C352" s="369"/>
      <c r="D352" s="370"/>
      <c r="E352" s="370"/>
      <c r="F352" s="292"/>
      <c r="G352" s="371"/>
      <c r="H352" s="356"/>
      <c r="I352" s="356"/>
      <c r="J352" s="356"/>
      <c r="K352" s="20"/>
      <c r="L352" s="20"/>
      <c r="M352" s="357"/>
    </row>
    <row r="353" spans="1:13" ht="15.75">
      <c r="A353" s="369"/>
      <c r="B353" s="369"/>
      <c r="C353" s="369"/>
      <c r="D353" s="370"/>
      <c r="E353" s="370"/>
      <c r="F353" s="292"/>
      <c r="G353" s="371"/>
      <c r="H353" s="356"/>
      <c r="I353" s="356"/>
      <c r="J353" s="356"/>
      <c r="K353" s="20"/>
      <c r="L353" s="20"/>
      <c r="M353" s="357"/>
    </row>
    <row r="354" spans="1:13" ht="15.75">
      <c r="A354" s="369"/>
      <c r="B354" s="369"/>
      <c r="C354" s="369"/>
      <c r="D354" s="370"/>
      <c r="E354" s="370"/>
      <c r="F354" s="292"/>
      <c r="G354" s="371"/>
      <c r="H354" s="356"/>
      <c r="I354" s="356"/>
      <c r="J354" s="356"/>
      <c r="K354" s="20"/>
      <c r="L354" s="20"/>
      <c r="M354" s="357"/>
    </row>
    <row r="355" spans="1:13" ht="15.75">
      <c r="A355" s="369"/>
      <c r="B355" s="369"/>
      <c r="C355" s="369"/>
      <c r="D355" s="370"/>
      <c r="E355" s="370"/>
      <c r="F355" s="292"/>
      <c r="G355" s="371"/>
      <c r="H355" s="356"/>
      <c r="I355" s="356"/>
      <c r="J355" s="356"/>
      <c r="K355" s="20"/>
      <c r="L355" s="20"/>
      <c r="M355" s="357"/>
    </row>
    <row r="356" spans="1:13" ht="15.75">
      <c r="A356" s="369"/>
      <c r="B356" s="369"/>
      <c r="C356" s="369"/>
      <c r="D356" s="370"/>
      <c r="E356" s="370"/>
      <c r="F356" s="292"/>
      <c r="G356" s="371"/>
      <c r="H356" s="356"/>
      <c r="I356" s="356"/>
      <c r="J356" s="356"/>
      <c r="K356" s="20"/>
      <c r="L356" s="20"/>
      <c r="M356" s="357"/>
    </row>
    <row r="357" spans="1:13" ht="15.75">
      <c r="A357" s="369"/>
      <c r="B357" s="369"/>
      <c r="C357" s="369"/>
      <c r="D357" s="370"/>
      <c r="E357" s="370"/>
      <c r="F357" s="292"/>
      <c r="G357" s="371"/>
      <c r="H357" s="356"/>
      <c r="I357" s="356"/>
      <c r="J357" s="356"/>
      <c r="K357" s="20"/>
      <c r="L357" s="20"/>
      <c r="M357" s="357"/>
    </row>
    <row r="358" spans="1:13" ht="15.75">
      <c r="A358" s="369"/>
      <c r="B358" s="369"/>
      <c r="C358" s="369"/>
      <c r="D358" s="370"/>
      <c r="E358" s="370"/>
      <c r="F358" s="292"/>
      <c r="G358" s="371"/>
      <c r="H358" s="356"/>
      <c r="I358" s="356"/>
      <c r="J358" s="356"/>
      <c r="K358" s="20"/>
      <c r="L358" s="20"/>
      <c r="M358" s="357"/>
    </row>
    <row r="359" spans="1:13" ht="15.75">
      <c r="A359" s="369"/>
      <c r="B359" s="369"/>
      <c r="C359" s="369"/>
      <c r="D359" s="370"/>
      <c r="E359" s="370"/>
      <c r="F359" s="292"/>
      <c r="G359" s="371"/>
      <c r="H359" s="356"/>
      <c r="I359" s="356"/>
      <c r="J359" s="356"/>
      <c r="K359" s="20"/>
      <c r="L359" s="20"/>
      <c r="M359" s="357"/>
    </row>
    <row r="360" spans="1:13" ht="15.75">
      <c r="A360" s="369"/>
      <c r="B360" s="369"/>
      <c r="C360" s="369"/>
      <c r="D360" s="370"/>
      <c r="E360" s="370"/>
      <c r="F360" s="292"/>
      <c r="G360" s="371"/>
      <c r="H360" s="356"/>
      <c r="I360" s="356"/>
      <c r="J360" s="356"/>
      <c r="K360" s="20"/>
      <c r="L360" s="20"/>
      <c r="M360" s="357"/>
    </row>
    <row r="361" spans="1:13" ht="15.75">
      <c r="A361" s="369"/>
      <c r="B361" s="369"/>
      <c r="C361" s="369"/>
      <c r="D361" s="370"/>
      <c r="E361" s="370"/>
      <c r="F361" s="292"/>
      <c r="G361" s="371"/>
      <c r="H361" s="356"/>
      <c r="I361" s="356"/>
      <c r="J361" s="356"/>
      <c r="K361" s="20"/>
      <c r="L361" s="20"/>
      <c r="M361" s="357"/>
    </row>
    <row r="362" spans="1:13" ht="15.75">
      <c r="A362" s="369"/>
      <c r="B362" s="369"/>
      <c r="C362" s="369"/>
      <c r="D362" s="370"/>
      <c r="E362" s="370"/>
      <c r="F362" s="292"/>
      <c r="G362" s="371"/>
      <c r="H362" s="356"/>
      <c r="I362" s="356"/>
      <c r="J362" s="356"/>
      <c r="K362" s="20"/>
      <c r="L362" s="20"/>
      <c r="M362" s="357"/>
    </row>
    <row r="363" spans="1:13" ht="15.75">
      <c r="A363" s="369"/>
      <c r="B363" s="369"/>
      <c r="C363" s="369"/>
      <c r="D363" s="370"/>
      <c r="E363" s="370"/>
      <c r="F363" s="292"/>
      <c r="G363" s="371"/>
      <c r="H363" s="356"/>
      <c r="I363" s="356"/>
      <c r="J363" s="356"/>
      <c r="K363" s="20"/>
      <c r="L363" s="20"/>
      <c r="M363" s="357"/>
    </row>
    <row r="364" spans="1:13" ht="15.75">
      <c r="A364" s="369"/>
      <c r="B364" s="369"/>
      <c r="C364" s="369"/>
      <c r="D364" s="370"/>
      <c r="E364" s="370"/>
      <c r="F364" s="292"/>
      <c r="G364" s="371"/>
      <c r="H364" s="356"/>
      <c r="I364" s="356"/>
      <c r="J364" s="356"/>
      <c r="K364" s="20"/>
      <c r="L364" s="20"/>
      <c r="M364" s="357"/>
    </row>
    <row r="365" spans="1:13" ht="15.75">
      <c r="A365" s="369"/>
      <c r="B365" s="369"/>
      <c r="C365" s="369"/>
      <c r="D365" s="370"/>
      <c r="E365" s="370"/>
      <c r="F365" s="292"/>
      <c r="G365" s="371"/>
      <c r="H365" s="356"/>
      <c r="I365" s="356"/>
      <c r="J365" s="356"/>
      <c r="K365" s="20"/>
      <c r="L365" s="20"/>
      <c r="M365" s="357"/>
    </row>
    <row r="366" spans="1:13" ht="15.75">
      <c r="A366" s="369"/>
      <c r="B366" s="369"/>
      <c r="C366" s="369"/>
      <c r="D366" s="370"/>
      <c r="E366" s="370"/>
      <c r="F366" s="292"/>
      <c r="G366" s="371"/>
      <c r="H366" s="356"/>
      <c r="I366" s="356"/>
      <c r="J366" s="356"/>
      <c r="K366" s="20"/>
      <c r="L366" s="20"/>
      <c r="M366" s="357"/>
    </row>
    <row r="367" spans="1:13" ht="15.75">
      <c r="A367" s="369"/>
      <c r="B367" s="369"/>
      <c r="C367" s="369"/>
      <c r="D367" s="370"/>
      <c r="E367" s="370"/>
      <c r="F367" s="292"/>
      <c r="G367" s="371"/>
      <c r="H367" s="356"/>
      <c r="I367" s="356"/>
      <c r="J367" s="356"/>
      <c r="K367" s="20"/>
      <c r="L367" s="20"/>
      <c r="M367" s="357"/>
    </row>
    <row r="368" spans="1:13" ht="15.75">
      <c r="A368" s="369"/>
      <c r="B368" s="369"/>
      <c r="C368" s="369"/>
      <c r="D368" s="370"/>
      <c r="E368" s="370"/>
      <c r="F368" s="292"/>
      <c r="G368" s="371"/>
      <c r="H368" s="356"/>
      <c r="I368" s="356"/>
      <c r="J368" s="356"/>
      <c r="K368" s="20"/>
      <c r="L368" s="20"/>
      <c r="M368" s="357"/>
    </row>
    <row r="369" spans="1:13" ht="15.75">
      <c r="A369" s="369"/>
      <c r="B369" s="369"/>
      <c r="C369" s="369"/>
      <c r="D369" s="370"/>
      <c r="E369" s="370"/>
      <c r="F369" s="292"/>
      <c r="G369" s="371"/>
      <c r="H369" s="356"/>
      <c r="I369" s="356"/>
      <c r="J369" s="356"/>
      <c r="K369" s="20"/>
      <c r="L369" s="20"/>
      <c r="M369" s="357"/>
    </row>
    <row r="370" spans="1:13" ht="15.75">
      <c r="A370" s="369"/>
      <c r="B370" s="369"/>
      <c r="C370" s="369"/>
      <c r="D370" s="370"/>
      <c r="E370" s="370"/>
      <c r="F370" s="292"/>
      <c r="G370" s="371"/>
      <c r="H370" s="356"/>
      <c r="I370" s="356"/>
      <c r="J370" s="356"/>
      <c r="K370" s="20"/>
      <c r="L370" s="20"/>
      <c r="M370" s="357"/>
    </row>
    <row r="371" spans="1:13" ht="15.75">
      <c r="A371" s="369"/>
      <c r="B371" s="369"/>
      <c r="C371" s="369"/>
      <c r="D371" s="370"/>
      <c r="E371" s="370"/>
      <c r="F371" s="292"/>
      <c r="G371" s="371"/>
      <c r="H371" s="356"/>
      <c r="I371" s="356"/>
      <c r="J371" s="356"/>
      <c r="K371" s="20"/>
      <c r="L371" s="20"/>
      <c r="M371" s="357"/>
    </row>
    <row r="372" spans="1:13" ht="15.75">
      <c r="A372" s="369"/>
      <c r="B372" s="369"/>
      <c r="C372" s="369"/>
      <c r="D372" s="370"/>
      <c r="E372" s="370"/>
      <c r="F372" s="292"/>
      <c r="G372" s="371"/>
      <c r="H372" s="356"/>
      <c r="I372" s="356"/>
      <c r="J372" s="356"/>
      <c r="K372" s="20"/>
      <c r="L372" s="20"/>
      <c r="M372" s="357"/>
    </row>
    <row r="373" spans="1:13" ht="15.75">
      <c r="A373" s="369"/>
      <c r="B373" s="369"/>
      <c r="C373" s="369"/>
      <c r="D373" s="370"/>
      <c r="E373" s="370"/>
      <c r="F373" s="292"/>
      <c r="G373" s="371"/>
      <c r="H373" s="356"/>
      <c r="I373" s="356"/>
      <c r="J373" s="356"/>
      <c r="K373" s="20"/>
      <c r="L373" s="20"/>
      <c r="M373" s="357"/>
    </row>
    <row r="374" spans="1:13" ht="15.75">
      <c r="A374" s="369"/>
      <c r="B374" s="369"/>
      <c r="C374" s="369"/>
      <c r="D374" s="370"/>
      <c r="E374" s="370"/>
      <c r="F374" s="292"/>
      <c r="G374" s="371"/>
      <c r="H374" s="356"/>
      <c r="I374" s="356"/>
      <c r="J374" s="356"/>
      <c r="K374" s="20"/>
      <c r="L374" s="20"/>
      <c r="M374" s="357"/>
    </row>
    <row r="375" spans="1:13" ht="15.75">
      <c r="A375" s="369"/>
      <c r="B375" s="369"/>
      <c r="C375" s="369"/>
      <c r="D375" s="370"/>
      <c r="E375" s="370"/>
      <c r="F375" s="292"/>
      <c r="G375" s="371"/>
      <c r="H375" s="356"/>
      <c r="I375" s="356"/>
      <c r="J375" s="356"/>
      <c r="K375" s="20"/>
      <c r="L375" s="20"/>
      <c r="M375" s="357"/>
    </row>
    <row r="376" spans="1:13" ht="15.75">
      <c r="A376" s="369"/>
      <c r="B376" s="369"/>
      <c r="C376" s="369"/>
      <c r="D376" s="370"/>
      <c r="E376" s="370"/>
      <c r="F376" s="292"/>
      <c r="G376" s="371"/>
      <c r="H376" s="356"/>
      <c r="I376" s="356"/>
      <c r="J376" s="356"/>
      <c r="K376" s="20"/>
      <c r="L376" s="20"/>
      <c r="M376" s="357"/>
    </row>
    <row r="377" spans="1:13" ht="15.75">
      <c r="A377" s="369"/>
      <c r="B377" s="369"/>
      <c r="C377" s="369"/>
      <c r="D377" s="370"/>
      <c r="E377" s="370"/>
      <c r="F377" s="292"/>
      <c r="G377" s="371"/>
      <c r="H377" s="356"/>
      <c r="I377" s="356"/>
      <c r="J377" s="356"/>
      <c r="K377" s="20"/>
      <c r="L377" s="20"/>
      <c r="M377" s="357"/>
    </row>
    <row r="378" spans="1:13" ht="15.75">
      <c r="A378" s="369"/>
      <c r="B378" s="369"/>
      <c r="C378" s="369"/>
      <c r="D378" s="370"/>
      <c r="E378" s="370"/>
      <c r="F378" s="292"/>
      <c r="G378" s="371"/>
      <c r="H378" s="356"/>
      <c r="I378" s="356"/>
      <c r="J378" s="356"/>
      <c r="K378" s="20"/>
      <c r="L378" s="20"/>
      <c r="M378" s="357"/>
    </row>
    <row r="379" spans="1:13" ht="15.75">
      <c r="A379" s="369"/>
      <c r="B379" s="369"/>
      <c r="C379" s="369"/>
      <c r="D379" s="370"/>
      <c r="E379" s="370"/>
      <c r="F379" s="292"/>
      <c r="G379" s="371"/>
      <c r="H379" s="356"/>
      <c r="I379" s="356"/>
      <c r="J379" s="356"/>
      <c r="K379" s="20"/>
      <c r="L379" s="20"/>
      <c r="M379" s="357"/>
    </row>
    <row r="380" spans="1:13" ht="15.75">
      <c r="A380" s="369"/>
      <c r="B380" s="369"/>
      <c r="C380" s="369"/>
      <c r="D380" s="370"/>
      <c r="E380" s="370"/>
      <c r="F380" s="292"/>
      <c r="G380" s="371"/>
      <c r="H380" s="356"/>
      <c r="I380" s="356"/>
      <c r="J380" s="356"/>
      <c r="K380" s="20"/>
      <c r="L380" s="20"/>
      <c r="M380" s="357"/>
    </row>
    <row r="381" spans="1:13" ht="15.75">
      <c r="A381" s="369"/>
      <c r="B381" s="369"/>
      <c r="C381" s="369"/>
      <c r="D381" s="370"/>
      <c r="E381" s="370"/>
      <c r="F381" s="292"/>
      <c r="G381" s="371"/>
      <c r="H381" s="356"/>
      <c r="I381" s="356"/>
      <c r="J381" s="356"/>
      <c r="K381" s="20"/>
      <c r="L381" s="20"/>
      <c r="M381" s="357"/>
    </row>
    <row r="382" spans="1:13" ht="15.75">
      <c r="A382" s="369"/>
      <c r="B382" s="369"/>
      <c r="C382" s="369"/>
      <c r="D382" s="370"/>
      <c r="E382" s="370"/>
      <c r="F382" s="292"/>
      <c r="G382" s="371"/>
      <c r="H382" s="356"/>
      <c r="I382" s="356"/>
      <c r="J382" s="356"/>
      <c r="K382" s="20"/>
      <c r="L382" s="20"/>
      <c r="M382" s="357"/>
    </row>
    <row r="383" spans="1:13" ht="15.75">
      <c r="A383" s="369"/>
      <c r="B383" s="369"/>
      <c r="C383" s="369"/>
      <c r="D383" s="370"/>
      <c r="E383" s="370"/>
      <c r="F383" s="292"/>
      <c r="G383" s="371"/>
      <c r="H383" s="356"/>
      <c r="I383" s="356"/>
      <c r="J383" s="356"/>
      <c r="K383" s="20"/>
      <c r="L383" s="20"/>
      <c r="M383" s="357"/>
    </row>
    <row r="384" spans="1:13" ht="15.75">
      <c r="A384" s="369"/>
      <c r="B384" s="369"/>
      <c r="C384" s="369"/>
      <c r="D384" s="370"/>
      <c r="E384" s="370"/>
      <c r="F384" s="292"/>
      <c r="G384" s="371"/>
      <c r="H384" s="356"/>
      <c r="I384" s="356"/>
      <c r="J384" s="356"/>
      <c r="K384" s="20"/>
      <c r="L384" s="20"/>
      <c r="M384" s="357"/>
    </row>
    <row r="385" spans="1:13" ht="15.75">
      <c r="A385" s="369"/>
      <c r="B385" s="369"/>
      <c r="C385" s="369"/>
      <c r="D385" s="370"/>
      <c r="E385" s="370"/>
      <c r="F385" s="292"/>
      <c r="G385" s="371"/>
      <c r="H385" s="356"/>
      <c r="I385" s="356"/>
      <c r="J385" s="356"/>
      <c r="K385" s="20"/>
      <c r="L385" s="20"/>
      <c r="M385" s="357"/>
    </row>
    <row r="386" spans="1:13" ht="15.75">
      <c r="A386" s="369"/>
      <c r="B386" s="369"/>
      <c r="C386" s="369"/>
      <c r="D386" s="370"/>
      <c r="E386" s="370"/>
      <c r="F386" s="292"/>
      <c r="G386" s="371"/>
      <c r="H386" s="356"/>
      <c r="I386" s="356"/>
      <c r="J386" s="356"/>
      <c r="K386" s="20"/>
      <c r="L386" s="20"/>
      <c r="M386" s="357"/>
    </row>
    <row r="387" spans="1:13" ht="15.75">
      <c r="A387" s="369"/>
      <c r="B387" s="369"/>
      <c r="C387" s="369"/>
      <c r="D387" s="370"/>
      <c r="E387" s="370"/>
      <c r="F387" s="292"/>
      <c r="G387" s="371"/>
      <c r="H387" s="356"/>
      <c r="I387" s="356"/>
      <c r="J387" s="356"/>
      <c r="K387" s="20"/>
      <c r="L387" s="20"/>
      <c r="M387" s="357"/>
    </row>
    <row r="388" spans="1:13" ht="15.75">
      <c r="A388" s="369"/>
      <c r="B388" s="369"/>
      <c r="C388" s="369"/>
      <c r="D388" s="370"/>
      <c r="E388" s="370"/>
      <c r="F388" s="292"/>
      <c r="G388" s="371"/>
      <c r="H388" s="356"/>
      <c r="I388" s="356"/>
      <c r="J388" s="356"/>
      <c r="K388" s="20"/>
      <c r="L388" s="20"/>
      <c r="M388" s="357"/>
    </row>
    <row r="389" spans="1:13" ht="15.75">
      <c r="A389" s="369"/>
      <c r="B389" s="369"/>
      <c r="C389" s="369"/>
      <c r="D389" s="370"/>
      <c r="E389" s="370"/>
      <c r="F389" s="292"/>
      <c r="G389" s="371"/>
      <c r="H389" s="356"/>
      <c r="I389" s="356"/>
      <c r="J389" s="356"/>
      <c r="K389" s="20"/>
      <c r="L389" s="20"/>
      <c r="M389" s="357"/>
    </row>
    <row r="390" spans="1:13" ht="15.75">
      <c r="A390" s="369"/>
      <c r="B390" s="369"/>
      <c r="C390" s="369"/>
      <c r="D390" s="370"/>
      <c r="E390" s="370"/>
      <c r="F390" s="292"/>
      <c r="G390" s="371"/>
      <c r="H390" s="356"/>
      <c r="I390" s="356"/>
      <c r="J390" s="356"/>
      <c r="K390" s="20"/>
      <c r="L390" s="20"/>
      <c r="M390" s="357"/>
    </row>
    <row r="391" spans="1:13" ht="15.75">
      <c r="A391" s="369"/>
      <c r="B391" s="369"/>
      <c r="C391" s="369"/>
      <c r="D391" s="370"/>
      <c r="E391" s="370"/>
      <c r="F391" s="292"/>
      <c r="G391" s="371"/>
      <c r="H391" s="356"/>
      <c r="I391" s="356"/>
      <c r="J391" s="356"/>
      <c r="K391" s="20"/>
      <c r="L391" s="20"/>
      <c r="M391" s="357"/>
    </row>
    <row r="392" spans="1:13" ht="15.75">
      <c r="A392" s="369"/>
      <c r="B392" s="369"/>
      <c r="C392" s="369"/>
      <c r="D392" s="370"/>
      <c r="E392" s="370"/>
      <c r="F392" s="292"/>
      <c r="G392" s="371"/>
      <c r="H392" s="356"/>
      <c r="I392" s="356"/>
      <c r="J392" s="356"/>
      <c r="K392" s="20"/>
      <c r="L392" s="20"/>
      <c r="M392" s="357"/>
    </row>
    <row r="393" spans="1:13" ht="15.75">
      <c r="A393" s="369"/>
      <c r="B393" s="369"/>
      <c r="C393" s="369"/>
      <c r="D393" s="370"/>
      <c r="E393" s="370"/>
      <c r="F393" s="292"/>
      <c r="G393" s="371"/>
      <c r="H393" s="356"/>
      <c r="I393" s="356"/>
      <c r="J393" s="356"/>
      <c r="K393" s="20"/>
      <c r="L393" s="20"/>
      <c r="M393" s="357"/>
    </row>
    <row r="394" spans="1:13" ht="15.75">
      <c r="A394" s="369"/>
      <c r="B394" s="369"/>
      <c r="C394" s="369"/>
      <c r="D394" s="370"/>
      <c r="E394" s="370"/>
      <c r="F394" s="292"/>
      <c r="G394" s="371"/>
      <c r="H394" s="356"/>
      <c r="I394" s="356"/>
      <c r="J394" s="356"/>
      <c r="K394" s="20"/>
      <c r="L394" s="20"/>
      <c r="M394" s="357"/>
    </row>
    <row r="395" spans="1:13" ht="15.75">
      <c r="A395" s="369"/>
      <c r="B395" s="369"/>
      <c r="C395" s="369"/>
      <c r="D395" s="370"/>
      <c r="E395" s="370"/>
      <c r="F395" s="292"/>
      <c r="G395" s="371"/>
      <c r="H395" s="356"/>
      <c r="I395" s="356"/>
      <c r="J395" s="356"/>
      <c r="K395" s="20"/>
      <c r="L395" s="20"/>
      <c r="M395" s="357"/>
    </row>
    <row r="396" spans="1:13" ht="15.75">
      <c r="A396" s="369"/>
      <c r="B396" s="369"/>
      <c r="C396" s="369"/>
      <c r="D396" s="370"/>
      <c r="E396" s="370"/>
      <c r="F396" s="292"/>
      <c r="G396" s="371"/>
      <c r="H396" s="356"/>
      <c r="I396" s="356"/>
      <c r="J396" s="356"/>
      <c r="K396" s="20"/>
      <c r="L396" s="20"/>
      <c r="M396" s="357"/>
    </row>
    <row r="397" spans="1:13" ht="15.75">
      <c r="A397" s="369"/>
      <c r="B397" s="369"/>
      <c r="C397" s="369"/>
      <c r="D397" s="370"/>
      <c r="E397" s="370"/>
      <c r="F397" s="292"/>
      <c r="G397" s="371"/>
      <c r="H397" s="356"/>
      <c r="I397" s="356"/>
      <c r="J397" s="356"/>
      <c r="K397" s="20"/>
      <c r="L397" s="20"/>
      <c r="M397" s="357"/>
    </row>
    <row r="398" spans="1:13" ht="15.75">
      <c r="A398" s="369"/>
      <c r="B398" s="369"/>
      <c r="C398" s="369"/>
      <c r="D398" s="370"/>
      <c r="E398" s="370"/>
      <c r="F398" s="292"/>
      <c r="G398" s="371"/>
      <c r="H398" s="356"/>
      <c r="I398" s="356"/>
      <c r="J398" s="356"/>
      <c r="K398" s="20"/>
      <c r="L398" s="20"/>
      <c r="M398" s="357"/>
    </row>
    <row r="399" spans="1:13" ht="15.75">
      <c r="A399" s="369"/>
      <c r="B399" s="369"/>
      <c r="C399" s="369"/>
      <c r="D399" s="370"/>
      <c r="E399" s="370"/>
      <c r="F399" s="292"/>
      <c r="G399" s="371"/>
      <c r="H399" s="356"/>
      <c r="I399" s="356"/>
      <c r="J399" s="356"/>
      <c r="K399" s="20"/>
      <c r="L399" s="20"/>
      <c r="M399" s="357"/>
    </row>
    <row r="400" spans="1:13" ht="15.75">
      <c r="A400" s="369"/>
      <c r="B400" s="369"/>
      <c r="C400" s="369"/>
      <c r="D400" s="370"/>
      <c r="E400" s="370"/>
      <c r="F400" s="292"/>
      <c r="G400" s="371"/>
      <c r="H400" s="356"/>
      <c r="I400" s="356"/>
      <c r="J400" s="356"/>
      <c r="K400" s="20"/>
      <c r="L400" s="20"/>
      <c r="M400" s="357"/>
    </row>
    <row r="401" spans="1:13" ht="15.75">
      <c r="A401" s="369"/>
      <c r="B401" s="369"/>
      <c r="C401" s="369"/>
      <c r="D401" s="370"/>
      <c r="E401" s="370"/>
      <c r="F401" s="292"/>
      <c r="G401" s="371"/>
      <c r="H401" s="356"/>
      <c r="I401" s="356"/>
      <c r="J401" s="356"/>
      <c r="K401" s="20"/>
      <c r="L401" s="20"/>
      <c r="M401" s="357"/>
    </row>
    <row r="402" spans="1:13" ht="15.75">
      <c r="A402" s="369"/>
      <c r="B402" s="369"/>
      <c r="C402" s="369"/>
      <c r="D402" s="370"/>
      <c r="E402" s="370"/>
      <c r="F402" s="292"/>
      <c r="G402" s="371"/>
      <c r="H402" s="356"/>
      <c r="I402" s="356"/>
      <c r="J402" s="356"/>
      <c r="K402" s="20"/>
      <c r="L402" s="20"/>
      <c r="M402" s="357"/>
    </row>
    <row r="403" spans="1:13" ht="15.75">
      <c r="A403" s="369"/>
      <c r="B403" s="369"/>
      <c r="C403" s="369"/>
      <c r="D403" s="370"/>
      <c r="E403" s="370"/>
      <c r="F403" s="292"/>
      <c r="G403" s="371"/>
      <c r="H403" s="356"/>
      <c r="I403" s="356"/>
      <c r="J403" s="356"/>
      <c r="K403" s="20"/>
      <c r="L403" s="20"/>
      <c r="M403" s="357"/>
    </row>
    <row r="404" spans="1:13" ht="15.75">
      <c r="A404" s="369"/>
      <c r="B404" s="369"/>
      <c r="C404" s="369"/>
      <c r="D404" s="370"/>
      <c r="E404" s="370"/>
      <c r="F404" s="292"/>
      <c r="G404" s="371"/>
      <c r="H404" s="356"/>
      <c r="I404" s="356"/>
      <c r="J404" s="356"/>
      <c r="K404" s="20"/>
      <c r="L404" s="20"/>
      <c r="M404" s="357"/>
    </row>
    <row r="405" spans="1:13" ht="15.75">
      <c r="A405" s="369"/>
      <c r="B405" s="369"/>
      <c r="C405" s="369"/>
      <c r="D405" s="370"/>
      <c r="E405" s="370"/>
      <c r="F405" s="292"/>
      <c r="G405" s="371"/>
      <c r="H405" s="356"/>
      <c r="I405" s="356"/>
      <c r="J405" s="356"/>
      <c r="K405" s="20"/>
      <c r="L405" s="20"/>
      <c r="M405" s="357"/>
    </row>
    <row r="406" spans="1:13" ht="15.75">
      <c r="A406" s="369"/>
      <c r="B406" s="369"/>
      <c r="C406" s="369"/>
      <c r="D406" s="370"/>
      <c r="E406" s="370"/>
      <c r="F406" s="292"/>
      <c r="G406" s="371"/>
      <c r="H406" s="356"/>
      <c r="I406" s="356"/>
      <c r="J406" s="356"/>
      <c r="K406" s="20"/>
      <c r="L406" s="20"/>
      <c r="M406" s="357"/>
    </row>
    <row r="407" spans="1:13" ht="15.75">
      <c r="A407" s="369"/>
      <c r="B407" s="369"/>
      <c r="C407" s="369"/>
      <c r="D407" s="370"/>
      <c r="E407" s="370"/>
      <c r="F407" s="292"/>
      <c r="G407" s="371"/>
      <c r="H407" s="356"/>
      <c r="I407" s="356"/>
      <c r="J407" s="356"/>
      <c r="K407" s="20"/>
      <c r="L407" s="20"/>
      <c r="M407" s="357"/>
    </row>
    <row r="408" spans="1:13" ht="15.75">
      <c r="A408" s="369"/>
      <c r="B408" s="369"/>
      <c r="C408" s="369"/>
      <c r="D408" s="370"/>
      <c r="E408" s="370"/>
      <c r="F408" s="292"/>
      <c r="G408" s="371"/>
      <c r="H408" s="356"/>
      <c r="I408" s="356"/>
      <c r="J408" s="356"/>
      <c r="K408" s="20"/>
      <c r="L408" s="20"/>
      <c r="M408" s="357"/>
    </row>
    <row r="409" spans="1:13" ht="15.75">
      <c r="A409" s="369"/>
      <c r="B409" s="369"/>
      <c r="C409" s="369"/>
      <c r="D409" s="370"/>
      <c r="E409" s="370"/>
      <c r="F409" s="292"/>
      <c r="G409" s="371"/>
      <c r="H409" s="356"/>
      <c r="I409" s="356"/>
      <c r="J409" s="356"/>
      <c r="K409" s="20"/>
      <c r="L409" s="20"/>
      <c r="M409" s="357"/>
    </row>
    <row r="410" spans="1:13" ht="15.75">
      <c r="A410" s="369"/>
      <c r="B410" s="369"/>
      <c r="C410" s="369"/>
      <c r="D410" s="370"/>
      <c r="E410" s="370"/>
      <c r="F410" s="292"/>
      <c r="G410" s="371"/>
      <c r="H410" s="356"/>
      <c r="I410" s="356"/>
      <c r="J410" s="356"/>
      <c r="K410" s="20"/>
      <c r="L410" s="20"/>
      <c r="M410" s="357"/>
    </row>
    <row r="411" spans="1:13" ht="15.75">
      <c r="A411" s="369"/>
      <c r="B411" s="369"/>
      <c r="C411" s="369"/>
      <c r="D411" s="370"/>
      <c r="E411" s="370"/>
      <c r="F411" s="292"/>
      <c r="G411" s="371"/>
      <c r="H411" s="356"/>
      <c r="I411" s="356"/>
      <c r="J411" s="356"/>
      <c r="K411" s="20"/>
      <c r="L411" s="20"/>
      <c r="M411" s="357"/>
    </row>
    <row r="412" spans="1:13" ht="15.75">
      <c r="A412" s="369"/>
      <c r="B412" s="369"/>
      <c r="C412" s="369"/>
      <c r="D412" s="370"/>
      <c r="E412" s="370"/>
      <c r="F412" s="292"/>
      <c r="G412" s="371"/>
      <c r="H412" s="356"/>
      <c r="I412" s="356"/>
      <c r="J412" s="356"/>
      <c r="K412" s="20"/>
      <c r="L412" s="20"/>
      <c r="M412" s="357"/>
    </row>
    <row r="413" spans="1:13" ht="15.75">
      <c r="A413" s="369"/>
      <c r="B413" s="369"/>
      <c r="C413" s="369"/>
      <c r="D413" s="370"/>
      <c r="E413" s="370"/>
      <c r="F413" s="292"/>
      <c r="G413" s="371"/>
      <c r="H413" s="356"/>
      <c r="I413" s="356"/>
      <c r="J413" s="356"/>
      <c r="K413" s="20"/>
      <c r="L413" s="20"/>
      <c r="M413" s="357"/>
    </row>
    <row r="414" spans="1:13" ht="15.75">
      <c r="A414" s="369"/>
      <c r="B414" s="369"/>
      <c r="C414" s="369"/>
      <c r="D414" s="370"/>
      <c r="E414" s="370"/>
      <c r="F414" s="292"/>
      <c r="G414" s="371"/>
      <c r="H414" s="356"/>
      <c r="I414" s="356"/>
      <c r="J414" s="356"/>
      <c r="K414" s="20"/>
      <c r="L414" s="20"/>
      <c r="M414" s="357"/>
    </row>
    <row r="415" spans="1:13" ht="15.75">
      <c r="A415" s="369"/>
      <c r="B415" s="369"/>
      <c r="C415" s="369"/>
      <c r="D415" s="370"/>
      <c r="E415" s="370"/>
      <c r="F415" s="292"/>
      <c r="G415" s="371"/>
      <c r="H415" s="356"/>
      <c r="I415" s="356"/>
      <c r="J415" s="356"/>
      <c r="K415" s="20"/>
      <c r="L415" s="20"/>
      <c r="M415" s="357"/>
    </row>
    <row r="416" spans="1:13" ht="15.75">
      <c r="A416" s="369"/>
      <c r="B416" s="369"/>
      <c r="C416" s="369"/>
      <c r="D416" s="370"/>
      <c r="E416" s="370"/>
      <c r="F416" s="292"/>
      <c r="G416" s="371"/>
      <c r="H416" s="356"/>
      <c r="I416" s="356"/>
      <c r="J416" s="356"/>
      <c r="K416" s="20"/>
      <c r="L416" s="20"/>
      <c r="M416" s="357"/>
    </row>
    <row r="417" spans="1:13" ht="15.75">
      <c r="A417" s="369"/>
      <c r="B417" s="369"/>
      <c r="C417" s="369"/>
      <c r="D417" s="370"/>
      <c r="E417" s="370"/>
      <c r="F417" s="292"/>
      <c r="G417" s="371"/>
      <c r="H417" s="356"/>
      <c r="I417" s="356"/>
      <c r="J417" s="356"/>
      <c r="K417" s="20"/>
      <c r="L417" s="20"/>
      <c r="M417" s="357"/>
    </row>
    <row r="418" spans="1:13" ht="15.75">
      <c r="A418" s="369"/>
      <c r="B418" s="369"/>
      <c r="C418" s="369"/>
      <c r="D418" s="370"/>
      <c r="E418" s="370"/>
      <c r="F418" s="292"/>
      <c r="G418" s="371"/>
      <c r="H418" s="356"/>
      <c r="I418" s="356"/>
      <c r="J418" s="356"/>
      <c r="K418" s="20"/>
      <c r="L418" s="20"/>
      <c r="M418" s="357"/>
    </row>
    <row r="419" spans="1:13" ht="15.75">
      <c r="A419" s="369"/>
      <c r="B419" s="369"/>
      <c r="C419" s="369"/>
      <c r="D419" s="370"/>
      <c r="E419" s="370"/>
      <c r="F419" s="292"/>
      <c r="G419" s="371"/>
      <c r="H419" s="356"/>
      <c r="I419" s="356"/>
      <c r="J419" s="356"/>
      <c r="K419" s="20"/>
      <c r="L419" s="20"/>
      <c r="M419" s="357"/>
    </row>
    <row r="420" spans="1:13" ht="15.75">
      <c r="A420" s="369"/>
      <c r="B420" s="369"/>
      <c r="C420" s="369"/>
      <c r="D420" s="370"/>
      <c r="E420" s="370"/>
      <c r="F420" s="292"/>
      <c r="G420" s="371"/>
      <c r="H420" s="356"/>
      <c r="I420" s="356"/>
      <c r="J420" s="356"/>
      <c r="K420" s="20"/>
      <c r="L420" s="20"/>
      <c r="M420" s="357"/>
    </row>
    <row r="421" spans="1:13" ht="15.75">
      <c r="A421" s="369"/>
      <c r="B421" s="369"/>
      <c r="C421" s="369"/>
      <c r="D421" s="370"/>
      <c r="E421" s="370"/>
      <c r="F421" s="292"/>
      <c r="G421" s="371"/>
      <c r="H421" s="356"/>
      <c r="I421" s="356"/>
      <c r="J421" s="356"/>
      <c r="K421" s="20"/>
      <c r="L421" s="20"/>
      <c r="M421" s="357"/>
    </row>
    <row r="422" spans="1:13" ht="15.75">
      <c r="A422" s="369"/>
      <c r="B422" s="369"/>
      <c r="C422" s="369"/>
      <c r="D422" s="370"/>
      <c r="E422" s="370"/>
      <c r="F422" s="292"/>
      <c r="G422" s="371"/>
      <c r="H422" s="356"/>
      <c r="I422" s="356"/>
      <c r="J422" s="356"/>
      <c r="K422" s="20"/>
      <c r="L422" s="20"/>
      <c r="M422" s="357"/>
    </row>
    <row r="423" spans="1:13" ht="15.75">
      <c r="A423" s="369"/>
      <c r="B423" s="369"/>
      <c r="C423" s="369"/>
      <c r="D423" s="370"/>
      <c r="E423" s="370"/>
      <c r="F423" s="292"/>
      <c r="G423" s="371"/>
      <c r="H423" s="356"/>
      <c r="I423" s="356"/>
      <c r="J423" s="356"/>
      <c r="K423" s="20"/>
      <c r="L423" s="20"/>
      <c r="M423" s="357"/>
    </row>
    <row r="424" spans="1:13" ht="15.75">
      <c r="A424" s="369"/>
      <c r="B424" s="369"/>
      <c r="C424" s="369"/>
      <c r="D424" s="370"/>
      <c r="E424" s="370"/>
      <c r="F424" s="292"/>
      <c r="G424" s="371"/>
      <c r="H424" s="356"/>
      <c r="I424" s="356"/>
      <c r="J424" s="356"/>
      <c r="K424" s="20"/>
      <c r="L424" s="20"/>
      <c r="M424" s="357"/>
    </row>
    <row r="425" spans="1:13" ht="15.75">
      <c r="A425" s="369"/>
      <c r="B425" s="369"/>
      <c r="C425" s="369"/>
      <c r="D425" s="370"/>
      <c r="E425" s="370"/>
      <c r="F425" s="292"/>
      <c r="G425" s="371"/>
      <c r="H425" s="356"/>
      <c r="I425" s="356"/>
      <c r="J425" s="356"/>
      <c r="K425" s="20"/>
      <c r="L425" s="20"/>
      <c r="M425" s="357"/>
    </row>
    <row r="426" spans="1:13" ht="15.75">
      <c r="A426" s="369"/>
      <c r="B426" s="369"/>
      <c r="C426" s="369"/>
      <c r="D426" s="370"/>
      <c r="E426" s="370"/>
      <c r="F426" s="292"/>
      <c r="G426" s="371"/>
      <c r="H426" s="356"/>
      <c r="I426" s="356"/>
      <c r="J426" s="356"/>
      <c r="K426" s="20"/>
      <c r="L426" s="20"/>
      <c r="M426" s="357"/>
    </row>
    <row r="427" spans="1:13" ht="15.75">
      <c r="A427" s="369"/>
      <c r="B427" s="369"/>
      <c r="C427" s="369"/>
      <c r="D427" s="370"/>
      <c r="E427" s="370"/>
      <c r="F427" s="292"/>
      <c r="G427" s="371"/>
      <c r="H427" s="356"/>
      <c r="I427" s="356"/>
      <c r="J427" s="356"/>
      <c r="K427" s="20"/>
      <c r="L427" s="20"/>
      <c r="M427" s="357"/>
    </row>
    <row r="428" spans="1:13" ht="15.75">
      <c r="A428" s="369"/>
      <c r="B428" s="369"/>
      <c r="C428" s="369"/>
      <c r="D428" s="370"/>
      <c r="E428" s="370"/>
      <c r="F428" s="292"/>
      <c r="G428" s="371"/>
      <c r="H428" s="356"/>
      <c r="I428" s="356"/>
      <c r="J428" s="356"/>
      <c r="K428" s="20"/>
      <c r="L428" s="20"/>
      <c r="M428" s="357"/>
    </row>
    <row r="429" spans="1:13" ht="15.75">
      <c r="A429" s="369"/>
      <c r="B429" s="369"/>
      <c r="C429" s="369"/>
      <c r="D429" s="370"/>
      <c r="E429" s="370"/>
      <c r="F429" s="292"/>
      <c r="G429" s="371"/>
      <c r="H429" s="356"/>
      <c r="I429" s="356"/>
      <c r="J429" s="356"/>
      <c r="K429" s="20"/>
      <c r="L429" s="20"/>
      <c r="M429" s="357"/>
    </row>
    <row r="430" spans="1:13" ht="15.75">
      <c r="A430" s="369"/>
      <c r="B430" s="369"/>
      <c r="C430" s="369"/>
      <c r="D430" s="370"/>
      <c r="E430" s="370"/>
      <c r="F430" s="292"/>
      <c r="G430" s="371"/>
      <c r="H430" s="356"/>
      <c r="I430" s="356"/>
      <c r="J430" s="356"/>
      <c r="K430" s="20"/>
      <c r="L430" s="20"/>
      <c r="M430" s="357"/>
    </row>
    <row r="431" spans="1:13" ht="15.75">
      <c r="A431" s="369"/>
      <c r="B431" s="369"/>
      <c r="C431" s="369"/>
      <c r="D431" s="370"/>
      <c r="E431" s="370"/>
      <c r="F431" s="292"/>
      <c r="G431" s="371"/>
      <c r="H431" s="356"/>
      <c r="I431" s="356"/>
      <c r="J431" s="356"/>
      <c r="K431" s="20"/>
      <c r="L431" s="20"/>
      <c r="M431" s="357"/>
    </row>
    <row r="432" spans="1:13" ht="15.75">
      <c r="A432" s="369"/>
      <c r="B432" s="369"/>
      <c r="C432" s="369"/>
      <c r="D432" s="370"/>
      <c r="E432" s="370"/>
      <c r="F432" s="292"/>
      <c r="G432" s="371"/>
      <c r="H432" s="356"/>
      <c r="I432" s="356"/>
      <c r="J432" s="356"/>
      <c r="K432" s="20"/>
      <c r="L432" s="20"/>
      <c r="M432" s="357"/>
    </row>
    <row r="433" spans="1:13" ht="15.75">
      <c r="A433" s="369"/>
      <c r="B433" s="369"/>
      <c r="C433" s="369"/>
      <c r="D433" s="370"/>
      <c r="E433" s="370"/>
      <c r="F433" s="292"/>
      <c r="G433" s="371"/>
      <c r="H433" s="356"/>
      <c r="I433" s="356"/>
      <c r="J433" s="356"/>
      <c r="K433" s="20"/>
      <c r="L433" s="20"/>
      <c r="M433" s="357"/>
    </row>
    <row r="434" spans="1:13" ht="15.75">
      <c r="A434" s="369"/>
      <c r="B434" s="369"/>
      <c r="C434" s="369"/>
      <c r="D434" s="370"/>
      <c r="E434" s="370"/>
      <c r="F434" s="292"/>
      <c r="G434" s="371"/>
      <c r="H434" s="356"/>
      <c r="I434" s="356"/>
      <c r="J434" s="356"/>
      <c r="K434" s="20"/>
      <c r="L434" s="20"/>
      <c r="M434" s="357"/>
    </row>
    <row r="435" spans="1:13" ht="15.75">
      <c r="A435" s="369"/>
      <c r="B435" s="369"/>
      <c r="C435" s="369"/>
      <c r="D435" s="370"/>
      <c r="E435" s="370"/>
      <c r="F435" s="292"/>
      <c r="G435" s="371"/>
      <c r="H435" s="356"/>
      <c r="I435" s="356"/>
      <c r="J435" s="356"/>
      <c r="K435" s="20"/>
      <c r="L435" s="20"/>
      <c r="M435" s="357"/>
    </row>
    <row r="436" spans="1:13" ht="15.75">
      <c r="A436" s="369"/>
      <c r="B436" s="369"/>
      <c r="C436" s="369"/>
      <c r="D436" s="370"/>
      <c r="E436" s="370"/>
      <c r="F436" s="292"/>
      <c r="G436" s="371"/>
      <c r="H436" s="356"/>
      <c r="I436" s="356"/>
      <c r="J436" s="356"/>
      <c r="K436" s="20"/>
      <c r="L436" s="20"/>
      <c r="M436" s="357"/>
    </row>
    <row r="437" spans="1:13" ht="15.75">
      <c r="A437" s="369"/>
      <c r="B437" s="369"/>
      <c r="C437" s="369"/>
      <c r="D437" s="370"/>
      <c r="E437" s="370"/>
      <c r="F437" s="292"/>
      <c r="G437" s="371"/>
      <c r="H437" s="356"/>
      <c r="I437" s="356"/>
      <c r="J437" s="356"/>
      <c r="K437" s="20"/>
      <c r="L437" s="20"/>
      <c r="M437" s="357"/>
    </row>
    <row r="438" spans="1:13" ht="15.75">
      <c r="A438" s="369"/>
      <c r="B438" s="369"/>
      <c r="C438" s="369"/>
      <c r="D438" s="370"/>
      <c r="E438" s="370"/>
      <c r="F438" s="292"/>
      <c r="G438" s="371"/>
      <c r="H438" s="356"/>
      <c r="I438" s="356"/>
      <c r="J438" s="356"/>
      <c r="K438" s="20"/>
      <c r="L438" s="20"/>
      <c r="M438" s="357"/>
    </row>
    <row r="439" spans="1:13" ht="15.75">
      <c r="A439" s="369"/>
      <c r="B439" s="369"/>
      <c r="C439" s="369"/>
      <c r="D439" s="370"/>
      <c r="E439" s="370"/>
      <c r="F439" s="292"/>
      <c r="G439" s="371"/>
      <c r="H439" s="356"/>
      <c r="I439" s="356"/>
      <c r="J439" s="356"/>
      <c r="K439" s="20"/>
      <c r="L439" s="20"/>
      <c r="M439" s="357"/>
    </row>
    <row r="440" spans="1:13" ht="15.75">
      <c r="A440" s="369"/>
      <c r="B440" s="369"/>
      <c r="C440" s="369"/>
      <c r="D440" s="370"/>
      <c r="E440" s="370"/>
      <c r="F440" s="292"/>
      <c r="G440" s="371"/>
      <c r="H440" s="356"/>
      <c r="I440" s="356"/>
      <c r="J440" s="356"/>
      <c r="K440" s="20"/>
      <c r="L440" s="20"/>
      <c r="M440" s="357"/>
    </row>
    <row r="441" spans="1:13" ht="15.75">
      <c r="A441" s="369"/>
      <c r="B441" s="369"/>
      <c r="C441" s="369"/>
      <c r="D441" s="370"/>
      <c r="E441" s="370"/>
      <c r="F441" s="292"/>
      <c r="G441" s="371"/>
      <c r="H441" s="356"/>
      <c r="I441" s="356"/>
      <c r="J441" s="356"/>
      <c r="K441" s="20"/>
      <c r="L441" s="20"/>
      <c r="M441" s="357"/>
    </row>
    <row r="442" spans="1:13" ht="15.75">
      <c r="A442" s="369"/>
      <c r="B442" s="369"/>
      <c r="C442" s="369"/>
      <c r="D442" s="370"/>
      <c r="E442" s="370"/>
      <c r="F442" s="292"/>
      <c r="G442" s="371"/>
      <c r="H442" s="356"/>
      <c r="I442" s="356"/>
      <c r="J442" s="356"/>
      <c r="K442" s="20"/>
      <c r="L442" s="20"/>
      <c r="M442" s="357"/>
    </row>
    <row r="443" spans="1:13" ht="15.75">
      <c r="A443" s="369"/>
      <c r="B443" s="369"/>
      <c r="C443" s="369"/>
      <c r="D443" s="370"/>
      <c r="E443" s="370"/>
      <c r="F443" s="292"/>
      <c r="G443" s="371"/>
      <c r="H443" s="356"/>
      <c r="I443" s="356"/>
      <c r="J443" s="356"/>
      <c r="K443" s="20"/>
      <c r="L443" s="20"/>
      <c r="M443" s="357"/>
    </row>
    <row r="444" spans="1:13" ht="15.75">
      <c r="A444" s="369"/>
      <c r="B444" s="369"/>
      <c r="C444" s="369"/>
      <c r="D444" s="370"/>
      <c r="E444" s="370"/>
      <c r="F444" s="292"/>
      <c r="G444" s="371"/>
      <c r="H444" s="356"/>
      <c r="I444" s="356"/>
      <c r="J444" s="356"/>
      <c r="K444" s="20"/>
      <c r="L444" s="20"/>
      <c r="M444" s="357"/>
    </row>
    <row r="445" spans="1:13" ht="15.75">
      <c r="A445" s="369"/>
      <c r="B445" s="369"/>
      <c r="C445" s="369"/>
      <c r="D445" s="370"/>
      <c r="E445" s="370"/>
      <c r="F445" s="292"/>
      <c r="G445" s="371"/>
      <c r="H445" s="356"/>
      <c r="I445" s="356"/>
      <c r="J445" s="356"/>
      <c r="K445" s="20"/>
      <c r="L445" s="20"/>
      <c r="M445" s="357"/>
    </row>
    <row r="446" spans="1:13" ht="15.75">
      <c r="A446" s="369"/>
      <c r="B446" s="369"/>
      <c r="C446" s="369"/>
      <c r="D446" s="370"/>
      <c r="E446" s="370"/>
      <c r="F446" s="292"/>
      <c r="G446" s="371"/>
      <c r="H446" s="356"/>
      <c r="I446" s="356"/>
      <c r="J446" s="356"/>
      <c r="K446" s="20"/>
      <c r="L446" s="20"/>
      <c r="M446" s="357"/>
    </row>
    <row r="447" spans="1:13" ht="15.75">
      <c r="A447" s="369"/>
      <c r="B447" s="369"/>
      <c r="C447" s="369"/>
      <c r="D447" s="370"/>
      <c r="E447" s="370"/>
      <c r="F447" s="292"/>
      <c r="G447" s="371"/>
      <c r="H447" s="356"/>
      <c r="I447" s="356"/>
      <c r="J447" s="356"/>
      <c r="K447" s="20"/>
      <c r="L447" s="20"/>
      <c r="M447" s="357"/>
    </row>
    <row r="448" spans="1:13" ht="15.75">
      <c r="A448" s="369"/>
      <c r="B448" s="369"/>
      <c r="C448" s="369"/>
      <c r="D448" s="370"/>
      <c r="E448" s="370"/>
      <c r="F448" s="292"/>
      <c r="G448" s="371"/>
      <c r="H448" s="356"/>
      <c r="I448" s="356"/>
      <c r="J448" s="356"/>
      <c r="K448" s="20"/>
      <c r="L448" s="20"/>
      <c r="M448" s="357"/>
    </row>
    <row r="449" spans="1:13" ht="15.75">
      <c r="A449" s="369"/>
      <c r="B449" s="369"/>
      <c r="C449" s="369"/>
      <c r="D449" s="370"/>
      <c r="E449" s="370"/>
      <c r="F449" s="292"/>
      <c r="G449" s="371"/>
      <c r="H449" s="356"/>
      <c r="I449" s="356"/>
      <c r="J449" s="356"/>
      <c r="K449" s="20"/>
      <c r="L449" s="20"/>
      <c r="M449" s="357"/>
    </row>
    <row r="450" spans="1:13" ht="15.75">
      <c r="A450" s="369"/>
      <c r="B450" s="369"/>
      <c r="C450" s="369"/>
      <c r="D450" s="370"/>
      <c r="E450" s="370"/>
      <c r="F450" s="292"/>
      <c r="G450" s="371"/>
      <c r="H450" s="356"/>
      <c r="I450" s="356"/>
      <c r="J450" s="356"/>
      <c r="K450" s="20"/>
      <c r="L450" s="20"/>
      <c r="M450" s="357"/>
    </row>
    <row r="451" spans="1:13" ht="15.75">
      <c r="A451" s="369"/>
      <c r="B451" s="369"/>
      <c r="C451" s="369"/>
      <c r="D451" s="370"/>
      <c r="E451" s="370"/>
      <c r="F451" s="292"/>
      <c r="G451" s="371"/>
      <c r="H451" s="356"/>
      <c r="I451" s="356"/>
      <c r="J451" s="356"/>
      <c r="K451" s="20"/>
      <c r="L451" s="20"/>
      <c r="M451" s="357"/>
    </row>
    <row r="452" spans="1:13" ht="15.75">
      <c r="A452" s="369"/>
      <c r="B452" s="369"/>
      <c r="C452" s="369"/>
      <c r="D452" s="370"/>
      <c r="E452" s="370"/>
      <c r="F452" s="292"/>
      <c r="G452" s="371"/>
      <c r="H452" s="356"/>
      <c r="I452" s="356"/>
      <c r="J452" s="356"/>
      <c r="K452" s="20"/>
      <c r="L452" s="20"/>
      <c r="M452" s="357"/>
    </row>
    <row r="453" spans="1:13" ht="15.75">
      <c r="A453" s="369"/>
      <c r="B453" s="369"/>
      <c r="C453" s="369"/>
      <c r="D453" s="370"/>
      <c r="E453" s="370"/>
      <c r="F453" s="292"/>
      <c r="G453" s="371"/>
      <c r="H453" s="356"/>
      <c r="I453" s="356"/>
      <c r="J453" s="356"/>
      <c r="K453" s="20"/>
      <c r="L453" s="20"/>
      <c r="M453" s="357"/>
    </row>
    <row r="454" spans="1:13" ht="15.75">
      <c r="A454" s="369"/>
      <c r="B454" s="369"/>
      <c r="C454" s="369"/>
      <c r="D454" s="370"/>
      <c r="E454" s="370"/>
      <c r="F454" s="292"/>
      <c r="G454" s="371"/>
      <c r="H454" s="356"/>
      <c r="I454" s="356"/>
      <c r="J454" s="356"/>
      <c r="K454" s="20"/>
      <c r="L454" s="20"/>
      <c r="M454" s="357"/>
    </row>
    <row r="455" spans="1:13" ht="15.75">
      <c r="A455" s="369"/>
      <c r="B455" s="369"/>
      <c r="C455" s="369"/>
      <c r="D455" s="370"/>
      <c r="E455" s="370"/>
      <c r="F455" s="292"/>
      <c r="G455" s="371"/>
      <c r="H455" s="356"/>
      <c r="I455" s="356"/>
      <c r="J455" s="356"/>
      <c r="K455" s="20"/>
      <c r="L455" s="20"/>
      <c r="M455" s="357"/>
    </row>
    <row r="456" spans="1:13" ht="15.75">
      <c r="A456" s="369"/>
      <c r="B456" s="369"/>
      <c r="C456" s="369"/>
      <c r="D456" s="370"/>
      <c r="E456" s="370"/>
      <c r="F456" s="292"/>
      <c r="G456" s="371"/>
      <c r="H456" s="356"/>
      <c r="I456" s="356"/>
      <c r="J456" s="356"/>
      <c r="K456" s="20"/>
      <c r="L456" s="20"/>
      <c r="M456" s="357"/>
    </row>
    <row r="457" spans="1:13" ht="15.75">
      <c r="A457" s="369"/>
      <c r="B457" s="369"/>
      <c r="C457" s="369"/>
      <c r="D457" s="370"/>
      <c r="E457" s="370"/>
      <c r="F457" s="292"/>
      <c r="G457" s="371"/>
      <c r="H457" s="356"/>
      <c r="I457" s="356"/>
      <c r="J457" s="356"/>
      <c r="K457" s="20"/>
      <c r="L457" s="20"/>
      <c r="M457" s="357"/>
    </row>
    <row r="458" spans="1:13" ht="15.75">
      <c r="A458" s="369"/>
      <c r="B458" s="369"/>
      <c r="C458" s="369"/>
      <c r="D458" s="370"/>
      <c r="E458" s="370"/>
      <c r="F458" s="292"/>
      <c r="G458" s="371"/>
      <c r="H458" s="356"/>
      <c r="I458" s="356"/>
      <c r="J458" s="356"/>
      <c r="K458" s="20"/>
      <c r="L458" s="20"/>
      <c r="M458" s="357"/>
    </row>
    <row r="459" spans="1:13" ht="15.75">
      <c r="A459" s="369"/>
      <c r="B459" s="369"/>
      <c r="C459" s="369"/>
      <c r="D459" s="370"/>
      <c r="E459" s="370"/>
      <c r="F459" s="292"/>
      <c r="G459" s="371"/>
      <c r="H459" s="356"/>
      <c r="I459" s="356"/>
      <c r="J459" s="356"/>
      <c r="K459" s="20"/>
      <c r="L459" s="20"/>
      <c r="M459" s="357"/>
    </row>
    <row r="460" spans="1:13" ht="15.75">
      <c r="A460" s="369"/>
      <c r="B460" s="369"/>
      <c r="C460" s="369"/>
      <c r="D460" s="370"/>
      <c r="E460" s="370"/>
      <c r="F460" s="292"/>
      <c r="G460" s="371"/>
      <c r="H460" s="356"/>
      <c r="I460" s="356"/>
      <c r="J460" s="356"/>
      <c r="K460" s="20"/>
      <c r="L460" s="20"/>
      <c r="M460" s="357"/>
    </row>
    <row r="461" spans="1:13" ht="15.75">
      <c r="A461" s="369"/>
      <c r="B461" s="369"/>
      <c r="C461" s="369"/>
      <c r="D461" s="370"/>
      <c r="E461" s="370"/>
      <c r="F461" s="292"/>
      <c r="G461" s="371"/>
      <c r="H461" s="356"/>
      <c r="I461" s="356"/>
      <c r="J461" s="356"/>
      <c r="K461" s="20"/>
      <c r="L461" s="20"/>
      <c r="M461" s="357"/>
    </row>
    <row r="462" spans="1:13" ht="15.75">
      <c r="A462" s="369"/>
      <c r="B462" s="369"/>
      <c r="C462" s="369"/>
      <c r="D462" s="370"/>
      <c r="E462" s="370"/>
      <c r="F462" s="292"/>
      <c r="G462" s="371"/>
      <c r="H462" s="356"/>
      <c r="I462" s="356"/>
      <c r="J462" s="356"/>
      <c r="K462" s="20"/>
      <c r="L462" s="20"/>
      <c r="M462" s="357"/>
    </row>
    <row r="463" spans="1:13" ht="15.75">
      <c r="A463" s="369"/>
      <c r="B463" s="369"/>
      <c r="C463" s="369"/>
      <c r="D463" s="370"/>
      <c r="E463" s="370"/>
      <c r="F463" s="292"/>
      <c r="G463" s="371"/>
      <c r="H463" s="356"/>
      <c r="I463" s="356"/>
      <c r="J463" s="356"/>
      <c r="K463" s="20"/>
      <c r="L463" s="20"/>
      <c r="M463" s="357"/>
    </row>
    <row r="464" spans="1:13" ht="15.75">
      <c r="A464" s="369"/>
      <c r="B464" s="369"/>
      <c r="C464" s="369"/>
      <c r="D464" s="370"/>
      <c r="E464" s="370"/>
      <c r="F464" s="292"/>
      <c r="G464" s="371"/>
      <c r="H464" s="356"/>
      <c r="I464" s="356"/>
      <c r="J464" s="356"/>
      <c r="K464" s="20"/>
      <c r="L464" s="20"/>
      <c r="M464" s="357"/>
    </row>
    <row r="465" spans="1:13" ht="15.75">
      <c r="A465" s="369"/>
      <c r="B465" s="369"/>
      <c r="C465" s="369"/>
      <c r="D465" s="370"/>
      <c r="E465" s="370"/>
      <c r="F465" s="292"/>
      <c r="G465" s="371"/>
      <c r="H465" s="356"/>
      <c r="I465" s="356"/>
      <c r="J465" s="356"/>
      <c r="K465" s="20"/>
      <c r="L465" s="20"/>
      <c r="M465" s="357"/>
    </row>
    <row r="466" spans="1:13" ht="15.75">
      <c r="A466" s="369"/>
      <c r="B466" s="369"/>
      <c r="C466" s="369"/>
      <c r="D466" s="370"/>
      <c r="E466" s="370"/>
      <c r="F466" s="292"/>
      <c r="G466" s="371"/>
      <c r="H466" s="356"/>
      <c r="I466" s="356"/>
      <c r="J466" s="356"/>
      <c r="K466" s="20"/>
      <c r="L466" s="20"/>
      <c r="M466" s="357"/>
    </row>
    <row r="467" spans="1:13" ht="15.75">
      <c r="A467" s="369"/>
      <c r="B467" s="369"/>
      <c r="C467" s="369"/>
      <c r="D467" s="370"/>
      <c r="E467" s="370"/>
      <c r="F467" s="292"/>
      <c r="G467" s="371"/>
      <c r="H467" s="356"/>
      <c r="I467" s="356"/>
      <c r="J467" s="356"/>
      <c r="K467" s="20"/>
      <c r="L467" s="20"/>
      <c r="M467" s="357"/>
    </row>
    <row r="468" spans="1:13" ht="15.75">
      <c r="A468" s="369"/>
      <c r="B468" s="369"/>
      <c r="C468" s="369"/>
      <c r="D468" s="370"/>
      <c r="E468" s="370"/>
      <c r="F468" s="292"/>
      <c r="G468" s="371"/>
      <c r="H468" s="356"/>
      <c r="I468" s="356"/>
      <c r="J468" s="356"/>
      <c r="K468" s="20"/>
      <c r="L468" s="20"/>
      <c r="M468" s="357"/>
    </row>
    <row r="469" spans="1:13" ht="15.75">
      <c r="A469" s="369"/>
      <c r="B469" s="369"/>
      <c r="C469" s="369"/>
      <c r="D469" s="370"/>
      <c r="E469" s="370"/>
      <c r="F469" s="292"/>
      <c r="G469" s="371"/>
      <c r="H469" s="356"/>
      <c r="I469" s="356"/>
      <c r="J469" s="356"/>
      <c r="K469" s="20"/>
      <c r="L469" s="20"/>
      <c r="M469" s="357"/>
    </row>
    <row r="470" spans="1:13" ht="15.75">
      <c r="A470" s="369"/>
      <c r="B470" s="369"/>
      <c r="C470" s="369"/>
      <c r="D470" s="370"/>
      <c r="E470" s="370"/>
      <c r="F470" s="292"/>
      <c r="G470" s="371"/>
      <c r="H470" s="356"/>
      <c r="I470" s="356"/>
      <c r="J470" s="356"/>
      <c r="K470" s="20"/>
      <c r="L470" s="20"/>
      <c r="M470" s="357"/>
    </row>
    <row r="471" spans="1:13" ht="15.75">
      <c r="A471" s="369"/>
      <c r="B471" s="369"/>
      <c r="C471" s="369"/>
      <c r="D471" s="370"/>
      <c r="E471" s="370"/>
      <c r="F471" s="292"/>
      <c r="G471" s="371"/>
      <c r="H471" s="356"/>
      <c r="I471" s="356"/>
      <c r="J471" s="356"/>
      <c r="K471" s="20"/>
      <c r="L471" s="20"/>
      <c r="M471" s="357"/>
    </row>
    <row r="472" spans="1:13" ht="15.75">
      <c r="A472" s="369"/>
      <c r="B472" s="369"/>
      <c r="C472" s="369"/>
      <c r="D472" s="370"/>
      <c r="E472" s="370"/>
      <c r="F472" s="292"/>
      <c r="G472" s="371"/>
      <c r="H472" s="356"/>
      <c r="I472" s="356"/>
      <c r="J472" s="356"/>
      <c r="K472" s="20"/>
      <c r="L472" s="20"/>
      <c r="M472" s="357"/>
    </row>
    <row r="473" spans="1:13" ht="15.75">
      <c r="A473" s="369"/>
      <c r="B473" s="369"/>
      <c r="C473" s="369"/>
      <c r="D473" s="370"/>
      <c r="E473" s="370"/>
      <c r="F473" s="292"/>
      <c r="G473" s="371"/>
      <c r="H473" s="356"/>
      <c r="I473" s="356"/>
      <c r="J473" s="356"/>
      <c r="K473" s="20"/>
      <c r="L473" s="20"/>
      <c r="M473" s="357"/>
    </row>
    <row r="474" spans="1:13" ht="15.75">
      <c r="A474" s="369"/>
      <c r="B474" s="369"/>
      <c r="C474" s="369"/>
      <c r="D474" s="370"/>
      <c r="E474" s="370"/>
      <c r="F474" s="292"/>
      <c r="G474" s="371"/>
      <c r="H474" s="356"/>
      <c r="I474" s="356"/>
      <c r="J474" s="356"/>
      <c r="K474" s="20"/>
      <c r="L474" s="20"/>
      <c r="M474" s="357"/>
    </row>
    <row r="475" spans="1:13" ht="15.75">
      <c r="A475" s="369"/>
      <c r="B475" s="369"/>
      <c r="C475" s="369"/>
      <c r="D475" s="370"/>
      <c r="E475" s="370"/>
      <c r="F475" s="292"/>
      <c r="G475" s="371"/>
      <c r="H475" s="356"/>
      <c r="I475" s="356"/>
      <c r="J475" s="356"/>
      <c r="K475" s="20"/>
      <c r="L475" s="20"/>
      <c r="M475" s="357"/>
    </row>
    <row r="476" spans="1:13" ht="15.75">
      <c r="A476" s="369"/>
      <c r="B476" s="369"/>
      <c r="C476" s="369"/>
      <c r="D476" s="370"/>
      <c r="E476" s="370"/>
      <c r="F476" s="292"/>
      <c r="G476" s="371"/>
      <c r="H476" s="356"/>
      <c r="I476" s="356"/>
      <c r="J476" s="356"/>
      <c r="K476" s="20"/>
      <c r="L476" s="20"/>
      <c r="M476" s="357"/>
    </row>
    <row r="477" spans="1:13" ht="15.75">
      <c r="A477" s="369"/>
      <c r="B477" s="369"/>
      <c r="C477" s="369"/>
      <c r="D477" s="370"/>
      <c r="E477" s="370"/>
      <c r="F477" s="292"/>
      <c r="G477" s="371"/>
      <c r="H477" s="356"/>
      <c r="I477" s="356"/>
      <c r="J477" s="356"/>
      <c r="K477" s="20"/>
      <c r="L477" s="20"/>
      <c r="M477" s="357"/>
    </row>
    <row r="478" spans="1:13" ht="15.75">
      <c r="A478" s="369"/>
      <c r="B478" s="369"/>
      <c r="C478" s="369"/>
      <c r="D478" s="370"/>
      <c r="E478" s="370"/>
      <c r="F478" s="292"/>
      <c r="G478" s="371"/>
      <c r="H478" s="356"/>
      <c r="I478" s="356"/>
      <c r="J478" s="356"/>
      <c r="K478" s="20"/>
      <c r="L478" s="20"/>
      <c r="M478" s="357"/>
    </row>
    <row r="479" spans="1:13" ht="15.75">
      <c r="A479" s="369"/>
      <c r="B479" s="369"/>
      <c r="C479" s="369"/>
      <c r="D479" s="370"/>
      <c r="E479" s="370"/>
      <c r="F479" s="292"/>
      <c r="G479" s="371"/>
      <c r="H479" s="356"/>
      <c r="I479" s="356"/>
      <c r="J479" s="356"/>
      <c r="K479" s="20"/>
      <c r="L479" s="20"/>
      <c r="M479" s="357"/>
    </row>
    <row r="480" spans="1:13" ht="15.75">
      <c r="A480" s="369"/>
      <c r="B480" s="369"/>
      <c r="C480" s="369"/>
      <c r="D480" s="370"/>
      <c r="E480" s="370"/>
      <c r="F480" s="292"/>
      <c r="G480" s="371"/>
      <c r="H480" s="356"/>
      <c r="I480" s="356"/>
      <c r="J480" s="356"/>
      <c r="K480" s="20"/>
      <c r="L480" s="20"/>
      <c r="M480" s="357"/>
    </row>
    <row r="481" spans="1:13" ht="15.75">
      <c r="A481" s="369"/>
      <c r="B481" s="369"/>
      <c r="C481" s="369"/>
      <c r="D481" s="370"/>
      <c r="E481" s="370"/>
      <c r="F481" s="292"/>
      <c r="G481" s="371"/>
      <c r="H481" s="356"/>
      <c r="I481" s="356"/>
      <c r="J481" s="356"/>
      <c r="K481" s="20"/>
      <c r="L481" s="20"/>
      <c r="M481" s="357"/>
    </row>
    <row r="482" spans="1:13" ht="15.75">
      <c r="A482" s="369"/>
      <c r="B482" s="369"/>
      <c r="C482" s="369"/>
      <c r="D482" s="370"/>
      <c r="E482" s="370"/>
      <c r="F482" s="292"/>
      <c r="G482" s="371"/>
      <c r="H482" s="356"/>
      <c r="I482" s="356"/>
      <c r="J482" s="356"/>
      <c r="K482" s="20"/>
      <c r="L482" s="20"/>
      <c r="M482" s="357"/>
    </row>
    <row r="483" spans="1:13" ht="15.75">
      <c r="A483" s="369"/>
      <c r="B483" s="369"/>
      <c r="C483" s="369"/>
      <c r="D483" s="370"/>
      <c r="E483" s="370"/>
      <c r="F483" s="292"/>
      <c r="G483" s="371"/>
      <c r="H483" s="356"/>
      <c r="I483" s="356"/>
      <c r="J483" s="356"/>
      <c r="K483" s="20"/>
      <c r="L483" s="20"/>
      <c r="M483" s="357"/>
    </row>
    <row r="484" spans="1:13" ht="15.75">
      <c r="A484" s="369"/>
      <c r="B484" s="369"/>
      <c r="C484" s="369"/>
      <c r="D484" s="370"/>
      <c r="E484" s="370"/>
      <c r="F484" s="292"/>
      <c r="G484" s="371"/>
      <c r="H484" s="356"/>
      <c r="I484" s="356"/>
      <c r="J484" s="356"/>
      <c r="K484" s="20"/>
      <c r="L484" s="20"/>
      <c r="M484" s="357"/>
    </row>
    <row r="485" spans="1:13" ht="15.75">
      <c r="A485" s="369"/>
      <c r="B485" s="369"/>
      <c r="C485" s="369"/>
      <c r="D485" s="370"/>
      <c r="E485" s="370"/>
      <c r="F485" s="292"/>
      <c r="G485" s="371"/>
      <c r="H485" s="356"/>
      <c r="I485" s="356"/>
      <c r="J485" s="356"/>
      <c r="K485" s="20"/>
      <c r="L485" s="20"/>
      <c r="M485" s="357"/>
    </row>
    <row r="486" spans="1:13" ht="15.75">
      <c r="A486" s="369"/>
      <c r="B486" s="369"/>
      <c r="C486" s="369"/>
      <c r="D486" s="370"/>
      <c r="E486" s="370"/>
      <c r="F486" s="292"/>
      <c r="G486" s="371"/>
      <c r="H486" s="356"/>
      <c r="I486" s="356"/>
      <c r="J486" s="356"/>
      <c r="K486" s="20"/>
      <c r="L486" s="20"/>
      <c r="M486" s="357"/>
    </row>
    <row r="487" spans="1:13" ht="15.75">
      <c r="A487" s="369"/>
      <c r="B487" s="369"/>
      <c r="C487" s="369"/>
      <c r="D487" s="370"/>
      <c r="E487" s="370"/>
      <c r="F487" s="292"/>
      <c r="G487" s="371"/>
      <c r="H487" s="356"/>
      <c r="I487" s="356"/>
      <c r="J487" s="356"/>
      <c r="K487" s="20"/>
      <c r="L487" s="20"/>
      <c r="M487" s="357"/>
    </row>
    <row r="488" spans="1:13" ht="15.75">
      <c r="A488" s="369"/>
      <c r="B488" s="369"/>
      <c r="C488" s="369"/>
      <c r="D488" s="370"/>
      <c r="E488" s="370"/>
      <c r="F488" s="292"/>
      <c r="G488" s="371"/>
      <c r="H488" s="356"/>
      <c r="I488" s="356"/>
      <c r="J488" s="356"/>
      <c r="K488" s="20"/>
      <c r="L488" s="20"/>
      <c r="M488" s="357"/>
    </row>
    <row r="489" spans="1:13" ht="15.75">
      <c r="A489" s="369"/>
      <c r="B489" s="369"/>
      <c r="C489" s="369"/>
      <c r="D489" s="370"/>
      <c r="E489" s="370"/>
      <c r="F489" s="292"/>
      <c r="G489" s="371"/>
      <c r="H489" s="356"/>
      <c r="I489" s="356"/>
      <c r="J489" s="356"/>
      <c r="K489" s="20"/>
      <c r="L489" s="20"/>
      <c r="M489" s="357"/>
    </row>
    <row r="490" spans="1:13" ht="15.75">
      <c r="A490" s="369"/>
      <c r="B490" s="369"/>
      <c r="C490" s="369"/>
      <c r="D490" s="370"/>
      <c r="E490" s="370"/>
      <c r="F490" s="292"/>
      <c r="G490" s="371"/>
      <c r="H490" s="356"/>
      <c r="I490" s="356"/>
      <c r="J490" s="356"/>
      <c r="K490" s="20"/>
      <c r="L490" s="20"/>
      <c r="M490" s="357"/>
    </row>
    <row r="491" spans="1:13" ht="15.75">
      <c r="A491" s="369"/>
      <c r="B491" s="369"/>
      <c r="C491" s="369"/>
      <c r="D491" s="370"/>
      <c r="E491" s="370"/>
      <c r="F491" s="292"/>
      <c r="G491" s="371"/>
      <c r="H491" s="356"/>
      <c r="I491" s="356"/>
      <c r="J491" s="356"/>
      <c r="K491" s="20"/>
      <c r="L491" s="20"/>
      <c r="M491" s="357"/>
    </row>
    <row r="492" spans="1:13" ht="15.75">
      <c r="A492" s="369"/>
      <c r="B492" s="369"/>
      <c r="C492" s="369"/>
      <c r="D492" s="370"/>
      <c r="E492" s="370"/>
      <c r="F492" s="292"/>
      <c r="G492" s="371"/>
      <c r="H492" s="356"/>
      <c r="I492" s="356"/>
      <c r="J492" s="356"/>
      <c r="K492" s="20"/>
      <c r="L492" s="20"/>
      <c r="M492" s="357"/>
    </row>
    <row r="493" spans="1:13" ht="15.75">
      <c r="A493" s="369"/>
      <c r="B493" s="369"/>
      <c r="C493" s="369"/>
      <c r="D493" s="370"/>
      <c r="E493" s="370"/>
      <c r="F493" s="292"/>
      <c r="G493" s="371"/>
      <c r="H493" s="356"/>
      <c r="I493" s="356"/>
      <c r="J493" s="356"/>
      <c r="K493" s="20"/>
      <c r="L493" s="20"/>
      <c r="M493" s="357"/>
    </row>
    <row r="494" spans="1:13" ht="15.75">
      <c r="A494" s="369"/>
      <c r="B494" s="369"/>
      <c r="C494" s="369"/>
      <c r="D494" s="370"/>
      <c r="E494" s="370"/>
      <c r="F494" s="292"/>
      <c r="G494" s="356"/>
      <c r="H494" s="356"/>
      <c r="I494" s="356"/>
      <c r="J494" s="356"/>
      <c r="K494" s="20"/>
      <c r="L494" s="20"/>
      <c r="M494" s="357"/>
    </row>
    <row r="495" spans="1:13" ht="15.75">
      <c r="A495" s="369"/>
      <c r="B495" s="369"/>
      <c r="C495" s="369"/>
      <c r="D495" s="370"/>
      <c r="E495" s="370"/>
      <c r="F495" s="292"/>
      <c r="G495" s="371"/>
      <c r="H495" s="356"/>
      <c r="I495" s="356"/>
      <c r="J495" s="356"/>
      <c r="K495" s="20"/>
      <c r="L495" s="20"/>
      <c r="M495" s="357"/>
    </row>
    <row r="496" spans="1:13" ht="15.75">
      <c r="A496" s="369"/>
      <c r="B496" s="369"/>
      <c r="C496" s="369"/>
      <c r="D496" s="370"/>
      <c r="E496" s="370"/>
      <c r="F496" s="292"/>
      <c r="G496" s="371"/>
      <c r="H496" s="356"/>
      <c r="I496" s="356"/>
      <c r="J496" s="356"/>
      <c r="K496" s="20"/>
      <c r="L496" s="20"/>
      <c r="M496" s="357"/>
    </row>
    <row r="497" spans="1:13" ht="15.75">
      <c r="A497" s="369"/>
      <c r="B497" s="369"/>
      <c r="C497" s="369"/>
      <c r="D497" s="370"/>
      <c r="E497" s="370"/>
      <c r="F497" s="292"/>
      <c r="G497" s="371"/>
      <c r="H497" s="356"/>
      <c r="I497" s="356"/>
      <c r="J497" s="356"/>
      <c r="K497" s="20"/>
      <c r="L497" s="20"/>
      <c r="M497" s="357"/>
    </row>
    <row r="498" spans="1:13" ht="15.75">
      <c r="A498" s="369"/>
      <c r="B498" s="369"/>
      <c r="C498" s="369"/>
      <c r="D498" s="370"/>
      <c r="E498" s="370"/>
      <c r="F498" s="292"/>
      <c r="G498" s="371"/>
      <c r="H498" s="356"/>
      <c r="I498" s="356"/>
      <c r="J498" s="356"/>
      <c r="K498" s="20"/>
      <c r="L498" s="20"/>
      <c r="M498" s="357"/>
    </row>
    <row r="499" spans="1:13" ht="15.75">
      <c r="A499" s="369"/>
      <c r="B499" s="369"/>
      <c r="C499" s="369"/>
      <c r="D499" s="370"/>
      <c r="E499" s="370"/>
      <c r="F499" s="292"/>
      <c r="G499" s="371"/>
      <c r="H499" s="356"/>
      <c r="I499" s="356"/>
      <c r="J499" s="356"/>
      <c r="K499" s="20"/>
      <c r="L499" s="20"/>
      <c r="M499" s="357"/>
    </row>
    <row r="500" spans="1:13" ht="15.75">
      <c r="A500" s="369"/>
      <c r="B500" s="369"/>
      <c r="C500" s="369"/>
      <c r="D500" s="370"/>
      <c r="E500" s="370"/>
      <c r="F500" s="292"/>
      <c r="G500" s="371"/>
      <c r="H500" s="356"/>
      <c r="I500" s="356"/>
      <c r="J500" s="356"/>
      <c r="K500" s="20"/>
      <c r="L500" s="20"/>
      <c r="M500" s="357"/>
    </row>
    <row r="501" spans="1:13" ht="15.75">
      <c r="A501" s="369"/>
      <c r="B501" s="369"/>
      <c r="C501" s="369"/>
      <c r="D501" s="370"/>
      <c r="E501" s="370"/>
      <c r="F501" s="292"/>
      <c r="G501" s="371"/>
      <c r="H501" s="356"/>
      <c r="I501" s="356"/>
      <c r="J501" s="356"/>
      <c r="K501" s="20"/>
      <c r="L501" s="20"/>
      <c r="M501" s="357"/>
    </row>
    <row r="502" spans="1:13" ht="15.75">
      <c r="A502" s="369"/>
      <c r="B502" s="369"/>
      <c r="C502" s="369"/>
      <c r="D502" s="370"/>
      <c r="E502" s="370"/>
      <c r="F502" s="292"/>
      <c r="G502" s="371"/>
      <c r="H502" s="356"/>
      <c r="I502" s="356"/>
      <c r="J502" s="356"/>
      <c r="K502" s="20"/>
      <c r="L502" s="20"/>
      <c r="M502" s="357"/>
    </row>
    <row r="503" spans="1:13" ht="15.75">
      <c r="A503" s="369"/>
      <c r="B503" s="369"/>
      <c r="C503" s="369"/>
      <c r="D503" s="370"/>
      <c r="E503" s="370"/>
      <c r="F503" s="292"/>
      <c r="G503" s="371"/>
      <c r="H503" s="356"/>
      <c r="I503" s="356"/>
      <c r="J503" s="356"/>
      <c r="K503" s="20"/>
      <c r="L503" s="20"/>
      <c r="M503" s="357"/>
    </row>
    <row r="504" spans="1:13" ht="15.75">
      <c r="A504" s="369"/>
      <c r="B504" s="369"/>
      <c r="C504" s="369"/>
      <c r="D504" s="370"/>
      <c r="E504" s="370"/>
      <c r="F504" s="292"/>
      <c r="G504" s="371"/>
      <c r="H504" s="356"/>
      <c r="I504" s="356"/>
      <c r="J504" s="356"/>
      <c r="K504" s="20"/>
      <c r="L504" s="20"/>
      <c r="M504" s="357"/>
    </row>
    <row r="505" spans="1:13" ht="15.75">
      <c r="A505" s="369"/>
      <c r="B505" s="369"/>
      <c r="C505" s="369"/>
      <c r="D505" s="370"/>
      <c r="E505" s="370"/>
      <c r="F505" s="292"/>
      <c r="G505" s="371"/>
      <c r="H505" s="356"/>
      <c r="I505" s="356"/>
      <c r="J505" s="356"/>
      <c r="K505" s="20"/>
      <c r="L505" s="20"/>
      <c r="M505" s="357"/>
    </row>
    <row r="506" spans="1:13" ht="15.75">
      <c r="A506" s="369"/>
      <c r="B506" s="369"/>
      <c r="C506" s="369"/>
      <c r="D506" s="370"/>
      <c r="E506" s="370"/>
      <c r="F506" s="292"/>
      <c r="G506" s="371"/>
      <c r="H506" s="356"/>
      <c r="I506" s="356"/>
      <c r="J506" s="356"/>
      <c r="K506" s="20"/>
      <c r="L506" s="20"/>
      <c r="M506" s="357"/>
    </row>
    <row r="507" spans="1:13" ht="15.75">
      <c r="A507" s="369"/>
      <c r="B507" s="369"/>
      <c r="C507" s="369"/>
      <c r="D507" s="370"/>
      <c r="E507" s="370"/>
      <c r="F507" s="292"/>
      <c r="G507" s="371"/>
      <c r="H507" s="356"/>
      <c r="I507" s="356"/>
      <c r="J507" s="356"/>
      <c r="K507" s="20"/>
      <c r="L507" s="20"/>
      <c r="M507" s="357"/>
    </row>
    <row r="508" spans="1:13" ht="15.75">
      <c r="A508" s="369"/>
      <c r="B508" s="369"/>
      <c r="C508" s="369"/>
      <c r="D508" s="370"/>
      <c r="E508" s="370"/>
      <c r="F508" s="292"/>
      <c r="G508" s="371"/>
      <c r="H508" s="356"/>
      <c r="I508" s="356"/>
      <c r="J508" s="356"/>
      <c r="K508" s="20"/>
      <c r="L508" s="20"/>
      <c r="M508" s="357"/>
    </row>
    <row r="509" spans="1:13" ht="15.75">
      <c r="A509" s="369"/>
      <c r="B509" s="369"/>
      <c r="C509" s="369"/>
      <c r="D509" s="370"/>
      <c r="E509" s="370"/>
      <c r="F509" s="292"/>
      <c r="G509" s="371"/>
      <c r="H509" s="356"/>
      <c r="I509" s="356"/>
      <c r="J509" s="356"/>
      <c r="K509" s="20"/>
      <c r="L509" s="20"/>
      <c r="M509" s="357"/>
    </row>
    <row r="510" spans="1:13" ht="15.75">
      <c r="A510" s="369"/>
      <c r="B510" s="369"/>
      <c r="C510" s="369"/>
      <c r="D510" s="370"/>
      <c r="E510" s="370"/>
      <c r="F510" s="292"/>
      <c r="G510" s="371"/>
      <c r="H510" s="356"/>
      <c r="I510" s="356"/>
      <c r="J510" s="356"/>
      <c r="K510" s="20"/>
      <c r="L510" s="20"/>
      <c r="M510" s="357"/>
    </row>
    <row r="511" spans="1:13" ht="15.75">
      <c r="A511" s="369"/>
      <c r="B511" s="369"/>
      <c r="C511" s="369"/>
      <c r="D511" s="370"/>
      <c r="E511" s="370"/>
      <c r="F511" s="292"/>
      <c r="G511" s="371"/>
      <c r="H511" s="356"/>
      <c r="I511" s="356"/>
      <c r="J511" s="356"/>
      <c r="K511" s="20"/>
      <c r="L511" s="20"/>
      <c r="M511" s="357"/>
    </row>
    <row r="512" spans="1:13" ht="15.75">
      <c r="A512" s="369"/>
      <c r="B512" s="369"/>
      <c r="C512" s="369"/>
      <c r="D512" s="370"/>
      <c r="E512" s="370"/>
      <c r="F512" s="292"/>
      <c r="G512" s="371"/>
      <c r="H512" s="356"/>
      <c r="I512" s="356"/>
      <c r="J512" s="356"/>
      <c r="K512" s="20"/>
      <c r="L512" s="20"/>
      <c r="M512" s="357"/>
    </row>
    <row r="513" spans="1:13" ht="15.75">
      <c r="A513" s="369"/>
      <c r="B513" s="369"/>
      <c r="C513" s="369"/>
      <c r="D513" s="370"/>
      <c r="E513" s="370"/>
      <c r="F513" s="292"/>
      <c r="G513" s="371"/>
      <c r="H513" s="356"/>
      <c r="I513" s="356"/>
      <c r="J513" s="356"/>
      <c r="K513" s="20"/>
      <c r="L513" s="20"/>
      <c r="M513" s="357"/>
    </row>
    <row r="514" spans="1:13" ht="15.75">
      <c r="A514" s="369"/>
      <c r="B514" s="369"/>
      <c r="C514" s="369"/>
      <c r="D514" s="370"/>
      <c r="E514" s="370"/>
      <c r="F514" s="292"/>
      <c r="G514" s="371"/>
      <c r="H514" s="356"/>
      <c r="I514" s="356"/>
      <c r="J514" s="356"/>
      <c r="K514" s="20"/>
      <c r="L514" s="20"/>
      <c r="M514" s="357"/>
    </row>
    <row r="515" spans="1:13" ht="15.75">
      <c r="A515" s="369"/>
      <c r="B515" s="369"/>
      <c r="C515" s="369"/>
      <c r="D515" s="370"/>
      <c r="E515" s="370"/>
      <c r="F515" s="292"/>
      <c r="G515" s="371"/>
      <c r="H515" s="356"/>
      <c r="I515" s="356"/>
      <c r="J515" s="356"/>
      <c r="K515" s="20"/>
      <c r="L515" s="20"/>
      <c r="M515" s="357"/>
    </row>
    <row r="516" spans="1:13" ht="15.75">
      <c r="A516" s="369"/>
      <c r="B516" s="369"/>
      <c r="C516" s="369"/>
      <c r="D516" s="370"/>
      <c r="E516" s="370"/>
      <c r="F516" s="292"/>
      <c r="G516" s="371"/>
      <c r="H516" s="356"/>
      <c r="I516" s="356"/>
      <c r="J516" s="356"/>
      <c r="K516" s="20"/>
      <c r="L516" s="20"/>
      <c r="M516" s="357"/>
    </row>
    <row r="517" spans="1:13" ht="15.75">
      <c r="A517" s="369"/>
      <c r="B517" s="369"/>
      <c r="C517" s="369"/>
      <c r="D517" s="370"/>
      <c r="E517" s="370"/>
      <c r="F517" s="292"/>
      <c r="G517" s="371"/>
      <c r="H517" s="356"/>
      <c r="I517" s="356"/>
      <c r="J517" s="356"/>
      <c r="K517" s="20"/>
      <c r="L517" s="20"/>
      <c r="M517" s="357"/>
    </row>
    <row r="518" spans="1:13" ht="15.75">
      <c r="A518" s="369"/>
      <c r="B518" s="369"/>
      <c r="C518" s="369"/>
      <c r="D518" s="370"/>
      <c r="E518" s="370"/>
      <c r="F518" s="292"/>
      <c r="G518" s="371"/>
      <c r="H518" s="356"/>
      <c r="I518" s="356"/>
      <c r="J518" s="356"/>
      <c r="K518" s="20"/>
      <c r="L518" s="20"/>
      <c r="M518" s="357"/>
    </row>
    <row r="519" spans="1:13" ht="15.75">
      <c r="A519" s="369"/>
      <c r="B519" s="369"/>
      <c r="C519" s="369"/>
      <c r="D519" s="370"/>
      <c r="E519" s="370"/>
      <c r="F519" s="292"/>
      <c r="G519" s="371"/>
      <c r="H519" s="356"/>
      <c r="I519" s="356"/>
      <c r="J519" s="356"/>
      <c r="K519" s="20"/>
      <c r="L519" s="20"/>
      <c r="M519" s="357"/>
    </row>
    <row r="520" spans="1:13" ht="15.75">
      <c r="A520" s="369"/>
      <c r="B520" s="369"/>
      <c r="C520" s="369"/>
      <c r="D520" s="370"/>
      <c r="E520" s="370"/>
      <c r="F520" s="292"/>
      <c r="G520" s="371"/>
      <c r="H520" s="356"/>
      <c r="I520" s="356"/>
      <c r="J520" s="356"/>
      <c r="K520" s="20"/>
      <c r="L520" s="20"/>
      <c r="M520" s="357"/>
    </row>
    <row r="521" spans="1:13" ht="15.75">
      <c r="A521" s="369"/>
      <c r="B521" s="369"/>
      <c r="C521" s="369"/>
      <c r="D521" s="370"/>
      <c r="E521" s="370"/>
      <c r="F521" s="292"/>
      <c r="G521" s="371"/>
      <c r="H521" s="356"/>
      <c r="I521" s="356"/>
      <c r="J521" s="356"/>
      <c r="K521" s="20"/>
      <c r="L521" s="20"/>
      <c r="M521" s="357"/>
    </row>
    <row r="522" spans="1:13" ht="15.75">
      <c r="A522" s="369"/>
      <c r="B522" s="369"/>
      <c r="C522" s="369"/>
      <c r="D522" s="370"/>
      <c r="E522" s="370"/>
      <c r="F522" s="292"/>
      <c r="G522" s="371"/>
      <c r="H522" s="356"/>
      <c r="I522" s="356"/>
      <c r="J522" s="356"/>
      <c r="K522" s="20"/>
      <c r="L522" s="20"/>
      <c r="M522" s="357"/>
    </row>
    <row r="523" spans="1:13" ht="15.75">
      <c r="A523" s="369"/>
      <c r="B523" s="369"/>
      <c r="C523" s="369"/>
      <c r="D523" s="370"/>
      <c r="E523" s="370"/>
      <c r="F523" s="292"/>
      <c r="G523" s="371"/>
      <c r="H523" s="356"/>
      <c r="I523" s="356"/>
      <c r="J523" s="356"/>
      <c r="K523" s="20"/>
      <c r="L523" s="20"/>
      <c r="M523" s="357"/>
    </row>
    <row r="524" spans="1:13" ht="15.75">
      <c r="A524" s="369"/>
      <c r="B524" s="369"/>
      <c r="C524" s="369"/>
      <c r="D524" s="370"/>
      <c r="E524" s="370"/>
      <c r="F524" s="292"/>
      <c r="G524" s="371"/>
      <c r="H524" s="356"/>
      <c r="I524" s="356"/>
      <c r="J524" s="356"/>
      <c r="K524" s="20"/>
      <c r="L524" s="20"/>
      <c r="M524" s="357"/>
    </row>
    <row r="525" spans="1:13" ht="15.75">
      <c r="A525" s="369"/>
      <c r="B525" s="369"/>
      <c r="C525" s="369"/>
      <c r="D525" s="370"/>
      <c r="E525" s="370"/>
      <c r="F525" s="292"/>
      <c r="G525" s="371"/>
      <c r="H525" s="356"/>
      <c r="I525" s="356"/>
      <c r="J525" s="356"/>
      <c r="K525" s="20"/>
      <c r="L525" s="20"/>
      <c r="M525" s="357"/>
    </row>
    <row r="526" spans="1:13" ht="15.75">
      <c r="A526" s="369"/>
      <c r="B526" s="369"/>
      <c r="C526" s="369"/>
      <c r="D526" s="370"/>
      <c r="E526" s="370"/>
      <c r="F526" s="292"/>
      <c r="G526" s="371"/>
      <c r="H526" s="356"/>
      <c r="I526" s="356"/>
      <c r="J526" s="356"/>
      <c r="K526" s="20"/>
      <c r="L526" s="20"/>
      <c r="M526" s="357"/>
    </row>
    <row r="527" spans="1:13" ht="15.75">
      <c r="A527" s="369"/>
      <c r="B527" s="369"/>
      <c r="C527" s="369"/>
      <c r="D527" s="370"/>
      <c r="E527" s="370"/>
      <c r="F527" s="292"/>
      <c r="G527" s="371"/>
      <c r="H527" s="356"/>
      <c r="I527" s="356"/>
      <c r="J527" s="356"/>
      <c r="K527" s="20"/>
      <c r="L527" s="20"/>
      <c r="M527" s="357"/>
    </row>
    <row r="528" spans="1:13" ht="15.75">
      <c r="A528" s="369"/>
      <c r="B528" s="369"/>
      <c r="C528" s="369"/>
      <c r="D528" s="370"/>
      <c r="E528" s="370"/>
      <c r="F528" s="292"/>
      <c r="G528" s="371"/>
      <c r="H528" s="356"/>
      <c r="I528" s="356"/>
      <c r="J528" s="356"/>
      <c r="K528" s="20"/>
      <c r="L528" s="20"/>
      <c r="M528" s="357"/>
    </row>
    <row r="529" spans="1:13" ht="15.75">
      <c r="A529" s="369"/>
      <c r="B529" s="369"/>
      <c r="C529" s="369"/>
      <c r="D529" s="370"/>
      <c r="E529" s="370"/>
      <c r="F529" s="292"/>
      <c r="G529" s="371"/>
      <c r="H529" s="356"/>
      <c r="I529" s="356"/>
      <c r="J529" s="356"/>
      <c r="K529" s="20"/>
      <c r="L529" s="20"/>
      <c r="M529" s="357"/>
    </row>
    <row r="530" spans="1:13" ht="15.75">
      <c r="A530" s="369"/>
      <c r="B530" s="369"/>
      <c r="C530" s="369"/>
      <c r="D530" s="370"/>
      <c r="E530" s="370"/>
      <c r="F530" s="292"/>
      <c r="G530" s="371"/>
      <c r="H530" s="356"/>
      <c r="I530" s="356"/>
      <c r="J530" s="356"/>
      <c r="K530" s="20"/>
      <c r="L530" s="20"/>
      <c r="M530" s="357"/>
    </row>
    <row r="531" spans="1:13" ht="15.75">
      <c r="A531" s="369"/>
      <c r="B531" s="369"/>
      <c r="C531" s="369"/>
      <c r="D531" s="370"/>
      <c r="E531" s="370"/>
      <c r="F531" s="292"/>
      <c r="G531" s="371"/>
      <c r="H531" s="356"/>
      <c r="I531" s="356"/>
      <c r="J531" s="356"/>
      <c r="K531" s="20"/>
      <c r="L531" s="20"/>
      <c r="M531" s="357"/>
    </row>
    <row r="532" spans="1:13" ht="15.75">
      <c r="A532" s="369"/>
      <c r="B532" s="369"/>
      <c r="C532" s="369"/>
      <c r="D532" s="370"/>
      <c r="E532" s="370"/>
      <c r="F532" s="292"/>
      <c r="G532" s="371"/>
      <c r="H532" s="356"/>
      <c r="I532" s="356"/>
      <c r="J532" s="356"/>
      <c r="K532" s="20"/>
      <c r="L532" s="20"/>
      <c r="M532" s="357"/>
    </row>
    <row r="533" spans="1:13" ht="15.75">
      <c r="A533" s="369"/>
      <c r="B533" s="369"/>
      <c r="C533" s="369"/>
      <c r="D533" s="370"/>
      <c r="E533" s="370"/>
      <c r="F533" s="292"/>
      <c r="G533" s="371"/>
      <c r="H533" s="356"/>
      <c r="I533" s="356"/>
      <c r="J533" s="356"/>
      <c r="K533" s="20"/>
      <c r="L533" s="20"/>
      <c r="M533" s="357"/>
    </row>
    <row r="534" spans="1:13" ht="15.75">
      <c r="A534" s="369"/>
      <c r="B534" s="369"/>
      <c r="C534" s="369"/>
      <c r="D534" s="370"/>
      <c r="E534" s="370"/>
      <c r="F534" s="292"/>
      <c r="G534" s="371"/>
      <c r="H534" s="356"/>
      <c r="I534" s="356"/>
      <c r="J534" s="356"/>
      <c r="K534" s="20"/>
      <c r="L534" s="20"/>
      <c r="M534" s="357"/>
    </row>
    <row r="535" spans="1:13" ht="15.75">
      <c r="A535" s="369"/>
      <c r="B535" s="369"/>
      <c r="C535" s="369"/>
      <c r="D535" s="370"/>
      <c r="E535" s="370"/>
      <c r="F535" s="292"/>
      <c r="G535" s="371"/>
      <c r="H535" s="356"/>
      <c r="I535" s="356"/>
      <c r="J535" s="356"/>
      <c r="K535" s="20"/>
      <c r="L535" s="20"/>
      <c r="M535" s="357"/>
    </row>
    <row r="536" spans="1:13" ht="15.75">
      <c r="A536" s="369"/>
      <c r="B536" s="369"/>
      <c r="C536" s="369"/>
      <c r="D536" s="370"/>
      <c r="E536" s="370"/>
      <c r="F536" s="292"/>
      <c r="G536" s="371"/>
      <c r="H536" s="356"/>
      <c r="I536" s="356"/>
      <c r="J536" s="356"/>
      <c r="K536" s="20"/>
      <c r="L536" s="20"/>
      <c r="M536" s="357"/>
    </row>
    <row r="537" spans="1:13" ht="15.75">
      <c r="A537" s="369"/>
      <c r="B537" s="369"/>
      <c r="C537" s="369"/>
      <c r="D537" s="370"/>
      <c r="E537" s="370"/>
      <c r="F537" s="292"/>
      <c r="G537" s="371"/>
      <c r="H537" s="356"/>
      <c r="I537" s="356"/>
      <c r="J537" s="356"/>
      <c r="K537" s="20"/>
      <c r="L537" s="20"/>
      <c r="M537" s="357"/>
    </row>
    <row r="538" spans="1:13" ht="15.75">
      <c r="A538" s="369"/>
      <c r="B538" s="369"/>
      <c r="C538" s="369"/>
      <c r="D538" s="370"/>
      <c r="E538" s="370"/>
      <c r="F538" s="292"/>
      <c r="G538" s="371"/>
      <c r="H538" s="356"/>
      <c r="I538" s="356"/>
      <c r="J538" s="356"/>
      <c r="K538" s="20"/>
      <c r="L538" s="20"/>
      <c r="M538" s="357"/>
    </row>
    <row r="539" spans="1:13" ht="15.75">
      <c r="A539" s="369"/>
      <c r="B539" s="369"/>
      <c r="C539" s="369"/>
      <c r="D539" s="370"/>
      <c r="E539" s="370"/>
      <c r="F539" s="292"/>
      <c r="G539" s="371"/>
      <c r="H539" s="356"/>
      <c r="I539" s="356"/>
      <c r="J539" s="356"/>
      <c r="K539" s="20"/>
      <c r="L539" s="20"/>
      <c r="M539" s="357"/>
    </row>
    <row r="540" spans="1:13" ht="15.75">
      <c r="A540" s="369"/>
      <c r="B540" s="369"/>
      <c r="C540" s="369"/>
      <c r="D540" s="370"/>
      <c r="E540" s="370"/>
      <c r="F540" s="292"/>
      <c r="G540" s="371"/>
      <c r="H540" s="356"/>
      <c r="I540" s="356"/>
      <c r="J540" s="356"/>
      <c r="K540" s="20"/>
      <c r="L540" s="20"/>
      <c r="M540" s="357"/>
    </row>
    <row r="541" spans="1:13" ht="15.75">
      <c r="A541" s="369"/>
      <c r="B541" s="369"/>
      <c r="C541" s="369"/>
      <c r="D541" s="370"/>
      <c r="E541" s="370"/>
      <c r="F541" s="292"/>
      <c r="G541" s="371"/>
      <c r="H541" s="356"/>
      <c r="I541" s="356"/>
      <c r="J541" s="356"/>
      <c r="K541" s="20"/>
      <c r="L541" s="20"/>
      <c r="M541" s="357"/>
    </row>
    <row r="542" spans="1:13" ht="15.75">
      <c r="A542" s="369"/>
      <c r="B542" s="369"/>
      <c r="C542" s="369"/>
      <c r="D542" s="370"/>
      <c r="E542" s="370"/>
      <c r="F542" s="292"/>
      <c r="G542" s="371"/>
      <c r="H542" s="356"/>
      <c r="I542" s="356"/>
      <c r="J542" s="356"/>
      <c r="K542" s="20"/>
      <c r="L542" s="20"/>
      <c r="M542" s="357"/>
    </row>
    <row r="543" spans="1:13" ht="15.75">
      <c r="A543" s="369"/>
      <c r="B543" s="369"/>
      <c r="C543" s="369"/>
      <c r="D543" s="370"/>
      <c r="E543" s="370"/>
      <c r="F543" s="292"/>
      <c r="G543" s="371"/>
      <c r="H543" s="356"/>
      <c r="I543" s="356"/>
      <c r="J543" s="356"/>
      <c r="K543" s="20"/>
      <c r="L543" s="20"/>
      <c r="M543" s="357"/>
    </row>
    <row r="544" spans="1:13" ht="15.75">
      <c r="A544" s="369"/>
      <c r="B544" s="369"/>
      <c r="C544" s="369"/>
      <c r="D544" s="370"/>
      <c r="E544" s="370"/>
      <c r="F544" s="292"/>
      <c r="G544" s="371"/>
      <c r="H544" s="356"/>
      <c r="I544" s="356"/>
      <c r="J544" s="356"/>
      <c r="K544" s="20"/>
      <c r="L544" s="20"/>
      <c r="M544" s="357"/>
    </row>
    <row r="545" spans="1:13" ht="15.75">
      <c r="A545" s="369"/>
      <c r="B545" s="369"/>
      <c r="C545" s="369"/>
      <c r="D545" s="370"/>
      <c r="E545" s="370"/>
      <c r="F545" s="292"/>
      <c r="G545" s="371"/>
      <c r="H545" s="356"/>
      <c r="I545" s="356"/>
      <c r="J545" s="356"/>
      <c r="K545" s="20"/>
      <c r="L545" s="20"/>
      <c r="M545" s="357"/>
    </row>
    <row r="546" spans="1:13" ht="15.75">
      <c r="A546" s="369"/>
      <c r="B546" s="369"/>
      <c r="C546" s="369"/>
      <c r="D546" s="370"/>
      <c r="E546" s="370"/>
      <c r="F546" s="292"/>
      <c r="G546" s="371"/>
      <c r="H546" s="356"/>
      <c r="I546" s="356"/>
      <c r="J546" s="356"/>
      <c r="K546" s="20"/>
      <c r="L546" s="20"/>
      <c r="M546" s="357"/>
    </row>
    <row r="547" spans="1:13" ht="15.75">
      <c r="A547" s="369"/>
      <c r="B547" s="369"/>
      <c r="C547" s="369"/>
      <c r="D547" s="370"/>
      <c r="E547" s="370"/>
      <c r="F547" s="292"/>
      <c r="G547" s="371"/>
      <c r="H547" s="356"/>
      <c r="I547" s="356"/>
      <c r="J547" s="356"/>
      <c r="K547" s="20"/>
      <c r="L547" s="20"/>
      <c r="M547" s="357"/>
    </row>
    <row r="548" spans="1:13" ht="15.75">
      <c r="A548" s="369"/>
      <c r="B548" s="369"/>
      <c r="C548" s="369"/>
      <c r="D548" s="370"/>
      <c r="E548" s="370"/>
      <c r="F548" s="292"/>
      <c r="G548" s="371"/>
      <c r="H548" s="356"/>
      <c r="I548" s="356"/>
      <c r="J548" s="356"/>
      <c r="K548" s="20"/>
      <c r="L548" s="20"/>
      <c r="M548" s="357"/>
    </row>
    <row r="549" spans="1:13" ht="15.75">
      <c r="A549" s="369"/>
      <c r="B549" s="369"/>
      <c r="C549" s="369"/>
      <c r="D549" s="370"/>
      <c r="E549" s="370"/>
      <c r="F549" s="292"/>
      <c r="G549" s="371"/>
      <c r="H549" s="356"/>
      <c r="I549" s="356"/>
      <c r="J549" s="356"/>
      <c r="K549" s="20"/>
      <c r="L549" s="20"/>
      <c r="M549" s="357"/>
    </row>
    <row r="550" spans="1:13" ht="15.75">
      <c r="A550" s="369"/>
      <c r="B550" s="369"/>
      <c r="C550" s="369"/>
      <c r="D550" s="370"/>
      <c r="E550" s="370"/>
      <c r="F550" s="292"/>
      <c r="G550" s="371"/>
      <c r="H550" s="356"/>
      <c r="I550" s="356"/>
      <c r="J550" s="356"/>
      <c r="K550" s="20"/>
      <c r="L550" s="20"/>
      <c r="M550" s="357"/>
    </row>
    <row r="551" spans="1:13" ht="15.75">
      <c r="A551" s="369"/>
      <c r="B551" s="369"/>
      <c r="C551" s="369"/>
      <c r="D551" s="370"/>
      <c r="E551" s="370"/>
      <c r="F551" s="292"/>
      <c r="G551" s="371"/>
      <c r="H551" s="356"/>
      <c r="I551" s="356"/>
      <c r="J551" s="356"/>
      <c r="K551" s="20"/>
      <c r="L551" s="20"/>
      <c r="M551" s="357"/>
    </row>
    <row r="552" spans="1:13" ht="15.75">
      <c r="A552" s="369"/>
      <c r="B552" s="369"/>
      <c r="C552" s="369"/>
      <c r="D552" s="370"/>
      <c r="E552" s="370"/>
      <c r="F552" s="292"/>
      <c r="G552" s="371"/>
      <c r="H552" s="356"/>
      <c r="I552" s="356"/>
      <c r="J552" s="356"/>
      <c r="K552" s="20"/>
      <c r="L552" s="20"/>
      <c r="M552" s="357"/>
    </row>
    <row r="553" spans="1:13" ht="15.75">
      <c r="A553" s="369"/>
      <c r="B553" s="369"/>
      <c r="C553" s="369"/>
      <c r="D553" s="370"/>
      <c r="E553" s="370"/>
      <c r="F553" s="292"/>
      <c r="G553" s="371"/>
      <c r="H553" s="356"/>
      <c r="I553" s="356"/>
      <c r="J553" s="356"/>
      <c r="K553" s="20"/>
      <c r="L553" s="20"/>
      <c r="M553" s="357"/>
    </row>
    <row r="554" spans="1:13" ht="15.75">
      <c r="A554" s="369"/>
      <c r="B554" s="369"/>
      <c r="C554" s="369"/>
      <c r="D554" s="370"/>
      <c r="E554" s="370"/>
      <c r="F554" s="292"/>
      <c r="G554" s="371"/>
      <c r="H554" s="356"/>
      <c r="I554" s="356"/>
      <c r="J554" s="356"/>
      <c r="K554" s="20"/>
      <c r="L554" s="20"/>
      <c r="M554" s="357"/>
    </row>
    <row r="555" spans="1:13" ht="15.75">
      <c r="A555" s="369"/>
      <c r="B555" s="369"/>
      <c r="C555" s="369"/>
      <c r="D555" s="370"/>
      <c r="E555" s="370"/>
      <c r="F555" s="292"/>
      <c r="G555" s="371"/>
      <c r="H555" s="356"/>
      <c r="I555" s="356"/>
      <c r="J555" s="356"/>
      <c r="K555" s="20"/>
      <c r="L555" s="20"/>
      <c r="M555" s="357"/>
    </row>
    <row r="556" spans="1:13" ht="15.75">
      <c r="A556" s="369"/>
      <c r="B556" s="369"/>
      <c r="C556" s="369"/>
      <c r="D556" s="370"/>
      <c r="E556" s="370"/>
      <c r="F556" s="292"/>
      <c r="G556" s="371"/>
      <c r="H556" s="356"/>
      <c r="I556" s="356"/>
      <c r="J556" s="356"/>
      <c r="K556" s="20"/>
      <c r="L556" s="20"/>
      <c r="M556" s="357"/>
    </row>
    <row r="557" spans="1:13" ht="15.75">
      <c r="A557" s="369"/>
      <c r="B557" s="369"/>
      <c r="C557" s="369"/>
      <c r="D557" s="370"/>
      <c r="E557" s="370"/>
      <c r="F557" s="292"/>
      <c r="G557" s="371"/>
      <c r="H557" s="356"/>
      <c r="I557" s="356"/>
      <c r="J557" s="356"/>
      <c r="K557" s="20"/>
      <c r="L557" s="20"/>
      <c r="M557" s="357"/>
    </row>
    <row r="558" spans="1:13" ht="15.75">
      <c r="A558" s="369"/>
      <c r="B558" s="369"/>
      <c r="C558" s="369"/>
      <c r="D558" s="370"/>
      <c r="E558" s="370"/>
      <c r="F558" s="292"/>
      <c r="G558" s="371"/>
      <c r="H558" s="356"/>
      <c r="I558" s="356"/>
      <c r="J558" s="356"/>
      <c r="K558" s="20"/>
      <c r="L558" s="20"/>
      <c r="M558" s="357"/>
    </row>
    <row r="559" spans="1:13" ht="15.75">
      <c r="A559" s="369"/>
      <c r="B559" s="369"/>
      <c r="C559" s="369"/>
      <c r="D559" s="370"/>
      <c r="E559" s="370"/>
      <c r="F559" s="292"/>
      <c r="G559" s="371"/>
      <c r="H559" s="356"/>
      <c r="I559" s="356"/>
      <c r="J559" s="356"/>
      <c r="K559" s="20"/>
      <c r="L559" s="20"/>
      <c r="M559" s="357"/>
    </row>
    <row r="560" spans="1:13" ht="15.75">
      <c r="A560" s="369"/>
      <c r="B560" s="369"/>
      <c r="C560" s="369"/>
      <c r="D560" s="370"/>
      <c r="E560" s="370"/>
      <c r="F560" s="292"/>
      <c r="G560" s="371"/>
      <c r="H560" s="356"/>
      <c r="I560" s="356"/>
      <c r="J560" s="356"/>
      <c r="K560" s="20"/>
      <c r="L560" s="20"/>
      <c r="M560" s="357"/>
    </row>
    <row r="561" spans="1:13" ht="15.75">
      <c r="A561" s="369"/>
      <c r="B561" s="369"/>
      <c r="C561" s="369"/>
      <c r="D561" s="370"/>
      <c r="E561" s="370"/>
      <c r="F561" s="292"/>
      <c r="G561" s="371"/>
      <c r="H561" s="356"/>
      <c r="I561" s="356"/>
      <c r="J561" s="356"/>
      <c r="K561" s="20"/>
      <c r="L561" s="20"/>
      <c r="M561" s="357"/>
    </row>
    <row r="562" spans="1:13" ht="15.75">
      <c r="A562" s="369"/>
      <c r="B562" s="369"/>
      <c r="C562" s="369"/>
      <c r="D562" s="370"/>
      <c r="E562" s="370"/>
      <c r="F562" s="292"/>
      <c r="G562" s="371"/>
      <c r="H562" s="356"/>
      <c r="I562" s="356"/>
      <c r="J562" s="356"/>
      <c r="K562" s="20"/>
      <c r="L562" s="20"/>
      <c r="M562" s="357"/>
    </row>
    <row r="563" spans="1:13" ht="15.75">
      <c r="A563" s="369"/>
      <c r="B563" s="369"/>
      <c r="C563" s="369"/>
      <c r="D563" s="370"/>
      <c r="E563" s="370"/>
      <c r="F563" s="292"/>
      <c r="G563" s="371"/>
      <c r="H563" s="356"/>
      <c r="I563" s="356"/>
      <c r="J563" s="356"/>
      <c r="K563" s="20"/>
      <c r="L563" s="20"/>
      <c r="M563" s="357"/>
    </row>
    <row r="564" spans="1:13" ht="15.75">
      <c r="A564" s="369"/>
      <c r="B564" s="369"/>
      <c r="C564" s="369"/>
      <c r="D564" s="370"/>
      <c r="E564" s="370"/>
      <c r="F564" s="292"/>
      <c r="G564" s="371"/>
      <c r="H564" s="356"/>
      <c r="I564" s="356"/>
      <c r="J564" s="356"/>
      <c r="K564" s="20"/>
      <c r="L564" s="20"/>
      <c r="M564" s="357"/>
    </row>
    <row r="565" spans="1:13" ht="15.75">
      <c r="A565" s="369"/>
      <c r="B565" s="369"/>
      <c r="C565" s="369"/>
      <c r="D565" s="370"/>
      <c r="E565" s="370"/>
      <c r="F565" s="292"/>
      <c r="G565" s="371"/>
      <c r="H565" s="356"/>
      <c r="I565" s="356"/>
      <c r="J565" s="356"/>
      <c r="K565" s="20"/>
      <c r="L565" s="20"/>
      <c r="M565" s="357"/>
    </row>
    <row r="566" spans="1:13" ht="15.75">
      <c r="A566" s="369"/>
      <c r="B566" s="369"/>
      <c r="C566" s="369"/>
      <c r="D566" s="370"/>
      <c r="E566" s="370"/>
      <c r="F566" s="292"/>
      <c r="G566" s="371"/>
      <c r="H566" s="356"/>
      <c r="I566" s="356"/>
      <c r="J566" s="356"/>
      <c r="K566" s="20"/>
      <c r="L566" s="20"/>
      <c r="M566" s="357"/>
    </row>
    <row r="567" spans="1:13" ht="15.75">
      <c r="A567" s="369"/>
      <c r="B567" s="369"/>
      <c r="C567" s="369"/>
      <c r="D567" s="370"/>
      <c r="E567" s="370"/>
      <c r="F567" s="292"/>
      <c r="G567" s="371"/>
      <c r="H567" s="356"/>
      <c r="I567" s="356"/>
      <c r="J567" s="356"/>
      <c r="K567" s="20"/>
      <c r="L567" s="20"/>
      <c r="M567" s="357"/>
    </row>
    <row r="568" spans="1:13" ht="15.75">
      <c r="A568" s="369"/>
      <c r="B568" s="369"/>
      <c r="C568" s="369"/>
      <c r="D568" s="370"/>
      <c r="E568" s="370"/>
      <c r="F568" s="292"/>
      <c r="G568" s="371"/>
      <c r="H568" s="356"/>
      <c r="I568" s="356"/>
      <c r="J568" s="356"/>
      <c r="K568" s="20"/>
      <c r="L568" s="20"/>
      <c r="M568" s="357"/>
    </row>
    <row r="569" spans="1:13" ht="15.75">
      <c r="A569" s="369"/>
      <c r="B569" s="369"/>
      <c r="C569" s="369"/>
      <c r="D569" s="370"/>
      <c r="E569" s="370"/>
      <c r="F569" s="292"/>
      <c r="G569" s="371"/>
      <c r="H569" s="356"/>
      <c r="I569" s="356"/>
      <c r="J569" s="356"/>
      <c r="K569" s="20"/>
      <c r="L569" s="20"/>
      <c r="M569" s="357"/>
    </row>
    <row r="570" spans="1:13" ht="15.75">
      <c r="A570" s="369"/>
      <c r="B570" s="369"/>
      <c r="C570" s="369"/>
      <c r="D570" s="370"/>
      <c r="E570" s="370"/>
      <c r="F570" s="292"/>
      <c r="G570" s="371"/>
      <c r="H570" s="356"/>
      <c r="I570" s="356"/>
      <c r="J570" s="356"/>
      <c r="K570" s="20"/>
      <c r="L570" s="20"/>
      <c r="M570" s="357"/>
    </row>
    <row r="571" spans="1:13" ht="15.75">
      <c r="A571" s="369"/>
      <c r="B571" s="369"/>
      <c r="C571" s="369"/>
      <c r="D571" s="370"/>
      <c r="E571" s="370"/>
      <c r="F571" s="292"/>
      <c r="G571" s="371"/>
      <c r="H571" s="356"/>
      <c r="I571" s="356"/>
      <c r="J571" s="356"/>
      <c r="K571" s="20"/>
      <c r="L571" s="20"/>
      <c r="M571" s="357"/>
    </row>
    <row r="572" spans="1:13" ht="15.75">
      <c r="A572" s="369"/>
      <c r="B572" s="369"/>
      <c r="C572" s="369"/>
      <c r="D572" s="370"/>
      <c r="E572" s="370"/>
      <c r="F572" s="292"/>
      <c r="G572" s="371"/>
      <c r="H572" s="356"/>
      <c r="I572" s="356"/>
      <c r="J572" s="356"/>
      <c r="K572" s="20"/>
      <c r="L572" s="20"/>
      <c r="M572" s="357"/>
    </row>
    <row r="573" spans="1:13" ht="15.75">
      <c r="A573" s="369"/>
      <c r="B573" s="369"/>
      <c r="C573" s="369"/>
      <c r="D573" s="370"/>
      <c r="E573" s="370"/>
      <c r="F573" s="292"/>
      <c r="G573" s="371"/>
      <c r="H573" s="356"/>
      <c r="I573" s="356"/>
      <c r="J573" s="356"/>
      <c r="K573" s="20"/>
      <c r="L573" s="20"/>
      <c r="M573" s="357"/>
    </row>
    <row r="574" spans="1:13" ht="15.75">
      <c r="A574" s="369"/>
      <c r="B574" s="369"/>
      <c r="C574" s="369"/>
      <c r="D574" s="370"/>
      <c r="E574" s="370"/>
      <c r="F574" s="292"/>
      <c r="G574" s="371"/>
      <c r="H574" s="356"/>
      <c r="I574" s="356"/>
      <c r="J574" s="356"/>
      <c r="K574" s="20"/>
      <c r="L574" s="20"/>
      <c r="M574" s="357"/>
    </row>
    <row r="575" spans="1:13" ht="15.75">
      <c r="A575" s="369"/>
      <c r="B575" s="369"/>
      <c r="C575" s="369"/>
      <c r="D575" s="370"/>
      <c r="E575" s="370"/>
      <c r="F575" s="292"/>
      <c r="G575" s="371"/>
      <c r="H575" s="356"/>
      <c r="I575" s="356"/>
      <c r="J575" s="356"/>
      <c r="K575" s="20"/>
      <c r="L575" s="20"/>
      <c r="M575" s="357"/>
    </row>
    <row r="576" spans="1:13" ht="15.75">
      <c r="A576" s="369"/>
      <c r="B576" s="369"/>
      <c r="C576" s="369"/>
      <c r="D576" s="370"/>
      <c r="E576" s="370"/>
      <c r="F576" s="292"/>
      <c r="G576" s="371"/>
      <c r="H576" s="356"/>
      <c r="I576" s="356"/>
      <c r="J576" s="356"/>
      <c r="K576" s="20"/>
      <c r="L576" s="20"/>
      <c r="M576" s="357"/>
    </row>
    <row r="577" spans="1:13" ht="15.75">
      <c r="A577" s="369"/>
      <c r="B577" s="369"/>
      <c r="C577" s="369"/>
      <c r="D577" s="370"/>
      <c r="E577" s="370"/>
      <c r="F577" s="292"/>
      <c r="G577" s="371"/>
      <c r="H577" s="356"/>
      <c r="I577" s="356"/>
      <c r="J577" s="356"/>
      <c r="K577" s="20"/>
      <c r="L577" s="20"/>
      <c r="M577" s="357"/>
    </row>
    <row r="578" spans="1:13" ht="15.75">
      <c r="A578" s="369"/>
      <c r="B578" s="369"/>
      <c r="C578" s="369"/>
      <c r="D578" s="370"/>
      <c r="E578" s="370"/>
      <c r="F578" s="292"/>
      <c r="G578" s="371"/>
      <c r="H578" s="356"/>
      <c r="I578" s="356"/>
      <c r="J578" s="356"/>
      <c r="K578" s="20"/>
      <c r="L578" s="20"/>
      <c r="M578" s="357"/>
    </row>
    <row r="579" spans="1:13" ht="15.75">
      <c r="A579" s="369"/>
      <c r="B579" s="369"/>
      <c r="C579" s="369"/>
      <c r="D579" s="370"/>
      <c r="E579" s="370"/>
      <c r="F579" s="292"/>
      <c r="G579" s="371"/>
      <c r="H579" s="356"/>
      <c r="I579" s="356"/>
      <c r="J579" s="356"/>
      <c r="K579" s="20"/>
      <c r="L579" s="20"/>
      <c r="M579" s="357"/>
    </row>
    <row r="580" spans="1:13" ht="15.75">
      <c r="A580" s="369"/>
      <c r="B580" s="369"/>
      <c r="C580" s="369"/>
      <c r="D580" s="370"/>
      <c r="E580" s="370"/>
      <c r="F580" s="292"/>
      <c r="G580" s="371"/>
      <c r="H580" s="356"/>
      <c r="I580" s="356"/>
      <c r="J580" s="356"/>
      <c r="K580" s="20"/>
      <c r="L580" s="20"/>
      <c r="M580" s="357"/>
    </row>
    <row r="581" spans="1:13" ht="15.75">
      <c r="A581" s="369"/>
      <c r="B581" s="369"/>
      <c r="C581" s="369"/>
      <c r="D581" s="370"/>
      <c r="E581" s="370"/>
      <c r="F581" s="292"/>
      <c r="G581" s="371"/>
      <c r="H581" s="356"/>
      <c r="I581" s="356"/>
      <c r="J581" s="356"/>
      <c r="K581" s="20"/>
      <c r="L581" s="20"/>
      <c r="M581" s="357"/>
    </row>
    <row r="582" spans="1:13" ht="15.75">
      <c r="A582" s="369"/>
      <c r="B582" s="369"/>
      <c r="C582" s="369"/>
      <c r="D582" s="370"/>
      <c r="E582" s="370"/>
      <c r="F582" s="292"/>
      <c r="G582" s="371"/>
      <c r="H582" s="356"/>
      <c r="I582" s="356"/>
      <c r="J582" s="356"/>
      <c r="K582" s="20"/>
      <c r="L582" s="20"/>
      <c r="M582" s="357"/>
    </row>
    <row r="583" spans="1:13" ht="15.75">
      <c r="A583" s="369"/>
      <c r="B583" s="369"/>
      <c r="C583" s="369"/>
      <c r="D583" s="370"/>
      <c r="E583" s="370"/>
      <c r="F583" s="292"/>
      <c r="G583" s="371"/>
      <c r="H583" s="356"/>
      <c r="I583" s="356"/>
      <c r="J583" s="356"/>
      <c r="K583" s="20"/>
      <c r="L583" s="20"/>
      <c r="M583" s="357"/>
    </row>
    <row r="584" spans="1:13" ht="15.75">
      <c r="A584" s="369"/>
      <c r="B584" s="369"/>
      <c r="C584" s="369"/>
      <c r="D584" s="370"/>
      <c r="E584" s="370"/>
      <c r="F584" s="292"/>
      <c r="G584" s="371"/>
      <c r="H584" s="356"/>
      <c r="I584" s="356"/>
      <c r="J584" s="356"/>
      <c r="K584" s="20"/>
      <c r="L584" s="20"/>
      <c r="M584" s="357"/>
    </row>
    <row r="585" spans="1:13" ht="15.75">
      <c r="A585" s="369"/>
      <c r="B585" s="369"/>
      <c r="C585" s="369"/>
      <c r="D585" s="370"/>
      <c r="E585" s="370"/>
      <c r="F585" s="292"/>
      <c r="G585" s="371"/>
      <c r="H585" s="356"/>
      <c r="I585" s="356"/>
      <c r="J585" s="356"/>
      <c r="K585" s="20"/>
      <c r="L585" s="20"/>
      <c r="M585" s="357"/>
    </row>
    <row r="586" spans="1:13" ht="15.75">
      <c r="A586" s="369"/>
      <c r="B586" s="369"/>
      <c r="C586" s="369"/>
      <c r="D586" s="370"/>
      <c r="E586" s="370"/>
      <c r="F586" s="292"/>
      <c r="G586" s="371"/>
      <c r="H586" s="356"/>
      <c r="I586" s="356"/>
      <c r="J586" s="356"/>
      <c r="K586" s="20"/>
      <c r="L586" s="20"/>
      <c r="M586" s="357"/>
    </row>
    <row r="587" spans="1:13" ht="15.75">
      <c r="A587" s="369"/>
      <c r="B587" s="369"/>
      <c r="C587" s="369"/>
      <c r="D587" s="370"/>
      <c r="E587" s="370"/>
      <c r="F587" s="292"/>
      <c r="G587" s="371"/>
      <c r="H587" s="356"/>
      <c r="I587" s="356"/>
      <c r="J587" s="356"/>
      <c r="K587" s="20"/>
      <c r="L587" s="20"/>
      <c r="M587" s="357"/>
    </row>
    <row r="588" spans="1:13" ht="15.75">
      <c r="A588" s="369"/>
      <c r="B588" s="369"/>
      <c r="C588" s="369"/>
      <c r="D588" s="370"/>
      <c r="E588" s="370"/>
      <c r="F588" s="292"/>
      <c r="G588" s="371"/>
      <c r="H588" s="356"/>
      <c r="I588" s="356"/>
      <c r="J588" s="356"/>
      <c r="K588" s="20"/>
      <c r="L588" s="20"/>
      <c r="M588" s="357"/>
    </row>
    <row r="589" spans="1:13" ht="15.75">
      <c r="A589" s="369"/>
      <c r="B589" s="369"/>
      <c r="C589" s="369"/>
      <c r="D589" s="370"/>
      <c r="E589" s="370"/>
      <c r="F589" s="292"/>
      <c r="G589" s="371"/>
      <c r="H589" s="356"/>
      <c r="I589" s="356"/>
      <c r="J589" s="356"/>
      <c r="K589" s="20"/>
      <c r="L589" s="20"/>
      <c r="M589" s="357"/>
    </row>
    <row r="590" spans="1:13" ht="15.75">
      <c r="A590" s="369"/>
      <c r="B590" s="369"/>
      <c r="C590" s="369"/>
      <c r="D590" s="370"/>
      <c r="E590" s="370"/>
      <c r="F590" s="292"/>
      <c r="G590" s="371"/>
      <c r="H590" s="356"/>
      <c r="I590" s="356"/>
      <c r="J590" s="356"/>
      <c r="K590" s="20"/>
      <c r="L590" s="20"/>
      <c r="M590" s="357"/>
    </row>
    <row r="591" spans="1:13" ht="15.75">
      <c r="A591" s="369"/>
      <c r="B591" s="369"/>
      <c r="C591" s="369"/>
      <c r="D591" s="370"/>
      <c r="E591" s="370"/>
      <c r="F591" s="292"/>
      <c r="G591" s="371"/>
      <c r="H591" s="356"/>
      <c r="I591" s="356"/>
      <c r="J591" s="356"/>
      <c r="K591" s="20"/>
      <c r="L591" s="20"/>
      <c r="M591" s="357"/>
    </row>
    <row r="592" spans="1:13" ht="15.75">
      <c r="A592" s="369"/>
      <c r="B592" s="369"/>
      <c r="C592" s="369"/>
      <c r="D592" s="370"/>
      <c r="E592" s="370"/>
      <c r="F592" s="292"/>
      <c r="G592" s="371"/>
      <c r="H592" s="356"/>
      <c r="I592" s="356"/>
      <c r="J592" s="356"/>
      <c r="K592" s="20"/>
      <c r="L592" s="20"/>
      <c r="M592" s="357"/>
    </row>
    <row r="593" spans="1:13" ht="15.75">
      <c r="A593" s="369"/>
      <c r="B593" s="369"/>
      <c r="C593" s="369"/>
      <c r="D593" s="370"/>
      <c r="E593" s="370"/>
      <c r="F593" s="292"/>
      <c r="G593" s="371"/>
      <c r="H593" s="356"/>
      <c r="I593" s="356"/>
      <c r="J593" s="356"/>
      <c r="K593" s="20"/>
      <c r="L593" s="20"/>
      <c r="M593" s="357"/>
    </row>
    <row r="594" spans="1:13" ht="15.75">
      <c r="A594" s="369"/>
      <c r="B594" s="369"/>
      <c r="C594" s="369"/>
      <c r="D594" s="370"/>
      <c r="E594" s="370"/>
      <c r="F594" s="292"/>
      <c r="G594" s="371"/>
      <c r="H594" s="356"/>
      <c r="I594" s="356"/>
      <c r="J594" s="356"/>
      <c r="K594" s="20"/>
      <c r="L594" s="20"/>
      <c r="M594" s="357"/>
    </row>
    <row r="595" spans="1:13" ht="15.75">
      <c r="A595" s="369"/>
      <c r="B595" s="369"/>
      <c r="C595" s="369"/>
      <c r="D595" s="370"/>
      <c r="E595" s="370"/>
      <c r="F595" s="292"/>
      <c r="G595" s="371"/>
      <c r="H595" s="356"/>
      <c r="I595" s="356"/>
      <c r="J595" s="356"/>
      <c r="K595" s="20"/>
      <c r="L595" s="20"/>
      <c r="M595" s="357"/>
    </row>
    <row r="596" spans="1:13" ht="15.75">
      <c r="A596" s="369"/>
      <c r="B596" s="369"/>
      <c r="C596" s="369"/>
      <c r="D596" s="370"/>
      <c r="E596" s="370"/>
      <c r="F596" s="292"/>
      <c r="G596" s="371"/>
      <c r="H596" s="356"/>
      <c r="I596" s="356"/>
      <c r="J596" s="356"/>
      <c r="K596" s="20"/>
      <c r="L596" s="20"/>
      <c r="M596" s="357"/>
    </row>
    <row r="597" spans="1:13" ht="15.75">
      <c r="A597" s="369"/>
      <c r="B597" s="369"/>
      <c r="C597" s="369"/>
      <c r="D597" s="370"/>
      <c r="E597" s="370"/>
      <c r="F597" s="292"/>
      <c r="G597" s="371"/>
      <c r="H597" s="356"/>
      <c r="I597" s="356"/>
      <c r="J597" s="356"/>
      <c r="K597" s="20"/>
      <c r="L597" s="20"/>
      <c r="M597" s="357"/>
    </row>
    <row r="598" spans="1:13" ht="15.75">
      <c r="A598" s="369"/>
      <c r="B598" s="369"/>
      <c r="C598" s="369"/>
      <c r="D598" s="370"/>
      <c r="E598" s="370"/>
      <c r="F598" s="292"/>
      <c r="G598" s="371"/>
      <c r="H598" s="356"/>
      <c r="I598" s="356"/>
      <c r="J598" s="356"/>
      <c r="K598" s="20"/>
      <c r="L598" s="20"/>
      <c r="M598" s="357"/>
    </row>
    <row r="599" spans="1:13" ht="15.75">
      <c r="A599" s="369"/>
      <c r="B599" s="369"/>
      <c r="C599" s="369"/>
      <c r="D599" s="370"/>
      <c r="E599" s="370"/>
      <c r="F599" s="292"/>
      <c r="G599" s="371"/>
      <c r="H599" s="356"/>
      <c r="I599" s="356"/>
      <c r="J599" s="356"/>
      <c r="K599" s="20"/>
      <c r="L599" s="20"/>
      <c r="M599" s="357"/>
    </row>
    <row r="600" spans="1:13" ht="15.75">
      <c r="A600" s="369"/>
      <c r="B600" s="369"/>
      <c r="C600" s="369"/>
      <c r="D600" s="370"/>
      <c r="E600" s="370"/>
      <c r="F600" s="292"/>
      <c r="G600" s="371"/>
      <c r="H600" s="356"/>
      <c r="I600" s="356"/>
      <c r="J600" s="356"/>
      <c r="K600" s="20"/>
      <c r="L600" s="20"/>
      <c r="M600" s="357"/>
    </row>
    <row r="601" spans="1:13" ht="15.75">
      <c r="A601" s="369"/>
      <c r="B601" s="369"/>
      <c r="C601" s="369"/>
      <c r="D601" s="370"/>
      <c r="E601" s="370"/>
      <c r="F601" s="292"/>
      <c r="G601" s="371"/>
      <c r="H601" s="356"/>
      <c r="I601" s="356"/>
      <c r="J601" s="356"/>
      <c r="K601" s="20"/>
      <c r="L601" s="20"/>
      <c r="M601" s="357"/>
    </row>
    <row r="602" spans="1:13" ht="15.75">
      <c r="A602" s="369"/>
      <c r="B602" s="369"/>
      <c r="C602" s="369"/>
      <c r="D602" s="370"/>
      <c r="E602" s="370"/>
      <c r="F602" s="292"/>
      <c r="G602" s="371"/>
      <c r="H602" s="356"/>
      <c r="I602" s="356"/>
      <c r="J602" s="356"/>
      <c r="K602" s="20"/>
      <c r="L602" s="20"/>
      <c r="M602" s="357"/>
    </row>
    <row r="603" spans="1:13" ht="15.75">
      <c r="A603" s="369"/>
      <c r="B603" s="369"/>
      <c r="C603" s="369"/>
      <c r="D603" s="370"/>
      <c r="E603" s="370"/>
      <c r="F603" s="292"/>
      <c r="G603" s="371"/>
      <c r="H603" s="356"/>
      <c r="I603" s="356"/>
      <c r="J603" s="356"/>
      <c r="K603" s="20"/>
      <c r="L603" s="20"/>
      <c r="M603" s="357"/>
    </row>
    <row r="604" spans="1:13" ht="15.75">
      <c r="A604" s="369"/>
      <c r="B604" s="369"/>
      <c r="C604" s="369"/>
      <c r="D604" s="370"/>
      <c r="E604" s="370"/>
      <c r="F604" s="292"/>
      <c r="G604" s="371"/>
      <c r="H604" s="356"/>
      <c r="I604" s="356"/>
      <c r="J604" s="356"/>
      <c r="K604" s="20"/>
      <c r="L604" s="20"/>
      <c r="M604" s="357"/>
    </row>
    <row r="605" spans="1:13" ht="15.75">
      <c r="A605" s="369"/>
      <c r="B605" s="369"/>
      <c r="C605" s="369"/>
      <c r="D605" s="370"/>
      <c r="E605" s="370"/>
      <c r="F605" s="292"/>
      <c r="G605" s="371"/>
      <c r="H605" s="356"/>
      <c r="I605" s="356"/>
      <c r="J605" s="356"/>
      <c r="K605" s="20"/>
      <c r="L605" s="20"/>
      <c r="M605" s="357"/>
    </row>
    <row r="606" spans="1:13" ht="15.75">
      <c r="A606" s="369"/>
      <c r="B606" s="369"/>
      <c r="C606" s="369"/>
      <c r="D606" s="370"/>
      <c r="E606" s="370"/>
      <c r="F606" s="292"/>
      <c r="G606" s="371"/>
      <c r="H606" s="356"/>
      <c r="I606" s="356"/>
      <c r="J606" s="356"/>
      <c r="K606" s="20"/>
      <c r="L606" s="20"/>
      <c r="M606" s="357"/>
    </row>
    <row r="607" spans="1:13" ht="15.75">
      <c r="A607" s="369"/>
      <c r="B607" s="369"/>
      <c r="C607" s="369"/>
      <c r="D607" s="370"/>
      <c r="E607" s="370"/>
      <c r="F607" s="292"/>
      <c r="G607" s="371"/>
      <c r="H607" s="356"/>
      <c r="I607" s="356"/>
      <c r="J607" s="356"/>
      <c r="K607" s="20"/>
      <c r="L607" s="20"/>
      <c r="M607" s="357"/>
    </row>
    <row r="608" spans="1:13" ht="15.75">
      <c r="A608" s="369"/>
      <c r="B608" s="369"/>
      <c r="C608" s="369"/>
      <c r="D608" s="370"/>
      <c r="E608" s="370"/>
      <c r="F608" s="292"/>
      <c r="G608" s="371"/>
      <c r="H608" s="356"/>
      <c r="I608" s="356"/>
      <c r="J608" s="356"/>
      <c r="K608" s="20"/>
      <c r="L608" s="20"/>
      <c r="M608" s="357"/>
    </row>
    <row r="609" spans="1:13" ht="15.75">
      <c r="A609" s="369"/>
      <c r="B609" s="369"/>
      <c r="C609" s="369"/>
      <c r="D609" s="370"/>
      <c r="E609" s="370"/>
      <c r="F609" s="292"/>
      <c r="G609" s="371"/>
      <c r="H609" s="356"/>
      <c r="I609" s="356"/>
      <c r="J609" s="356"/>
      <c r="K609" s="20"/>
      <c r="L609" s="20"/>
      <c r="M609" s="357"/>
    </row>
    <row r="610" spans="1:13" ht="15.75">
      <c r="A610" s="369"/>
      <c r="B610" s="369"/>
      <c r="C610" s="369"/>
      <c r="D610" s="370"/>
      <c r="E610" s="370"/>
      <c r="F610" s="292"/>
      <c r="G610" s="371"/>
      <c r="H610" s="356"/>
      <c r="I610" s="356"/>
      <c r="J610" s="356"/>
      <c r="K610" s="20"/>
      <c r="L610" s="20"/>
      <c r="M610" s="357"/>
    </row>
    <row r="611" spans="1:13" ht="15.75">
      <c r="A611" s="369"/>
      <c r="B611" s="369"/>
      <c r="C611" s="369"/>
      <c r="D611" s="370"/>
      <c r="E611" s="370"/>
      <c r="F611" s="292"/>
      <c r="G611" s="371"/>
      <c r="H611" s="356"/>
      <c r="I611" s="356"/>
      <c r="J611" s="356"/>
      <c r="K611" s="20"/>
      <c r="L611" s="20"/>
      <c r="M611" s="357"/>
    </row>
    <row r="612" spans="1:13" ht="15.75">
      <c r="A612" s="369"/>
      <c r="B612" s="369"/>
      <c r="C612" s="369"/>
      <c r="D612" s="370"/>
      <c r="E612" s="370"/>
      <c r="F612" s="292"/>
      <c r="G612" s="371"/>
      <c r="H612" s="356"/>
      <c r="I612" s="356"/>
      <c r="J612" s="356"/>
      <c r="K612" s="20"/>
      <c r="L612" s="20"/>
      <c r="M612" s="357"/>
    </row>
    <row r="613" spans="1:13" ht="15.75">
      <c r="A613" s="369"/>
      <c r="B613" s="369"/>
      <c r="C613" s="369"/>
      <c r="D613" s="370"/>
      <c r="E613" s="370"/>
      <c r="F613" s="292"/>
      <c r="G613" s="371"/>
      <c r="H613" s="356"/>
      <c r="I613" s="356"/>
      <c r="J613" s="356"/>
      <c r="K613" s="20"/>
      <c r="L613" s="20"/>
      <c r="M613" s="357"/>
    </row>
    <row r="614" spans="1:13" ht="15.75">
      <c r="A614" s="369"/>
      <c r="B614" s="369"/>
      <c r="C614" s="369"/>
      <c r="D614" s="370"/>
      <c r="E614" s="370"/>
      <c r="F614" s="292"/>
      <c r="G614" s="371"/>
      <c r="H614" s="356"/>
      <c r="I614" s="356"/>
      <c r="J614" s="356"/>
      <c r="K614" s="20"/>
      <c r="L614" s="20"/>
      <c r="M614" s="357"/>
    </row>
    <row r="615" spans="1:13" ht="15.75">
      <c r="A615" s="369"/>
      <c r="B615" s="369"/>
      <c r="C615" s="369"/>
      <c r="D615" s="370"/>
      <c r="E615" s="370"/>
      <c r="F615" s="292"/>
      <c r="G615" s="371"/>
      <c r="H615" s="356"/>
      <c r="I615" s="356"/>
      <c r="J615" s="356"/>
      <c r="K615" s="20"/>
      <c r="L615" s="20"/>
      <c r="M615" s="357"/>
    </row>
    <row r="616" spans="1:13" ht="15.75">
      <c r="A616" s="369"/>
      <c r="B616" s="369"/>
      <c r="C616" s="369"/>
      <c r="D616" s="370"/>
      <c r="E616" s="370"/>
      <c r="F616" s="292"/>
      <c r="G616" s="371"/>
      <c r="H616" s="356"/>
      <c r="I616" s="356"/>
      <c r="J616" s="356"/>
      <c r="K616" s="20"/>
      <c r="L616" s="20"/>
      <c r="M616" s="357"/>
    </row>
    <row r="617" spans="1:13" ht="15.75">
      <c r="A617" s="369"/>
      <c r="B617" s="369"/>
      <c r="C617" s="369"/>
      <c r="D617" s="370"/>
      <c r="E617" s="370"/>
      <c r="F617" s="292"/>
      <c r="G617" s="371"/>
      <c r="H617" s="356"/>
      <c r="I617" s="356"/>
      <c r="J617" s="356"/>
      <c r="K617" s="20"/>
      <c r="L617" s="20"/>
      <c r="M617" s="357"/>
    </row>
    <row r="618" spans="1:13" ht="15.75">
      <c r="A618" s="369"/>
      <c r="B618" s="369"/>
      <c r="C618" s="369"/>
      <c r="D618" s="370"/>
      <c r="E618" s="370"/>
      <c r="F618" s="292"/>
      <c r="G618" s="371"/>
      <c r="H618" s="356"/>
      <c r="I618" s="356"/>
      <c r="J618" s="356"/>
      <c r="K618" s="20"/>
      <c r="L618" s="20"/>
      <c r="M618" s="357"/>
    </row>
    <row r="619" spans="1:13" ht="15.75">
      <c r="A619" s="369"/>
      <c r="B619" s="369"/>
      <c r="C619" s="369"/>
      <c r="D619" s="370"/>
      <c r="E619" s="370"/>
      <c r="F619" s="292"/>
      <c r="G619" s="371"/>
      <c r="H619" s="356"/>
      <c r="I619" s="356"/>
      <c r="J619" s="356"/>
      <c r="K619" s="20"/>
      <c r="L619" s="20"/>
      <c r="M619" s="357"/>
    </row>
    <row r="620" spans="1:13" ht="15.75">
      <c r="A620" s="369"/>
      <c r="B620" s="369"/>
      <c r="C620" s="369"/>
      <c r="D620" s="370"/>
      <c r="E620" s="370"/>
      <c r="F620" s="292"/>
      <c r="G620" s="371"/>
      <c r="H620" s="356"/>
      <c r="I620" s="356"/>
      <c r="J620" s="356"/>
      <c r="K620" s="20"/>
      <c r="L620" s="20"/>
      <c r="M620" s="357"/>
    </row>
    <row r="621" spans="1:13" ht="15.75">
      <c r="A621" s="369"/>
      <c r="B621" s="369"/>
      <c r="C621" s="369"/>
      <c r="D621" s="370"/>
      <c r="E621" s="370"/>
      <c r="F621" s="292"/>
      <c r="G621" s="356"/>
      <c r="H621" s="356"/>
      <c r="I621" s="356"/>
      <c r="J621" s="356"/>
      <c r="K621" s="20"/>
      <c r="L621" s="20"/>
      <c r="M621" s="357"/>
    </row>
    <row r="622" spans="1:13" ht="15.75">
      <c r="A622" s="369"/>
      <c r="B622" s="369"/>
      <c r="C622" s="369"/>
      <c r="D622" s="370"/>
      <c r="E622" s="370"/>
      <c r="F622" s="292"/>
      <c r="G622" s="371"/>
      <c r="H622" s="356"/>
      <c r="I622" s="356"/>
      <c r="J622" s="356"/>
      <c r="K622" s="20"/>
      <c r="L622" s="20"/>
      <c r="M622" s="357"/>
    </row>
    <row r="623" spans="1:13" ht="15.75">
      <c r="A623" s="369"/>
      <c r="B623" s="369"/>
      <c r="C623" s="369"/>
      <c r="D623" s="370"/>
      <c r="E623" s="370"/>
      <c r="F623" s="292"/>
      <c r="G623" s="371"/>
      <c r="H623" s="356"/>
      <c r="I623" s="356"/>
      <c r="J623" s="356"/>
      <c r="K623" s="20"/>
      <c r="L623" s="20"/>
      <c r="M623" s="357"/>
    </row>
    <row r="624" spans="1:13" ht="15.75">
      <c r="A624" s="369"/>
      <c r="B624" s="369"/>
      <c r="C624" s="369"/>
      <c r="D624" s="370"/>
      <c r="E624" s="370"/>
      <c r="F624" s="292"/>
      <c r="G624" s="371"/>
      <c r="H624" s="356"/>
      <c r="I624" s="356"/>
      <c r="J624" s="356"/>
      <c r="K624" s="20"/>
      <c r="L624" s="20"/>
      <c r="M624" s="357"/>
    </row>
    <row r="625" spans="1:13" ht="15.75">
      <c r="A625" s="369"/>
      <c r="B625" s="369"/>
      <c r="C625" s="369"/>
      <c r="D625" s="370"/>
      <c r="E625" s="370"/>
      <c r="F625" s="292"/>
      <c r="G625" s="371"/>
      <c r="H625" s="356"/>
      <c r="I625" s="356"/>
      <c r="J625" s="356"/>
      <c r="K625" s="20"/>
      <c r="L625" s="20"/>
      <c r="M625" s="357"/>
    </row>
    <row r="626" spans="1:13" ht="15.75">
      <c r="A626" s="369"/>
      <c r="B626" s="369"/>
      <c r="C626" s="369"/>
      <c r="D626" s="370"/>
      <c r="E626" s="370"/>
      <c r="F626" s="292"/>
      <c r="G626" s="371"/>
      <c r="H626" s="356"/>
      <c r="I626" s="356"/>
      <c r="J626" s="356"/>
      <c r="K626" s="20"/>
      <c r="L626" s="20"/>
      <c r="M626" s="357"/>
    </row>
    <row r="627" spans="1:13" ht="15.75">
      <c r="A627" s="369"/>
      <c r="B627" s="369"/>
      <c r="C627" s="369"/>
      <c r="D627" s="370"/>
      <c r="E627" s="370"/>
      <c r="F627" s="292"/>
      <c r="G627" s="371"/>
      <c r="H627" s="356"/>
      <c r="I627" s="356"/>
      <c r="J627" s="356"/>
      <c r="K627" s="20"/>
      <c r="L627" s="20"/>
      <c r="M627" s="357"/>
    </row>
    <row r="628" spans="1:13" ht="15.75">
      <c r="A628" s="369"/>
      <c r="B628" s="369"/>
      <c r="C628" s="369"/>
      <c r="D628" s="370"/>
      <c r="E628" s="370"/>
      <c r="F628" s="292"/>
      <c r="G628" s="371"/>
      <c r="H628" s="356"/>
      <c r="I628" s="356"/>
      <c r="J628" s="356"/>
      <c r="K628" s="20"/>
      <c r="L628" s="20"/>
      <c r="M628" s="357"/>
    </row>
    <row r="629" spans="1:13" ht="15.75">
      <c r="A629" s="369"/>
      <c r="B629" s="369"/>
      <c r="C629" s="369"/>
      <c r="D629" s="370"/>
      <c r="E629" s="370"/>
      <c r="F629" s="292"/>
      <c r="G629" s="371"/>
      <c r="H629" s="356"/>
      <c r="I629" s="356"/>
      <c r="J629" s="356"/>
      <c r="K629" s="20"/>
      <c r="L629" s="20"/>
      <c r="M629" s="357"/>
    </row>
    <row r="630" spans="1:13" ht="15.75">
      <c r="A630" s="369"/>
      <c r="B630" s="369"/>
      <c r="C630" s="369"/>
      <c r="D630" s="370"/>
      <c r="E630" s="370"/>
      <c r="F630" s="292"/>
      <c r="G630" s="371"/>
      <c r="H630" s="356"/>
      <c r="I630" s="356"/>
      <c r="J630" s="356"/>
      <c r="K630" s="20"/>
      <c r="L630" s="20"/>
      <c r="M630" s="357"/>
    </row>
    <row r="631" spans="1:13" ht="15.75">
      <c r="A631" s="369"/>
      <c r="B631" s="369"/>
      <c r="C631" s="369"/>
      <c r="D631" s="370"/>
      <c r="E631" s="370"/>
      <c r="F631" s="292"/>
      <c r="G631" s="371"/>
      <c r="H631" s="356"/>
      <c r="I631" s="356"/>
      <c r="J631" s="356"/>
      <c r="K631" s="20"/>
      <c r="L631" s="20"/>
      <c r="M631" s="357"/>
    </row>
    <row r="632" spans="1:13" ht="15.75">
      <c r="A632" s="369"/>
      <c r="B632" s="369"/>
      <c r="C632" s="369"/>
      <c r="D632" s="370"/>
      <c r="E632" s="370"/>
      <c r="F632" s="292"/>
      <c r="G632" s="371"/>
      <c r="H632" s="356"/>
      <c r="I632" s="356"/>
      <c r="J632" s="356"/>
      <c r="K632" s="20"/>
      <c r="L632" s="20"/>
      <c r="M632" s="357"/>
    </row>
    <row r="633" spans="1:13" ht="15.75">
      <c r="A633" s="369"/>
      <c r="B633" s="369"/>
      <c r="C633" s="369"/>
      <c r="D633" s="370"/>
      <c r="E633" s="370"/>
      <c r="F633" s="292"/>
      <c r="G633" s="371"/>
      <c r="H633" s="356"/>
      <c r="I633" s="356"/>
      <c r="J633" s="356"/>
      <c r="K633" s="20"/>
      <c r="L633" s="20"/>
      <c r="M633" s="357"/>
    </row>
    <row r="634" spans="1:13" ht="15.75">
      <c r="A634" s="369"/>
      <c r="B634" s="369"/>
      <c r="C634" s="369"/>
      <c r="D634" s="370"/>
      <c r="E634" s="370"/>
      <c r="F634" s="292"/>
      <c r="G634" s="371"/>
      <c r="H634" s="356"/>
      <c r="I634" s="356"/>
      <c r="J634" s="356"/>
      <c r="K634" s="20"/>
      <c r="L634" s="20"/>
      <c r="M634" s="357"/>
    </row>
    <row r="635" spans="1:13" ht="15.75">
      <c r="A635" s="369"/>
      <c r="B635" s="369"/>
      <c r="C635" s="369"/>
      <c r="D635" s="370"/>
      <c r="E635" s="370"/>
      <c r="F635" s="292"/>
      <c r="G635" s="371"/>
      <c r="H635" s="356"/>
      <c r="I635" s="356"/>
      <c r="J635" s="356"/>
      <c r="K635" s="20"/>
      <c r="L635" s="20"/>
      <c r="M635" s="357"/>
    </row>
    <row r="636" spans="1:13" ht="15.75">
      <c r="A636" s="369"/>
      <c r="B636" s="369"/>
      <c r="C636" s="369"/>
      <c r="D636" s="370"/>
      <c r="E636" s="370"/>
      <c r="F636" s="292"/>
      <c r="G636" s="371"/>
      <c r="H636" s="356"/>
      <c r="I636" s="356"/>
      <c r="J636" s="356"/>
      <c r="K636" s="20"/>
      <c r="L636" s="20"/>
      <c r="M636" s="357"/>
    </row>
    <row r="637" spans="1:13" ht="15.75">
      <c r="A637" s="369"/>
      <c r="B637" s="369"/>
      <c r="C637" s="369"/>
      <c r="D637" s="370"/>
      <c r="E637" s="370"/>
      <c r="F637" s="292"/>
      <c r="G637" s="371"/>
      <c r="H637" s="356"/>
      <c r="I637" s="356"/>
      <c r="J637" s="356"/>
      <c r="K637" s="20"/>
      <c r="L637" s="20"/>
      <c r="M637" s="357"/>
    </row>
    <row r="638" spans="1:13" ht="15.75">
      <c r="A638" s="369"/>
      <c r="B638" s="369"/>
      <c r="C638" s="369"/>
      <c r="D638" s="370"/>
      <c r="E638" s="370"/>
      <c r="F638" s="292"/>
      <c r="G638" s="371"/>
      <c r="H638" s="356"/>
      <c r="I638" s="356"/>
      <c r="J638" s="356"/>
      <c r="K638" s="20"/>
      <c r="L638" s="20"/>
      <c r="M638" s="357"/>
    </row>
    <row r="639" spans="1:13" ht="15.75">
      <c r="A639" s="369"/>
      <c r="B639" s="369"/>
      <c r="C639" s="369"/>
      <c r="D639" s="370"/>
      <c r="E639" s="370"/>
      <c r="F639" s="292"/>
      <c r="G639" s="371"/>
      <c r="H639" s="356"/>
      <c r="I639" s="356"/>
      <c r="J639" s="356"/>
      <c r="K639" s="20"/>
      <c r="L639" s="20"/>
      <c r="M639" s="357"/>
    </row>
    <row r="640" spans="1:13" ht="15.75">
      <c r="A640" s="369"/>
      <c r="B640" s="369"/>
      <c r="C640" s="369"/>
      <c r="D640" s="370"/>
      <c r="E640" s="370"/>
      <c r="F640" s="292"/>
      <c r="G640" s="371"/>
      <c r="H640" s="356"/>
      <c r="I640" s="356"/>
      <c r="J640" s="356"/>
      <c r="K640" s="20"/>
      <c r="L640" s="20"/>
      <c r="M640" s="357"/>
    </row>
    <row r="641" spans="1:13" ht="15.75">
      <c r="A641" s="369"/>
      <c r="B641" s="369"/>
      <c r="C641" s="369"/>
      <c r="D641" s="370"/>
      <c r="E641" s="370"/>
      <c r="F641" s="292"/>
      <c r="G641" s="371"/>
      <c r="H641" s="356"/>
      <c r="I641" s="356"/>
      <c r="J641" s="356"/>
      <c r="K641" s="20"/>
      <c r="L641" s="20"/>
      <c r="M641" s="357"/>
    </row>
    <row r="642" spans="1:13" ht="15.75">
      <c r="A642" s="369"/>
      <c r="B642" s="369"/>
      <c r="C642" s="369"/>
      <c r="D642" s="370"/>
      <c r="E642" s="370"/>
      <c r="F642" s="292"/>
      <c r="G642" s="371"/>
      <c r="H642" s="356"/>
      <c r="I642" s="356"/>
      <c r="J642" s="356"/>
      <c r="K642" s="20"/>
      <c r="L642" s="20"/>
      <c r="M642" s="357"/>
    </row>
    <row r="643" spans="1:13" ht="15.75">
      <c r="A643" s="369"/>
      <c r="B643" s="369"/>
      <c r="C643" s="369"/>
      <c r="D643" s="370"/>
      <c r="E643" s="370"/>
      <c r="F643" s="292"/>
      <c r="G643" s="371"/>
      <c r="H643" s="356"/>
      <c r="I643" s="356"/>
      <c r="J643" s="356"/>
      <c r="K643" s="20"/>
      <c r="L643" s="20"/>
      <c r="M643" s="357"/>
    </row>
    <row r="644" spans="1:13" ht="15.75">
      <c r="A644" s="369"/>
      <c r="B644" s="369"/>
      <c r="C644" s="369"/>
      <c r="D644" s="370"/>
      <c r="E644" s="370"/>
      <c r="F644" s="292"/>
      <c r="G644" s="371"/>
      <c r="H644" s="356"/>
      <c r="I644" s="356"/>
      <c r="J644" s="356"/>
      <c r="K644" s="20"/>
      <c r="L644" s="20"/>
      <c r="M644" s="357"/>
    </row>
    <row r="645" spans="1:13" ht="15.75">
      <c r="A645" s="369"/>
      <c r="B645" s="369"/>
      <c r="C645" s="369"/>
      <c r="D645" s="370"/>
      <c r="E645" s="370"/>
      <c r="F645" s="292"/>
      <c r="G645" s="371"/>
      <c r="H645" s="356"/>
      <c r="I645" s="356"/>
      <c r="J645" s="356"/>
      <c r="K645" s="20"/>
      <c r="L645" s="20"/>
      <c r="M645" s="357"/>
    </row>
    <row r="646" spans="1:13" ht="15.75">
      <c r="A646" s="369"/>
      <c r="B646" s="369"/>
      <c r="C646" s="369"/>
      <c r="D646" s="370"/>
      <c r="E646" s="370"/>
      <c r="F646" s="292"/>
      <c r="G646" s="371"/>
      <c r="H646" s="356"/>
      <c r="I646" s="356"/>
      <c r="J646" s="356"/>
      <c r="K646" s="20"/>
      <c r="L646" s="20"/>
      <c r="M646" s="357"/>
    </row>
    <row r="647" spans="1:13" ht="15.75">
      <c r="A647" s="369"/>
      <c r="B647" s="369"/>
      <c r="C647" s="369"/>
      <c r="D647" s="370"/>
      <c r="E647" s="370"/>
      <c r="F647" s="292"/>
      <c r="G647" s="371"/>
      <c r="H647" s="356"/>
      <c r="I647" s="356"/>
      <c r="J647" s="356"/>
      <c r="K647" s="20"/>
      <c r="L647" s="20"/>
      <c r="M647" s="357"/>
    </row>
    <row r="648" spans="1:13" ht="15.75">
      <c r="A648" s="369"/>
      <c r="B648" s="369"/>
      <c r="C648" s="369"/>
      <c r="D648" s="370"/>
      <c r="E648" s="370"/>
      <c r="F648" s="292"/>
      <c r="G648" s="371"/>
      <c r="H648" s="356"/>
      <c r="I648" s="356"/>
      <c r="J648" s="356"/>
      <c r="K648" s="20"/>
      <c r="L648" s="20"/>
      <c r="M648" s="357"/>
    </row>
    <row r="649" spans="1:13" ht="15.75">
      <c r="A649" s="369"/>
      <c r="B649" s="369"/>
      <c r="C649" s="369"/>
      <c r="D649" s="370"/>
      <c r="E649" s="370"/>
      <c r="F649" s="292"/>
      <c r="G649" s="371"/>
      <c r="H649" s="356"/>
      <c r="I649" s="356"/>
      <c r="J649" s="356"/>
      <c r="K649" s="20"/>
      <c r="L649" s="20"/>
      <c r="M649" s="357"/>
    </row>
    <row r="650" spans="1:13" ht="15.75">
      <c r="A650" s="369"/>
      <c r="B650" s="369"/>
      <c r="C650" s="369"/>
      <c r="D650" s="370"/>
      <c r="E650" s="370"/>
      <c r="F650" s="292"/>
      <c r="G650" s="371"/>
      <c r="H650" s="356"/>
      <c r="I650" s="356"/>
      <c r="J650" s="356"/>
      <c r="K650" s="20"/>
      <c r="L650" s="20"/>
      <c r="M650" s="357"/>
    </row>
    <row r="651" spans="1:13" ht="15.75">
      <c r="A651" s="369"/>
      <c r="B651" s="369"/>
      <c r="C651" s="369"/>
      <c r="D651" s="370"/>
      <c r="E651" s="370"/>
      <c r="F651" s="292"/>
      <c r="G651" s="371"/>
      <c r="H651" s="356"/>
      <c r="I651" s="356"/>
      <c r="J651" s="356"/>
      <c r="K651" s="20"/>
      <c r="L651" s="20"/>
      <c r="M651" s="357"/>
    </row>
    <row r="652" spans="1:13" ht="15.75">
      <c r="A652" s="369"/>
      <c r="B652" s="369"/>
      <c r="C652" s="369"/>
      <c r="D652" s="370"/>
      <c r="E652" s="370"/>
      <c r="F652" s="292"/>
      <c r="G652" s="371"/>
      <c r="H652" s="356"/>
      <c r="I652" s="356"/>
      <c r="J652" s="356"/>
      <c r="K652" s="20"/>
      <c r="L652" s="20"/>
      <c r="M652" s="357"/>
    </row>
    <row r="653" spans="1:13" ht="15.75">
      <c r="A653" s="369"/>
      <c r="B653" s="369"/>
      <c r="C653" s="369"/>
      <c r="D653" s="370"/>
      <c r="E653" s="370"/>
      <c r="F653" s="292"/>
      <c r="G653" s="371"/>
      <c r="H653" s="356"/>
      <c r="I653" s="356"/>
      <c r="J653" s="356"/>
      <c r="K653" s="20"/>
      <c r="L653" s="20"/>
      <c r="M653" s="357"/>
    </row>
    <row r="654" spans="1:13" ht="15.75">
      <c r="A654" s="369"/>
      <c r="B654" s="369"/>
      <c r="C654" s="369"/>
      <c r="D654" s="370"/>
      <c r="E654" s="370"/>
      <c r="F654" s="292"/>
      <c r="G654" s="371"/>
      <c r="H654" s="356"/>
      <c r="I654" s="356"/>
      <c r="J654" s="356"/>
      <c r="K654" s="20"/>
      <c r="L654" s="20"/>
      <c r="M654" s="357"/>
    </row>
    <row r="655" spans="1:13" ht="15.75">
      <c r="A655" s="369"/>
      <c r="B655" s="369"/>
      <c r="C655" s="369"/>
      <c r="D655" s="370"/>
      <c r="E655" s="370"/>
      <c r="F655" s="292"/>
      <c r="G655" s="371"/>
      <c r="H655" s="356"/>
      <c r="I655" s="356"/>
      <c r="J655" s="356"/>
      <c r="K655" s="20"/>
      <c r="L655" s="20"/>
      <c r="M655" s="357"/>
    </row>
    <row r="656" spans="1:13" ht="15.75">
      <c r="A656" s="369"/>
      <c r="B656" s="369"/>
      <c r="C656" s="369"/>
      <c r="D656" s="370"/>
      <c r="E656" s="370"/>
      <c r="F656" s="292"/>
      <c r="G656" s="371"/>
      <c r="H656" s="356"/>
      <c r="I656" s="356"/>
      <c r="J656" s="356"/>
      <c r="K656" s="372"/>
      <c r="L656" s="372"/>
      <c r="M656" s="373"/>
    </row>
    <row r="657" spans="1:13" ht="15.75">
      <c r="A657" s="369"/>
      <c r="B657" s="369"/>
      <c r="C657" s="369"/>
      <c r="D657" s="370"/>
      <c r="E657" s="370"/>
      <c r="F657" s="292"/>
      <c r="G657" s="371"/>
      <c r="H657" s="356"/>
      <c r="I657" s="356"/>
      <c r="J657" s="356"/>
      <c r="K657" s="372"/>
      <c r="L657" s="372"/>
      <c r="M657" s="373"/>
    </row>
    <row r="658" spans="1:13" ht="15.75">
      <c r="A658" s="369"/>
      <c r="B658" s="369"/>
      <c r="C658" s="369"/>
      <c r="D658" s="370"/>
      <c r="E658" s="370"/>
      <c r="F658" s="292"/>
      <c r="G658" s="371"/>
      <c r="H658" s="356"/>
      <c r="I658" s="356"/>
      <c r="J658" s="356"/>
      <c r="K658" s="372"/>
      <c r="L658" s="372"/>
      <c r="M658" s="373"/>
    </row>
    <row r="659" spans="1:13" ht="15.75">
      <c r="A659" s="369"/>
      <c r="B659" s="369"/>
      <c r="C659" s="369"/>
      <c r="D659" s="370"/>
      <c r="E659" s="370"/>
      <c r="F659" s="292"/>
      <c r="G659" s="371"/>
      <c r="H659" s="356"/>
      <c r="I659" s="356"/>
      <c r="J659" s="356"/>
      <c r="K659" s="20"/>
      <c r="L659" s="20"/>
      <c r="M659" s="357"/>
    </row>
    <row r="660" spans="1:13" ht="15.75">
      <c r="A660" s="369"/>
      <c r="B660" s="369"/>
      <c r="C660" s="369"/>
      <c r="D660" s="370"/>
      <c r="E660" s="370"/>
      <c r="F660" s="292"/>
      <c r="G660" s="371"/>
      <c r="H660" s="356"/>
      <c r="I660" s="356"/>
      <c r="J660" s="356"/>
      <c r="K660" s="20"/>
      <c r="L660" s="20"/>
      <c r="M660" s="357"/>
    </row>
    <row r="661" spans="1:13" ht="15.75">
      <c r="A661" s="369"/>
      <c r="B661" s="369"/>
      <c r="C661" s="369"/>
      <c r="D661" s="370"/>
      <c r="E661" s="370"/>
      <c r="F661" s="292"/>
      <c r="G661" s="371"/>
      <c r="H661" s="356"/>
      <c r="I661" s="356"/>
      <c r="J661" s="356"/>
      <c r="K661" s="20"/>
      <c r="L661" s="20"/>
      <c r="M661" s="357"/>
    </row>
    <row r="662" spans="1:13" ht="15.75">
      <c r="A662" s="369"/>
      <c r="B662" s="369"/>
      <c r="C662" s="369"/>
      <c r="D662" s="370"/>
      <c r="E662" s="370"/>
      <c r="F662" s="292"/>
      <c r="G662" s="371"/>
      <c r="H662" s="356"/>
      <c r="I662" s="356"/>
      <c r="J662" s="356"/>
      <c r="K662" s="20"/>
      <c r="L662" s="20"/>
      <c r="M662" s="357"/>
    </row>
    <row r="663" spans="1:13" ht="15.75">
      <c r="A663" s="369"/>
      <c r="B663" s="369"/>
      <c r="C663" s="369"/>
      <c r="D663" s="370"/>
      <c r="E663" s="370"/>
      <c r="F663" s="292"/>
      <c r="G663" s="371"/>
      <c r="H663" s="356"/>
      <c r="I663" s="356"/>
      <c r="J663" s="356"/>
      <c r="K663" s="20"/>
      <c r="L663" s="20"/>
      <c r="M663" s="357"/>
    </row>
    <row r="664" spans="1:13" ht="15.75">
      <c r="A664" s="369"/>
      <c r="B664" s="369"/>
      <c r="C664" s="369"/>
      <c r="D664" s="370"/>
      <c r="E664" s="370"/>
      <c r="F664" s="292"/>
      <c r="G664" s="371"/>
      <c r="H664" s="356"/>
      <c r="I664" s="356"/>
      <c r="J664" s="356"/>
      <c r="K664" s="20"/>
      <c r="L664" s="20"/>
      <c r="M664" s="357"/>
    </row>
    <row r="665" spans="1:13" ht="15.75">
      <c r="A665" s="369"/>
      <c r="B665" s="369"/>
      <c r="C665" s="369"/>
      <c r="D665" s="370"/>
      <c r="E665" s="370"/>
      <c r="F665" s="292"/>
      <c r="G665" s="371"/>
      <c r="H665" s="356"/>
      <c r="I665" s="356"/>
      <c r="J665" s="356"/>
      <c r="K665" s="20"/>
      <c r="L665" s="20"/>
      <c r="M665" s="357"/>
    </row>
    <row r="666" spans="1:13" ht="15.75">
      <c r="A666" s="369"/>
      <c r="B666" s="369"/>
      <c r="C666" s="369"/>
      <c r="D666" s="370"/>
      <c r="E666" s="370"/>
      <c r="F666" s="292"/>
      <c r="G666" s="356"/>
      <c r="H666" s="356"/>
      <c r="I666" s="356"/>
      <c r="J666" s="356"/>
      <c r="K666" s="20"/>
      <c r="L666" s="20"/>
      <c r="M666" s="357"/>
    </row>
    <row r="667" spans="1:13" ht="15.75">
      <c r="A667" s="369"/>
      <c r="B667" s="369"/>
      <c r="C667" s="369"/>
      <c r="D667" s="370"/>
      <c r="E667" s="370"/>
      <c r="F667" s="292"/>
      <c r="G667" s="356"/>
      <c r="H667" s="356"/>
      <c r="I667" s="356"/>
      <c r="J667" s="356"/>
      <c r="K667" s="20"/>
      <c r="L667" s="20"/>
      <c r="M667" s="357"/>
    </row>
    <row r="668" spans="1:13" ht="15.75">
      <c r="A668" s="369"/>
      <c r="B668" s="369"/>
      <c r="C668" s="369"/>
      <c r="D668" s="370"/>
      <c r="E668" s="370"/>
      <c r="F668" s="292"/>
      <c r="G668" s="356"/>
      <c r="H668" s="356"/>
      <c r="I668" s="356"/>
      <c r="J668" s="356"/>
      <c r="K668" s="20"/>
      <c r="L668" s="20"/>
      <c r="M668" s="357"/>
    </row>
    <row r="669" spans="1:13" ht="15.75">
      <c r="A669" s="369"/>
      <c r="B669" s="369"/>
      <c r="C669" s="369"/>
      <c r="D669" s="370"/>
      <c r="E669" s="370"/>
      <c r="F669" s="292"/>
      <c r="G669" s="356"/>
      <c r="H669" s="356"/>
      <c r="I669" s="356"/>
      <c r="J669" s="356"/>
      <c r="K669" s="20"/>
      <c r="L669" s="20"/>
      <c r="M669" s="357"/>
    </row>
    <row r="670" spans="1:13" ht="15.75">
      <c r="A670" s="369"/>
      <c r="B670" s="369"/>
      <c r="C670" s="369"/>
      <c r="D670" s="370"/>
      <c r="E670" s="370"/>
      <c r="F670" s="292"/>
      <c r="G670" s="356"/>
      <c r="H670" s="356"/>
      <c r="I670" s="356"/>
      <c r="J670" s="356"/>
      <c r="K670" s="20"/>
      <c r="L670" s="20"/>
      <c r="M670" s="357"/>
    </row>
    <row r="671" spans="1:13" ht="15.75">
      <c r="A671" s="369"/>
      <c r="B671" s="369"/>
      <c r="C671" s="369"/>
      <c r="D671" s="370"/>
      <c r="E671" s="370"/>
      <c r="F671" s="292"/>
      <c r="G671" s="371"/>
      <c r="H671" s="356"/>
      <c r="I671" s="356"/>
      <c r="J671" s="356"/>
      <c r="K671" s="20"/>
      <c r="L671" s="20"/>
    </row>
    <row r="672" spans="1:13" ht="15.75">
      <c r="A672" s="369"/>
      <c r="B672" s="369"/>
      <c r="C672" s="369"/>
      <c r="D672" s="370"/>
      <c r="E672" s="370"/>
      <c r="F672" s="292"/>
      <c r="G672" s="371"/>
      <c r="H672" s="356"/>
      <c r="I672" s="356"/>
      <c r="J672" s="356"/>
      <c r="K672" s="20"/>
      <c r="L672" s="20"/>
    </row>
    <row r="673" spans="1:12" ht="15.75">
      <c r="A673" s="369"/>
      <c r="B673" s="369"/>
      <c r="C673" s="369"/>
      <c r="D673" s="370"/>
      <c r="E673" s="370"/>
      <c r="F673" s="292"/>
      <c r="G673" s="371"/>
      <c r="H673" s="356"/>
      <c r="I673" s="356"/>
      <c r="J673" s="356"/>
      <c r="K673" s="20"/>
      <c r="L673" s="20"/>
    </row>
    <row r="674" spans="1:12" ht="15.75">
      <c r="A674" s="369"/>
      <c r="B674" s="369"/>
      <c r="C674" s="369"/>
      <c r="D674" s="370"/>
      <c r="E674" s="370"/>
      <c r="F674" s="292"/>
      <c r="G674" s="371"/>
      <c r="H674" s="356"/>
      <c r="I674" s="356"/>
      <c r="J674" s="356"/>
      <c r="K674" s="20"/>
      <c r="L674" s="20"/>
    </row>
    <row r="675" spans="1:12" ht="15.75">
      <c r="A675" s="369"/>
      <c r="B675" s="369"/>
      <c r="C675" s="369"/>
      <c r="D675" s="370"/>
      <c r="E675" s="370"/>
      <c r="F675" s="292"/>
      <c r="G675" s="371"/>
      <c r="H675" s="356"/>
      <c r="I675" s="356"/>
      <c r="J675" s="356"/>
      <c r="K675" s="20"/>
      <c r="L675" s="20"/>
    </row>
    <row r="676" spans="1:12" ht="15.75">
      <c r="A676" s="369"/>
      <c r="B676" s="369"/>
      <c r="C676" s="369"/>
      <c r="D676" s="370"/>
      <c r="E676" s="370"/>
      <c r="F676" s="292"/>
      <c r="G676" s="371"/>
      <c r="H676" s="356"/>
      <c r="I676" s="356"/>
      <c r="J676" s="356"/>
      <c r="K676" s="20"/>
      <c r="L676" s="20"/>
    </row>
    <row r="677" spans="1:12" ht="15.75">
      <c r="A677" s="369"/>
      <c r="B677" s="369"/>
      <c r="C677" s="369"/>
      <c r="D677" s="370"/>
      <c r="E677" s="370"/>
      <c r="F677" s="292"/>
      <c r="G677" s="371"/>
      <c r="H677" s="356"/>
      <c r="I677" s="356"/>
      <c r="J677" s="356"/>
      <c r="K677" s="20"/>
      <c r="L677" s="20"/>
    </row>
    <row r="678" spans="1:12" ht="15.75">
      <c r="A678" s="369"/>
      <c r="B678" s="369"/>
      <c r="C678" s="369"/>
      <c r="D678" s="370"/>
      <c r="E678" s="370"/>
      <c r="F678" s="292"/>
      <c r="G678" s="371"/>
      <c r="H678" s="356"/>
      <c r="I678" s="356"/>
      <c r="J678" s="356"/>
      <c r="K678" s="20"/>
      <c r="L678" s="20"/>
    </row>
    <row r="679" spans="1:12" ht="15.75">
      <c r="A679" s="369"/>
      <c r="B679" s="369"/>
      <c r="C679" s="369"/>
      <c r="D679" s="370"/>
      <c r="E679" s="370"/>
      <c r="F679" s="292"/>
      <c r="G679" s="371"/>
      <c r="H679" s="356"/>
      <c r="I679" s="356"/>
      <c r="J679" s="356"/>
      <c r="K679" s="20"/>
      <c r="L679" s="20"/>
    </row>
    <row r="680" spans="1:12" ht="15.75">
      <c r="A680" s="369"/>
      <c r="B680" s="369"/>
      <c r="C680" s="369"/>
      <c r="D680" s="370"/>
      <c r="E680" s="370"/>
      <c r="F680" s="292"/>
      <c r="G680" s="371"/>
      <c r="H680" s="356"/>
      <c r="I680" s="356"/>
      <c r="J680" s="356"/>
      <c r="K680" s="20"/>
      <c r="L680" s="20"/>
    </row>
    <row r="681" spans="1:12" ht="15.75">
      <c r="A681" s="369"/>
      <c r="B681" s="369"/>
      <c r="C681" s="369"/>
      <c r="D681" s="370"/>
      <c r="E681" s="370"/>
      <c r="F681" s="292"/>
      <c r="G681" s="371"/>
      <c r="H681" s="356"/>
      <c r="I681" s="356"/>
      <c r="J681" s="356"/>
      <c r="K681" s="20"/>
      <c r="L681" s="20"/>
    </row>
    <row r="682" spans="1:12" ht="15.75">
      <c r="A682" s="369"/>
      <c r="B682" s="369"/>
      <c r="C682" s="369"/>
      <c r="D682" s="370"/>
      <c r="E682" s="370"/>
      <c r="F682" s="292"/>
      <c r="G682" s="371"/>
      <c r="H682" s="356"/>
      <c r="I682" s="356"/>
      <c r="J682" s="356"/>
      <c r="K682" s="20"/>
      <c r="L682" s="20"/>
    </row>
    <row r="683" spans="1:12" ht="15.75">
      <c r="A683" s="369"/>
      <c r="B683" s="369"/>
      <c r="C683" s="369"/>
      <c r="D683" s="370"/>
      <c r="E683" s="370"/>
      <c r="F683" s="292"/>
      <c r="G683" s="371"/>
      <c r="H683" s="356"/>
      <c r="I683" s="356"/>
      <c r="J683" s="356"/>
      <c r="K683" s="20"/>
      <c r="L683" s="20"/>
    </row>
    <row r="684" spans="1:12" ht="15.75">
      <c r="A684" s="369"/>
      <c r="B684" s="369"/>
      <c r="C684" s="369"/>
      <c r="D684" s="370"/>
      <c r="E684" s="370"/>
      <c r="F684" s="292"/>
      <c r="G684" s="371"/>
      <c r="H684" s="356"/>
      <c r="I684" s="356"/>
      <c r="J684" s="356"/>
      <c r="K684" s="20"/>
      <c r="L684" s="20"/>
    </row>
    <row r="685" spans="1:12" ht="15.75">
      <c r="A685" s="369"/>
      <c r="B685" s="369"/>
      <c r="C685" s="369"/>
      <c r="D685" s="370"/>
      <c r="E685" s="370"/>
      <c r="F685" s="292"/>
      <c r="G685" s="371"/>
      <c r="H685" s="356"/>
      <c r="I685" s="356"/>
      <c r="J685" s="356"/>
      <c r="K685" s="20"/>
      <c r="L685" s="20"/>
    </row>
    <row r="686" spans="1:12" ht="15.75">
      <c r="A686" s="369"/>
      <c r="B686" s="369"/>
      <c r="C686" s="369"/>
      <c r="D686" s="370"/>
      <c r="E686" s="370"/>
      <c r="F686" s="292"/>
      <c r="G686" s="371"/>
      <c r="H686" s="356"/>
      <c r="I686" s="356"/>
      <c r="J686" s="356"/>
      <c r="K686" s="20"/>
      <c r="L686" s="20"/>
    </row>
    <row r="687" spans="1:12" ht="15.75">
      <c r="A687" s="369"/>
      <c r="B687" s="369"/>
      <c r="C687" s="369"/>
      <c r="D687" s="370"/>
      <c r="E687" s="370"/>
      <c r="F687" s="292"/>
      <c r="G687" s="371"/>
      <c r="H687" s="356"/>
      <c r="I687" s="356"/>
      <c r="J687" s="356"/>
      <c r="K687" s="20"/>
      <c r="L687" s="20"/>
    </row>
    <row r="688" spans="1:12" ht="15.75">
      <c r="A688" s="369"/>
      <c r="B688" s="369"/>
      <c r="C688" s="369"/>
      <c r="D688" s="370"/>
      <c r="E688" s="370"/>
      <c r="F688" s="292"/>
      <c r="G688" s="371"/>
      <c r="H688" s="356"/>
      <c r="I688" s="356"/>
      <c r="J688" s="356"/>
      <c r="K688" s="20"/>
      <c r="L688" s="20"/>
    </row>
    <row r="689" spans="1:13" ht="15.75">
      <c r="A689" s="369"/>
      <c r="B689" s="369"/>
      <c r="C689" s="369"/>
      <c r="D689" s="370"/>
      <c r="E689" s="370"/>
      <c r="F689" s="292"/>
      <c r="G689" s="371"/>
      <c r="H689" s="356"/>
      <c r="I689" s="356"/>
      <c r="J689" s="356"/>
      <c r="K689" s="20"/>
      <c r="L689" s="20"/>
    </row>
    <row r="690" spans="1:13" ht="15.75">
      <c r="A690" s="369"/>
      <c r="B690" s="369"/>
      <c r="C690" s="369"/>
      <c r="D690" s="370"/>
      <c r="E690" s="370"/>
      <c r="F690" s="292"/>
      <c r="G690" s="371"/>
      <c r="H690" s="356"/>
      <c r="I690" s="356"/>
      <c r="J690" s="356"/>
      <c r="K690" s="20"/>
      <c r="L690" s="20"/>
    </row>
    <row r="691" spans="1:13" ht="15.75">
      <c r="A691" s="369"/>
      <c r="B691" s="369"/>
      <c r="C691" s="369"/>
      <c r="D691" s="370"/>
      <c r="E691" s="370"/>
      <c r="F691" s="292"/>
      <c r="G691" s="371"/>
      <c r="H691" s="356"/>
      <c r="I691" s="356"/>
      <c r="J691" s="356"/>
      <c r="K691" s="20"/>
      <c r="L691" s="20"/>
    </row>
    <row r="692" spans="1:13" ht="15.75">
      <c r="A692" s="369"/>
      <c r="B692" s="369"/>
      <c r="C692" s="369"/>
      <c r="D692" s="370"/>
      <c r="E692" s="370"/>
      <c r="F692" s="292"/>
      <c r="G692" s="371"/>
      <c r="H692" s="356"/>
      <c r="I692" s="356"/>
      <c r="J692" s="356"/>
      <c r="K692" s="20"/>
      <c r="L692" s="20"/>
    </row>
    <row r="693" spans="1:13" ht="15.75">
      <c r="A693" s="369"/>
      <c r="B693" s="369"/>
      <c r="C693" s="369"/>
      <c r="D693" s="370"/>
      <c r="E693" s="370"/>
      <c r="F693" s="292"/>
      <c r="G693" s="371"/>
      <c r="H693" s="356"/>
      <c r="I693" s="356"/>
      <c r="J693" s="356"/>
      <c r="K693" s="20"/>
      <c r="L693" s="20"/>
    </row>
    <row r="694" spans="1:13" ht="15.75">
      <c r="A694" s="369"/>
      <c r="B694" s="369"/>
      <c r="C694" s="369"/>
      <c r="D694" s="370"/>
      <c r="E694" s="370"/>
      <c r="F694" s="292"/>
      <c r="G694" s="371"/>
      <c r="H694" s="356"/>
      <c r="I694" s="356"/>
      <c r="J694" s="356"/>
      <c r="K694" s="20"/>
      <c r="L694" s="20"/>
    </row>
    <row r="695" spans="1:13" ht="15.75">
      <c r="A695" s="369"/>
      <c r="B695" s="369"/>
      <c r="C695" s="369"/>
      <c r="D695" s="370"/>
      <c r="E695" s="370"/>
      <c r="F695" s="292"/>
      <c r="G695" s="371"/>
      <c r="H695" s="356"/>
      <c r="I695" s="356"/>
      <c r="J695" s="356"/>
      <c r="K695" s="372"/>
      <c r="L695" s="372"/>
      <c r="M695" s="374"/>
    </row>
    <row r="696" spans="1:13" ht="15.75">
      <c r="A696" s="369"/>
      <c r="B696" s="369"/>
      <c r="C696" s="369"/>
      <c r="D696" s="370"/>
      <c r="E696" s="370"/>
      <c r="F696" s="292"/>
      <c r="G696" s="371"/>
      <c r="H696" s="356"/>
      <c r="I696" s="356"/>
      <c r="J696" s="356"/>
      <c r="K696" s="372"/>
      <c r="L696" s="372"/>
      <c r="M696" s="374"/>
    </row>
    <row r="697" spans="1:13" ht="15.75">
      <c r="A697" s="369"/>
      <c r="B697" s="369"/>
      <c r="C697" s="369"/>
      <c r="D697" s="370"/>
      <c r="E697" s="370"/>
      <c r="F697" s="292"/>
      <c r="G697" s="371"/>
      <c r="H697" s="356"/>
      <c r="I697" s="356"/>
      <c r="J697" s="356"/>
      <c r="K697" s="372"/>
      <c r="L697" s="372"/>
      <c r="M697" s="374"/>
    </row>
    <row r="698" spans="1:13" ht="15.75">
      <c r="A698" s="369"/>
      <c r="B698" s="369"/>
      <c r="C698" s="369"/>
      <c r="D698" s="370"/>
      <c r="E698" s="370"/>
      <c r="F698" s="292"/>
      <c r="G698" s="371"/>
      <c r="H698" s="356"/>
      <c r="I698" s="356"/>
      <c r="J698" s="356"/>
      <c r="K698" s="20"/>
      <c r="L698" s="20"/>
    </row>
    <row r="699" spans="1:13" ht="15.75">
      <c r="A699" s="369"/>
      <c r="B699" s="369"/>
      <c r="C699" s="369"/>
      <c r="D699" s="370"/>
      <c r="E699" s="370"/>
      <c r="F699" s="292"/>
      <c r="G699" s="371"/>
      <c r="H699" s="356"/>
      <c r="I699" s="356"/>
      <c r="J699" s="356"/>
      <c r="K699" s="20"/>
      <c r="L699" s="20"/>
    </row>
    <row r="700" spans="1:13" ht="15.75">
      <c r="A700" s="369"/>
      <c r="B700" s="369"/>
      <c r="C700" s="369"/>
      <c r="D700" s="370"/>
      <c r="E700" s="370"/>
      <c r="F700" s="292"/>
      <c r="G700" s="371"/>
      <c r="H700" s="356"/>
      <c r="I700" s="356"/>
      <c r="J700" s="356"/>
      <c r="K700" s="20"/>
      <c r="L700" s="20"/>
    </row>
    <row r="701" spans="1:13" ht="15.75">
      <c r="A701" s="369"/>
      <c r="B701" s="369"/>
      <c r="C701" s="369"/>
      <c r="D701" s="370"/>
      <c r="E701" s="370"/>
      <c r="F701" s="292"/>
      <c r="G701" s="371"/>
      <c r="H701" s="356"/>
      <c r="I701" s="356"/>
      <c r="J701" s="356"/>
      <c r="K701" s="20"/>
      <c r="L701" s="20"/>
    </row>
    <row r="702" spans="1:13" ht="15.75">
      <c r="A702" s="369"/>
      <c r="B702" s="369"/>
      <c r="C702" s="369"/>
      <c r="D702" s="370"/>
      <c r="E702" s="370"/>
      <c r="F702" s="292"/>
      <c r="G702" s="371"/>
      <c r="H702" s="356"/>
      <c r="I702" s="356"/>
      <c r="J702" s="356"/>
      <c r="K702" s="20"/>
      <c r="L702" s="20"/>
    </row>
    <row r="703" spans="1:13" ht="15.75">
      <c r="A703" s="369"/>
      <c r="B703" s="369"/>
      <c r="C703" s="369"/>
      <c r="D703" s="370"/>
      <c r="E703" s="370"/>
      <c r="F703" s="292"/>
      <c r="G703" s="371"/>
      <c r="H703" s="356"/>
      <c r="I703" s="356"/>
      <c r="J703" s="356"/>
      <c r="K703" s="20"/>
      <c r="L703" s="20"/>
    </row>
    <row r="704" spans="1:13" ht="15.75">
      <c r="A704" s="369"/>
      <c r="B704" s="369"/>
      <c r="C704" s="369"/>
      <c r="D704" s="370"/>
      <c r="E704" s="370"/>
      <c r="F704" s="292"/>
      <c r="G704" s="371"/>
      <c r="H704" s="356"/>
      <c r="I704" s="356"/>
      <c r="J704" s="356"/>
      <c r="K704" s="20"/>
      <c r="L704" s="20"/>
    </row>
    <row r="705" spans="1:12" ht="15.75">
      <c r="A705" s="369"/>
      <c r="B705" s="369"/>
      <c r="C705" s="369"/>
      <c r="D705" s="370"/>
      <c r="E705" s="370"/>
      <c r="F705" s="292"/>
      <c r="G705" s="371"/>
      <c r="H705" s="356"/>
      <c r="I705" s="356"/>
      <c r="J705" s="356"/>
      <c r="K705" s="20"/>
      <c r="L705" s="20"/>
    </row>
    <row r="706" spans="1:12" ht="15.75">
      <c r="A706" s="369"/>
      <c r="B706" s="369"/>
      <c r="C706" s="369"/>
      <c r="D706" s="370"/>
      <c r="E706" s="370"/>
      <c r="F706" s="292"/>
      <c r="G706" s="371"/>
      <c r="H706" s="356"/>
      <c r="I706" s="356"/>
      <c r="J706" s="356"/>
      <c r="K706" s="20"/>
      <c r="L706" s="20"/>
    </row>
    <row r="707" spans="1:12" ht="15.75">
      <c r="A707" s="369"/>
      <c r="B707" s="369"/>
      <c r="C707" s="369"/>
      <c r="D707" s="370"/>
      <c r="E707" s="370"/>
      <c r="F707" s="292"/>
      <c r="G707" s="371"/>
      <c r="H707" s="356"/>
      <c r="I707" s="356"/>
      <c r="J707" s="356"/>
      <c r="K707" s="20"/>
      <c r="L707" s="20"/>
    </row>
    <row r="708" spans="1:12" ht="15.75">
      <c r="A708" s="369"/>
      <c r="B708" s="369"/>
      <c r="C708" s="369"/>
      <c r="D708" s="370"/>
      <c r="E708" s="370"/>
      <c r="F708" s="292"/>
      <c r="G708" s="371"/>
      <c r="H708" s="356"/>
      <c r="I708" s="356"/>
      <c r="J708" s="356"/>
      <c r="K708" s="20"/>
      <c r="L708" s="20"/>
    </row>
    <row r="709" spans="1:12" ht="15.75">
      <c r="A709" s="369"/>
      <c r="B709" s="369"/>
      <c r="C709" s="369"/>
      <c r="D709" s="370"/>
      <c r="E709" s="370"/>
      <c r="F709" s="292"/>
      <c r="G709" s="371"/>
      <c r="H709" s="356"/>
      <c r="I709" s="356"/>
      <c r="J709" s="356"/>
      <c r="K709" s="20"/>
      <c r="L709" s="20"/>
    </row>
    <row r="710" spans="1:12" ht="15.75">
      <c r="A710" s="369"/>
      <c r="B710" s="369"/>
      <c r="C710" s="369"/>
      <c r="D710" s="370"/>
      <c r="E710" s="370"/>
      <c r="F710" s="292"/>
      <c r="G710" s="371"/>
      <c r="H710" s="356"/>
      <c r="I710" s="356"/>
      <c r="J710" s="356"/>
      <c r="K710" s="20"/>
      <c r="L710" s="20"/>
    </row>
    <row r="711" spans="1:12" ht="15.75">
      <c r="A711" s="369"/>
      <c r="B711" s="369"/>
      <c r="C711" s="369"/>
      <c r="D711" s="370"/>
      <c r="E711" s="370"/>
      <c r="F711" s="292"/>
      <c r="G711" s="371"/>
      <c r="H711" s="356"/>
      <c r="I711" s="356"/>
      <c r="J711" s="356"/>
      <c r="K711" s="20"/>
      <c r="L711" s="20"/>
    </row>
    <row r="712" spans="1:12" ht="15.75">
      <c r="A712" s="369"/>
      <c r="B712" s="369"/>
      <c r="C712" s="369"/>
      <c r="D712" s="370"/>
      <c r="E712" s="370"/>
      <c r="F712" s="292"/>
      <c r="G712" s="371"/>
      <c r="H712" s="356"/>
      <c r="I712" s="356"/>
      <c r="J712" s="356"/>
      <c r="K712" s="20"/>
      <c r="L712" s="20"/>
    </row>
    <row r="713" spans="1:12" ht="15.75">
      <c r="A713" s="369"/>
      <c r="B713" s="369"/>
      <c r="C713" s="369"/>
      <c r="D713" s="370"/>
      <c r="E713" s="370"/>
      <c r="F713" s="292"/>
      <c r="G713" s="371"/>
      <c r="H713" s="356"/>
      <c r="I713" s="356"/>
      <c r="J713" s="356"/>
      <c r="K713" s="20"/>
      <c r="L713" s="20"/>
    </row>
    <row r="714" spans="1:12" ht="15.75">
      <c r="A714" s="369"/>
      <c r="B714" s="369"/>
      <c r="C714" s="369"/>
      <c r="D714" s="370"/>
      <c r="E714" s="370"/>
      <c r="F714" s="292"/>
      <c r="G714" s="371"/>
      <c r="H714" s="356"/>
      <c r="I714" s="356"/>
      <c r="J714" s="356"/>
      <c r="K714" s="20"/>
      <c r="L714" s="20"/>
    </row>
    <row r="715" spans="1:12" ht="15.75">
      <c r="A715" s="369"/>
      <c r="B715" s="369"/>
      <c r="C715" s="369"/>
      <c r="D715" s="370"/>
      <c r="E715" s="370"/>
      <c r="F715" s="292"/>
      <c r="G715" s="371"/>
      <c r="H715" s="356"/>
      <c r="I715" s="356"/>
      <c r="J715" s="356"/>
      <c r="K715" s="20"/>
      <c r="L715" s="20"/>
    </row>
    <row r="716" spans="1:12" ht="15.75">
      <c r="A716" s="369"/>
      <c r="B716" s="369"/>
      <c r="C716" s="369"/>
      <c r="D716" s="370"/>
      <c r="E716" s="370"/>
      <c r="F716" s="292"/>
      <c r="G716" s="371"/>
      <c r="H716" s="356"/>
      <c r="I716" s="356"/>
      <c r="J716" s="356"/>
      <c r="K716" s="20"/>
      <c r="L716" s="20"/>
    </row>
    <row r="717" spans="1:12" ht="15.75">
      <c r="A717" s="369"/>
      <c r="B717" s="369"/>
      <c r="C717" s="369"/>
      <c r="D717" s="370"/>
      <c r="E717" s="370"/>
      <c r="F717" s="292"/>
      <c r="G717" s="371"/>
      <c r="H717" s="356"/>
      <c r="I717" s="356"/>
      <c r="J717" s="356"/>
      <c r="K717" s="20"/>
      <c r="L717" s="20"/>
    </row>
    <row r="718" spans="1:12" ht="15.75">
      <c r="A718" s="369"/>
      <c r="B718" s="369"/>
      <c r="C718" s="369"/>
      <c r="D718" s="370"/>
      <c r="E718" s="370"/>
      <c r="F718" s="292"/>
      <c r="G718" s="371"/>
      <c r="H718" s="356"/>
      <c r="I718" s="356"/>
      <c r="J718" s="356"/>
      <c r="K718" s="20"/>
      <c r="L718" s="20"/>
    </row>
    <row r="719" spans="1:12" ht="15.75">
      <c r="A719" s="369"/>
      <c r="B719" s="369"/>
      <c r="C719" s="369"/>
      <c r="D719" s="370"/>
      <c r="E719" s="370"/>
      <c r="F719" s="292"/>
      <c r="G719" s="371"/>
      <c r="H719" s="356"/>
      <c r="I719" s="356"/>
      <c r="J719" s="356"/>
      <c r="K719" s="20"/>
      <c r="L719" s="20"/>
    </row>
    <row r="720" spans="1:12" ht="15.75">
      <c r="A720" s="369"/>
      <c r="B720" s="369"/>
      <c r="C720" s="369"/>
      <c r="D720" s="370"/>
      <c r="E720" s="370"/>
      <c r="F720" s="292"/>
      <c r="G720" s="371"/>
      <c r="H720" s="356"/>
      <c r="I720" s="356"/>
      <c r="J720" s="356"/>
      <c r="K720" s="20"/>
      <c r="L720" s="20"/>
    </row>
    <row r="721" spans="1:12" ht="15.75">
      <c r="A721" s="369"/>
      <c r="B721" s="369"/>
      <c r="C721" s="369"/>
      <c r="D721" s="370"/>
      <c r="E721" s="370"/>
      <c r="F721" s="292"/>
      <c r="G721" s="371"/>
      <c r="H721" s="356"/>
      <c r="I721" s="356"/>
      <c r="J721" s="356"/>
      <c r="K721" s="20"/>
      <c r="L721" s="20"/>
    </row>
    <row r="722" spans="1:12" ht="15.75">
      <c r="A722" s="369"/>
      <c r="B722" s="369"/>
      <c r="C722" s="369"/>
      <c r="D722" s="370"/>
      <c r="E722" s="370"/>
      <c r="F722" s="292"/>
      <c r="G722" s="371"/>
      <c r="H722" s="356"/>
      <c r="I722" s="356"/>
      <c r="J722" s="356"/>
      <c r="K722" s="20"/>
      <c r="L722" s="20"/>
    </row>
    <row r="723" spans="1:12" ht="15.75">
      <c r="A723" s="369"/>
      <c r="B723" s="369"/>
      <c r="C723" s="369"/>
      <c r="D723" s="370"/>
      <c r="E723" s="370"/>
      <c r="F723" s="292"/>
      <c r="G723" s="371"/>
      <c r="H723" s="356"/>
      <c r="I723" s="356"/>
      <c r="J723" s="356"/>
      <c r="K723" s="20"/>
      <c r="L723" s="20"/>
    </row>
    <row r="724" spans="1:12" ht="15.75">
      <c r="A724" s="375"/>
      <c r="B724" s="375"/>
      <c r="C724" s="375"/>
      <c r="D724" s="249"/>
      <c r="E724" s="249"/>
      <c r="F724" s="269"/>
      <c r="G724" s="269"/>
      <c r="H724" s="269"/>
      <c r="I724" s="269"/>
      <c r="J724" s="269"/>
    </row>
    <row r="725" spans="1:12" ht="15.75">
      <c r="A725" s="375"/>
      <c r="B725" s="375"/>
      <c r="C725" s="375"/>
      <c r="D725" s="249"/>
      <c r="E725" s="249"/>
      <c r="F725" s="269"/>
      <c r="G725" s="269"/>
      <c r="H725" s="269"/>
      <c r="I725" s="269"/>
      <c r="J725" s="269"/>
    </row>
    <row r="726" spans="1:12" ht="15.75">
      <c r="A726" s="375"/>
      <c r="B726" s="375"/>
      <c r="C726" s="375"/>
      <c r="D726" s="249"/>
      <c r="E726" s="249"/>
      <c r="F726" s="269"/>
      <c r="G726" s="269"/>
      <c r="H726" s="269"/>
      <c r="I726" s="269"/>
      <c r="J726" s="269"/>
    </row>
    <row r="727" spans="1:12" ht="15.75">
      <c r="A727" s="375"/>
      <c r="B727" s="375"/>
      <c r="C727" s="375"/>
      <c r="D727" s="249"/>
      <c r="E727" s="249"/>
      <c r="F727" s="269"/>
      <c r="G727" s="269"/>
      <c r="H727" s="269"/>
      <c r="I727" s="269"/>
      <c r="J727" s="269"/>
    </row>
    <row r="728" spans="1:12" ht="15.75">
      <c r="A728" s="375"/>
      <c r="B728" s="375"/>
      <c r="C728" s="375"/>
      <c r="D728" s="249"/>
      <c r="E728" s="249"/>
      <c r="F728" s="269"/>
      <c r="G728" s="269"/>
      <c r="H728" s="269"/>
      <c r="I728" s="269"/>
      <c r="J728" s="269"/>
    </row>
    <row r="729" spans="1:12" ht="15.75">
      <c r="A729" s="375"/>
      <c r="B729" s="375"/>
      <c r="C729" s="375"/>
      <c r="D729" s="249"/>
      <c r="E729" s="249"/>
      <c r="F729" s="269"/>
      <c r="G729" s="269"/>
      <c r="H729" s="269"/>
      <c r="I729" s="269"/>
      <c r="J729" s="269"/>
    </row>
    <row r="730" spans="1:12" ht="15.75">
      <c r="A730" s="375"/>
      <c r="B730" s="375"/>
      <c r="C730" s="375"/>
      <c r="D730" s="249"/>
      <c r="E730" s="249"/>
      <c r="F730" s="269"/>
      <c r="G730" s="269"/>
      <c r="H730" s="269"/>
      <c r="I730" s="269"/>
      <c r="J730" s="269"/>
    </row>
    <row r="731" spans="1:12" ht="15.75">
      <c r="A731" s="375"/>
      <c r="B731" s="375"/>
      <c r="C731" s="375"/>
      <c r="D731" s="249"/>
      <c r="E731" s="249"/>
      <c r="F731" s="269"/>
      <c r="G731" s="269"/>
      <c r="H731" s="269"/>
      <c r="I731" s="269"/>
      <c r="J731" s="269"/>
    </row>
    <row r="732" spans="1:12" ht="15.75">
      <c r="A732" s="375"/>
      <c r="B732" s="375"/>
      <c r="C732" s="375"/>
      <c r="D732" s="249"/>
      <c r="E732" s="249"/>
      <c r="F732" s="269"/>
      <c r="G732" s="269"/>
      <c r="H732" s="269"/>
      <c r="I732" s="269"/>
      <c r="J732" s="269"/>
    </row>
    <row r="733" spans="1:12" ht="15.75">
      <c r="A733" s="375"/>
      <c r="B733" s="375"/>
      <c r="C733" s="375"/>
      <c r="D733" s="249"/>
      <c r="E733" s="249"/>
      <c r="F733" s="269"/>
      <c r="G733" s="269"/>
      <c r="H733" s="269"/>
      <c r="I733" s="269"/>
      <c r="J733" s="269"/>
    </row>
    <row r="734" spans="1:12" ht="15.75">
      <c r="A734" s="375"/>
      <c r="B734" s="375"/>
      <c r="C734" s="375"/>
      <c r="D734" s="249"/>
      <c r="E734" s="249"/>
      <c r="F734" s="269"/>
      <c r="G734" s="269"/>
      <c r="H734" s="269"/>
      <c r="I734" s="269"/>
      <c r="J734" s="269"/>
    </row>
    <row r="735" spans="1:12" ht="15.75">
      <c r="A735" s="375"/>
      <c r="B735" s="375"/>
      <c r="C735" s="375"/>
      <c r="D735" s="249"/>
      <c r="E735" s="249"/>
      <c r="F735" s="269"/>
      <c r="G735" s="269"/>
      <c r="H735" s="269"/>
      <c r="I735" s="269"/>
      <c r="J735" s="269"/>
    </row>
    <row r="736" spans="1:12" ht="15.75">
      <c r="A736" s="375"/>
      <c r="B736" s="375"/>
      <c r="C736" s="375"/>
      <c r="D736" s="249"/>
      <c r="E736" s="249"/>
      <c r="F736" s="269"/>
      <c r="G736" s="269"/>
      <c r="H736" s="269"/>
      <c r="I736" s="269"/>
      <c r="J736" s="269"/>
    </row>
    <row r="737" spans="1:10" ht="15.75">
      <c r="A737" s="375"/>
      <c r="B737" s="375"/>
      <c r="C737" s="375"/>
      <c r="D737" s="249"/>
      <c r="E737" s="249"/>
      <c r="F737" s="269"/>
      <c r="G737" s="269"/>
      <c r="H737" s="269"/>
      <c r="I737" s="269"/>
      <c r="J737" s="269"/>
    </row>
    <row r="738" spans="1:10" ht="15.75">
      <c r="A738" s="375"/>
      <c r="B738" s="375"/>
      <c r="C738" s="375"/>
      <c r="D738" s="249"/>
      <c r="E738" s="249"/>
      <c r="F738" s="269"/>
      <c r="G738" s="269"/>
      <c r="H738" s="269"/>
      <c r="I738" s="269"/>
      <c r="J738" s="269"/>
    </row>
    <row r="739" spans="1:10" ht="15.75">
      <c r="A739" s="375"/>
      <c r="B739" s="375"/>
      <c r="C739" s="375"/>
      <c r="D739" s="249"/>
      <c r="E739" s="249"/>
      <c r="F739" s="269"/>
      <c r="G739" s="269"/>
      <c r="H739" s="269"/>
      <c r="I739" s="269"/>
      <c r="J739" s="269"/>
    </row>
    <row r="740" spans="1:10" ht="15.75">
      <c r="A740" s="375"/>
      <c r="B740" s="375"/>
      <c r="C740" s="375"/>
      <c r="D740" s="249"/>
      <c r="E740" s="249"/>
      <c r="F740" s="269"/>
      <c r="G740" s="269"/>
      <c r="H740" s="269"/>
      <c r="I740" s="269"/>
      <c r="J740" s="269"/>
    </row>
    <row r="741" spans="1:10" ht="15.75">
      <c r="A741" s="375"/>
      <c r="B741" s="375"/>
      <c r="C741" s="375"/>
      <c r="D741" s="249"/>
      <c r="E741" s="249"/>
      <c r="F741" s="269"/>
      <c r="G741" s="269"/>
      <c r="H741" s="269"/>
      <c r="I741" s="269"/>
      <c r="J741" s="269"/>
    </row>
    <row r="742" spans="1:10" ht="15.75">
      <c r="A742" s="375"/>
      <c r="B742" s="375"/>
      <c r="C742" s="375"/>
      <c r="D742" s="249"/>
      <c r="E742" s="249"/>
      <c r="F742" s="269"/>
      <c r="G742" s="269"/>
      <c r="H742" s="269"/>
      <c r="I742" s="269"/>
      <c r="J742" s="269"/>
    </row>
    <row r="743" spans="1:10" ht="15.75">
      <c r="A743" s="375"/>
      <c r="B743" s="375"/>
      <c r="C743" s="375"/>
      <c r="D743" s="249"/>
      <c r="E743" s="249"/>
      <c r="F743" s="269"/>
      <c r="G743" s="269"/>
      <c r="H743" s="269"/>
      <c r="I743" s="269"/>
      <c r="J743" s="269"/>
    </row>
    <row r="744" spans="1:10" ht="15.75">
      <c r="A744" s="375"/>
      <c r="B744" s="375"/>
      <c r="C744" s="375"/>
      <c r="D744" s="249"/>
      <c r="E744" s="249"/>
      <c r="F744" s="269"/>
      <c r="G744" s="269"/>
      <c r="H744" s="269"/>
      <c r="I744" s="269"/>
      <c r="J744" s="269"/>
    </row>
    <row r="745" spans="1:10" ht="15.75">
      <c r="A745" s="375"/>
      <c r="B745" s="375"/>
      <c r="C745" s="375"/>
      <c r="D745" s="249"/>
      <c r="E745" s="249"/>
      <c r="F745" s="269"/>
      <c r="G745" s="269"/>
      <c r="H745" s="269"/>
      <c r="I745" s="269"/>
      <c r="J745" s="269"/>
    </row>
    <row r="746" spans="1:10" ht="15.75">
      <c r="A746" s="375"/>
      <c r="B746" s="375"/>
      <c r="C746" s="375"/>
      <c r="D746" s="249"/>
      <c r="E746" s="249"/>
      <c r="F746" s="269"/>
      <c r="G746" s="269"/>
      <c r="H746" s="269"/>
      <c r="I746" s="269"/>
      <c r="J746" s="269"/>
    </row>
    <row r="747" spans="1:10" ht="15.75">
      <c r="A747" s="375"/>
      <c r="B747" s="375"/>
      <c r="C747" s="375"/>
      <c r="D747" s="249"/>
      <c r="E747" s="249"/>
      <c r="F747" s="269"/>
      <c r="G747" s="269"/>
      <c r="H747" s="269"/>
      <c r="I747" s="269"/>
      <c r="J747" s="269"/>
    </row>
    <row r="748" spans="1:10" ht="15.75">
      <c r="A748" s="375"/>
      <c r="B748" s="375"/>
      <c r="C748" s="375"/>
      <c r="D748" s="249"/>
      <c r="E748" s="249"/>
      <c r="F748" s="269"/>
      <c r="G748" s="269"/>
      <c r="H748" s="269"/>
      <c r="I748" s="269"/>
      <c r="J748" s="269"/>
    </row>
    <row r="749" spans="1:10" ht="15.75">
      <c r="A749" s="375"/>
      <c r="B749" s="375"/>
      <c r="C749" s="375"/>
      <c r="D749" s="249"/>
      <c r="E749" s="249"/>
      <c r="F749" s="269"/>
      <c r="G749" s="269"/>
      <c r="H749" s="269"/>
      <c r="I749" s="269"/>
      <c r="J749" s="269"/>
    </row>
    <row r="750" spans="1:10" ht="15.75">
      <c r="A750" s="375"/>
      <c r="B750" s="375"/>
      <c r="C750" s="375"/>
      <c r="D750" s="249"/>
      <c r="E750" s="249"/>
      <c r="F750" s="269"/>
      <c r="G750" s="269"/>
      <c r="H750" s="269"/>
      <c r="I750" s="269"/>
      <c r="J750" s="269"/>
    </row>
    <row r="751" spans="1:10" ht="15.75">
      <c r="A751" s="375"/>
      <c r="B751" s="375"/>
      <c r="C751" s="375"/>
      <c r="D751" s="249"/>
      <c r="E751" s="249"/>
      <c r="F751" s="269"/>
      <c r="G751" s="269"/>
      <c r="H751" s="269"/>
      <c r="I751" s="269"/>
      <c r="J751" s="269"/>
    </row>
    <row r="752" spans="1:10" ht="15.75">
      <c r="A752" s="375"/>
      <c r="B752" s="375"/>
      <c r="C752" s="375"/>
      <c r="D752" s="249"/>
      <c r="E752" s="249"/>
      <c r="F752" s="269"/>
      <c r="G752" s="269"/>
      <c r="H752" s="269"/>
      <c r="I752" s="269"/>
      <c r="J752" s="269"/>
    </row>
    <row r="753" spans="1:10" ht="15.75">
      <c r="A753" s="375"/>
      <c r="B753" s="375"/>
      <c r="C753" s="375"/>
      <c r="D753" s="249"/>
      <c r="E753" s="249"/>
      <c r="F753" s="269"/>
      <c r="G753" s="269"/>
      <c r="H753" s="269"/>
      <c r="I753" s="269"/>
      <c r="J753" s="269"/>
    </row>
    <row r="754" spans="1:10" ht="15.75">
      <c r="A754" s="375"/>
      <c r="B754" s="375"/>
      <c r="C754" s="375"/>
      <c r="D754" s="249"/>
      <c r="E754" s="249"/>
      <c r="F754" s="269"/>
      <c r="G754" s="269"/>
      <c r="H754" s="269"/>
      <c r="I754" s="269"/>
      <c r="J754" s="269"/>
    </row>
    <row r="755" spans="1:10" ht="15.75">
      <c r="A755" s="375"/>
      <c r="B755" s="375"/>
      <c r="C755" s="375"/>
      <c r="D755" s="249"/>
      <c r="E755" s="249"/>
      <c r="F755" s="269"/>
      <c r="G755" s="269"/>
      <c r="H755" s="269"/>
      <c r="I755" s="269"/>
      <c r="J755" s="269"/>
    </row>
    <row r="756" spans="1:10" ht="15.75">
      <c r="A756" s="375"/>
      <c r="B756" s="375"/>
      <c r="C756" s="375"/>
      <c r="D756" s="249"/>
      <c r="E756" s="249"/>
      <c r="F756" s="269"/>
      <c r="G756" s="269"/>
      <c r="H756" s="269"/>
      <c r="I756" s="269"/>
      <c r="J756" s="269"/>
    </row>
    <row r="757" spans="1:10" ht="15.75">
      <c r="A757" s="375"/>
      <c r="B757" s="375"/>
      <c r="C757" s="375"/>
      <c r="D757" s="249"/>
      <c r="E757" s="249"/>
      <c r="F757" s="269"/>
      <c r="G757" s="269"/>
      <c r="H757" s="269"/>
      <c r="I757" s="269"/>
      <c r="J757" s="269"/>
    </row>
    <row r="758" spans="1:10" ht="15.75">
      <c r="A758" s="375"/>
      <c r="B758" s="375"/>
      <c r="C758" s="375"/>
      <c r="D758" s="249"/>
      <c r="E758" s="249"/>
      <c r="F758" s="269"/>
      <c r="G758" s="269"/>
      <c r="H758" s="269"/>
      <c r="I758" s="269"/>
      <c r="J758" s="269"/>
    </row>
    <row r="759" spans="1:10" ht="15.75">
      <c r="A759" s="375"/>
      <c r="B759" s="375"/>
      <c r="C759" s="375"/>
      <c r="D759" s="249"/>
      <c r="E759" s="249"/>
      <c r="F759" s="269"/>
      <c r="G759" s="269"/>
      <c r="H759" s="269"/>
      <c r="I759" s="269"/>
      <c r="J759" s="269"/>
    </row>
    <row r="760" spans="1:10" ht="15.75">
      <c r="A760" s="375"/>
      <c r="B760" s="375"/>
      <c r="C760" s="375"/>
      <c r="D760" s="249"/>
      <c r="E760" s="249"/>
      <c r="F760" s="269"/>
      <c r="G760" s="269"/>
      <c r="H760" s="269"/>
      <c r="I760" s="269"/>
      <c r="J760" s="269"/>
    </row>
    <row r="761" spans="1:10" ht="15.75">
      <c r="A761" s="375"/>
      <c r="B761" s="375"/>
      <c r="C761" s="375"/>
      <c r="D761" s="249"/>
      <c r="E761" s="249"/>
      <c r="F761" s="269"/>
      <c r="G761" s="269"/>
      <c r="H761" s="269"/>
      <c r="I761" s="269"/>
      <c r="J761" s="269"/>
    </row>
    <row r="762" spans="1:10" ht="15.75">
      <c r="A762" s="375"/>
      <c r="B762" s="375"/>
      <c r="C762" s="375"/>
      <c r="D762" s="249"/>
      <c r="E762" s="249"/>
      <c r="F762" s="269"/>
      <c r="G762" s="269"/>
      <c r="H762" s="269"/>
      <c r="I762" s="269"/>
      <c r="J762" s="269"/>
    </row>
    <row r="763" spans="1:10" ht="15.75">
      <c r="A763" s="375"/>
      <c r="B763" s="375"/>
      <c r="C763" s="375"/>
      <c r="D763" s="249"/>
      <c r="E763" s="249"/>
      <c r="F763" s="269"/>
      <c r="G763" s="269"/>
      <c r="H763" s="269"/>
      <c r="I763" s="269"/>
      <c r="J763" s="269"/>
    </row>
    <row r="764" spans="1:10" ht="15.75">
      <c r="A764" s="375"/>
      <c r="B764" s="375"/>
      <c r="C764" s="375"/>
      <c r="D764" s="249"/>
      <c r="E764" s="249"/>
      <c r="F764" s="269"/>
      <c r="G764" s="269"/>
      <c r="H764" s="269"/>
      <c r="I764" s="269"/>
      <c r="J764" s="269"/>
    </row>
    <row r="765" spans="1:10" ht="15.75">
      <c r="A765" s="375"/>
      <c r="B765" s="375"/>
      <c r="C765" s="375"/>
      <c r="D765" s="249"/>
      <c r="E765" s="249"/>
      <c r="F765" s="269"/>
      <c r="G765" s="269"/>
      <c r="H765" s="269"/>
      <c r="I765" s="269"/>
      <c r="J765" s="269"/>
    </row>
    <row r="766" spans="1:10" ht="15.75">
      <c r="A766" s="375"/>
      <c r="B766" s="375"/>
      <c r="C766" s="375"/>
      <c r="D766" s="249"/>
      <c r="E766" s="249"/>
      <c r="F766" s="269"/>
      <c r="G766" s="269"/>
      <c r="H766" s="269"/>
      <c r="I766" s="269"/>
      <c r="J766" s="269"/>
    </row>
    <row r="767" spans="1:10" ht="15.75">
      <c r="A767" s="375"/>
      <c r="B767" s="375"/>
      <c r="C767" s="375"/>
      <c r="D767" s="249"/>
      <c r="E767" s="249"/>
      <c r="F767" s="269"/>
      <c r="G767" s="269"/>
      <c r="H767" s="269"/>
      <c r="I767" s="269"/>
      <c r="J767" s="269"/>
    </row>
    <row r="768" spans="1:10" ht="15.75">
      <c r="A768" s="375"/>
      <c r="B768" s="375"/>
      <c r="C768" s="375"/>
      <c r="D768" s="249"/>
      <c r="E768" s="249"/>
      <c r="F768" s="269"/>
      <c r="G768" s="269"/>
      <c r="H768" s="269"/>
      <c r="I768" s="269"/>
      <c r="J768" s="269"/>
    </row>
    <row r="769" spans="1:10" ht="15.75">
      <c r="A769" s="375"/>
      <c r="B769" s="375"/>
      <c r="C769" s="375"/>
      <c r="D769" s="249"/>
      <c r="E769" s="249"/>
      <c r="F769" s="269"/>
      <c r="G769" s="269"/>
      <c r="H769" s="269"/>
      <c r="I769" s="269"/>
      <c r="J769" s="269"/>
    </row>
    <row r="770" spans="1:10" ht="15.75">
      <c r="A770" s="375"/>
      <c r="B770" s="375"/>
      <c r="C770" s="375"/>
      <c r="D770" s="249"/>
      <c r="E770" s="249"/>
      <c r="F770" s="269"/>
      <c r="G770" s="269"/>
      <c r="H770" s="269"/>
      <c r="I770" s="269"/>
      <c r="J770" s="269"/>
    </row>
    <row r="771" spans="1:10" ht="15.75">
      <c r="A771" s="375"/>
      <c r="B771" s="375"/>
      <c r="C771" s="375"/>
      <c r="D771" s="249"/>
      <c r="E771" s="249"/>
      <c r="F771" s="269"/>
      <c r="G771" s="269"/>
      <c r="H771" s="269"/>
      <c r="I771" s="269"/>
      <c r="J771" s="269"/>
    </row>
    <row r="772" spans="1:10" ht="15.75">
      <c r="A772" s="375"/>
      <c r="B772" s="375"/>
      <c r="C772" s="375"/>
      <c r="D772" s="249"/>
      <c r="E772" s="249"/>
      <c r="F772" s="269"/>
      <c r="G772" s="269"/>
      <c r="H772" s="269"/>
      <c r="I772" s="269"/>
      <c r="J772" s="269"/>
    </row>
    <row r="773" spans="1:10" ht="15.75">
      <c r="A773" s="375"/>
      <c r="B773" s="375"/>
      <c r="C773" s="375"/>
      <c r="D773" s="249"/>
      <c r="E773" s="249"/>
      <c r="F773" s="269"/>
      <c r="G773" s="269"/>
      <c r="H773" s="269"/>
      <c r="I773" s="269"/>
      <c r="J773" s="269"/>
    </row>
    <row r="774" spans="1:10" ht="15.75">
      <c r="A774" s="375"/>
      <c r="B774" s="375"/>
      <c r="C774" s="375"/>
      <c r="D774" s="249"/>
      <c r="E774" s="249"/>
      <c r="F774" s="269"/>
      <c r="G774" s="269"/>
      <c r="H774" s="269"/>
      <c r="I774" s="269"/>
      <c r="J774" s="269"/>
    </row>
    <row r="775" spans="1:10" ht="15.75">
      <c r="A775" s="375"/>
      <c r="B775" s="375"/>
      <c r="C775" s="375"/>
      <c r="D775" s="249"/>
      <c r="E775" s="249"/>
      <c r="F775" s="269"/>
      <c r="G775" s="269"/>
      <c r="H775" s="269"/>
      <c r="I775" s="269"/>
      <c r="J775" s="269"/>
    </row>
    <row r="776" spans="1:10" ht="15.75">
      <c r="A776" s="375"/>
      <c r="B776" s="375"/>
      <c r="C776" s="375"/>
      <c r="D776" s="249"/>
      <c r="E776" s="249"/>
      <c r="F776" s="269"/>
      <c r="G776" s="269"/>
      <c r="H776" s="269"/>
      <c r="I776" s="269"/>
      <c r="J776" s="269"/>
    </row>
    <row r="777" spans="1:10" ht="15.75">
      <c r="A777" s="375"/>
      <c r="B777" s="375"/>
      <c r="C777" s="375"/>
      <c r="D777" s="249"/>
      <c r="E777" s="249"/>
      <c r="F777" s="269"/>
      <c r="G777" s="269"/>
      <c r="H777" s="269"/>
      <c r="I777" s="269"/>
      <c r="J777" s="269"/>
    </row>
    <row r="778" spans="1:10" ht="15.75">
      <c r="A778" s="375"/>
      <c r="B778" s="375"/>
      <c r="C778" s="375"/>
      <c r="D778" s="249"/>
      <c r="E778" s="249"/>
      <c r="F778" s="269"/>
      <c r="G778" s="269"/>
      <c r="H778" s="269"/>
      <c r="I778" s="269"/>
      <c r="J778" s="269"/>
    </row>
    <row r="779" spans="1:10" ht="15.75">
      <c r="A779" s="375"/>
      <c r="B779" s="375"/>
      <c r="C779" s="375"/>
      <c r="D779" s="249"/>
      <c r="E779" s="249"/>
      <c r="F779" s="269"/>
      <c r="G779" s="269"/>
      <c r="H779" s="269"/>
      <c r="I779" s="269"/>
      <c r="J779" s="269"/>
    </row>
    <row r="780" spans="1:10" ht="15.75">
      <c r="A780" s="375"/>
      <c r="B780" s="375"/>
      <c r="C780" s="375"/>
      <c r="D780" s="249"/>
      <c r="E780" s="249"/>
      <c r="F780" s="269"/>
      <c r="G780" s="269"/>
      <c r="H780" s="269"/>
      <c r="I780" s="269"/>
      <c r="J780" s="269"/>
    </row>
    <row r="781" spans="1:10" ht="15.75">
      <c r="A781" s="375"/>
      <c r="B781" s="375"/>
      <c r="C781" s="375"/>
      <c r="D781" s="249"/>
      <c r="E781" s="249"/>
      <c r="F781" s="269"/>
      <c r="G781" s="269"/>
      <c r="H781" s="269"/>
      <c r="I781" s="269"/>
      <c r="J781" s="269"/>
    </row>
    <row r="782" spans="1:10" ht="15.75">
      <c r="A782" s="375"/>
      <c r="B782" s="375"/>
      <c r="C782" s="375"/>
      <c r="D782" s="249"/>
      <c r="E782" s="249"/>
      <c r="F782" s="269"/>
      <c r="G782" s="269"/>
      <c r="H782" s="269"/>
      <c r="I782" s="269"/>
      <c r="J782" s="269"/>
    </row>
    <row r="783" spans="1:10" ht="15.75">
      <c r="A783" s="375"/>
      <c r="B783" s="375"/>
      <c r="C783" s="375"/>
      <c r="D783" s="249"/>
      <c r="E783" s="249"/>
      <c r="F783" s="269"/>
      <c r="G783" s="269"/>
      <c r="H783" s="269"/>
      <c r="I783" s="269"/>
      <c r="J783" s="269"/>
    </row>
    <row r="784" spans="1:10" ht="15.75">
      <c r="A784" s="375"/>
      <c r="B784" s="375"/>
      <c r="C784" s="375"/>
      <c r="D784" s="249"/>
      <c r="E784" s="249"/>
      <c r="F784" s="269"/>
      <c r="G784" s="269"/>
      <c r="H784" s="269"/>
      <c r="I784" s="269"/>
      <c r="J784" s="269"/>
    </row>
    <row r="785" spans="1:10" ht="15.75">
      <c r="A785" s="375"/>
      <c r="B785" s="375"/>
      <c r="C785" s="375"/>
      <c r="D785" s="249"/>
      <c r="E785" s="249"/>
      <c r="F785" s="269"/>
      <c r="G785" s="269"/>
      <c r="H785" s="269"/>
      <c r="I785" s="269"/>
      <c r="J785" s="269"/>
    </row>
    <row r="786" spans="1:10" ht="15.75">
      <c r="A786" s="375"/>
      <c r="B786" s="375"/>
      <c r="C786" s="375"/>
      <c r="D786" s="249"/>
      <c r="E786" s="249"/>
      <c r="F786" s="269"/>
      <c r="G786" s="269"/>
      <c r="H786" s="269"/>
      <c r="I786" s="269"/>
      <c r="J786" s="269"/>
    </row>
    <row r="787" spans="1:10" ht="15.75">
      <c r="A787" s="375"/>
      <c r="B787" s="375"/>
      <c r="C787" s="375"/>
      <c r="D787" s="249"/>
      <c r="E787" s="249"/>
      <c r="F787" s="269"/>
      <c r="G787" s="269"/>
      <c r="H787" s="269"/>
      <c r="I787" s="269"/>
      <c r="J787" s="269"/>
    </row>
    <row r="788" spans="1:10" ht="15.75">
      <c r="A788" s="375"/>
      <c r="B788" s="375"/>
      <c r="C788" s="375"/>
      <c r="D788" s="249"/>
      <c r="E788" s="249"/>
      <c r="F788" s="269"/>
      <c r="G788" s="269"/>
      <c r="H788" s="269"/>
      <c r="I788" s="269"/>
      <c r="J788" s="269"/>
    </row>
    <row r="789" spans="1:10" ht="15.75">
      <c r="A789" s="375"/>
      <c r="B789" s="375"/>
      <c r="C789" s="375"/>
      <c r="D789" s="249"/>
      <c r="E789" s="249"/>
      <c r="F789" s="269"/>
      <c r="G789" s="269"/>
      <c r="H789" s="269"/>
      <c r="I789" s="269"/>
      <c r="J789" s="269"/>
    </row>
    <row r="790" spans="1:10" ht="15.75">
      <c r="A790" s="375"/>
      <c r="B790" s="375"/>
      <c r="C790" s="375"/>
      <c r="D790" s="249"/>
      <c r="E790" s="249"/>
      <c r="F790" s="269"/>
      <c r="G790" s="269"/>
      <c r="H790" s="269"/>
      <c r="I790" s="269"/>
      <c r="J790" s="269"/>
    </row>
    <row r="791" spans="1:10" ht="15.75">
      <c r="A791" s="375"/>
      <c r="B791" s="375"/>
      <c r="C791" s="375"/>
      <c r="D791" s="249"/>
      <c r="E791" s="249"/>
      <c r="F791" s="269"/>
      <c r="G791" s="269"/>
      <c r="H791" s="269"/>
      <c r="I791" s="269"/>
      <c r="J791" s="269"/>
    </row>
    <row r="792" spans="1:10" ht="15.75">
      <c r="A792" s="375"/>
      <c r="B792" s="375"/>
      <c r="C792" s="375"/>
      <c r="D792" s="249"/>
      <c r="E792" s="249"/>
      <c r="F792" s="269"/>
      <c r="G792" s="269"/>
      <c r="H792" s="269"/>
      <c r="I792" s="269"/>
      <c r="J792" s="269"/>
    </row>
    <row r="793" spans="1:10" ht="15.75">
      <c r="A793" s="375"/>
      <c r="B793" s="375"/>
      <c r="C793" s="375"/>
      <c r="D793" s="249"/>
      <c r="E793" s="249"/>
      <c r="F793" s="269"/>
      <c r="G793" s="269"/>
      <c r="H793" s="269"/>
      <c r="I793" s="269"/>
      <c r="J793" s="269"/>
    </row>
    <row r="794" spans="1:10" ht="15.75">
      <c r="A794" s="375"/>
      <c r="B794" s="375"/>
      <c r="C794" s="375"/>
      <c r="D794" s="249"/>
      <c r="E794" s="249"/>
      <c r="F794" s="269"/>
      <c r="G794" s="269"/>
      <c r="H794" s="269"/>
      <c r="I794" s="269"/>
      <c r="J794" s="269"/>
    </row>
    <row r="795" spans="1:10" ht="15.75">
      <c r="A795" s="375"/>
      <c r="B795" s="375"/>
      <c r="C795" s="375"/>
      <c r="D795" s="249"/>
      <c r="E795" s="249"/>
      <c r="F795" s="269"/>
      <c r="G795" s="269"/>
      <c r="H795" s="269"/>
      <c r="I795" s="269"/>
      <c r="J795" s="269"/>
    </row>
    <row r="796" spans="1:10" ht="15.75">
      <c r="A796" s="375"/>
      <c r="B796" s="375"/>
      <c r="C796" s="375"/>
      <c r="D796" s="249"/>
      <c r="E796" s="249"/>
      <c r="F796" s="269"/>
      <c r="G796" s="269"/>
      <c r="H796" s="269"/>
      <c r="I796" s="269"/>
      <c r="J796" s="269"/>
    </row>
    <row r="797" spans="1:10" ht="15.75">
      <c r="A797" s="375"/>
      <c r="B797" s="375"/>
      <c r="C797" s="375"/>
      <c r="D797" s="249"/>
      <c r="E797" s="249"/>
      <c r="F797" s="269"/>
      <c r="G797" s="269"/>
      <c r="H797" s="269"/>
      <c r="I797" s="269"/>
      <c r="J797" s="269"/>
    </row>
    <row r="798" spans="1:10" ht="15.75">
      <c r="A798" s="375"/>
      <c r="B798" s="375"/>
      <c r="C798" s="375"/>
      <c r="D798" s="249"/>
      <c r="E798" s="249"/>
      <c r="F798" s="269"/>
      <c r="G798" s="269"/>
      <c r="H798" s="269"/>
      <c r="I798" s="269"/>
      <c r="J798" s="269"/>
    </row>
    <row r="799" spans="1:10" ht="15.75">
      <c r="A799" s="375"/>
      <c r="B799" s="375"/>
      <c r="C799" s="375"/>
      <c r="D799" s="249"/>
      <c r="E799" s="249"/>
      <c r="F799" s="269"/>
      <c r="G799" s="269"/>
      <c r="H799" s="269"/>
      <c r="I799" s="269"/>
      <c r="J799" s="269"/>
    </row>
    <row r="800" spans="1:10" ht="15.75">
      <c r="A800" s="375"/>
      <c r="B800" s="375"/>
      <c r="C800" s="375"/>
      <c r="D800" s="249"/>
      <c r="E800" s="249"/>
      <c r="F800" s="269"/>
      <c r="G800" s="269"/>
      <c r="H800" s="269"/>
      <c r="I800" s="269"/>
      <c r="J800" s="269"/>
    </row>
    <row r="801" spans="1:10" ht="15.75">
      <c r="A801" s="375"/>
      <c r="B801" s="375"/>
      <c r="C801" s="375"/>
      <c r="D801" s="249"/>
      <c r="E801" s="249"/>
      <c r="F801" s="269"/>
      <c r="G801" s="269"/>
      <c r="H801" s="269"/>
      <c r="I801" s="269"/>
      <c r="J801" s="269"/>
    </row>
    <row r="802" spans="1:10" ht="15.75">
      <c r="A802" s="375"/>
      <c r="B802" s="375"/>
      <c r="C802" s="375"/>
      <c r="D802" s="249"/>
      <c r="E802" s="249"/>
      <c r="F802" s="269"/>
      <c r="G802" s="269"/>
      <c r="H802" s="269"/>
      <c r="I802" s="269"/>
      <c r="J802" s="269"/>
    </row>
    <row r="803" spans="1:10" ht="15.75">
      <c r="A803" s="375"/>
      <c r="B803" s="375"/>
      <c r="C803" s="375"/>
      <c r="D803" s="249"/>
      <c r="E803" s="249"/>
      <c r="F803" s="269"/>
      <c r="G803" s="269"/>
      <c r="H803" s="269"/>
      <c r="I803" s="269"/>
      <c r="J803" s="269"/>
    </row>
    <row r="804" spans="1:10" ht="15.75">
      <c r="A804" s="375"/>
      <c r="B804" s="375"/>
      <c r="C804" s="375"/>
      <c r="D804" s="249"/>
      <c r="E804" s="249"/>
      <c r="F804" s="269"/>
      <c r="G804" s="269"/>
      <c r="H804" s="269"/>
      <c r="I804" s="269"/>
      <c r="J804" s="269"/>
    </row>
    <row r="805" spans="1:10" ht="15.75">
      <c r="A805" s="375"/>
      <c r="B805" s="375"/>
      <c r="C805" s="375"/>
      <c r="D805" s="249"/>
      <c r="E805" s="249"/>
      <c r="F805" s="269"/>
      <c r="G805" s="269"/>
      <c r="H805" s="269"/>
      <c r="I805" s="269"/>
      <c r="J805" s="269"/>
    </row>
    <row r="806" spans="1:10" ht="15.75">
      <c r="A806" s="375"/>
      <c r="B806" s="375"/>
      <c r="C806" s="375"/>
      <c r="D806" s="249"/>
      <c r="E806" s="249"/>
      <c r="F806" s="269"/>
      <c r="G806" s="269"/>
      <c r="H806" s="269"/>
      <c r="I806" s="269"/>
      <c r="J806" s="269"/>
    </row>
    <row r="807" spans="1:10" ht="15.75">
      <c r="A807" s="375"/>
      <c r="B807" s="375"/>
      <c r="C807" s="375"/>
      <c r="D807" s="249"/>
      <c r="E807" s="249"/>
      <c r="F807" s="269"/>
      <c r="G807" s="269"/>
      <c r="H807" s="269"/>
      <c r="I807" s="269"/>
      <c r="J807" s="269"/>
    </row>
    <row r="808" spans="1:10" ht="15.75">
      <c r="A808" s="375"/>
      <c r="B808" s="375"/>
      <c r="C808" s="375"/>
      <c r="D808" s="249"/>
      <c r="E808" s="249"/>
      <c r="F808" s="269"/>
      <c r="G808" s="269"/>
      <c r="H808" s="269"/>
      <c r="I808" s="269"/>
      <c r="J808" s="269"/>
    </row>
    <row r="809" spans="1:10" ht="15.75">
      <c r="A809" s="375"/>
      <c r="B809" s="375"/>
      <c r="C809" s="375"/>
      <c r="D809" s="249"/>
      <c r="E809" s="249"/>
      <c r="F809" s="269"/>
      <c r="G809" s="269"/>
      <c r="H809" s="269"/>
      <c r="I809" s="269"/>
      <c r="J809" s="269"/>
    </row>
    <row r="810" spans="1:10" ht="15.75">
      <c r="A810" s="375"/>
      <c r="B810" s="375"/>
      <c r="C810" s="375"/>
      <c r="D810" s="249"/>
      <c r="E810" s="249"/>
      <c r="F810" s="269"/>
      <c r="G810" s="269"/>
      <c r="H810" s="269"/>
      <c r="I810" s="269"/>
      <c r="J810" s="269"/>
    </row>
    <row r="811" spans="1:10" ht="15.75">
      <c r="A811" s="375"/>
      <c r="B811" s="375"/>
      <c r="C811" s="375"/>
      <c r="D811" s="249"/>
      <c r="E811" s="249"/>
      <c r="F811" s="269"/>
      <c r="G811" s="269"/>
      <c r="H811" s="269"/>
      <c r="I811" s="269"/>
      <c r="J811" s="269"/>
    </row>
    <row r="812" spans="1:10" ht="15.75">
      <c r="A812" s="375"/>
      <c r="B812" s="375"/>
      <c r="C812" s="375"/>
      <c r="D812" s="249"/>
      <c r="E812" s="249"/>
      <c r="F812" s="269"/>
      <c r="G812" s="269"/>
      <c r="H812" s="269"/>
      <c r="I812" s="269"/>
      <c r="J812" s="269"/>
    </row>
    <row r="813" spans="1:10" ht="15.75">
      <c r="A813" s="375"/>
      <c r="B813" s="375"/>
      <c r="C813" s="375"/>
      <c r="D813" s="249"/>
      <c r="E813" s="249"/>
      <c r="F813" s="269"/>
      <c r="G813" s="269"/>
      <c r="H813" s="269"/>
      <c r="I813" s="269"/>
      <c r="J813" s="269"/>
    </row>
    <row r="814" spans="1:10" ht="15.75">
      <c r="A814" s="375"/>
      <c r="B814" s="375"/>
      <c r="C814" s="375"/>
      <c r="D814" s="249"/>
      <c r="E814" s="249"/>
      <c r="F814" s="269"/>
      <c r="G814" s="269"/>
      <c r="H814" s="269"/>
      <c r="I814" s="269"/>
      <c r="J814" s="269"/>
    </row>
    <row r="815" spans="1:10" ht="15.75">
      <c r="A815" s="375"/>
      <c r="B815" s="375"/>
      <c r="C815" s="375"/>
      <c r="D815" s="249"/>
      <c r="E815" s="249"/>
      <c r="F815" s="269"/>
      <c r="G815" s="269"/>
      <c r="H815" s="269"/>
      <c r="I815" s="269"/>
      <c r="J815" s="269"/>
    </row>
    <row r="816" spans="1:10" ht="15.75">
      <c r="A816" s="375"/>
      <c r="B816" s="375"/>
      <c r="C816" s="375"/>
      <c r="D816" s="249"/>
      <c r="E816" s="249"/>
      <c r="F816" s="269"/>
      <c r="G816" s="269"/>
      <c r="H816" s="269"/>
      <c r="I816" s="269"/>
      <c r="J816" s="269"/>
    </row>
    <row r="817" spans="1:10" ht="15.75">
      <c r="A817" s="375"/>
      <c r="B817" s="375"/>
      <c r="C817" s="375"/>
      <c r="D817" s="249"/>
      <c r="E817" s="249"/>
      <c r="F817" s="269"/>
      <c r="G817" s="269"/>
      <c r="H817" s="269"/>
      <c r="I817" s="269"/>
      <c r="J817" s="269"/>
    </row>
    <row r="818" spans="1:10" ht="15.75">
      <c r="A818" s="375"/>
      <c r="B818" s="375"/>
      <c r="C818" s="375"/>
      <c r="D818" s="249"/>
      <c r="E818" s="249"/>
      <c r="F818" s="269"/>
      <c r="G818" s="269"/>
      <c r="H818" s="269"/>
      <c r="I818" s="269"/>
      <c r="J818" s="269"/>
    </row>
    <row r="819" spans="1:10" ht="15.75">
      <c r="A819" s="375"/>
      <c r="B819" s="375"/>
      <c r="C819" s="375"/>
      <c r="D819" s="249"/>
      <c r="E819" s="249"/>
      <c r="F819" s="269"/>
      <c r="G819" s="269"/>
      <c r="H819" s="269"/>
      <c r="I819" s="269"/>
      <c r="J819" s="269"/>
    </row>
    <row r="820" spans="1:10" ht="15.75">
      <c r="A820" s="375"/>
      <c r="B820" s="375"/>
      <c r="C820" s="375"/>
      <c r="D820" s="249"/>
      <c r="E820" s="249"/>
      <c r="F820" s="269"/>
      <c r="G820" s="269"/>
      <c r="H820" s="269"/>
      <c r="I820" s="269"/>
      <c r="J820" s="269"/>
    </row>
    <row r="821" spans="1:10" ht="15.75">
      <c r="A821" s="375"/>
      <c r="B821" s="375"/>
      <c r="C821" s="375"/>
      <c r="D821" s="249"/>
      <c r="E821" s="249"/>
      <c r="F821" s="269"/>
      <c r="G821" s="269"/>
      <c r="H821" s="269"/>
      <c r="I821" s="269"/>
      <c r="J821" s="269"/>
    </row>
    <row r="822" spans="1:10" ht="15.75">
      <c r="A822" s="375"/>
      <c r="B822" s="375"/>
      <c r="C822" s="375"/>
      <c r="D822" s="249"/>
      <c r="E822" s="249"/>
      <c r="F822" s="269"/>
      <c r="G822" s="269"/>
      <c r="H822" s="269"/>
      <c r="I822" s="269"/>
      <c r="J822" s="269"/>
    </row>
    <row r="823" spans="1:10" ht="15.75">
      <c r="A823" s="375"/>
      <c r="B823" s="375"/>
      <c r="C823" s="375"/>
      <c r="D823" s="249"/>
      <c r="E823" s="249"/>
      <c r="F823" s="269"/>
      <c r="G823" s="269"/>
      <c r="H823" s="269"/>
      <c r="I823" s="269"/>
      <c r="J823" s="269"/>
    </row>
    <row r="824" spans="1:10" ht="15.75">
      <c r="A824" s="375"/>
      <c r="B824" s="375"/>
      <c r="C824" s="375"/>
      <c r="D824" s="249"/>
      <c r="E824" s="249"/>
      <c r="F824" s="269"/>
      <c r="G824" s="269"/>
      <c r="H824" s="269"/>
      <c r="I824" s="269"/>
      <c r="J824" s="269"/>
    </row>
    <row r="825" spans="1:10" ht="15.75">
      <c r="A825" s="375"/>
      <c r="B825" s="375"/>
      <c r="C825" s="375"/>
      <c r="D825" s="249"/>
      <c r="E825" s="249"/>
      <c r="F825" s="269"/>
      <c r="G825" s="269"/>
      <c r="H825" s="269"/>
      <c r="I825" s="269"/>
      <c r="J825" s="269"/>
    </row>
    <row r="826" spans="1:10" ht="15.75">
      <c r="A826" s="375"/>
      <c r="B826" s="375"/>
      <c r="C826" s="375"/>
      <c r="D826" s="249"/>
      <c r="E826" s="249"/>
      <c r="F826" s="269"/>
      <c r="G826" s="269"/>
      <c r="H826" s="269"/>
      <c r="I826" s="269"/>
      <c r="J826" s="269"/>
    </row>
    <row r="827" spans="1:10" ht="15.75">
      <c r="A827" s="375"/>
      <c r="B827" s="375"/>
      <c r="C827" s="375"/>
      <c r="D827" s="249"/>
      <c r="E827" s="249"/>
      <c r="F827" s="269"/>
      <c r="G827" s="269"/>
      <c r="H827" s="269"/>
      <c r="I827" s="269"/>
      <c r="J827" s="269"/>
    </row>
    <row r="828" spans="1:10" ht="15.75">
      <c r="A828" s="375"/>
      <c r="B828" s="375"/>
      <c r="C828" s="375"/>
      <c r="D828" s="249"/>
      <c r="E828" s="249"/>
      <c r="F828" s="269"/>
      <c r="G828" s="269"/>
      <c r="H828" s="269"/>
      <c r="I828" s="269"/>
      <c r="J828" s="269"/>
    </row>
    <row r="829" spans="1:10" ht="15.75">
      <c r="A829" s="375"/>
      <c r="B829" s="375"/>
      <c r="C829" s="375"/>
      <c r="D829" s="249"/>
      <c r="E829" s="249"/>
      <c r="F829" s="269"/>
      <c r="G829" s="269"/>
      <c r="H829" s="269"/>
      <c r="I829" s="269"/>
      <c r="J829" s="269"/>
    </row>
    <row r="830" spans="1:10" ht="15.75">
      <c r="A830" s="375"/>
      <c r="B830" s="375"/>
      <c r="C830" s="375"/>
      <c r="D830" s="249"/>
      <c r="E830" s="249"/>
      <c r="F830" s="269"/>
      <c r="G830" s="269"/>
      <c r="H830" s="269"/>
      <c r="I830" s="269"/>
      <c r="J830" s="269"/>
    </row>
    <row r="831" spans="1:10" ht="15.75">
      <c r="A831" s="375"/>
      <c r="B831" s="375"/>
      <c r="C831" s="375"/>
      <c r="D831" s="249"/>
      <c r="E831" s="249"/>
      <c r="F831" s="269"/>
      <c r="G831" s="269"/>
      <c r="H831" s="269"/>
      <c r="I831" s="269"/>
      <c r="J831" s="269"/>
    </row>
    <row r="832" spans="1:10" ht="15.75">
      <c r="A832" s="375"/>
      <c r="B832" s="375"/>
      <c r="C832" s="375"/>
      <c r="D832" s="249"/>
      <c r="E832" s="249"/>
      <c r="F832" s="269"/>
      <c r="G832" s="269"/>
      <c r="H832" s="269"/>
      <c r="I832" s="269"/>
      <c r="J832" s="269"/>
    </row>
    <row r="833" spans="1:10" ht="15.75">
      <c r="A833" s="375"/>
      <c r="B833" s="375"/>
      <c r="C833" s="375"/>
      <c r="D833" s="249"/>
      <c r="E833" s="249"/>
      <c r="F833" s="269"/>
      <c r="G833" s="269"/>
      <c r="H833" s="269"/>
      <c r="I833" s="269"/>
      <c r="J833" s="269"/>
    </row>
    <row r="834" spans="1:10" ht="15.75">
      <c r="A834" s="375"/>
      <c r="B834" s="375"/>
      <c r="C834" s="375"/>
      <c r="D834" s="249"/>
      <c r="E834" s="249"/>
      <c r="F834" s="269"/>
      <c r="G834" s="269"/>
      <c r="H834" s="269"/>
      <c r="I834" s="269"/>
      <c r="J834" s="269"/>
    </row>
    <row r="835" spans="1:10" ht="15.75">
      <c r="A835" s="375"/>
      <c r="B835" s="375"/>
      <c r="C835" s="375"/>
      <c r="D835" s="249"/>
      <c r="E835" s="249"/>
      <c r="F835" s="269"/>
      <c r="G835" s="269"/>
      <c r="H835" s="269"/>
      <c r="I835" s="269"/>
      <c r="J835" s="269"/>
    </row>
    <row r="836" spans="1:10" ht="15.75">
      <c r="A836" s="375"/>
      <c r="B836" s="375"/>
      <c r="C836" s="375"/>
      <c r="D836" s="249"/>
      <c r="E836" s="249"/>
      <c r="F836" s="269"/>
      <c r="G836" s="269"/>
      <c r="H836" s="269"/>
      <c r="I836" s="269"/>
      <c r="J836" s="269"/>
    </row>
    <row r="837" spans="1:10" ht="15.75">
      <c r="A837" s="375"/>
      <c r="B837" s="375"/>
      <c r="C837" s="375"/>
      <c r="D837" s="249"/>
      <c r="E837" s="249"/>
      <c r="F837" s="269"/>
      <c r="G837" s="269"/>
      <c r="H837" s="269"/>
      <c r="I837" s="269"/>
      <c r="J837" s="269"/>
    </row>
    <row r="838" spans="1:10" ht="15.75">
      <c r="A838" s="375"/>
      <c r="B838" s="375"/>
      <c r="C838" s="375"/>
      <c r="D838" s="249"/>
      <c r="E838" s="249"/>
      <c r="F838" s="269"/>
      <c r="G838" s="269"/>
      <c r="H838" s="269"/>
      <c r="I838" s="269"/>
      <c r="J838" s="269"/>
    </row>
    <row r="839" spans="1:10" ht="15.75">
      <c r="A839" s="375"/>
      <c r="B839" s="375"/>
      <c r="C839" s="375"/>
      <c r="D839" s="249"/>
      <c r="E839" s="249"/>
      <c r="F839" s="269"/>
      <c r="G839" s="269"/>
      <c r="H839" s="269"/>
      <c r="I839" s="269"/>
      <c r="J839" s="269"/>
    </row>
    <row r="840" spans="1:10" ht="15.75">
      <c r="A840" s="375"/>
      <c r="B840" s="375"/>
      <c r="C840" s="375"/>
      <c r="D840" s="249"/>
      <c r="E840" s="249"/>
      <c r="F840" s="269"/>
      <c r="G840" s="269"/>
      <c r="H840" s="269"/>
      <c r="I840" s="269"/>
      <c r="J840" s="269"/>
    </row>
    <row r="841" spans="1:10" ht="15.75">
      <c r="A841" s="375"/>
      <c r="B841" s="375"/>
      <c r="C841" s="375"/>
      <c r="D841" s="249"/>
      <c r="E841" s="249"/>
      <c r="F841" s="269"/>
      <c r="G841" s="269"/>
      <c r="H841" s="269"/>
      <c r="I841" s="269"/>
      <c r="J841" s="269"/>
    </row>
    <row r="842" spans="1:10" ht="15.75">
      <c r="A842" s="375"/>
      <c r="B842" s="375"/>
      <c r="C842" s="375"/>
      <c r="D842" s="249"/>
      <c r="E842" s="249"/>
      <c r="F842" s="269"/>
      <c r="G842" s="269"/>
      <c r="H842" s="269"/>
      <c r="I842" s="269"/>
      <c r="J842" s="269"/>
    </row>
    <row r="843" spans="1:10" ht="15.75">
      <c r="A843" s="375"/>
      <c r="B843" s="375"/>
      <c r="C843" s="375"/>
      <c r="D843" s="249"/>
      <c r="E843" s="249"/>
      <c r="F843" s="269"/>
      <c r="G843" s="269"/>
      <c r="H843" s="269"/>
      <c r="I843" s="269"/>
      <c r="J843" s="269"/>
    </row>
    <row r="844" spans="1:10" ht="15.75">
      <c r="A844" s="375"/>
      <c r="B844" s="375"/>
      <c r="C844" s="375"/>
      <c r="D844" s="249"/>
      <c r="E844" s="249"/>
      <c r="F844" s="269"/>
      <c r="G844" s="269"/>
      <c r="H844" s="269"/>
      <c r="I844" s="269"/>
      <c r="J844" s="269"/>
    </row>
    <row r="845" spans="1:10" ht="15.75">
      <c r="A845" s="375"/>
      <c r="B845" s="375"/>
      <c r="C845" s="375"/>
      <c r="D845" s="249"/>
      <c r="E845" s="249"/>
      <c r="F845" s="269"/>
      <c r="G845" s="269"/>
      <c r="H845" s="269"/>
      <c r="I845" s="269"/>
      <c r="J845" s="269"/>
    </row>
    <row r="846" spans="1:10" ht="15.75">
      <c r="A846" s="375"/>
      <c r="B846" s="375"/>
      <c r="C846" s="375"/>
      <c r="D846" s="249"/>
      <c r="E846" s="249"/>
      <c r="F846" s="269"/>
      <c r="G846" s="269"/>
      <c r="H846" s="269"/>
      <c r="I846" s="269"/>
      <c r="J846" s="269"/>
    </row>
    <row r="847" spans="1:10" ht="15.75">
      <c r="A847" s="375"/>
      <c r="B847" s="375"/>
      <c r="C847" s="375"/>
      <c r="D847" s="249"/>
      <c r="E847" s="249"/>
      <c r="F847" s="269"/>
      <c r="G847" s="269"/>
      <c r="H847" s="269"/>
      <c r="I847" s="269"/>
      <c r="J847" s="269"/>
    </row>
    <row r="848" spans="1:10" ht="15.75">
      <c r="A848" s="375"/>
      <c r="B848" s="375"/>
      <c r="C848" s="375"/>
      <c r="D848" s="249"/>
      <c r="E848" s="249"/>
      <c r="F848" s="269"/>
      <c r="G848" s="269"/>
      <c r="H848" s="269"/>
      <c r="I848" s="269"/>
      <c r="J848" s="269"/>
    </row>
    <row r="849" spans="1:10" ht="15.75">
      <c r="A849" s="375"/>
      <c r="B849" s="375"/>
      <c r="C849" s="375"/>
      <c r="D849" s="249"/>
      <c r="E849" s="249"/>
      <c r="F849" s="269"/>
      <c r="G849" s="269"/>
      <c r="H849" s="269"/>
      <c r="I849" s="269"/>
      <c r="J849" s="269"/>
    </row>
    <row r="850" spans="1:10" ht="15.75">
      <c r="A850" s="375"/>
      <c r="B850" s="375"/>
      <c r="C850" s="375"/>
      <c r="D850" s="249"/>
      <c r="E850" s="249"/>
      <c r="F850" s="269"/>
      <c r="G850" s="269"/>
      <c r="H850" s="269"/>
      <c r="I850" s="269"/>
      <c r="J850" s="269"/>
    </row>
    <row r="851" spans="1:10" ht="15.75">
      <c r="A851" s="375"/>
      <c r="B851" s="375"/>
      <c r="C851" s="375"/>
      <c r="D851" s="249"/>
      <c r="E851" s="249"/>
      <c r="F851" s="269"/>
      <c r="G851" s="269"/>
      <c r="H851" s="269"/>
      <c r="I851" s="269"/>
      <c r="J851" s="269"/>
    </row>
    <row r="852" spans="1:10" ht="15.75">
      <c r="A852" s="375"/>
      <c r="B852" s="375"/>
      <c r="C852" s="375"/>
      <c r="D852" s="249"/>
      <c r="E852" s="249"/>
      <c r="F852" s="269"/>
      <c r="G852" s="269"/>
      <c r="H852" s="269"/>
      <c r="I852" s="269"/>
      <c r="J852" s="269"/>
    </row>
    <row r="853" spans="1:10" ht="15.75">
      <c r="A853" s="375"/>
      <c r="B853" s="375"/>
      <c r="C853" s="375"/>
      <c r="D853" s="249"/>
      <c r="E853" s="249"/>
      <c r="F853" s="269"/>
      <c r="G853" s="269"/>
      <c r="H853" s="269"/>
      <c r="I853" s="269"/>
      <c r="J853" s="269"/>
    </row>
    <row r="854" spans="1:10" ht="15.75">
      <c r="A854" s="375"/>
      <c r="B854" s="375"/>
      <c r="C854" s="375"/>
      <c r="D854" s="249"/>
      <c r="E854" s="249"/>
      <c r="F854" s="269"/>
      <c r="G854" s="269"/>
      <c r="H854" s="269"/>
      <c r="I854" s="269"/>
      <c r="J854" s="269"/>
    </row>
    <row r="855" spans="1:10" ht="15.75">
      <c r="A855" s="375"/>
      <c r="B855" s="375"/>
      <c r="C855" s="375"/>
      <c r="D855" s="249"/>
      <c r="E855" s="249"/>
      <c r="F855" s="269"/>
      <c r="G855" s="269"/>
      <c r="H855" s="269"/>
      <c r="I855" s="269"/>
      <c r="J855" s="269"/>
    </row>
    <row r="856" spans="1:10" ht="15.75">
      <c r="A856" s="375"/>
      <c r="B856" s="375"/>
      <c r="C856" s="375"/>
      <c r="D856" s="249"/>
      <c r="E856" s="249"/>
      <c r="F856" s="269"/>
      <c r="G856" s="269"/>
      <c r="H856" s="269"/>
      <c r="I856" s="269"/>
      <c r="J856" s="269"/>
    </row>
    <row r="857" spans="1:10" ht="15.75">
      <c r="A857" s="375"/>
      <c r="B857" s="375"/>
      <c r="C857" s="375"/>
      <c r="D857" s="249"/>
      <c r="E857" s="249"/>
      <c r="F857" s="269"/>
      <c r="G857" s="269"/>
      <c r="H857" s="269"/>
      <c r="I857" s="269"/>
      <c r="J857" s="269"/>
    </row>
    <row r="858" spans="1:10" ht="15.75">
      <c r="A858" s="375"/>
      <c r="B858" s="375"/>
      <c r="C858" s="375"/>
      <c r="D858" s="249"/>
      <c r="E858" s="249"/>
      <c r="F858" s="269"/>
      <c r="G858" s="269"/>
      <c r="H858" s="269"/>
      <c r="I858" s="269"/>
      <c r="J858" s="269"/>
    </row>
    <row r="859" spans="1:10" ht="15.75">
      <c r="A859" s="375"/>
      <c r="B859" s="375"/>
      <c r="C859" s="375"/>
      <c r="D859" s="249"/>
      <c r="E859" s="249"/>
      <c r="F859" s="269"/>
      <c r="G859" s="269"/>
      <c r="H859" s="269"/>
      <c r="I859" s="269"/>
      <c r="J859" s="269"/>
    </row>
    <row r="860" spans="1:10" ht="15.75">
      <c r="A860" s="375"/>
      <c r="B860" s="375"/>
      <c r="C860" s="375"/>
      <c r="D860" s="249"/>
      <c r="E860" s="249"/>
      <c r="F860" s="269"/>
      <c r="G860" s="269"/>
      <c r="H860" s="269"/>
      <c r="I860" s="269"/>
      <c r="J860" s="269"/>
    </row>
    <row r="861" spans="1:10" ht="15.75">
      <c r="A861" s="375"/>
      <c r="B861" s="375"/>
      <c r="C861" s="375"/>
      <c r="D861" s="249"/>
      <c r="E861" s="249"/>
      <c r="F861" s="269"/>
      <c r="G861" s="269"/>
      <c r="H861" s="269"/>
      <c r="I861" s="269"/>
      <c r="J861" s="269"/>
    </row>
    <row r="862" spans="1:10" ht="15.75">
      <c r="A862" s="375"/>
      <c r="B862" s="375"/>
      <c r="C862" s="375"/>
      <c r="D862" s="249"/>
      <c r="E862" s="249"/>
      <c r="F862" s="269"/>
      <c r="G862" s="269"/>
      <c r="H862" s="269"/>
      <c r="I862" s="269"/>
      <c r="J862" s="269"/>
    </row>
    <row r="863" spans="1:10" ht="15.75">
      <c r="A863" s="375"/>
      <c r="B863" s="375"/>
      <c r="C863" s="375"/>
      <c r="D863" s="249"/>
      <c r="E863" s="249"/>
      <c r="F863" s="269"/>
      <c r="G863" s="269"/>
      <c r="H863" s="269"/>
      <c r="I863" s="269"/>
      <c r="J863" s="269"/>
    </row>
    <row r="864" spans="1:10" ht="15.75">
      <c r="A864" s="375"/>
      <c r="B864" s="375"/>
      <c r="C864" s="375"/>
      <c r="D864" s="249"/>
      <c r="E864" s="249"/>
      <c r="F864" s="269"/>
      <c r="G864" s="269"/>
      <c r="H864" s="269"/>
      <c r="I864" s="269"/>
      <c r="J864" s="269"/>
    </row>
    <row r="865" spans="1:10" ht="15.75">
      <c r="A865" s="375"/>
      <c r="B865" s="375"/>
      <c r="C865" s="375"/>
      <c r="D865" s="249"/>
      <c r="E865" s="249"/>
      <c r="F865" s="269"/>
      <c r="G865" s="269"/>
      <c r="H865" s="269"/>
      <c r="I865" s="269"/>
      <c r="J865" s="269"/>
    </row>
    <row r="866" spans="1:10" ht="15.75">
      <c r="A866" s="375"/>
      <c r="B866" s="375"/>
      <c r="C866" s="375"/>
      <c r="D866" s="249"/>
      <c r="E866" s="249"/>
      <c r="F866" s="269"/>
      <c r="G866" s="269"/>
      <c r="H866" s="269"/>
      <c r="I866" s="269"/>
      <c r="J866" s="269"/>
    </row>
    <row r="867" spans="1:10" ht="15.75">
      <c r="A867" s="375"/>
      <c r="B867" s="375"/>
      <c r="C867" s="375"/>
      <c r="D867" s="249"/>
      <c r="E867" s="249"/>
      <c r="F867" s="269"/>
      <c r="G867" s="269"/>
      <c r="H867" s="269"/>
      <c r="I867" s="269"/>
      <c r="J867" s="269"/>
    </row>
    <row r="868" spans="1:10" ht="15.75">
      <c r="A868" s="375"/>
      <c r="B868" s="375"/>
      <c r="C868" s="375"/>
      <c r="D868" s="249"/>
      <c r="E868" s="249"/>
      <c r="F868" s="269"/>
      <c r="G868" s="269"/>
      <c r="H868" s="269"/>
      <c r="I868" s="269"/>
      <c r="J868" s="269"/>
    </row>
    <row r="869" spans="1:10" ht="15.75">
      <c r="A869" s="375"/>
      <c r="B869" s="375"/>
      <c r="C869" s="375"/>
      <c r="D869" s="249"/>
      <c r="E869" s="249"/>
      <c r="F869" s="269"/>
      <c r="G869" s="269"/>
      <c r="H869" s="269"/>
      <c r="I869" s="269"/>
      <c r="J869" s="269"/>
    </row>
    <row r="870" spans="1:10" ht="15.75">
      <c r="A870" s="375"/>
      <c r="B870" s="375"/>
      <c r="C870" s="375"/>
      <c r="D870" s="249"/>
      <c r="E870" s="249"/>
      <c r="F870" s="269"/>
      <c r="G870" s="269"/>
      <c r="H870" s="269"/>
      <c r="I870" s="269"/>
      <c r="J870" s="269"/>
    </row>
    <row r="871" spans="1:10" ht="15.75">
      <c r="A871" s="375"/>
      <c r="B871" s="375"/>
      <c r="C871" s="375"/>
      <c r="D871" s="249"/>
      <c r="E871" s="249"/>
      <c r="F871" s="269"/>
      <c r="G871" s="269"/>
      <c r="H871" s="269"/>
      <c r="I871" s="269"/>
      <c r="J871" s="269"/>
    </row>
    <row r="872" spans="1:10" ht="15.75">
      <c r="A872" s="375"/>
      <c r="B872" s="375"/>
      <c r="C872" s="375"/>
      <c r="D872" s="249"/>
      <c r="E872" s="249"/>
      <c r="F872" s="269"/>
      <c r="G872" s="269"/>
      <c r="H872" s="269"/>
      <c r="I872" s="269"/>
      <c r="J872" s="269"/>
    </row>
    <row r="873" spans="1:10" ht="15.75">
      <c r="A873" s="375"/>
      <c r="B873" s="375"/>
      <c r="C873" s="375"/>
      <c r="D873" s="249"/>
      <c r="E873" s="249"/>
      <c r="F873" s="269"/>
      <c r="G873" s="269"/>
      <c r="H873" s="269"/>
      <c r="I873" s="269"/>
      <c r="J873" s="269"/>
    </row>
    <row r="874" spans="1:10" ht="15.75">
      <c r="A874" s="375"/>
      <c r="B874" s="375"/>
      <c r="C874" s="375"/>
      <c r="D874" s="249"/>
      <c r="E874" s="249"/>
      <c r="F874" s="269"/>
      <c r="G874" s="269"/>
      <c r="H874" s="269"/>
      <c r="I874" s="269"/>
      <c r="J874" s="269"/>
    </row>
    <row r="875" spans="1:10" ht="15.75">
      <c r="A875" s="375"/>
      <c r="B875" s="375"/>
      <c r="C875" s="375"/>
      <c r="D875" s="249"/>
      <c r="E875" s="249"/>
      <c r="F875" s="269"/>
      <c r="G875" s="269"/>
      <c r="H875" s="269"/>
      <c r="I875" s="269"/>
      <c r="J875" s="269"/>
    </row>
    <row r="876" spans="1:10" ht="15.75">
      <c r="A876" s="375"/>
      <c r="B876" s="375"/>
      <c r="C876" s="375"/>
      <c r="D876" s="249"/>
      <c r="E876" s="249"/>
      <c r="F876" s="269"/>
      <c r="G876" s="269"/>
      <c r="H876" s="269"/>
      <c r="I876" s="269"/>
      <c r="J876" s="269"/>
    </row>
    <row r="877" spans="1:10" ht="15.75">
      <c r="A877" s="375"/>
      <c r="B877" s="375"/>
      <c r="C877" s="375"/>
      <c r="D877" s="249"/>
      <c r="E877" s="249"/>
      <c r="F877" s="269"/>
      <c r="G877" s="269"/>
      <c r="H877" s="269"/>
      <c r="I877" s="269"/>
      <c r="J877" s="269"/>
    </row>
    <row r="878" spans="1:10" ht="15.75">
      <c r="A878" s="375"/>
      <c r="B878" s="375"/>
      <c r="C878" s="375"/>
      <c r="D878" s="249"/>
      <c r="E878" s="249"/>
      <c r="F878" s="269"/>
      <c r="G878" s="269"/>
      <c r="H878" s="269"/>
      <c r="I878" s="269"/>
      <c r="J878" s="269"/>
    </row>
    <row r="879" spans="1:10" ht="15.75">
      <c r="A879" s="375"/>
      <c r="B879" s="375"/>
      <c r="C879" s="375"/>
      <c r="D879" s="249"/>
      <c r="E879" s="249"/>
      <c r="F879" s="269"/>
      <c r="G879" s="269"/>
      <c r="H879" s="269"/>
      <c r="I879" s="269"/>
      <c r="J879" s="269"/>
    </row>
    <row r="880" spans="1:10" ht="15.75">
      <c r="A880" s="375"/>
      <c r="B880" s="375"/>
      <c r="C880" s="375"/>
      <c r="D880" s="249"/>
      <c r="E880" s="249"/>
      <c r="F880" s="269"/>
      <c r="G880" s="269"/>
      <c r="H880" s="269"/>
      <c r="I880" s="269"/>
      <c r="J880" s="269"/>
    </row>
    <row r="881" spans="1:10" ht="15.75">
      <c r="A881" s="375"/>
      <c r="B881" s="375"/>
      <c r="C881" s="375"/>
      <c r="D881" s="249"/>
      <c r="E881" s="249"/>
      <c r="F881" s="269"/>
      <c r="G881" s="269"/>
      <c r="H881" s="269"/>
      <c r="I881" s="269"/>
      <c r="J881" s="269"/>
    </row>
    <row r="882" spans="1:10" ht="15.75">
      <c r="A882" s="375"/>
      <c r="B882" s="375"/>
      <c r="C882" s="375"/>
      <c r="D882" s="249"/>
      <c r="E882" s="249"/>
      <c r="F882" s="269"/>
      <c r="G882" s="269"/>
      <c r="H882" s="269"/>
      <c r="I882" s="269"/>
      <c r="J882" s="269"/>
    </row>
    <row r="883" spans="1:10" ht="15.75">
      <c r="A883" s="375"/>
      <c r="B883" s="375"/>
      <c r="C883" s="375"/>
      <c r="D883" s="249"/>
      <c r="E883" s="249"/>
      <c r="F883" s="269"/>
      <c r="G883" s="269"/>
      <c r="H883" s="269"/>
      <c r="I883" s="269"/>
      <c r="J883" s="269"/>
    </row>
    <row r="884" spans="1:10" ht="15.75">
      <c r="A884" s="375"/>
      <c r="B884" s="375"/>
      <c r="C884" s="375"/>
      <c r="D884" s="249"/>
      <c r="E884" s="249"/>
      <c r="F884" s="269"/>
      <c r="G884" s="269"/>
      <c r="H884" s="269"/>
      <c r="I884" s="269"/>
      <c r="J884" s="269"/>
    </row>
    <row r="885" spans="1:10" ht="15.75">
      <c r="A885" s="375"/>
      <c r="B885" s="375"/>
      <c r="C885" s="375"/>
      <c r="D885" s="249"/>
      <c r="E885" s="249"/>
      <c r="F885" s="269"/>
      <c r="G885" s="269"/>
      <c r="H885" s="269"/>
      <c r="I885" s="269"/>
      <c r="J885" s="269"/>
    </row>
    <row r="886" spans="1:10" ht="15.75">
      <c r="A886" s="375"/>
      <c r="B886" s="375"/>
      <c r="C886" s="375"/>
      <c r="D886" s="249"/>
      <c r="E886" s="249"/>
      <c r="F886" s="269"/>
      <c r="G886" s="269"/>
      <c r="H886" s="269"/>
      <c r="I886" s="269"/>
      <c r="J886" s="269"/>
    </row>
    <row r="887" spans="1:10" ht="15.75">
      <c r="A887" s="375"/>
      <c r="B887" s="375"/>
      <c r="C887" s="375"/>
      <c r="D887" s="249"/>
      <c r="E887" s="249"/>
      <c r="F887" s="269"/>
      <c r="G887" s="269"/>
      <c r="H887" s="269"/>
      <c r="I887" s="269"/>
      <c r="J887" s="269"/>
    </row>
    <row r="888" spans="1:10" ht="15.75">
      <c r="A888" s="375"/>
      <c r="B888" s="375"/>
      <c r="C888" s="375"/>
      <c r="D888" s="249"/>
      <c r="E888" s="249"/>
      <c r="F888" s="269"/>
      <c r="G888" s="269"/>
      <c r="H888" s="269"/>
      <c r="I888" s="269"/>
      <c r="J888" s="269"/>
    </row>
    <row r="889" spans="1:10" ht="15.75">
      <c r="A889" s="375"/>
      <c r="B889" s="375"/>
      <c r="C889" s="375"/>
      <c r="D889" s="249"/>
      <c r="E889" s="249"/>
      <c r="F889" s="269"/>
      <c r="G889" s="269"/>
      <c r="H889" s="269"/>
      <c r="I889" s="269"/>
      <c r="J889" s="269"/>
    </row>
    <row r="890" spans="1:10" ht="15.75">
      <c r="A890" s="375"/>
      <c r="B890" s="375"/>
      <c r="C890" s="375"/>
      <c r="D890" s="249"/>
      <c r="E890" s="249"/>
      <c r="F890" s="269"/>
      <c r="G890" s="269"/>
      <c r="H890" s="269"/>
      <c r="I890" s="269"/>
      <c r="J890" s="269"/>
    </row>
    <row r="891" spans="1:10" ht="15.75">
      <c r="A891" s="375"/>
      <c r="B891" s="375"/>
      <c r="C891" s="375"/>
      <c r="D891" s="249"/>
      <c r="E891" s="249"/>
      <c r="F891" s="269"/>
      <c r="G891" s="269"/>
      <c r="H891" s="269"/>
      <c r="I891" s="269"/>
      <c r="J891" s="269"/>
    </row>
    <row r="892" spans="1:10" ht="15.75">
      <c r="A892" s="375"/>
      <c r="B892" s="375"/>
      <c r="C892" s="375"/>
      <c r="D892" s="249"/>
      <c r="E892" s="249"/>
      <c r="F892" s="269"/>
      <c r="G892" s="269"/>
      <c r="H892" s="269"/>
      <c r="I892" s="269"/>
      <c r="J892" s="269"/>
    </row>
    <row r="893" spans="1:10" ht="15.75">
      <c r="A893" s="375"/>
      <c r="B893" s="375"/>
      <c r="C893" s="375"/>
      <c r="D893" s="249"/>
      <c r="E893" s="249"/>
      <c r="F893" s="269"/>
      <c r="G893" s="269"/>
      <c r="H893" s="269"/>
      <c r="I893" s="269"/>
      <c r="J893" s="269"/>
    </row>
    <row r="894" spans="1:10" ht="15.75">
      <c r="A894" s="375"/>
      <c r="B894" s="375"/>
      <c r="C894" s="375"/>
      <c r="D894" s="249"/>
      <c r="E894" s="249"/>
      <c r="F894" s="269"/>
      <c r="G894" s="269"/>
      <c r="H894" s="269"/>
      <c r="I894" s="269"/>
      <c r="J894" s="269"/>
    </row>
    <row r="895" spans="1:10" ht="15.75">
      <c r="A895" s="375"/>
      <c r="B895" s="375"/>
      <c r="C895" s="375"/>
      <c r="D895" s="249"/>
      <c r="E895" s="249"/>
      <c r="F895" s="269"/>
      <c r="G895" s="269"/>
      <c r="H895" s="269"/>
      <c r="I895" s="269"/>
      <c r="J895" s="269"/>
    </row>
    <row r="896" spans="1:10" ht="15.75">
      <c r="A896" s="375"/>
      <c r="B896" s="375"/>
      <c r="C896" s="375"/>
      <c r="D896" s="249"/>
      <c r="E896" s="249"/>
      <c r="F896" s="269"/>
      <c r="G896" s="269"/>
      <c r="H896" s="269"/>
      <c r="I896" s="269"/>
      <c r="J896" s="269"/>
    </row>
    <row r="897" spans="1:10" ht="15.75">
      <c r="A897" s="375"/>
      <c r="B897" s="375"/>
      <c r="C897" s="375"/>
      <c r="D897" s="249"/>
      <c r="E897" s="249"/>
      <c r="F897" s="269"/>
      <c r="G897" s="269"/>
      <c r="H897" s="269"/>
      <c r="I897" s="269"/>
      <c r="J897" s="269"/>
    </row>
    <row r="898" spans="1:10" ht="15.75">
      <c r="A898" s="375"/>
      <c r="B898" s="375"/>
      <c r="C898" s="375"/>
      <c r="D898" s="249"/>
      <c r="E898" s="249"/>
      <c r="F898" s="269"/>
      <c r="G898" s="269"/>
      <c r="H898" s="269"/>
      <c r="I898" s="269"/>
      <c r="J898" s="269"/>
    </row>
    <row r="899" spans="1:10" ht="15.75">
      <c r="A899" s="375"/>
      <c r="B899" s="375"/>
      <c r="C899" s="375"/>
      <c r="D899" s="249"/>
      <c r="E899" s="249"/>
      <c r="F899" s="269"/>
      <c r="G899" s="269"/>
      <c r="H899" s="269"/>
      <c r="I899" s="269"/>
      <c r="J899" s="269"/>
    </row>
    <row r="900" spans="1:10" ht="15.75">
      <c r="A900" s="375"/>
      <c r="B900" s="375"/>
      <c r="C900" s="375"/>
      <c r="D900" s="249"/>
      <c r="E900" s="249"/>
      <c r="F900" s="269"/>
      <c r="G900" s="269"/>
      <c r="H900" s="269"/>
      <c r="I900" s="269"/>
      <c r="J900" s="269"/>
    </row>
    <row r="901" spans="1:10" ht="15.75">
      <c r="A901" s="375"/>
      <c r="B901" s="375"/>
      <c r="C901" s="375"/>
      <c r="D901" s="249"/>
      <c r="E901" s="249"/>
      <c r="F901" s="269"/>
      <c r="G901" s="269"/>
      <c r="H901" s="269"/>
      <c r="I901" s="269"/>
      <c r="J901" s="269"/>
    </row>
    <row r="902" spans="1:10" ht="15.75">
      <c r="A902" s="375"/>
      <c r="B902" s="375"/>
      <c r="C902" s="375"/>
      <c r="D902" s="249"/>
      <c r="E902" s="249"/>
      <c r="F902" s="269"/>
      <c r="G902" s="269"/>
      <c r="H902" s="269"/>
      <c r="I902" s="269"/>
      <c r="J902" s="269"/>
    </row>
    <row r="903" spans="1:10" ht="15.75">
      <c r="A903" s="375"/>
      <c r="B903" s="375"/>
      <c r="C903" s="375"/>
      <c r="D903" s="249"/>
      <c r="E903" s="249"/>
      <c r="F903" s="269"/>
      <c r="G903" s="269"/>
      <c r="H903" s="269"/>
      <c r="I903" s="269"/>
      <c r="J903" s="269"/>
    </row>
    <row r="904" spans="1:10" ht="15.75">
      <c r="A904" s="375"/>
      <c r="B904" s="375"/>
      <c r="C904" s="375"/>
      <c r="D904" s="249"/>
      <c r="E904" s="249"/>
      <c r="F904" s="269"/>
      <c r="G904" s="269"/>
      <c r="H904" s="269"/>
      <c r="I904" s="269"/>
      <c r="J904" s="269"/>
    </row>
    <row r="905" spans="1:10" ht="15.75">
      <c r="A905" s="375"/>
      <c r="B905" s="375"/>
      <c r="C905" s="375"/>
      <c r="D905" s="249"/>
      <c r="E905" s="249"/>
      <c r="F905" s="269"/>
      <c r="G905" s="269"/>
      <c r="H905" s="269"/>
      <c r="I905" s="269"/>
      <c r="J905" s="269"/>
    </row>
    <row r="906" spans="1:10" ht="15.75">
      <c r="A906" s="375"/>
      <c r="B906" s="375"/>
      <c r="C906" s="375"/>
      <c r="D906" s="249"/>
      <c r="E906" s="249"/>
      <c r="F906" s="269"/>
      <c r="G906" s="269"/>
      <c r="H906" s="269"/>
      <c r="I906" s="269"/>
      <c r="J906" s="269"/>
    </row>
    <row r="907" spans="1:10" ht="15.75">
      <c r="A907" s="375"/>
      <c r="B907" s="375"/>
      <c r="C907" s="375"/>
      <c r="D907" s="249"/>
      <c r="E907" s="249"/>
      <c r="F907" s="269"/>
      <c r="G907" s="269"/>
      <c r="H907" s="269"/>
      <c r="I907" s="269"/>
      <c r="J907" s="269"/>
    </row>
    <row r="908" spans="1:10" ht="15.75">
      <c r="A908" s="375"/>
      <c r="B908" s="375"/>
      <c r="C908" s="375"/>
      <c r="D908" s="249"/>
      <c r="E908" s="249"/>
      <c r="F908" s="269"/>
      <c r="G908" s="269"/>
      <c r="H908" s="269"/>
      <c r="I908" s="269"/>
      <c r="J908" s="269"/>
    </row>
    <row r="909" spans="1:10" ht="15.75">
      <c r="A909" s="375"/>
      <c r="B909" s="375"/>
      <c r="C909" s="375"/>
      <c r="D909" s="249"/>
      <c r="E909" s="249"/>
      <c r="F909" s="269"/>
      <c r="G909" s="269"/>
      <c r="H909" s="269"/>
      <c r="I909" s="269"/>
      <c r="J909" s="269"/>
    </row>
    <row r="910" spans="1:10" ht="15.75">
      <c r="A910" s="375"/>
      <c r="B910" s="375"/>
      <c r="C910" s="375"/>
      <c r="D910" s="249"/>
      <c r="E910" s="249"/>
      <c r="F910" s="269"/>
      <c r="G910" s="269"/>
      <c r="H910" s="269"/>
      <c r="I910" s="269"/>
      <c r="J910" s="269"/>
    </row>
    <row r="911" spans="1:10" ht="15.75">
      <c r="A911" s="375"/>
      <c r="B911" s="375"/>
      <c r="C911" s="375"/>
      <c r="D911" s="249"/>
      <c r="E911" s="249"/>
      <c r="F911" s="269"/>
      <c r="G911" s="269"/>
      <c r="H911" s="269"/>
      <c r="I911" s="269"/>
      <c r="J911" s="269"/>
    </row>
    <row r="912" spans="1:10" ht="15.75">
      <c r="A912" s="375"/>
      <c r="B912" s="375"/>
      <c r="C912" s="375"/>
      <c r="D912" s="249"/>
      <c r="E912" s="249"/>
      <c r="F912" s="269"/>
      <c r="G912" s="269"/>
      <c r="H912" s="269"/>
      <c r="I912" s="269"/>
      <c r="J912" s="269"/>
    </row>
    <row r="913" spans="1:10" ht="15.75">
      <c r="A913" s="375"/>
      <c r="B913" s="375"/>
      <c r="C913" s="375"/>
      <c r="D913" s="249"/>
      <c r="E913" s="249"/>
      <c r="F913" s="269"/>
      <c r="G913" s="269"/>
      <c r="H913" s="269"/>
      <c r="I913" s="269"/>
      <c r="J913" s="269"/>
    </row>
    <row r="914" spans="1:10" ht="15.75">
      <c r="A914" s="375"/>
      <c r="B914" s="375"/>
      <c r="C914" s="375"/>
      <c r="D914" s="249"/>
      <c r="E914" s="249"/>
      <c r="F914" s="269"/>
      <c r="G914" s="269"/>
      <c r="H914" s="269"/>
      <c r="I914" s="269"/>
      <c r="J914" s="269"/>
    </row>
    <row r="915" spans="1:10" ht="15.75">
      <c r="A915" s="375"/>
      <c r="B915" s="375"/>
      <c r="C915" s="375"/>
      <c r="D915" s="249"/>
      <c r="E915" s="249"/>
      <c r="F915" s="269"/>
      <c r="G915" s="269"/>
      <c r="H915" s="269"/>
      <c r="I915" s="269"/>
      <c r="J915" s="269"/>
    </row>
    <row r="916" spans="1:10" ht="15.75">
      <c r="A916" s="375"/>
      <c r="B916" s="375"/>
      <c r="C916" s="375"/>
      <c r="D916" s="249"/>
      <c r="E916" s="249"/>
      <c r="F916" s="269"/>
      <c r="G916" s="269"/>
      <c r="H916" s="269"/>
      <c r="I916" s="269"/>
      <c r="J916" s="269"/>
    </row>
    <row r="917" spans="1:10" ht="15.75">
      <c r="A917" s="375"/>
      <c r="B917" s="375"/>
      <c r="C917" s="375"/>
      <c r="D917" s="249"/>
      <c r="E917" s="249"/>
      <c r="F917" s="269"/>
      <c r="G917" s="269"/>
      <c r="H917" s="269"/>
      <c r="I917" s="269"/>
      <c r="J917" s="269"/>
    </row>
    <row r="918" spans="1:10" ht="15.75">
      <c r="A918" s="375"/>
      <c r="B918" s="375"/>
      <c r="C918" s="375"/>
      <c r="D918" s="249"/>
      <c r="E918" s="249"/>
      <c r="F918" s="269"/>
      <c r="G918" s="269"/>
      <c r="H918" s="269"/>
      <c r="I918" s="269"/>
      <c r="J918" s="269"/>
    </row>
    <row r="919" spans="1:10" ht="15.75">
      <c r="A919" s="375"/>
      <c r="B919" s="375"/>
      <c r="C919" s="375"/>
      <c r="D919" s="249"/>
      <c r="E919" s="249"/>
      <c r="F919" s="269"/>
      <c r="G919" s="269"/>
      <c r="H919" s="269"/>
      <c r="I919" s="269"/>
      <c r="J919" s="269"/>
    </row>
    <row r="920" spans="1:10" ht="15.75">
      <c r="A920" s="375"/>
      <c r="B920" s="375"/>
      <c r="C920" s="375"/>
      <c r="D920" s="249"/>
      <c r="E920" s="249"/>
      <c r="F920" s="269"/>
      <c r="G920" s="269"/>
      <c r="H920" s="269"/>
      <c r="I920" s="269"/>
      <c r="J920" s="269"/>
    </row>
    <row r="921" spans="1:10" ht="15.75">
      <c r="A921" s="375"/>
      <c r="B921" s="375"/>
      <c r="C921" s="375"/>
      <c r="D921" s="249"/>
      <c r="E921" s="249"/>
      <c r="F921" s="269"/>
      <c r="G921" s="269"/>
      <c r="H921" s="269"/>
      <c r="I921" s="269"/>
      <c r="J921" s="269"/>
    </row>
    <row r="922" spans="1:10" ht="15.75">
      <c r="A922" s="375"/>
      <c r="B922" s="375"/>
      <c r="C922" s="375"/>
      <c r="D922" s="249"/>
      <c r="E922" s="249"/>
      <c r="F922" s="269"/>
      <c r="G922" s="269"/>
      <c r="H922" s="269"/>
      <c r="I922" s="269"/>
      <c r="J922" s="269"/>
    </row>
    <row r="923" spans="1:10" ht="15.75">
      <c r="A923" s="375"/>
      <c r="B923" s="375"/>
      <c r="C923" s="375"/>
      <c r="D923" s="249"/>
      <c r="E923" s="249"/>
      <c r="F923" s="269"/>
      <c r="G923" s="269"/>
      <c r="H923" s="269"/>
      <c r="I923" s="269"/>
      <c r="J923" s="269"/>
    </row>
    <row r="924" spans="1:10" ht="15.75">
      <c r="A924" s="375"/>
      <c r="B924" s="375"/>
      <c r="C924" s="375"/>
      <c r="D924" s="249"/>
      <c r="E924" s="249"/>
      <c r="F924" s="269"/>
      <c r="G924" s="269"/>
      <c r="H924" s="269"/>
      <c r="I924" s="269"/>
      <c r="J924" s="269"/>
    </row>
    <row r="925" spans="1:10" ht="15.75">
      <c r="A925" s="375"/>
      <c r="B925" s="375"/>
      <c r="C925" s="375"/>
      <c r="D925" s="249"/>
      <c r="E925" s="249"/>
      <c r="F925" s="269"/>
      <c r="G925" s="269"/>
      <c r="H925" s="269"/>
      <c r="I925" s="269"/>
      <c r="J925" s="269"/>
    </row>
    <row r="926" spans="1:10" ht="15.75">
      <c r="A926" s="375"/>
      <c r="B926" s="375"/>
      <c r="C926" s="375"/>
      <c r="D926" s="249"/>
      <c r="E926" s="249"/>
      <c r="F926" s="269"/>
      <c r="G926" s="269"/>
      <c r="H926" s="269"/>
      <c r="I926" s="269"/>
      <c r="J926" s="269"/>
    </row>
    <row r="927" spans="1:10" ht="15.75">
      <c r="A927" s="375"/>
      <c r="B927" s="375"/>
      <c r="C927" s="375"/>
      <c r="D927" s="249"/>
      <c r="E927" s="249"/>
      <c r="F927" s="269"/>
      <c r="G927" s="269"/>
      <c r="H927" s="269"/>
      <c r="I927" s="269"/>
      <c r="J927" s="269"/>
    </row>
    <row r="928" spans="1:10" ht="15.75">
      <c r="A928" s="375"/>
      <c r="B928" s="375"/>
      <c r="C928" s="375"/>
      <c r="D928" s="249"/>
      <c r="E928" s="249"/>
      <c r="F928" s="269"/>
      <c r="G928" s="269"/>
      <c r="H928" s="269"/>
      <c r="I928" s="269"/>
      <c r="J928" s="269"/>
    </row>
    <row r="929" spans="1:10" ht="15.75">
      <c r="A929" s="375"/>
      <c r="B929" s="375"/>
      <c r="C929" s="375"/>
      <c r="D929" s="249"/>
      <c r="E929" s="249"/>
      <c r="F929" s="269"/>
      <c r="G929" s="269"/>
      <c r="H929" s="269"/>
      <c r="I929" s="269"/>
      <c r="J929" s="269"/>
    </row>
    <row r="930" spans="1:10" ht="15.75">
      <c r="A930" s="375"/>
      <c r="B930" s="375"/>
      <c r="C930" s="375"/>
      <c r="D930" s="249"/>
      <c r="E930" s="249"/>
      <c r="F930" s="269"/>
      <c r="G930" s="269"/>
      <c r="H930" s="269"/>
      <c r="I930" s="269"/>
      <c r="J930" s="269"/>
    </row>
    <row r="931" spans="1:10" ht="15.75">
      <c r="A931" s="375"/>
      <c r="B931" s="375"/>
      <c r="C931" s="375"/>
      <c r="D931" s="249"/>
      <c r="E931" s="249"/>
      <c r="F931" s="269"/>
      <c r="G931" s="269"/>
      <c r="H931" s="269"/>
      <c r="I931" s="269"/>
      <c r="J931" s="269"/>
    </row>
    <row r="932" spans="1:10" ht="15.75">
      <c r="A932" s="375"/>
      <c r="B932" s="375"/>
      <c r="C932" s="375"/>
      <c r="D932" s="249"/>
      <c r="E932" s="249"/>
      <c r="F932" s="269"/>
      <c r="G932" s="269"/>
      <c r="H932" s="269"/>
      <c r="I932" s="269"/>
      <c r="J932" s="269"/>
    </row>
    <row r="933" spans="1:10" ht="15.75">
      <c r="A933" s="375"/>
      <c r="B933" s="375"/>
      <c r="C933" s="375"/>
      <c r="D933" s="249"/>
      <c r="E933" s="249"/>
      <c r="F933" s="269"/>
      <c r="G933" s="269"/>
      <c r="H933" s="269"/>
      <c r="I933" s="269"/>
      <c r="J933" s="269"/>
    </row>
    <row r="934" spans="1:10" ht="15.75">
      <c r="A934" s="375"/>
      <c r="B934" s="375"/>
      <c r="C934" s="375"/>
      <c r="D934" s="249"/>
      <c r="E934" s="249"/>
      <c r="F934" s="269"/>
      <c r="G934" s="269"/>
      <c r="H934" s="269"/>
      <c r="I934" s="269"/>
      <c r="J934" s="269"/>
    </row>
    <row r="935" spans="1:10" ht="15.75">
      <c r="A935" s="375"/>
      <c r="B935" s="375"/>
      <c r="C935" s="375"/>
      <c r="D935" s="249"/>
      <c r="E935" s="249"/>
      <c r="F935" s="269"/>
      <c r="G935" s="269"/>
      <c r="H935" s="269"/>
      <c r="I935" s="269"/>
      <c r="J935" s="269"/>
    </row>
    <row r="936" spans="1:10" ht="15.75">
      <c r="A936" s="375"/>
      <c r="B936" s="375"/>
      <c r="C936" s="375"/>
      <c r="D936" s="249"/>
      <c r="E936" s="249"/>
      <c r="F936" s="269"/>
      <c r="G936" s="269"/>
      <c r="H936" s="269"/>
      <c r="I936" s="269"/>
      <c r="J936" s="269"/>
    </row>
    <row r="937" spans="1:10" ht="15.75">
      <c r="A937" s="375"/>
      <c r="B937" s="375"/>
      <c r="C937" s="375"/>
      <c r="D937" s="249"/>
      <c r="E937" s="249"/>
      <c r="F937" s="269"/>
      <c r="G937" s="269"/>
      <c r="H937" s="269"/>
      <c r="I937" s="269"/>
      <c r="J937" s="269"/>
    </row>
    <row r="938" spans="1:10" ht="15.75">
      <c r="A938" s="375"/>
      <c r="B938" s="375"/>
      <c r="C938" s="375"/>
      <c r="D938" s="249"/>
      <c r="E938" s="249"/>
      <c r="F938" s="269"/>
      <c r="G938" s="269"/>
      <c r="H938" s="269"/>
      <c r="I938" s="269"/>
      <c r="J938" s="269"/>
    </row>
    <row r="939" spans="1:10" ht="15.75">
      <c r="A939" s="375"/>
      <c r="B939" s="375"/>
      <c r="C939" s="375"/>
      <c r="D939" s="249"/>
      <c r="E939" s="249"/>
      <c r="F939" s="269"/>
      <c r="G939" s="269"/>
      <c r="H939" s="269"/>
      <c r="I939" s="269"/>
      <c r="J939" s="269"/>
    </row>
    <row r="940" spans="1:10" ht="15.75">
      <c r="A940" s="375"/>
      <c r="B940" s="375"/>
      <c r="C940" s="375"/>
      <c r="D940" s="249"/>
      <c r="E940" s="249"/>
      <c r="F940" s="269"/>
      <c r="G940" s="269"/>
      <c r="H940" s="269"/>
      <c r="I940" s="269"/>
      <c r="J940" s="269"/>
    </row>
    <row r="941" spans="1:10" ht="15.75">
      <c r="A941" s="375"/>
      <c r="B941" s="375"/>
      <c r="C941" s="375"/>
      <c r="D941" s="249"/>
      <c r="E941" s="249"/>
      <c r="F941" s="269"/>
      <c r="G941" s="269"/>
      <c r="H941" s="269"/>
      <c r="I941" s="269"/>
      <c r="J941" s="269"/>
    </row>
    <row r="942" spans="1:10" ht="15.75">
      <c r="A942" s="375"/>
      <c r="B942" s="375"/>
      <c r="C942" s="375"/>
      <c r="D942" s="249"/>
      <c r="E942" s="249"/>
      <c r="F942" s="269"/>
      <c r="G942" s="269"/>
      <c r="H942" s="269"/>
      <c r="I942" s="269"/>
      <c r="J942" s="269"/>
    </row>
    <row r="943" spans="1:10" ht="15.75">
      <c r="A943" s="375"/>
      <c r="B943" s="375"/>
      <c r="C943" s="375"/>
      <c r="D943" s="249"/>
      <c r="E943" s="249"/>
      <c r="F943" s="269"/>
      <c r="G943" s="269"/>
      <c r="H943" s="269"/>
      <c r="I943" s="269"/>
      <c r="J943" s="269"/>
    </row>
    <row r="944" spans="1:10" ht="15.75">
      <c r="A944" s="375"/>
      <c r="B944" s="375"/>
      <c r="C944" s="375"/>
      <c r="D944" s="249"/>
      <c r="E944" s="249"/>
      <c r="F944" s="269"/>
      <c r="G944" s="269"/>
      <c r="H944" s="269"/>
      <c r="I944" s="269"/>
      <c r="J944" s="269"/>
    </row>
    <row r="945" spans="1:10" ht="15.75">
      <c r="A945" s="375"/>
      <c r="B945" s="375"/>
      <c r="C945" s="375"/>
      <c r="D945" s="249"/>
      <c r="E945" s="249"/>
      <c r="F945" s="269"/>
      <c r="G945" s="269"/>
      <c r="H945" s="269"/>
      <c r="I945" s="269"/>
      <c r="J945" s="269"/>
    </row>
    <row r="946" spans="1:10" ht="15.75">
      <c r="A946" s="375"/>
      <c r="B946" s="375"/>
      <c r="C946" s="375"/>
      <c r="D946" s="249"/>
      <c r="E946" s="249"/>
      <c r="F946" s="269"/>
      <c r="G946" s="269"/>
      <c r="H946" s="269"/>
      <c r="I946" s="269"/>
      <c r="J946" s="269"/>
    </row>
    <row r="947" spans="1:10" ht="15.75">
      <c r="A947" s="375"/>
      <c r="B947" s="375"/>
      <c r="C947" s="375"/>
      <c r="D947" s="249"/>
      <c r="E947" s="249"/>
      <c r="F947" s="269"/>
      <c r="G947" s="269"/>
      <c r="H947" s="269"/>
      <c r="I947" s="269"/>
      <c r="J947" s="269"/>
    </row>
    <row r="948" spans="1:10" ht="15.75">
      <c r="A948" s="375"/>
      <c r="B948" s="375"/>
      <c r="C948" s="375"/>
      <c r="D948" s="249"/>
      <c r="E948" s="249"/>
      <c r="F948" s="269"/>
      <c r="G948" s="269"/>
      <c r="H948" s="269"/>
      <c r="I948" s="269"/>
      <c r="J948" s="269"/>
    </row>
    <row r="949" spans="1:10" ht="15.75">
      <c r="A949" s="375"/>
      <c r="B949" s="375"/>
      <c r="C949" s="375"/>
      <c r="D949" s="249"/>
      <c r="E949" s="249"/>
      <c r="F949" s="269"/>
      <c r="G949" s="269"/>
      <c r="H949" s="269"/>
      <c r="I949" s="269"/>
      <c r="J949" s="269"/>
    </row>
    <row r="950" spans="1:10" ht="15.75">
      <c r="A950" s="375"/>
      <c r="B950" s="375"/>
      <c r="C950" s="375"/>
      <c r="D950" s="249"/>
      <c r="E950" s="249"/>
      <c r="F950" s="269"/>
      <c r="G950" s="269"/>
      <c r="H950" s="269"/>
      <c r="I950" s="269"/>
      <c r="J950" s="269"/>
    </row>
    <row r="951" spans="1:10" ht="15.75">
      <c r="A951" s="375"/>
      <c r="B951" s="375"/>
      <c r="C951" s="375"/>
      <c r="D951" s="249"/>
      <c r="E951" s="249"/>
      <c r="F951" s="269"/>
      <c r="G951" s="269"/>
      <c r="H951" s="269"/>
      <c r="I951" s="269"/>
      <c r="J951" s="269"/>
    </row>
    <row r="952" spans="1:10" ht="15.75">
      <c r="A952" s="375"/>
      <c r="B952" s="375"/>
      <c r="C952" s="375"/>
      <c r="D952" s="249"/>
      <c r="E952" s="249"/>
      <c r="F952" s="269"/>
      <c r="G952" s="269"/>
      <c r="H952" s="269"/>
      <c r="I952" s="269"/>
      <c r="J952" s="269"/>
    </row>
    <row r="953" spans="1:10" ht="15.75">
      <c r="A953" s="375"/>
      <c r="B953" s="375"/>
      <c r="C953" s="375"/>
      <c r="D953" s="249"/>
      <c r="E953" s="249"/>
      <c r="F953" s="269"/>
      <c r="G953" s="269"/>
      <c r="H953" s="269"/>
      <c r="I953" s="269"/>
      <c r="J953" s="269"/>
    </row>
    <row r="954" spans="1:10" ht="15.75">
      <c r="A954" s="375"/>
      <c r="B954" s="375"/>
      <c r="C954" s="375"/>
      <c r="D954" s="249"/>
      <c r="E954" s="249"/>
      <c r="F954" s="269"/>
      <c r="G954" s="269"/>
      <c r="H954" s="269"/>
      <c r="I954" s="269"/>
      <c r="J954" s="269"/>
    </row>
    <row r="955" spans="1:10" ht="15.75">
      <c r="A955" s="375"/>
      <c r="B955" s="375"/>
      <c r="C955" s="375"/>
      <c r="D955" s="249"/>
      <c r="E955" s="249"/>
      <c r="F955" s="269"/>
      <c r="G955" s="269"/>
      <c r="H955" s="269"/>
      <c r="I955" s="269"/>
      <c r="J955" s="269"/>
    </row>
    <row r="956" spans="1:10" ht="15.75">
      <c r="A956" s="375"/>
      <c r="B956" s="375"/>
      <c r="C956" s="375"/>
      <c r="D956" s="249"/>
      <c r="E956" s="249"/>
      <c r="F956" s="269"/>
      <c r="G956" s="269"/>
      <c r="H956" s="269"/>
      <c r="I956" s="269"/>
      <c r="J956" s="269"/>
    </row>
    <row r="957" spans="1:10" ht="15.75">
      <c r="A957" s="375"/>
      <c r="B957" s="375"/>
      <c r="C957" s="375"/>
      <c r="D957" s="249"/>
      <c r="E957" s="249"/>
      <c r="F957" s="269"/>
      <c r="G957" s="269"/>
      <c r="H957" s="269"/>
      <c r="I957" s="269"/>
      <c r="J957" s="269"/>
    </row>
    <row r="958" spans="1:10" ht="15.75">
      <c r="A958" s="375"/>
      <c r="B958" s="375"/>
      <c r="C958" s="375"/>
      <c r="D958" s="249"/>
      <c r="E958" s="249"/>
      <c r="F958" s="269"/>
      <c r="G958" s="269"/>
      <c r="H958" s="269"/>
      <c r="I958" s="269"/>
      <c r="J958" s="269"/>
    </row>
    <row r="959" spans="1:10" ht="15.75">
      <c r="A959" s="375"/>
      <c r="B959" s="375"/>
      <c r="C959" s="375"/>
      <c r="D959" s="249"/>
      <c r="E959" s="249"/>
      <c r="F959" s="269"/>
      <c r="G959" s="269"/>
      <c r="H959" s="269"/>
      <c r="I959" s="269"/>
      <c r="J959" s="269"/>
    </row>
    <row r="960" spans="1:10" ht="15.75">
      <c r="A960" s="375"/>
      <c r="B960" s="375"/>
      <c r="C960" s="375"/>
      <c r="D960" s="249"/>
      <c r="E960" s="249"/>
      <c r="F960" s="269"/>
      <c r="G960" s="269"/>
      <c r="H960" s="269"/>
      <c r="I960" s="269"/>
      <c r="J960" s="269"/>
    </row>
    <row r="961" spans="1:10" ht="15.75">
      <c r="A961" s="375"/>
      <c r="B961" s="375"/>
      <c r="C961" s="375"/>
      <c r="D961" s="249"/>
      <c r="E961" s="249"/>
      <c r="F961" s="269"/>
      <c r="G961" s="269"/>
      <c r="H961" s="269"/>
      <c r="I961" s="269"/>
      <c r="J961" s="269"/>
    </row>
    <row r="962" spans="1:10" ht="15.75">
      <c r="A962" s="375"/>
      <c r="B962" s="375"/>
      <c r="C962" s="375"/>
      <c r="D962" s="249"/>
      <c r="E962" s="249"/>
      <c r="F962" s="269"/>
      <c r="G962" s="269"/>
      <c r="H962" s="269"/>
      <c r="I962" s="269"/>
      <c r="J962" s="269"/>
    </row>
    <row r="963" spans="1:10" ht="15.75">
      <c r="A963" s="375"/>
      <c r="B963" s="375"/>
      <c r="C963" s="375"/>
      <c r="D963" s="249"/>
      <c r="E963" s="249"/>
      <c r="F963" s="269"/>
      <c r="G963" s="269"/>
      <c r="H963" s="269"/>
      <c r="I963" s="269"/>
      <c r="J963" s="269"/>
    </row>
    <row r="964" spans="1:10" ht="15.75">
      <c r="A964" s="375"/>
      <c r="B964" s="375"/>
      <c r="C964" s="375"/>
      <c r="D964" s="249"/>
      <c r="E964" s="249"/>
      <c r="F964" s="269"/>
      <c r="G964" s="269"/>
      <c r="H964" s="269"/>
      <c r="I964" s="269"/>
      <c r="J964" s="269"/>
    </row>
    <row r="965" spans="1:10" ht="15.75">
      <c r="A965" s="375"/>
      <c r="B965" s="375"/>
      <c r="C965" s="375"/>
      <c r="D965" s="249"/>
      <c r="E965" s="249"/>
      <c r="F965" s="269"/>
      <c r="G965" s="269"/>
      <c r="H965" s="269"/>
      <c r="I965" s="269"/>
      <c r="J965" s="269"/>
    </row>
    <row r="966" spans="1:10" ht="15.75">
      <c r="A966" s="375"/>
      <c r="B966" s="375"/>
      <c r="C966" s="375"/>
      <c r="D966" s="249"/>
      <c r="E966" s="249"/>
      <c r="F966" s="269"/>
      <c r="G966" s="269"/>
      <c r="H966" s="269"/>
      <c r="I966" s="269"/>
      <c r="J966" s="269"/>
    </row>
    <row r="967" spans="1:10" ht="15.75">
      <c r="A967" s="375"/>
      <c r="B967" s="375"/>
      <c r="C967" s="375"/>
      <c r="D967" s="249"/>
      <c r="E967" s="249"/>
      <c r="F967" s="269"/>
      <c r="G967" s="269"/>
      <c r="H967" s="269"/>
      <c r="I967" s="269"/>
      <c r="J967" s="269"/>
    </row>
    <row r="968" spans="1:10" ht="15.75">
      <c r="A968" s="375"/>
      <c r="B968" s="375"/>
      <c r="C968" s="375"/>
      <c r="D968" s="249"/>
      <c r="E968" s="249"/>
      <c r="F968" s="269"/>
      <c r="G968" s="269"/>
      <c r="H968" s="269"/>
      <c r="I968" s="269"/>
      <c r="J968" s="269"/>
    </row>
    <row r="969" spans="1:10" ht="15.75">
      <c r="A969" s="375"/>
      <c r="B969" s="375"/>
      <c r="C969" s="375"/>
      <c r="D969" s="249"/>
      <c r="E969" s="249"/>
      <c r="F969" s="269"/>
      <c r="G969" s="269"/>
      <c r="H969" s="269"/>
      <c r="I969" s="269"/>
      <c r="J969" s="269"/>
    </row>
    <row r="970" spans="1:10" ht="15.75">
      <c r="A970" s="375"/>
      <c r="B970" s="375"/>
      <c r="C970" s="375"/>
      <c r="D970" s="249"/>
      <c r="E970" s="249"/>
      <c r="F970" s="269"/>
      <c r="G970" s="269"/>
      <c r="H970" s="269"/>
      <c r="I970" s="269"/>
      <c r="J970" s="269"/>
    </row>
    <row r="971" spans="1:10" ht="15.75">
      <c r="A971" s="375"/>
      <c r="B971" s="375"/>
      <c r="C971" s="375"/>
      <c r="D971" s="249"/>
      <c r="E971" s="249"/>
      <c r="F971" s="269"/>
      <c r="G971" s="269"/>
      <c r="H971" s="269"/>
      <c r="I971" s="269"/>
      <c r="J971" s="269"/>
    </row>
    <row r="972" spans="1:10" ht="15.75">
      <c r="A972" s="375"/>
      <c r="B972" s="375"/>
      <c r="C972" s="375"/>
      <c r="D972" s="249"/>
      <c r="E972" s="249"/>
      <c r="F972" s="269"/>
      <c r="G972" s="269"/>
      <c r="H972" s="269"/>
      <c r="I972" s="269"/>
      <c r="J972" s="269"/>
    </row>
    <row r="973" spans="1:10" ht="15.75">
      <c r="A973" s="375"/>
      <c r="B973" s="375"/>
      <c r="C973" s="375"/>
      <c r="D973" s="249"/>
      <c r="E973" s="249"/>
      <c r="F973" s="269"/>
      <c r="G973" s="269"/>
      <c r="H973" s="269"/>
      <c r="I973" s="269"/>
      <c r="J973" s="269"/>
    </row>
    <row r="974" spans="1:10" ht="15.75">
      <c r="A974" s="375"/>
      <c r="B974" s="375"/>
      <c r="C974" s="375"/>
      <c r="D974" s="249"/>
      <c r="E974" s="249"/>
      <c r="F974" s="269"/>
      <c r="G974" s="269"/>
      <c r="H974" s="269"/>
      <c r="I974" s="269"/>
      <c r="J974" s="269"/>
    </row>
    <row r="975" spans="1:10" ht="15.75">
      <c r="A975" s="375"/>
      <c r="B975" s="375"/>
      <c r="C975" s="375"/>
      <c r="D975" s="249"/>
      <c r="E975" s="249"/>
      <c r="F975" s="269"/>
      <c r="G975" s="269"/>
      <c r="H975" s="269"/>
      <c r="I975" s="269"/>
      <c r="J975" s="269"/>
    </row>
    <row r="976" spans="1:10" ht="15.75">
      <c r="A976" s="375"/>
      <c r="B976" s="375"/>
      <c r="C976" s="375"/>
      <c r="D976" s="249"/>
      <c r="E976" s="249"/>
      <c r="F976" s="269"/>
      <c r="G976" s="269"/>
      <c r="H976" s="269"/>
      <c r="I976" s="269"/>
      <c r="J976" s="269"/>
    </row>
    <row r="977" spans="1:10" ht="15.75">
      <c r="A977" s="375"/>
      <c r="B977" s="375"/>
      <c r="C977" s="375"/>
      <c r="D977" s="249"/>
      <c r="E977" s="249"/>
      <c r="F977" s="269"/>
      <c r="G977" s="269"/>
      <c r="H977" s="269"/>
      <c r="I977" s="269"/>
      <c r="J977" s="269"/>
    </row>
    <row r="978" spans="1:10" ht="15.75">
      <c r="A978" s="375"/>
      <c r="B978" s="375"/>
      <c r="C978" s="375"/>
      <c r="D978" s="249"/>
      <c r="E978" s="249"/>
      <c r="F978" s="269"/>
      <c r="G978" s="269"/>
      <c r="H978" s="269"/>
      <c r="I978" s="269"/>
      <c r="J978" s="269"/>
    </row>
    <row r="979" spans="1:10" ht="15.75">
      <c r="A979" s="375"/>
      <c r="B979" s="375"/>
      <c r="C979" s="375"/>
      <c r="D979" s="249"/>
      <c r="E979" s="249"/>
      <c r="F979" s="269"/>
      <c r="G979" s="269"/>
      <c r="H979" s="269"/>
      <c r="I979" s="269"/>
      <c r="J979" s="269"/>
    </row>
    <row r="980" spans="1:10" ht="15.75">
      <c r="A980" s="375"/>
      <c r="B980" s="375"/>
      <c r="C980" s="375"/>
      <c r="D980" s="249"/>
      <c r="E980" s="249"/>
      <c r="F980" s="269"/>
      <c r="G980" s="269"/>
      <c r="H980" s="269"/>
      <c r="I980" s="269"/>
      <c r="J980" s="269"/>
    </row>
    <row r="981" spans="1:10" ht="15.75">
      <c r="A981" s="375"/>
      <c r="B981" s="375"/>
      <c r="C981" s="375"/>
      <c r="D981" s="249"/>
      <c r="E981" s="249"/>
      <c r="F981" s="269"/>
      <c r="G981" s="269"/>
      <c r="H981" s="269"/>
      <c r="I981" s="269"/>
      <c r="J981" s="269"/>
    </row>
    <row r="982" spans="1:10" ht="15.75">
      <c r="A982" s="375"/>
      <c r="B982" s="375"/>
      <c r="C982" s="375"/>
      <c r="D982" s="249"/>
      <c r="E982" s="249"/>
      <c r="F982" s="269"/>
      <c r="G982" s="269"/>
      <c r="H982" s="269"/>
      <c r="I982" s="269"/>
      <c r="J982" s="269"/>
    </row>
    <row r="983" spans="1:10" ht="15.75">
      <c r="A983" s="375"/>
      <c r="B983" s="375"/>
      <c r="C983" s="375"/>
      <c r="D983" s="249"/>
      <c r="E983" s="249"/>
      <c r="F983" s="269"/>
      <c r="G983" s="269"/>
      <c r="H983" s="269"/>
      <c r="I983" s="269"/>
      <c r="J983" s="269"/>
    </row>
    <row r="984" spans="1:10" ht="15.75">
      <c r="A984" s="375"/>
      <c r="B984" s="375"/>
      <c r="C984" s="375"/>
      <c r="D984" s="249"/>
      <c r="E984" s="249"/>
      <c r="F984" s="269"/>
      <c r="G984" s="269"/>
      <c r="H984" s="269"/>
      <c r="I984" s="269"/>
      <c r="J984" s="269"/>
    </row>
    <row r="985" spans="1:10" ht="15.75">
      <c r="A985" s="375"/>
      <c r="B985" s="375"/>
      <c r="C985" s="375"/>
      <c r="D985" s="249"/>
      <c r="E985" s="249"/>
      <c r="F985" s="269"/>
      <c r="G985" s="269"/>
      <c r="H985" s="269"/>
      <c r="I985" s="269"/>
      <c r="J985" s="269"/>
    </row>
    <row r="986" spans="1:10" ht="15.75">
      <c r="A986" s="375"/>
      <c r="B986" s="375"/>
      <c r="C986" s="375"/>
      <c r="D986" s="249"/>
      <c r="E986" s="249"/>
      <c r="F986" s="269"/>
      <c r="G986" s="269"/>
      <c r="H986" s="269"/>
      <c r="I986" s="269"/>
      <c r="J986" s="269"/>
    </row>
    <row r="987" spans="1:10" ht="15.75">
      <c r="A987" s="375"/>
      <c r="B987" s="375"/>
      <c r="C987" s="375"/>
      <c r="D987" s="249"/>
      <c r="E987" s="249"/>
      <c r="F987" s="269"/>
      <c r="G987" s="269"/>
      <c r="H987" s="269"/>
      <c r="I987" s="269"/>
      <c r="J987" s="269"/>
    </row>
    <row r="988" spans="1:10" ht="15.75">
      <c r="A988" s="375"/>
      <c r="B988" s="375"/>
      <c r="C988" s="375"/>
      <c r="D988" s="249"/>
      <c r="E988" s="249"/>
      <c r="F988" s="269"/>
      <c r="G988" s="269"/>
      <c r="H988" s="269"/>
      <c r="I988" s="269"/>
      <c r="J988" s="269"/>
    </row>
    <row r="989" spans="1:10" ht="15.75">
      <c r="A989" s="375"/>
      <c r="B989" s="375"/>
      <c r="C989" s="375"/>
      <c r="D989" s="249"/>
      <c r="E989" s="249"/>
      <c r="F989" s="269"/>
      <c r="G989" s="269"/>
      <c r="H989" s="269"/>
      <c r="I989" s="269"/>
      <c r="J989" s="269"/>
    </row>
    <row r="990" spans="1:10" ht="15.75">
      <c r="A990" s="375"/>
      <c r="B990" s="375"/>
      <c r="C990" s="375"/>
      <c r="D990" s="249"/>
      <c r="E990" s="249"/>
      <c r="F990" s="269"/>
      <c r="G990" s="269"/>
      <c r="H990" s="269"/>
      <c r="I990" s="269"/>
      <c r="J990" s="269"/>
    </row>
    <row r="991" spans="1:10" ht="15.75">
      <c r="A991" s="375"/>
      <c r="B991" s="375"/>
      <c r="C991" s="375"/>
      <c r="D991" s="249"/>
      <c r="E991" s="249"/>
      <c r="F991" s="269"/>
      <c r="G991" s="269"/>
      <c r="H991" s="269"/>
      <c r="I991" s="269"/>
      <c r="J991" s="269"/>
    </row>
    <row r="992" spans="1:10" ht="15.75">
      <c r="A992" s="375"/>
      <c r="B992" s="375"/>
      <c r="C992" s="375"/>
      <c r="D992" s="249"/>
      <c r="E992" s="249"/>
      <c r="F992" s="269"/>
      <c r="G992" s="269"/>
      <c r="H992" s="269"/>
      <c r="I992" s="269"/>
      <c r="J992" s="269"/>
    </row>
    <row r="993" spans="1:10" ht="15.75">
      <c r="A993" s="375"/>
      <c r="B993" s="375"/>
      <c r="C993" s="375"/>
      <c r="D993" s="249"/>
      <c r="E993" s="249"/>
      <c r="F993" s="269"/>
      <c r="G993" s="269"/>
      <c r="H993" s="269"/>
      <c r="I993" s="269"/>
      <c r="J993" s="269"/>
    </row>
    <row r="994" spans="1:10" ht="15.75">
      <c r="A994" s="375"/>
      <c r="B994" s="375"/>
      <c r="C994" s="375"/>
      <c r="D994" s="249"/>
      <c r="E994" s="249"/>
      <c r="F994" s="269"/>
      <c r="G994" s="269"/>
      <c r="H994" s="269"/>
      <c r="I994" s="269"/>
      <c r="J994" s="269"/>
    </row>
    <row r="995" spans="1:10" ht="15.75">
      <c r="A995" s="375"/>
      <c r="B995" s="375"/>
      <c r="C995" s="375"/>
      <c r="D995" s="249"/>
      <c r="E995" s="249"/>
      <c r="F995" s="269"/>
      <c r="G995" s="269"/>
      <c r="H995" s="269"/>
      <c r="I995" s="269"/>
      <c r="J995" s="269"/>
    </row>
    <row r="996" spans="1:10" ht="15.75">
      <c r="A996" s="375"/>
      <c r="B996" s="375"/>
      <c r="C996" s="375"/>
      <c r="D996" s="249"/>
      <c r="E996" s="249"/>
      <c r="F996" s="269"/>
      <c r="G996" s="269"/>
      <c r="H996" s="269"/>
      <c r="I996" s="269"/>
      <c r="J996" s="269"/>
    </row>
    <row r="997" spans="1:10" ht="15.75">
      <c r="A997" s="375"/>
      <c r="B997" s="375"/>
      <c r="C997" s="375"/>
      <c r="D997" s="249"/>
      <c r="E997" s="249"/>
      <c r="F997" s="269"/>
      <c r="G997" s="269"/>
      <c r="H997" s="269"/>
      <c r="I997" s="269"/>
      <c r="J997" s="269"/>
    </row>
    <row r="998" spans="1:10" ht="15.75">
      <c r="A998" s="375"/>
      <c r="B998" s="375"/>
      <c r="C998" s="375"/>
      <c r="D998" s="249"/>
      <c r="E998" s="249"/>
      <c r="F998" s="269"/>
      <c r="G998" s="269"/>
      <c r="H998" s="269"/>
      <c r="I998" s="269"/>
      <c r="J998" s="269"/>
    </row>
    <row r="999" spans="1:10" ht="15.75">
      <c r="A999" s="375"/>
      <c r="B999" s="375"/>
      <c r="C999" s="375"/>
      <c r="D999" s="249"/>
      <c r="E999" s="249"/>
      <c r="F999" s="269"/>
      <c r="G999" s="269"/>
      <c r="H999" s="269"/>
      <c r="I999" s="269"/>
      <c r="J999" s="269"/>
    </row>
    <row r="1000" spans="1:10" ht="15.75">
      <c r="A1000" s="375"/>
      <c r="B1000" s="375"/>
      <c r="C1000" s="375"/>
      <c r="D1000" s="249"/>
      <c r="E1000" s="249"/>
      <c r="F1000" s="269"/>
      <c r="G1000" s="269"/>
      <c r="H1000" s="269"/>
      <c r="I1000" s="269"/>
      <c r="J1000" s="269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44"/>
  <sheetViews>
    <sheetView workbookViewId="0"/>
  </sheetViews>
  <sheetFormatPr defaultColWidth="11.125" defaultRowHeight="15" customHeight="1"/>
  <cols>
    <col min="3" max="3" width="16.125" customWidth="1"/>
    <col min="14" max="14" width="30.625" customWidth="1"/>
  </cols>
  <sheetData>
    <row r="1" spans="1:26">
      <c r="A1" s="304" t="s">
        <v>454</v>
      </c>
      <c r="B1" s="305" t="s">
        <v>939</v>
      </c>
      <c r="C1" s="305" t="s">
        <v>940</v>
      </c>
      <c r="D1" s="305" t="s">
        <v>941</v>
      </c>
      <c r="E1" s="305" t="s">
        <v>942</v>
      </c>
      <c r="F1" s="305" t="s">
        <v>943</v>
      </c>
      <c r="G1" s="305" t="s">
        <v>944</v>
      </c>
      <c r="H1" s="305" t="s">
        <v>945</v>
      </c>
      <c r="I1" s="305" t="s">
        <v>946</v>
      </c>
      <c r="J1" s="305" t="s">
        <v>947</v>
      </c>
      <c r="K1" s="305" t="s">
        <v>948</v>
      </c>
      <c r="L1" s="305" t="s">
        <v>949</v>
      </c>
      <c r="M1" s="305" t="s">
        <v>950</v>
      </c>
      <c r="N1" s="306" t="s">
        <v>951</v>
      </c>
      <c r="O1" s="376"/>
      <c r="P1" s="376"/>
      <c r="Q1" s="376"/>
      <c r="R1" s="376"/>
      <c r="S1" s="376"/>
      <c r="T1" s="152"/>
      <c r="U1" s="152"/>
      <c r="V1" s="152"/>
      <c r="W1" s="152"/>
      <c r="X1" s="152"/>
      <c r="Y1" s="152"/>
      <c r="Z1" s="152"/>
    </row>
    <row r="2" spans="1:26">
      <c r="A2" s="307" t="s">
        <v>952</v>
      </c>
      <c r="B2" s="308" t="s">
        <v>953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42"/>
      <c r="O2" s="376"/>
      <c r="P2" s="376"/>
      <c r="Q2" s="376"/>
      <c r="R2" s="376"/>
      <c r="S2" s="376"/>
      <c r="T2" s="152"/>
      <c r="U2" s="152"/>
      <c r="V2" s="152"/>
      <c r="W2" s="152"/>
      <c r="X2" s="152"/>
      <c r="Y2" s="152"/>
      <c r="Z2" s="152"/>
    </row>
    <row r="3" spans="1:26">
      <c r="A3" s="312" t="s">
        <v>954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77"/>
      <c r="O3" s="376"/>
      <c r="P3" s="376"/>
      <c r="Q3" s="376"/>
      <c r="R3" s="376"/>
      <c r="S3" s="376"/>
      <c r="T3" s="152"/>
      <c r="U3" s="152"/>
      <c r="V3" s="152"/>
      <c r="W3" s="152"/>
      <c r="X3" s="152"/>
      <c r="Y3" s="152"/>
      <c r="Z3" s="152"/>
    </row>
    <row r="4" spans="1:26">
      <c r="A4" s="307"/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42"/>
      <c r="O4" s="376"/>
      <c r="P4" s="376"/>
      <c r="Q4" s="376"/>
      <c r="R4" s="376"/>
      <c r="S4" s="376"/>
      <c r="T4" s="152"/>
      <c r="U4" s="152"/>
      <c r="V4" s="152"/>
      <c r="W4" s="152"/>
      <c r="X4" s="152"/>
      <c r="Y4" s="152"/>
      <c r="Z4" s="152"/>
    </row>
    <row r="5" spans="1:26">
      <c r="A5" s="312" t="s">
        <v>0</v>
      </c>
      <c r="B5" s="313" t="s">
        <v>441</v>
      </c>
      <c r="C5" s="313" t="s">
        <v>412</v>
      </c>
      <c r="D5" s="313" t="s">
        <v>955</v>
      </c>
      <c r="E5" s="313" t="s">
        <v>956</v>
      </c>
      <c r="F5" s="313" t="s">
        <v>414</v>
      </c>
      <c r="G5" s="313" t="s">
        <v>957</v>
      </c>
      <c r="H5" s="313" t="s">
        <v>958</v>
      </c>
      <c r="I5" s="313" t="s">
        <v>959</v>
      </c>
      <c r="J5" s="313" t="s">
        <v>960</v>
      </c>
      <c r="K5" s="313" t="s">
        <v>961</v>
      </c>
      <c r="L5" s="313" t="s">
        <v>962</v>
      </c>
      <c r="M5" s="313" t="s">
        <v>963</v>
      </c>
      <c r="N5" s="377" t="s">
        <v>15</v>
      </c>
      <c r="O5" s="376"/>
      <c r="P5" s="376"/>
      <c r="Q5" s="376"/>
      <c r="R5" s="376"/>
      <c r="S5" s="376"/>
      <c r="T5" s="152"/>
      <c r="U5" s="152"/>
      <c r="V5" s="152"/>
      <c r="W5" s="152"/>
      <c r="X5" s="152"/>
      <c r="Y5" s="152"/>
      <c r="Z5" s="152"/>
    </row>
    <row r="6" spans="1:26">
      <c r="A6" s="307" t="s">
        <v>964</v>
      </c>
      <c r="B6" s="308" t="s">
        <v>965</v>
      </c>
      <c r="C6" s="317">
        <v>45212.865659722222</v>
      </c>
      <c r="D6" s="308">
        <v>20</v>
      </c>
      <c r="E6" s="308">
        <v>9.28287E-2</v>
      </c>
      <c r="F6" s="308">
        <v>33.5</v>
      </c>
      <c r="G6" s="308">
        <v>23.67</v>
      </c>
      <c r="H6" s="308">
        <v>0</v>
      </c>
      <c r="I6" s="308">
        <v>0</v>
      </c>
      <c r="J6" s="308">
        <v>0</v>
      </c>
      <c r="K6" s="308">
        <v>0</v>
      </c>
      <c r="L6" s="308" t="s">
        <v>966</v>
      </c>
      <c r="M6" s="308" t="s">
        <v>25</v>
      </c>
      <c r="N6" s="342"/>
      <c r="O6" s="376"/>
      <c r="P6" s="376"/>
      <c r="Q6" s="376"/>
      <c r="R6" s="376"/>
      <c r="S6" s="376"/>
      <c r="T6" s="152"/>
      <c r="U6" s="152"/>
      <c r="V6" s="152"/>
      <c r="W6" s="152"/>
      <c r="X6" s="152"/>
      <c r="Y6" s="152"/>
      <c r="Z6" s="152"/>
    </row>
    <row r="7" spans="1:26">
      <c r="A7" s="312" t="s">
        <v>967</v>
      </c>
      <c r="B7" s="313" t="s">
        <v>965</v>
      </c>
      <c r="C7" s="318">
        <v>45212.868715277778</v>
      </c>
      <c r="D7" s="313">
        <v>20</v>
      </c>
      <c r="E7" s="313">
        <v>9.28287E-2</v>
      </c>
      <c r="F7" s="313">
        <v>33.5</v>
      </c>
      <c r="G7" s="313">
        <v>23.67</v>
      </c>
      <c r="H7" s="313">
        <v>1309.7821630000001</v>
      </c>
      <c r="I7" s="313">
        <v>0.99960599999999999</v>
      </c>
      <c r="J7" s="313">
        <v>0.39034400000000002</v>
      </c>
      <c r="K7" s="313">
        <v>1811.8</v>
      </c>
      <c r="L7" s="313"/>
      <c r="M7" s="313" t="s">
        <v>25</v>
      </c>
      <c r="N7" s="377"/>
      <c r="O7" s="376"/>
      <c r="P7" s="376"/>
      <c r="Q7" s="376"/>
      <c r="R7" s="376"/>
      <c r="S7" s="376"/>
      <c r="T7" s="152"/>
      <c r="U7" s="152"/>
      <c r="V7" s="152"/>
      <c r="W7" s="152"/>
      <c r="X7" s="152"/>
      <c r="Y7" s="152"/>
      <c r="Z7" s="152"/>
    </row>
    <row r="8" spans="1:26">
      <c r="A8" s="307" t="s">
        <v>968</v>
      </c>
      <c r="B8" s="308" t="s">
        <v>965</v>
      </c>
      <c r="C8" s="317">
        <v>45212.878067129626</v>
      </c>
      <c r="D8" s="308">
        <v>20</v>
      </c>
      <c r="E8" s="308">
        <v>9.28287E-2</v>
      </c>
      <c r="F8" s="308">
        <v>33.5</v>
      </c>
      <c r="G8" s="308">
        <v>23.67</v>
      </c>
      <c r="H8" s="308">
        <v>1308.5919490000001</v>
      </c>
      <c r="I8" s="308">
        <v>0.99967799999999996</v>
      </c>
      <c r="J8" s="308">
        <v>0.39043800000000001</v>
      </c>
      <c r="K8" s="308">
        <v>1812.2</v>
      </c>
      <c r="L8" s="308">
        <v>0.30680000000000002</v>
      </c>
      <c r="M8" s="308" t="s">
        <v>25</v>
      </c>
      <c r="N8" s="342"/>
      <c r="O8" s="376"/>
      <c r="P8" s="376"/>
      <c r="Q8" s="376"/>
      <c r="R8" s="376"/>
      <c r="S8" s="376"/>
      <c r="T8" s="152"/>
      <c r="U8" s="152"/>
      <c r="V8" s="152"/>
      <c r="W8" s="152"/>
      <c r="X8" s="152"/>
      <c r="Y8" s="152"/>
      <c r="Z8" s="152"/>
    </row>
    <row r="9" spans="1:26">
      <c r="A9" s="312" t="s">
        <v>969</v>
      </c>
      <c r="B9" s="313" t="s">
        <v>965</v>
      </c>
      <c r="C9" s="318">
        <v>45212.888356481482</v>
      </c>
      <c r="D9" s="313">
        <v>20</v>
      </c>
      <c r="E9" s="313">
        <v>9.28287E-2</v>
      </c>
      <c r="F9" s="313">
        <v>33.5</v>
      </c>
      <c r="G9" s="313">
        <v>23.67</v>
      </c>
      <c r="H9" s="313">
        <v>1317.6232560000001</v>
      </c>
      <c r="I9" s="313">
        <v>0.99970599999999998</v>
      </c>
      <c r="J9" s="313">
        <v>0.39096500000000001</v>
      </c>
      <c r="K9" s="313">
        <v>1814.6</v>
      </c>
      <c r="L9" s="313">
        <v>1.7297</v>
      </c>
      <c r="M9" s="313" t="s">
        <v>25</v>
      </c>
      <c r="N9" s="377"/>
      <c r="O9" s="376"/>
      <c r="P9" s="376"/>
      <c r="Q9" s="376"/>
      <c r="R9" s="376"/>
      <c r="S9" s="376"/>
      <c r="T9" s="152"/>
      <c r="U9" s="152"/>
      <c r="V9" s="152"/>
      <c r="W9" s="152"/>
      <c r="X9" s="152"/>
      <c r="Y9" s="152"/>
      <c r="Z9" s="152"/>
    </row>
    <row r="10" spans="1:26">
      <c r="A10" s="307" t="s">
        <v>970</v>
      </c>
      <c r="B10" s="313" t="s">
        <v>971</v>
      </c>
      <c r="C10" s="317">
        <v>45212.899293981478</v>
      </c>
      <c r="D10" s="308">
        <v>20</v>
      </c>
      <c r="E10" s="308">
        <v>9.28287E-2</v>
      </c>
      <c r="F10" s="308">
        <v>33.5</v>
      </c>
      <c r="G10" s="308">
        <v>23.67</v>
      </c>
      <c r="H10" s="308">
        <v>1145.794449</v>
      </c>
      <c r="I10" s="308">
        <v>0.99994099999999997</v>
      </c>
      <c r="J10" s="308">
        <v>0.44415900000000003</v>
      </c>
      <c r="K10" s="308">
        <v>2061.5</v>
      </c>
      <c r="L10" s="308"/>
      <c r="M10" s="308" t="s">
        <v>25</v>
      </c>
      <c r="N10" s="342"/>
      <c r="O10" s="376"/>
      <c r="P10" s="376"/>
      <c r="Q10" s="376"/>
      <c r="R10" s="376"/>
      <c r="S10" s="376"/>
      <c r="T10" s="152"/>
      <c r="U10" s="152"/>
      <c r="V10" s="152"/>
      <c r="W10" s="152"/>
      <c r="X10" s="152"/>
      <c r="Y10" s="152"/>
      <c r="Z10" s="152"/>
    </row>
    <row r="11" spans="1:26">
      <c r="A11" s="312" t="s">
        <v>972</v>
      </c>
      <c r="B11" s="313" t="s">
        <v>971</v>
      </c>
      <c r="C11" s="318">
        <v>45212.910208333335</v>
      </c>
      <c r="D11" s="313">
        <v>20</v>
      </c>
      <c r="E11" s="313">
        <v>9.28287E-2</v>
      </c>
      <c r="F11" s="313">
        <v>33.5</v>
      </c>
      <c r="G11" s="313">
        <v>23.67</v>
      </c>
      <c r="H11" s="313">
        <v>1148.832287</v>
      </c>
      <c r="I11" s="313">
        <v>0.99993900000000002</v>
      </c>
      <c r="J11" s="313">
        <v>0.44624399999999997</v>
      </c>
      <c r="K11" s="313">
        <v>2071.1999999999998</v>
      </c>
      <c r="L11" s="313">
        <v>6.8418999999999999</v>
      </c>
      <c r="M11" s="313" t="s">
        <v>25</v>
      </c>
      <c r="N11" s="377"/>
      <c r="O11" s="376"/>
      <c r="P11" s="376"/>
      <c r="Q11" s="376"/>
      <c r="R11" s="376"/>
      <c r="S11" s="376"/>
      <c r="T11" s="152"/>
      <c r="U11" s="152"/>
      <c r="V11" s="152"/>
      <c r="W11" s="152"/>
      <c r="X11" s="152"/>
      <c r="Y11" s="152"/>
      <c r="Z11" s="152"/>
    </row>
    <row r="12" spans="1:26">
      <c r="A12" s="307" t="s">
        <v>973</v>
      </c>
      <c r="B12" s="313" t="s">
        <v>971</v>
      </c>
      <c r="C12" s="317">
        <v>45212.921886574077</v>
      </c>
      <c r="D12" s="308">
        <v>20</v>
      </c>
      <c r="E12" s="308">
        <v>9.28287E-2</v>
      </c>
      <c r="F12" s="308">
        <v>33.5</v>
      </c>
      <c r="G12" s="308">
        <v>23.67</v>
      </c>
      <c r="H12" s="308">
        <v>1140.622447</v>
      </c>
      <c r="I12" s="308">
        <v>0.99996499999999999</v>
      </c>
      <c r="J12" s="308">
        <v>0.44223899999999999</v>
      </c>
      <c r="K12" s="308">
        <v>2052.6</v>
      </c>
      <c r="L12" s="308">
        <v>13.144500000000001</v>
      </c>
      <c r="M12" s="308" t="s">
        <v>25</v>
      </c>
      <c r="N12" s="342"/>
      <c r="O12" s="376"/>
      <c r="P12" s="376"/>
      <c r="Q12" s="376"/>
      <c r="R12" s="376"/>
      <c r="S12" s="376"/>
      <c r="T12" s="152"/>
      <c r="U12" s="152"/>
      <c r="V12" s="152"/>
      <c r="W12" s="152"/>
      <c r="X12" s="152"/>
      <c r="Y12" s="152"/>
      <c r="Z12" s="152"/>
    </row>
    <row r="13" spans="1:26">
      <c r="A13" s="312" t="s">
        <v>974</v>
      </c>
      <c r="B13" s="313" t="s">
        <v>971</v>
      </c>
      <c r="C13" s="318">
        <v>45212.932106481479</v>
      </c>
      <c r="D13" s="313">
        <v>20</v>
      </c>
      <c r="E13" s="313">
        <v>0.1045253</v>
      </c>
      <c r="F13" s="313">
        <v>1022.6</v>
      </c>
      <c r="G13" s="313">
        <v>23.67</v>
      </c>
      <c r="H13" s="313">
        <v>1125.0455549999999</v>
      </c>
      <c r="I13" s="313">
        <v>1</v>
      </c>
      <c r="J13" s="313">
        <v>0.43087500000000001</v>
      </c>
      <c r="K13" s="313">
        <v>2251.9</v>
      </c>
      <c r="L13" s="313" t="s">
        <v>542</v>
      </c>
      <c r="M13" s="313" t="s">
        <v>25</v>
      </c>
      <c r="N13" s="377" t="s">
        <v>975</v>
      </c>
      <c r="O13" s="376"/>
      <c r="P13" s="376"/>
      <c r="Q13" s="376"/>
      <c r="R13" s="376"/>
      <c r="S13" s="376"/>
      <c r="T13" s="152"/>
      <c r="U13" s="152"/>
      <c r="V13" s="152"/>
      <c r="W13" s="152"/>
      <c r="X13" s="152"/>
      <c r="Y13" s="152"/>
      <c r="Z13" s="152"/>
    </row>
    <row r="14" spans="1:26">
      <c r="A14" s="307" t="s">
        <v>976</v>
      </c>
      <c r="B14" s="313" t="s">
        <v>971</v>
      </c>
      <c r="C14" s="317">
        <v>45212.942141203705</v>
      </c>
      <c r="D14" s="308">
        <v>20</v>
      </c>
      <c r="E14" s="308">
        <v>0.105338</v>
      </c>
      <c r="F14" s="308">
        <v>1022.6</v>
      </c>
      <c r="G14" s="308">
        <v>23.67</v>
      </c>
      <c r="H14" s="308">
        <v>1118.5127130000001</v>
      </c>
      <c r="I14" s="308">
        <v>1</v>
      </c>
      <c r="J14" s="308">
        <v>0.42755100000000001</v>
      </c>
      <c r="K14" s="308">
        <v>2251.9</v>
      </c>
      <c r="L14" s="308" t="s">
        <v>977</v>
      </c>
      <c r="M14" s="308" t="s">
        <v>25</v>
      </c>
      <c r="N14" s="342" t="s">
        <v>975</v>
      </c>
      <c r="O14" s="376"/>
      <c r="P14" s="376"/>
      <c r="Q14" s="376"/>
      <c r="R14" s="376"/>
      <c r="S14" s="376"/>
      <c r="T14" s="152"/>
      <c r="U14" s="152"/>
      <c r="V14" s="152"/>
      <c r="W14" s="152"/>
      <c r="X14" s="152"/>
      <c r="Y14" s="152"/>
      <c r="Z14" s="152"/>
    </row>
    <row r="15" spans="1:26">
      <c r="A15" s="312" t="s">
        <v>978</v>
      </c>
      <c r="B15" s="313" t="s">
        <v>971</v>
      </c>
      <c r="C15" s="318">
        <v>45212.946875000001</v>
      </c>
      <c r="D15" s="313">
        <v>20</v>
      </c>
      <c r="E15" s="313">
        <v>0.1037314</v>
      </c>
      <c r="F15" s="313">
        <v>1022.6</v>
      </c>
      <c r="G15" s="313">
        <v>23.67</v>
      </c>
      <c r="H15" s="313">
        <v>1123.2428950000001</v>
      </c>
      <c r="I15" s="313">
        <v>1</v>
      </c>
      <c r="J15" s="313">
        <v>0.43417299999999998</v>
      </c>
      <c r="K15" s="313">
        <v>2251.9</v>
      </c>
      <c r="L15" s="313" t="s">
        <v>977</v>
      </c>
      <c r="M15" s="313" t="s">
        <v>25</v>
      </c>
      <c r="N15" s="377" t="s">
        <v>975</v>
      </c>
      <c r="O15" s="376"/>
      <c r="P15" s="376"/>
      <c r="Q15" s="376"/>
      <c r="R15" s="376"/>
      <c r="S15" s="376"/>
      <c r="T15" s="152"/>
      <c r="U15" s="152"/>
      <c r="V15" s="152"/>
      <c r="W15" s="152"/>
      <c r="X15" s="152"/>
      <c r="Y15" s="152"/>
      <c r="Z15" s="152"/>
    </row>
    <row r="16" spans="1:26">
      <c r="A16" s="307" t="s">
        <v>979</v>
      </c>
      <c r="B16" s="313" t="s">
        <v>971</v>
      </c>
      <c r="C16" s="317">
        <v>45212.956342592595</v>
      </c>
      <c r="D16" s="308">
        <v>20</v>
      </c>
      <c r="E16" s="308">
        <v>0.10453469999999999</v>
      </c>
      <c r="F16" s="308">
        <v>33.5</v>
      </c>
      <c r="G16" s="308">
        <v>23.67</v>
      </c>
      <c r="H16" s="308">
        <v>1137.8499529999999</v>
      </c>
      <c r="I16" s="308">
        <v>0.99993799999999999</v>
      </c>
      <c r="J16" s="308">
        <v>0.44198700000000002</v>
      </c>
      <c r="K16" s="308">
        <v>2310.1999999999998</v>
      </c>
      <c r="L16" s="308"/>
      <c r="M16" s="308" t="s">
        <v>25</v>
      </c>
      <c r="N16" s="342"/>
      <c r="O16" s="376"/>
      <c r="P16" s="376"/>
      <c r="Q16" s="376"/>
      <c r="R16" s="376"/>
      <c r="S16" s="376"/>
      <c r="T16" s="152"/>
      <c r="U16" s="152"/>
      <c r="V16" s="152"/>
      <c r="W16" s="152"/>
      <c r="X16" s="152"/>
      <c r="Y16" s="152"/>
      <c r="Z16" s="152"/>
    </row>
    <row r="17" spans="1:26">
      <c r="A17" s="312" t="s">
        <v>980</v>
      </c>
      <c r="B17" s="313" t="s">
        <v>971</v>
      </c>
      <c r="C17" s="318">
        <v>45212.969872685186</v>
      </c>
      <c r="D17" s="313">
        <v>20</v>
      </c>
      <c r="E17" s="313">
        <v>0.10453469999999999</v>
      </c>
      <c r="F17" s="313">
        <v>33.5</v>
      </c>
      <c r="G17" s="313">
        <v>23.67</v>
      </c>
      <c r="H17" s="313">
        <v>1148.2397329999999</v>
      </c>
      <c r="I17" s="313">
        <v>0.99995800000000001</v>
      </c>
      <c r="J17" s="313">
        <v>0.44237199999999999</v>
      </c>
      <c r="K17" s="313">
        <v>2312.1999999999998</v>
      </c>
      <c r="L17" s="313">
        <v>1.4225000000000001</v>
      </c>
      <c r="M17" s="313" t="s">
        <v>25</v>
      </c>
      <c r="N17" s="377"/>
      <c r="O17" s="376"/>
      <c r="P17" s="376"/>
      <c r="Q17" s="376"/>
      <c r="R17" s="376"/>
      <c r="S17" s="376"/>
      <c r="T17" s="152"/>
      <c r="U17" s="152"/>
      <c r="V17" s="152"/>
      <c r="W17" s="152"/>
      <c r="X17" s="152"/>
      <c r="Y17" s="152"/>
      <c r="Z17" s="152"/>
    </row>
    <row r="18" spans="1:26">
      <c r="A18" s="307" t="s">
        <v>981</v>
      </c>
      <c r="B18" s="313" t="s">
        <v>971</v>
      </c>
      <c r="C18" s="317">
        <v>45212.985127314816</v>
      </c>
      <c r="D18" s="308">
        <v>20</v>
      </c>
      <c r="E18" s="308">
        <v>0.10453469999999999</v>
      </c>
      <c r="F18" s="308">
        <v>33.5</v>
      </c>
      <c r="G18" s="308">
        <v>23.67</v>
      </c>
      <c r="H18" s="308">
        <v>1145.968897</v>
      </c>
      <c r="I18" s="308">
        <v>0.99995800000000001</v>
      </c>
      <c r="J18" s="308">
        <v>0.44163000000000002</v>
      </c>
      <c r="K18" s="308">
        <v>2308.3000000000002</v>
      </c>
      <c r="L18" s="308">
        <v>2.7450999999999999</v>
      </c>
      <c r="M18" s="308" t="s">
        <v>25</v>
      </c>
      <c r="N18" s="342"/>
      <c r="O18" s="376"/>
      <c r="P18" s="376"/>
      <c r="Q18" s="376"/>
      <c r="R18" s="376"/>
      <c r="S18" s="376"/>
      <c r="T18" s="152"/>
      <c r="U18" s="152"/>
      <c r="V18" s="152"/>
      <c r="W18" s="152"/>
      <c r="X18" s="152"/>
      <c r="Y18" s="152"/>
      <c r="Z18" s="152"/>
    </row>
    <row r="19" spans="1:26">
      <c r="A19" s="312" t="s">
        <v>982</v>
      </c>
      <c r="B19" s="313" t="s">
        <v>971</v>
      </c>
      <c r="C19" s="318">
        <v>45213.00277777778</v>
      </c>
      <c r="D19" s="313">
        <v>20</v>
      </c>
      <c r="E19" s="313">
        <v>0.10453469999999999</v>
      </c>
      <c r="F19" s="313">
        <v>33.5</v>
      </c>
      <c r="G19" s="313">
        <v>23.67</v>
      </c>
      <c r="H19" s="313">
        <v>1147.805873</v>
      </c>
      <c r="I19" s="313">
        <v>0.99997499999999995</v>
      </c>
      <c r="J19" s="313">
        <v>0.43538100000000002</v>
      </c>
      <c r="K19" s="313">
        <v>2275.6</v>
      </c>
      <c r="L19" s="313">
        <v>23.093800000000002</v>
      </c>
      <c r="M19" s="313" t="s">
        <v>25</v>
      </c>
      <c r="N19" s="377"/>
      <c r="O19" s="376"/>
      <c r="P19" s="376"/>
      <c r="Q19" s="376"/>
      <c r="R19" s="376"/>
      <c r="S19" s="376"/>
      <c r="T19" s="152"/>
      <c r="U19" s="152"/>
      <c r="V19" s="152"/>
      <c r="W19" s="152"/>
      <c r="X19" s="152"/>
      <c r="Y19" s="152"/>
      <c r="Z19" s="152"/>
    </row>
    <row r="20" spans="1:26">
      <c r="A20" s="307" t="s">
        <v>983</v>
      </c>
      <c r="B20" s="308" t="s">
        <v>971</v>
      </c>
      <c r="C20" s="317">
        <v>45213.021782407406</v>
      </c>
      <c r="D20" s="308">
        <v>20</v>
      </c>
      <c r="E20" s="308">
        <v>0.10453469999999999</v>
      </c>
      <c r="F20" s="308">
        <v>33.5</v>
      </c>
      <c r="G20" s="308">
        <v>23.67</v>
      </c>
      <c r="H20" s="308">
        <v>1151.7254089999999</v>
      </c>
      <c r="I20" s="308">
        <v>0.99996200000000002</v>
      </c>
      <c r="J20" s="308">
        <v>0.444907</v>
      </c>
      <c r="K20" s="308">
        <v>2325.4</v>
      </c>
      <c r="L20" s="308"/>
      <c r="M20" s="308" t="s">
        <v>25</v>
      </c>
      <c r="N20" s="342"/>
      <c r="O20" s="376"/>
      <c r="P20" s="376"/>
      <c r="Q20" s="376"/>
      <c r="R20" s="376"/>
      <c r="S20" s="376"/>
      <c r="T20" s="152"/>
      <c r="U20" s="152"/>
      <c r="V20" s="152"/>
      <c r="W20" s="152"/>
      <c r="X20" s="152"/>
      <c r="Y20" s="152"/>
      <c r="Z20" s="152"/>
    </row>
    <row r="21" spans="1:26">
      <c r="A21" s="312" t="s">
        <v>984</v>
      </c>
      <c r="B21" s="313" t="s">
        <v>953</v>
      </c>
      <c r="C21" s="318">
        <v>45213.039398148147</v>
      </c>
      <c r="D21" s="313">
        <v>20</v>
      </c>
      <c r="E21" s="313">
        <v>0.10453469999999999</v>
      </c>
      <c r="F21" s="313" t="s">
        <v>985</v>
      </c>
      <c r="G21" s="313">
        <v>23.67</v>
      </c>
      <c r="H21" s="313">
        <v>1328.0905190000001</v>
      </c>
      <c r="I21" s="313">
        <v>0.99972899999999998</v>
      </c>
      <c r="J21" s="313">
        <v>0.391899</v>
      </c>
      <c r="K21" s="313">
        <v>2048.3000000000002</v>
      </c>
      <c r="L21" s="313"/>
      <c r="M21" s="313" t="s">
        <v>25</v>
      </c>
      <c r="N21" s="377"/>
      <c r="O21" s="376"/>
      <c r="P21" s="376"/>
      <c r="Q21" s="376"/>
      <c r="R21" s="376"/>
      <c r="S21" s="376"/>
      <c r="T21" s="152"/>
      <c r="U21" s="152"/>
      <c r="V21" s="152"/>
      <c r="W21" s="152"/>
      <c r="X21" s="152"/>
      <c r="Y21" s="152"/>
      <c r="Z21" s="152"/>
    </row>
    <row r="22" spans="1:26">
      <c r="A22" s="307" t="s">
        <v>986</v>
      </c>
      <c r="B22" s="308" t="s">
        <v>934</v>
      </c>
      <c r="C22" s="317">
        <v>45213.054097222222</v>
      </c>
      <c r="D22" s="308">
        <v>20</v>
      </c>
      <c r="E22" s="308">
        <v>0.1013207</v>
      </c>
      <c r="F22" s="308" t="s">
        <v>985</v>
      </c>
      <c r="G22" s="308">
        <v>23.67</v>
      </c>
      <c r="H22" s="308">
        <v>1164.4998149999999</v>
      </c>
      <c r="I22" s="308">
        <v>0.99994400000000006</v>
      </c>
      <c r="J22" s="308">
        <v>0.444407</v>
      </c>
      <c r="K22" s="308">
        <v>2251.4</v>
      </c>
      <c r="L22" s="308" t="s">
        <v>542</v>
      </c>
      <c r="M22" s="308" t="s">
        <v>25</v>
      </c>
      <c r="N22" s="342" t="s">
        <v>975</v>
      </c>
      <c r="O22" s="376"/>
      <c r="P22" s="376"/>
      <c r="Q22" s="376"/>
      <c r="R22" s="376"/>
      <c r="S22" s="376"/>
      <c r="T22" s="152"/>
      <c r="U22" s="152"/>
      <c r="V22" s="152"/>
      <c r="W22" s="152"/>
      <c r="X22" s="152"/>
      <c r="Y22" s="152"/>
      <c r="Z22" s="152"/>
    </row>
    <row r="23" spans="1:26">
      <c r="A23" s="312" t="s">
        <v>987</v>
      </c>
      <c r="B23" s="313" t="s">
        <v>934</v>
      </c>
      <c r="C23" s="318">
        <v>45213.063680555555</v>
      </c>
      <c r="D23" s="313">
        <v>20</v>
      </c>
      <c r="E23" s="313">
        <v>0.1013892</v>
      </c>
      <c r="F23" s="313" t="s">
        <v>985</v>
      </c>
      <c r="G23" s="313">
        <v>23.67</v>
      </c>
      <c r="H23" s="313">
        <v>1161.3823030000001</v>
      </c>
      <c r="I23" s="313">
        <v>0.99996300000000005</v>
      </c>
      <c r="J23" s="313">
        <v>0.44410699999999997</v>
      </c>
      <c r="K23" s="313">
        <v>2251.4</v>
      </c>
      <c r="L23" s="313" t="s">
        <v>988</v>
      </c>
      <c r="M23" s="313" t="s">
        <v>25</v>
      </c>
      <c r="N23" s="377" t="s">
        <v>975</v>
      </c>
      <c r="O23" s="376"/>
      <c r="P23" s="376"/>
      <c r="Q23" s="376"/>
      <c r="R23" s="376"/>
      <c r="S23" s="376"/>
      <c r="T23" s="152"/>
      <c r="U23" s="152"/>
      <c r="V23" s="152"/>
      <c r="W23" s="152"/>
      <c r="X23" s="152"/>
      <c r="Y23" s="152"/>
      <c r="Z23" s="152"/>
    </row>
    <row r="24" spans="1:26">
      <c r="A24" s="307" t="s">
        <v>989</v>
      </c>
      <c r="B24" s="308" t="s">
        <v>934</v>
      </c>
      <c r="C24" s="317">
        <v>45213.07366898148</v>
      </c>
      <c r="D24" s="308">
        <v>20</v>
      </c>
      <c r="E24" s="308">
        <v>0.10133590000000001</v>
      </c>
      <c r="F24" s="308" t="s">
        <v>985</v>
      </c>
      <c r="G24" s="308">
        <v>23.67</v>
      </c>
      <c r="H24" s="308">
        <v>1166.217907</v>
      </c>
      <c r="I24" s="308">
        <v>0.99995999999999996</v>
      </c>
      <c r="J24" s="308">
        <v>0.44434000000000001</v>
      </c>
      <c r="K24" s="308">
        <v>2251.4</v>
      </c>
      <c r="L24" s="308" t="s">
        <v>988</v>
      </c>
      <c r="M24" s="308" t="s">
        <v>25</v>
      </c>
      <c r="N24" s="342" t="s">
        <v>975</v>
      </c>
      <c r="O24" s="376"/>
      <c r="P24" s="376"/>
      <c r="Q24" s="376"/>
      <c r="R24" s="376"/>
      <c r="S24" s="376"/>
      <c r="T24" s="152"/>
      <c r="U24" s="152"/>
      <c r="V24" s="152"/>
      <c r="W24" s="152"/>
      <c r="X24" s="152"/>
      <c r="Y24" s="152"/>
      <c r="Z24" s="152"/>
    </row>
    <row r="25" spans="1:26">
      <c r="A25" s="312" t="s">
        <v>990</v>
      </c>
      <c r="B25" s="313" t="s">
        <v>934</v>
      </c>
      <c r="C25" s="318">
        <v>45213.086886574078</v>
      </c>
      <c r="D25" s="313">
        <v>20</v>
      </c>
      <c r="E25" s="313">
        <v>0.1013626</v>
      </c>
      <c r="F25" s="313">
        <v>33.5</v>
      </c>
      <c r="G25" s="313">
        <v>23.67</v>
      </c>
      <c r="H25" s="313">
        <v>1158.3282200000001</v>
      </c>
      <c r="I25" s="313">
        <v>0.99996600000000002</v>
      </c>
      <c r="J25" s="313">
        <v>0.445434</v>
      </c>
      <c r="K25" s="313">
        <v>2257.5</v>
      </c>
      <c r="L25" s="313"/>
      <c r="M25" s="313" t="s">
        <v>25</v>
      </c>
      <c r="N25" s="377"/>
      <c r="O25" s="376"/>
      <c r="P25" s="376"/>
      <c r="Q25" s="376"/>
      <c r="R25" s="376"/>
      <c r="S25" s="376"/>
      <c r="T25" s="152"/>
      <c r="U25" s="152"/>
      <c r="V25" s="152"/>
      <c r="W25" s="152"/>
      <c r="X25" s="152"/>
      <c r="Y25" s="152"/>
      <c r="Z25" s="152"/>
    </row>
    <row r="26" spans="1:26">
      <c r="A26" s="307" t="s">
        <v>991</v>
      </c>
      <c r="B26" s="308" t="s">
        <v>934</v>
      </c>
      <c r="C26" s="317">
        <v>45213.105682870373</v>
      </c>
      <c r="D26" s="308">
        <v>20</v>
      </c>
      <c r="E26" s="308">
        <v>0.1013626</v>
      </c>
      <c r="F26" s="308">
        <v>33.5</v>
      </c>
      <c r="G26" s="308">
        <v>23.67</v>
      </c>
      <c r="H26" s="308">
        <v>0</v>
      </c>
      <c r="I26" s="308">
        <v>0</v>
      </c>
      <c r="J26" s="308">
        <v>0</v>
      </c>
      <c r="K26" s="308">
        <v>0</v>
      </c>
      <c r="L26" s="308" t="s">
        <v>966</v>
      </c>
      <c r="M26" s="308" t="s">
        <v>25</v>
      </c>
      <c r="N26" s="342"/>
      <c r="O26" s="376"/>
      <c r="P26" s="376"/>
      <c r="Q26" s="376"/>
      <c r="R26" s="376"/>
      <c r="S26" s="376"/>
      <c r="T26" s="152"/>
      <c r="U26" s="152"/>
      <c r="V26" s="152"/>
      <c r="W26" s="152"/>
      <c r="X26" s="152"/>
      <c r="Y26" s="152"/>
      <c r="Z26" s="152"/>
    </row>
    <row r="27" spans="1:26">
      <c r="A27" s="312" t="s">
        <v>992</v>
      </c>
      <c r="B27" s="313" t="s">
        <v>934</v>
      </c>
      <c r="C27" s="318">
        <v>45213.111435185187</v>
      </c>
      <c r="D27" s="313">
        <v>20</v>
      </c>
      <c r="E27" s="313">
        <v>0.1013626</v>
      </c>
      <c r="F27" s="313">
        <v>33.5</v>
      </c>
      <c r="G27" s="313">
        <v>23.67</v>
      </c>
      <c r="H27" s="313">
        <v>1158.7289350000001</v>
      </c>
      <c r="I27" s="313">
        <v>0.99995299999999998</v>
      </c>
      <c r="J27" s="313">
        <v>0.44519399999999998</v>
      </c>
      <c r="K27" s="313">
        <v>2256.3000000000002</v>
      </c>
      <c r="L27" s="313"/>
      <c r="M27" s="313" t="s">
        <v>25</v>
      </c>
      <c r="N27" s="377"/>
      <c r="O27" s="376"/>
      <c r="P27" s="376"/>
      <c r="Q27" s="376"/>
      <c r="R27" s="376"/>
      <c r="S27" s="376"/>
      <c r="T27" s="152"/>
      <c r="U27" s="152"/>
      <c r="V27" s="152"/>
      <c r="W27" s="152"/>
      <c r="X27" s="152"/>
      <c r="Y27" s="152"/>
      <c r="Z27" s="152"/>
    </row>
    <row r="28" spans="1:26">
      <c r="A28" s="307" t="s">
        <v>993</v>
      </c>
      <c r="B28" s="308" t="s">
        <v>934</v>
      </c>
      <c r="C28" s="317">
        <v>45213.124247685184</v>
      </c>
      <c r="D28" s="308">
        <v>20</v>
      </c>
      <c r="E28" s="308">
        <v>0.1013626</v>
      </c>
      <c r="F28" s="308">
        <v>33.5</v>
      </c>
      <c r="G28" s="308">
        <v>23.67</v>
      </c>
      <c r="H28" s="308">
        <v>1160.791109</v>
      </c>
      <c r="I28" s="308">
        <v>0.99993399999999999</v>
      </c>
      <c r="J28" s="308">
        <v>0.44370500000000002</v>
      </c>
      <c r="K28" s="308">
        <v>2248.8000000000002</v>
      </c>
      <c r="L28" s="308">
        <v>5.3357999999999999</v>
      </c>
      <c r="M28" s="308" t="s">
        <v>25</v>
      </c>
      <c r="N28" s="342"/>
      <c r="O28" s="376"/>
      <c r="P28" s="376"/>
      <c r="Q28" s="376"/>
      <c r="R28" s="376"/>
      <c r="S28" s="376"/>
      <c r="T28" s="152"/>
      <c r="U28" s="152"/>
      <c r="V28" s="152"/>
      <c r="W28" s="152"/>
      <c r="X28" s="152"/>
      <c r="Y28" s="152"/>
      <c r="Z28" s="152"/>
    </row>
    <row r="29" spans="1:26">
      <c r="A29" s="312" t="s">
        <v>994</v>
      </c>
      <c r="B29" s="313" t="s">
        <v>934</v>
      </c>
      <c r="C29" s="318">
        <v>45213.136250000003</v>
      </c>
      <c r="D29" s="313">
        <v>20</v>
      </c>
      <c r="E29" s="313">
        <v>0.1013626</v>
      </c>
      <c r="F29" s="313">
        <v>33.5</v>
      </c>
      <c r="G29" s="313">
        <v>23.67</v>
      </c>
      <c r="H29" s="313">
        <v>1155.7048480000001</v>
      </c>
      <c r="I29" s="313">
        <v>0.99993699999999996</v>
      </c>
      <c r="J29" s="313">
        <v>0.44336399999999998</v>
      </c>
      <c r="K29" s="313">
        <v>2247</v>
      </c>
      <c r="L29" s="313">
        <v>1.2211000000000001</v>
      </c>
      <c r="M29" s="313" t="s">
        <v>25</v>
      </c>
      <c r="N29" s="377"/>
      <c r="O29" s="376"/>
      <c r="P29" s="376"/>
      <c r="Q29" s="376"/>
      <c r="R29" s="376"/>
      <c r="S29" s="376"/>
      <c r="T29" s="152"/>
      <c r="U29" s="152"/>
      <c r="V29" s="152"/>
      <c r="W29" s="152"/>
      <c r="X29" s="152"/>
      <c r="Y29" s="152"/>
      <c r="Z29" s="152"/>
    </row>
    <row r="30" spans="1:26">
      <c r="A30" s="307" t="s">
        <v>995</v>
      </c>
      <c r="B30" s="308" t="s">
        <v>934</v>
      </c>
      <c r="C30" s="317">
        <v>45213.149328703701</v>
      </c>
      <c r="D30" s="308">
        <v>20</v>
      </c>
      <c r="E30" s="308">
        <v>0.1013626</v>
      </c>
      <c r="F30" s="308">
        <v>33.5</v>
      </c>
      <c r="G30" s="308">
        <v>23.67</v>
      </c>
      <c r="H30" s="308">
        <v>1153.9789860000001</v>
      </c>
      <c r="I30" s="308">
        <v>0.99996099999999999</v>
      </c>
      <c r="J30" s="308">
        <v>0.44277899999999998</v>
      </c>
      <c r="K30" s="308">
        <v>2244.1</v>
      </c>
      <c r="L30" s="308">
        <v>2.0964999999999998</v>
      </c>
      <c r="M30" s="308" t="s">
        <v>25</v>
      </c>
      <c r="N30" s="342"/>
      <c r="O30" s="376"/>
      <c r="P30" s="376"/>
      <c r="Q30" s="376"/>
      <c r="R30" s="376"/>
      <c r="S30" s="376"/>
      <c r="T30" s="152"/>
      <c r="U30" s="152"/>
      <c r="V30" s="152"/>
      <c r="W30" s="152"/>
      <c r="X30" s="152"/>
      <c r="Y30" s="152"/>
      <c r="Z30" s="152"/>
    </row>
    <row r="31" spans="1:26">
      <c r="A31" s="312" t="s">
        <v>996</v>
      </c>
      <c r="B31" s="313">
        <v>176</v>
      </c>
      <c r="C31" s="318">
        <v>45213.224664351852</v>
      </c>
      <c r="D31" s="313">
        <v>20</v>
      </c>
      <c r="E31" s="313">
        <v>0.1013626</v>
      </c>
      <c r="F31" s="313">
        <v>34</v>
      </c>
      <c r="G31" s="313">
        <v>23.67</v>
      </c>
      <c r="H31" s="313">
        <v>1145.016668</v>
      </c>
      <c r="I31" s="313">
        <v>0.99994799999999995</v>
      </c>
      <c r="J31" s="313">
        <v>0.46555200000000002</v>
      </c>
      <c r="K31" s="313">
        <v>2359.5</v>
      </c>
      <c r="L31" s="313"/>
      <c r="M31" s="313" t="s">
        <v>25</v>
      </c>
      <c r="N31" s="377"/>
      <c r="O31" s="376"/>
      <c r="P31" s="376"/>
      <c r="Q31" s="376"/>
      <c r="R31" s="376"/>
      <c r="S31" s="376"/>
      <c r="T31" s="152"/>
      <c r="U31" s="152"/>
      <c r="V31" s="152"/>
      <c r="W31" s="152"/>
      <c r="X31" s="152"/>
      <c r="Y31" s="152"/>
      <c r="Z31" s="152"/>
    </row>
    <row r="32" spans="1:26">
      <c r="A32" s="307" t="s">
        <v>997</v>
      </c>
      <c r="B32" s="308" t="s">
        <v>998</v>
      </c>
      <c r="C32" s="317">
        <v>45213.238425925927</v>
      </c>
      <c r="D32" s="308">
        <v>20</v>
      </c>
      <c r="E32" s="308">
        <v>0.1013626</v>
      </c>
      <c r="F32" s="308">
        <v>34.299999999999997</v>
      </c>
      <c r="G32" s="308">
        <v>23.67</v>
      </c>
      <c r="H32" s="308">
        <v>1143.7455299999999</v>
      </c>
      <c r="I32" s="308">
        <v>0.99992599999999998</v>
      </c>
      <c r="J32" s="308">
        <v>0.45467299999999999</v>
      </c>
      <c r="K32" s="308">
        <v>2304.3000000000002</v>
      </c>
      <c r="L32" s="308"/>
      <c r="M32" s="308" t="s">
        <v>25</v>
      </c>
      <c r="N32" s="342"/>
      <c r="O32" s="376"/>
      <c r="P32" s="376"/>
      <c r="Q32" s="376"/>
      <c r="R32" s="376"/>
      <c r="S32" s="376"/>
      <c r="T32" s="152"/>
      <c r="U32" s="152"/>
      <c r="V32" s="152"/>
      <c r="W32" s="152"/>
      <c r="X32" s="152"/>
      <c r="Y32" s="152"/>
      <c r="Z32" s="152"/>
    </row>
    <row r="33" spans="1:26">
      <c r="A33" s="312" t="s">
        <v>999</v>
      </c>
      <c r="B33" s="313">
        <v>177</v>
      </c>
      <c r="C33" s="318">
        <v>45213.253206018519</v>
      </c>
      <c r="D33" s="313">
        <v>20</v>
      </c>
      <c r="E33" s="313">
        <v>0.1013626</v>
      </c>
      <c r="F33" s="313">
        <v>34</v>
      </c>
      <c r="G33" s="313">
        <v>23.67</v>
      </c>
      <c r="H33" s="313">
        <v>1150.6199180000001</v>
      </c>
      <c r="I33" s="313">
        <v>0.99993699999999996</v>
      </c>
      <c r="J33" s="313">
        <v>0.45460800000000001</v>
      </c>
      <c r="K33" s="313">
        <v>2304</v>
      </c>
      <c r="L33" s="313"/>
      <c r="M33" s="313" t="s">
        <v>25</v>
      </c>
      <c r="N33" s="377"/>
      <c r="O33" s="376"/>
      <c r="P33" s="376"/>
      <c r="Q33" s="376"/>
      <c r="R33" s="376"/>
      <c r="S33" s="376"/>
      <c r="T33" s="152"/>
      <c r="U33" s="152"/>
      <c r="V33" s="152"/>
      <c r="W33" s="152"/>
      <c r="X33" s="152"/>
      <c r="Y33" s="152"/>
      <c r="Z33" s="152"/>
    </row>
    <row r="34" spans="1:26">
      <c r="A34" s="307" t="s">
        <v>1000</v>
      </c>
      <c r="B34" s="308">
        <v>180</v>
      </c>
      <c r="C34" s="317">
        <v>45213.266192129631</v>
      </c>
      <c r="D34" s="308">
        <v>20</v>
      </c>
      <c r="E34" s="308">
        <v>0.1013626</v>
      </c>
      <c r="F34" s="308">
        <v>34</v>
      </c>
      <c r="G34" s="308">
        <v>23.67</v>
      </c>
      <c r="H34" s="308">
        <v>1189.649627</v>
      </c>
      <c r="I34" s="308">
        <v>0.99991399999999997</v>
      </c>
      <c r="J34" s="308">
        <v>0.438801</v>
      </c>
      <c r="K34" s="308">
        <v>2223.9</v>
      </c>
      <c r="L34" s="308"/>
      <c r="M34" s="308" t="s">
        <v>25</v>
      </c>
      <c r="N34" s="342"/>
      <c r="O34" s="376"/>
      <c r="P34" s="376"/>
      <c r="Q34" s="376"/>
      <c r="R34" s="376"/>
      <c r="S34" s="376"/>
      <c r="T34" s="152"/>
      <c r="U34" s="152"/>
      <c r="V34" s="152"/>
      <c r="W34" s="152"/>
      <c r="X34" s="152"/>
      <c r="Y34" s="152"/>
      <c r="Z34" s="152"/>
    </row>
    <row r="35" spans="1:26">
      <c r="A35" s="312" t="s">
        <v>1001</v>
      </c>
      <c r="B35" s="313">
        <v>188</v>
      </c>
      <c r="C35" s="318">
        <v>45213.282719907409</v>
      </c>
      <c r="D35" s="313">
        <v>25</v>
      </c>
      <c r="E35" s="313">
        <v>0.1013626</v>
      </c>
      <c r="F35" s="313">
        <v>34</v>
      </c>
      <c r="G35" s="313">
        <v>23.67</v>
      </c>
      <c r="H35" s="313">
        <v>932.37242400000002</v>
      </c>
      <c r="I35" s="313">
        <v>0.99998399999999998</v>
      </c>
      <c r="J35" s="313">
        <v>0.56084599999999996</v>
      </c>
      <c r="K35" s="313">
        <v>2274</v>
      </c>
      <c r="L35" s="313"/>
      <c r="M35" s="313" t="s">
        <v>25</v>
      </c>
      <c r="N35" s="377"/>
      <c r="O35" s="376"/>
      <c r="P35" s="376"/>
      <c r="Q35" s="376"/>
      <c r="R35" s="376"/>
      <c r="S35" s="376"/>
      <c r="T35" s="152"/>
      <c r="U35" s="152"/>
      <c r="V35" s="152"/>
      <c r="W35" s="152"/>
      <c r="X35" s="152"/>
      <c r="Y35" s="152"/>
      <c r="Z35" s="152"/>
    </row>
    <row r="36" spans="1:26">
      <c r="A36" s="307" t="s">
        <v>1002</v>
      </c>
      <c r="B36" s="308">
        <v>181</v>
      </c>
      <c r="C36" s="317">
        <v>45213.294212962966</v>
      </c>
      <c r="D36" s="308">
        <v>25</v>
      </c>
      <c r="E36" s="308">
        <v>0.1013626</v>
      </c>
      <c r="F36" s="308">
        <v>34.200000000000003</v>
      </c>
      <c r="G36" s="308">
        <v>23.67</v>
      </c>
      <c r="H36" s="308">
        <v>1144.452565</v>
      </c>
      <c r="I36" s="308">
        <v>0.99987499999999996</v>
      </c>
      <c r="J36" s="308">
        <v>0.45366699999999999</v>
      </c>
      <c r="K36" s="308">
        <v>1839.4</v>
      </c>
      <c r="L36" s="308"/>
      <c r="M36" s="308" t="s">
        <v>25</v>
      </c>
      <c r="N36" s="342"/>
      <c r="O36" s="376"/>
      <c r="P36" s="376"/>
      <c r="Q36" s="376"/>
      <c r="R36" s="376"/>
      <c r="S36" s="376"/>
      <c r="T36" s="152"/>
      <c r="U36" s="152"/>
      <c r="V36" s="152"/>
      <c r="W36" s="152"/>
      <c r="X36" s="152"/>
      <c r="Y36" s="152"/>
      <c r="Z36" s="152"/>
    </row>
    <row r="37" spans="1:26">
      <c r="A37" s="312" t="s">
        <v>1003</v>
      </c>
      <c r="B37" s="313">
        <v>189</v>
      </c>
      <c r="C37" s="318">
        <v>45213.304178240738</v>
      </c>
      <c r="D37" s="313">
        <v>25</v>
      </c>
      <c r="E37" s="313">
        <v>0.1013626</v>
      </c>
      <c r="F37" s="313">
        <v>3532</v>
      </c>
      <c r="G37" s="313">
        <v>23.67</v>
      </c>
      <c r="H37" s="313">
        <v>931.50969399999997</v>
      </c>
      <c r="I37" s="313">
        <v>0.99994400000000006</v>
      </c>
      <c r="J37" s="313">
        <v>0.59040800000000004</v>
      </c>
      <c r="K37" s="313">
        <v>2393.8000000000002</v>
      </c>
      <c r="L37" s="313"/>
      <c r="M37" s="313" t="s">
        <v>25</v>
      </c>
      <c r="N37" s="377"/>
      <c r="O37" s="376"/>
      <c r="P37" s="376"/>
      <c r="Q37" s="376"/>
      <c r="R37" s="376"/>
      <c r="S37" s="376"/>
      <c r="T37" s="152"/>
      <c r="U37" s="152"/>
      <c r="V37" s="152"/>
      <c r="W37" s="152"/>
      <c r="X37" s="152"/>
      <c r="Y37" s="152"/>
      <c r="Z37" s="152"/>
    </row>
    <row r="38" spans="1:26">
      <c r="A38" s="307" t="s">
        <v>1004</v>
      </c>
      <c r="B38" s="308">
        <v>181</v>
      </c>
      <c r="C38" s="317">
        <v>45213.312245370369</v>
      </c>
      <c r="D38" s="308">
        <v>25</v>
      </c>
      <c r="E38" s="308">
        <v>0.1013626</v>
      </c>
      <c r="F38" s="308">
        <v>34.200000000000003</v>
      </c>
      <c r="G38" s="308">
        <v>23.67</v>
      </c>
      <c r="H38" s="308">
        <v>923.31672000000003</v>
      </c>
      <c r="I38" s="308">
        <v>0.99995500000000004</v>
      </c>
      <c r="J38" s="308">
        <v>0.57148699999999997</v>
      </c>
      <c r="K38" s="308">
        <v>2317.1</v>
      </c>
      <c r="L38" s="308"/>
      <c r="M38" s="308" t="s">
        <v>25</v>
      </c>
      <c r="N38" s="342"/>
      <c r="O38" s="376"/>
      <c r="P38" s="376"/>
      <c r="Q38" s="376"/>
      <c r="R38" s="376"/>
      <c r="S38" s="376"/>
      <c r="T38" s="152"/>
      <c r="U38" s="152"/>
      <c r="V38" s="152"/>
      <c r="W38" s="152"/>
      <c r="X38" s="152"/>
      <c r="Y38" s="152"/>
      <c r="Z38" s="152"/>
    </row>
    <row r="39" spans="1:26">
      <c r="A39" s="312" t="s">
        <v>1005</v>
      </c>
      <c r="B39" s="313">
        <v>190</v>
      </c>
      <c r="C39" s="318">
        <v>45213.325856481482</v>
      </c>
      <c r="D39" s="313">
        <v>25</v>
      </c>
      <c r="E39" s="313">
        <v>0.1013626</v>
      </c>
      <c r="F39" s="313">
        <v>34.4</v>
      </c>
      <c r="G39" s="313">
        <v>23.67</v>
      </c>
      <c r="H39" s="313">
        <v>904.824387</v>
      </c>
      <c r="I39" s="313">
        <v>0.99997899999999995</v>
      </c>
      <c r="J39" s="313">
        <v>0.58220400000000005</v>
      </c>
      <c r="K39" s="313">
        <v>2360.5</v>
      </c>
      <c r="L39" s="313"/>
      <c r="M39" s="313" t="s">
        <v>25</v>
      </c>
      <c r="N39" s="377"/>
      <c r="O39" s="376"/>
      <c r="P39" s="376"/>
      <c r="Q39" s="376"/>
      <c r="R39" s="376"/>
      <c r="S39" s="376"/>
      <c r="T39" s="152"/>
      <c r="U39" s="152"/>
      <c r="V39" s="152"/>
      <c r="W39" s="152"/>
      <c r="X39" s="152"/>
      <c r="Y39" s="152"/>
      <c r="Z39" s="152"/>
    </row>
    <row r="40" spans="1:26">
      <c r="A40" s="307" t="s">
        <v>1006</v>
      </c>
      <c r="B40" s="308">
        <v>193</v>
      </c>
      <c r="C40" s="317">
        <v>45213.337673611109</v>
      </c>
      <c r="D40" s="308">
        <v>25</v>
      </c>
      <c r="E40" s="308">
        <v>0.1013626</v>
      </c>
      <c r="F40" s="308">
        <v>34.1</v>
      </c>
      <c r="G40" s="308">
        <v>23.67</v>
      </c>
      <c r="H40" s="308">
        <v>915.03555100000005</v>
      </c>
      <c r="I40" s="308">
        <v>0.99995299999999998</v>
      </c>
      <c r="J40" s="308">
        <v>0.566639</v>
      </c>
      <c r="K40" s="308">
        <v>2297.4</v>
      </c>
      <c r="L40" s="308"/>
      <c r="M40" s="308" t="s">
        <v>25</v>
      </c>
      <c r="N40" s="342"/>
      <c r="O40" s="376"/>
      <c r="P40" s="376"/>
      <c r="Q40" s="376"/>
      <c r="R40" s="376"/>
      <c r="S40" s="376"/>
      <c r="T40" s="152"/>
      <c r="U40" s="152"/>
      <c r="V40" s="152"/>
      <c r="W40" s="152"/>
      <c r="X40" s="152"/>
      <c r="Y40" s="152"/>
      <c r="Z40" s="152"/>
    </row>
    <row r="41" spans="1:26">
      <c r="A41" s="312" t="s">
        <v>1007</v>
      </c>
      <c r="B41" s="313">
        <v>185</v>
      </c>
      <c r="C41" s="318">
        <v>45213.346805555557</v>
      </c>
      <c r="D41" s="313">
        <v>20</v>
      </c>
      <c r="E41" s="313">
        <v>0.1013626</v>
      </c>
      <c r="F41" s="313">
        <v>35.5</v>
      </c>
      <c r="G41" s="313">
        <v>23.67</v>
      </c>
      <c r="H41" s="313">
        <v>1148.0529979999999</v>
      </c>
      <c r="I41" s="313">
        <v>0.99991300000000005</v>
      </c>
      <c r="J41" s="313">
        <v>0.47277999999999998</v>
      </c>
      <c r="K41" s="313">
        <v>2396.1</v>
      </c>
      <c r="L41" s="313"/>
      <c r="M41" s="313" t="s">
        <v>25</v>
      </c>
      <c r="N41" s="377"/>
      <c r="O41" s="376"/>
      <c r="P41" s="376"/>
      <c r="Q41" s="376"/>
      <c r="R41" s="376"/>
      <c r="S41" s="376"/>
      <c r="T41" s="152"/>
      <c r="U41" s="152"/>
      <c r="V41" s="152"/>
      <c r="W41" s="152"/>
      <c r="X41" s="152"/>
      <c r="Y41" s="152"/>
      <c r="Z41" s="152"/>
    </row>
    <row r="42" spans="1:26">
      <c r="A42" s="307" t="s">
        <v>1008</v>
      </c>
      <c r="B42" s="308">
        <v>191</v>
      </c>
      <c r="C42" s="317">
        <v>45213.358564814815</v>
      </c>
      <c r="D42" s="308">
        <v>20</v>
      </c>
      <c r="E42" s="308">
        <v>0.1013626</v>
      </c>
      <c r="F42" s="308">
        <v>35</v>
      </c>
      <c r="G42" s="308">
        <v>23.67</v>
      </c>
      <c r="H42" s="308">
        <v>1147.424266</v>
      </c>
      <c r="I42" s="308">
        <v>0.99996399999999996</v>
      </c>
      <c r="J42" s="308">
        <v>0.46981099999999998</v>
      </c>
      <c r="K42" s="308">
        <v>2381.1</v>
      </c>
      <c r="L42" s="308"/>
      <c r="M42" s="308" t="s">
        <v>25</v>
      </c>
      <c r="N42" s="342"/>
      <c r="O42" s="376"/>
      <c r="P42" s="376"/>
      <c r="Q42" s="376"/>
      <c r="R42" s="376"/>
      <c r="S42" s="376"/>
      <c r="T42" s="152"/>
      <c r="U42" s="152"/>
      <c r="V42" s="152"/>
      <c r="W42" s="152"/>
      <c r="X42" s="152"/>
      <c r="Y42" s="152"/>
      <c r="Z42" s="152"/>
    </row>
    <row r="43" spans="1:26">
      <c r="A43" s="312" t="s">
        <v>1009</v>
      </c>
      <c r="B43" s="313" t="s">
        <v>934</v>
      </c>
      <c r="C43" s="318">
        <v>45213.370069444441</v>
      </c>
      <c r="D43" s="313">
        <v>20</v>
      </c>
      <c r="E43" s="313">
        <v>0.1013626</v>
      </c>
      <c r="F43" s="313">
        <v>33.5</v>
      </c>
      <c r="G43" s="313">
        <v>23.67</v>
      </c>
      <c r="H43" s="313">
        <v>1146.2034160000001</v>
      </c>
      <c r="I43" s="313">
        <v>0.99994099999999997</v>
      </c>
      <c r="J43" s="313">
        <v>0.45053300000000002</v>
      </c>
      <c r="K43" s="313">
        <v>2283.4</v>
      </c>
      <c r="L43" s="313"/>
      <c r="M43" s="313" t="s">
        <v>25</v>
      </c>
      <c r="N43" s="377"/>
      <c r="O43" s="376"/>
      <c r="P43" s="376"/>
      <c r="Q43" s="376"/>
      <c r="R43" s="376"/>
      <c r="S43" s="376"/>
      <c r="T43" s="152"/>
      <c r="U43" s="152"/>
      <c r="V43" s="152"/>
      <c r="W43" s="152"/>
      <c r="X43" s="152"/>
      <c r="Y43" s="152"/>
      <c r="Z43" s="152"/>
    </row>
    <row r="44" spans="1:26">
      <c r="A44" s="307" t="s">
        <v>1010</v>
      </c>
      <c r="B44" s="308" t="s">
        <v>934</v>
      </c>
      <c r="C44" s="317">
        <v>45213.386307870373</v>
      </c>
      <c r="D44" s="308">
        <v>20</v>
      </c>
      <c r="E44" s="308">
        <v>0.1013626</v>
      </c>
      <c r="F44" s="308">
        <v>33.5</v>
      </c>
      <c r="G44" s="308">
        <v>23.67</v>
      </c>
      <c r="H44" s="308">
        <v>0</v>
      </c>
      <c r="I44" s="308">
        <v>0</v>
      </c>
      <c r="J44" s="308">
        <v>0</v>
      </c>
      <c r="K44" s="308">
        <v>0</v>
      </c>
      <c r="L44" s="308" t="s">
        <v>966</v>
      </c>
      <c r="M44" s="308" t="s">
        <v>25</v>
      </c>
      <c r="N44" s="342"/>
      <c r="O44" s="376"/>
      <c r="P44" s="376"/>
      <c r="Q44" s="376"/>
      <c r="R44" s="376"/>
      <c r="S44" s="376"/>
      <c r="T44" s="152"/>
      <c r="U44" s="152"/>
      <c r="V44" s="152"/>
      <c r="W44" s="152"/>
      <c r="X44" s="152"/>
      <c r="Y44" s="152"/>
      <c r="Z44" s="152"/>
    </row>
    <row r="45" spans="1:26">
      <c r="A45" s="312" t="s">
        <v>1011</v>
      </c>
      <c r="B45" s="313" t="s">
        <v>934</v>
      </c>
      <c r="C45" s="318">
        <v>45213.388425925928</v>
      </c>
      <c r="D45" s="313">
        <v>20</v>
      </c>
      <c r="E45" s="313">
        <v>0.1013626</v>
      </c>
      <c r="F45" s="313">
        <v>33.5</v>
      </c>
      <c r="G45" s="313">
        <v>23.67</v>
      </c>
      <c r="H45" s="313">
        <v>1141.2644869999999</v>
      </c>
      <c r="I45" s="313">
        <v>0.999969</v>
      </c>
      <c r="J45" s="313">
        <v>0.444633</v>
      </c>
      <c r="K45" s="313">
        <v>2253.5</v>
      </c>
      <c r="L45" s="313"/>
      <c r="M45" s="313" t="s">
        <v>25</v>
      </c>
      <c r="N45" s="377"/>
      <c r="O45" s="376"/>
      <c r="P45" s="376"/>
      <c r="Q45" s="376"/>
      <c r="R45" s="376"/>
      <c r="S45" s="376"/>
      <c r="T45" s="152"/>
      <c r="U45" s="152"/>
      <c r="V45" s="152"/>
      <c r="W45" s="152"/>
      <c r="X45" s="152"/>
      <c r="Y45" s="152"/>
      <c r="Z45" s="152"/>
    </row>
    <row r="46" spans="1:26">
      <c r="A46" s="378"/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M46" s="379"/>
      <c r="N46" s="380"/>
      <c r="O46" s="381"/>
      <c r="P46" s="381"/>
      <c r="Q46" s="381"/>
      <c r="R46" s="381"/>
      <c r="S46" s="381"/>
      <c r="T46" s="382"/>
      <c r="U46" s="382"/>
      <c r="V46" s="382"/>
      <c r="W46" s="382"/>
      <c r="X46" s="382"/>
      <c r="Y46" s="382"/>
      <c r="Z46" s="382"/>
    </row>
    <row r="47" spans="1:26">
      <c r="A47" s="383" t="s">
        <v>952</v>
      </c>
      <c r="B47" s="384" t="s">
        <v>1012</v>
      </c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5"/>
      <c r="O47" s="357"/>
      <c r="P47" s="357"/>
      <c r="Q47" s="357"/>
      <c r="R47" s="357"/>
      <c r="S47" s="357"/>
    </row>
    <row r="48" spans="1:26">
      <c r="A48" s="386" t="s">
        <v>954</v>
      </c>
      <c r="B48" s="387"/>
      <c r="C48" s="388"/>
      <c r="D48" s="387"/>
      <c r="E48" s="387"/>
      <c r="F48" s="387"/>
      <c r="G48" s="387"/>
      <c r="H48" s="387"/>
      <c r="I48" s="387"/>
      <c r="J48" s="387"/>
      <c r="K48" s="387"/>
      <c r="L48" s="387"/>
      <c r="M48" s="387"/>
      <c r="N48" s="389"/>
      <c r="O48" s="357"/>
      <c r="P48" s="357"/>
      <c r="Q48" s="357"/>
      <c r="R48" s="357"/>
      <c r="S48" s="357"/>
    </row>
    <row r="49" spans="1:19">
      <c r="A49" s="383"/>
      <c r="B49" s="384"/>
      <c r="C49" s="390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5"/>
      <c r="O49" s="357"/>
      <c r="P49" s="357"/>
      <c r="Q49" s="357"/>
      <c r="R49" s="357"/>
      <c r="S49" s="357"/>
    </row>
    <row r="50" spans="1:19">
      <c r="A50" s="386" t="s">
        <v>0</v>
      </c>
      <c r="B50" s="387" t="s">
        <v>441</v>
      </c>
      <c r="C50" s="387" t="s">
        <v>412</v>
      </c>
      <c r="D50" s="387" t="s">
        <v>955</v>
      </c>
      <c r="E50" s="387" t="s">
        <v>956</v>
      </c>
      <c r="F50" s="387" t="s">
        <v>414</v>
      </c>
      <c r="G50" s="387" t="s">
        <v>957</v>
      </c>
      <c r="H50" s="387" t="s">
        <v>958</v>
      </c>
      <c r="I50" s="387" t="s">
        <v>959</v>
      </c>
      <c r="J50" s="387" t="s">
        <v>960</v>
      </c>
      <c r="K50" s="387" t="s">
        <v>961</v>
      </c>
      <c r="L50" s="387" t="s">
        <v>962</v>
      </c>
      <c r="M50" s="387" t="s">
        <v>963</v>
      </c>
      <c r="N50" s="389" t="s">
        <v>15</v>
      </c>
      <c r="O50" s="357"/>
      <c r="P50" s="357"/>
      <c r="Q50" s="357"/>
      <c r="R50" s="357"/>
      <c r="S50" s="357"/>
    </row>
    <row r="51" spans="1:19">
      <c r="A51" s="383" t="s">
        <v>1013</v>
      </c>
      <c r="B51" s="384" t="s">
        <v>934</v>
      </c>
      <c r="C51" s="390">
        <v>45218.104675925926</v>
      </c>
      <c r="D51" s="384">
        <v>20</v>
      </c>
      <c r="E51" s="384">
        <v>0.10261430000000001</v>
      </c>
      <c r="F51" s="384">
        <v>33.5</v>
      </c>
      <c r="G51" s="384">
        <v>23.67</v>
      </c>
      <c r="H51" s="384">
        <v>876.44272999999998</v>
      </c>
      <c r="I51" s="384">
        <v>0.99993799999999999</v>
      </c>
      <c r="J51" s="384">
        <v>0.43880400000000003</v>
      </c>
      <c r="K51" s="384">
        <v>2251.4</v>
      </c>
      <c r="L51" s="384" t="s">
        <v>966</v>
      </c>
      <c r="M51" s="384" t="s">
        <v>25</v>
      </c>
      <c r="N51" s="385" t="s">
        <v>975</v>
      </c>
      <c r="O51" s="357"/>
      <c r="P51" s="357"/>
      <c r="Q51" s="357"/>
      <c r="R51" s="357"/>
      <c r="S51" s="357"/>
    </row>
    <row r="52" spans="1:19">
      <c r="A52" s="386" t="s">
        <v>1014</v>
      </c>
      <c r="B52" s="387" t="s">
        <v>934</v>
      </c>
      <c r="C52" s="391">
        <v>45218.117013888892</v>
      </c>
      <c r="D52" s="387">
        <v>20</v>
      </c>
      <c r="E52" s="387">
        <v>0.10256179999999999</v>
      </c>
      <c r="F52" s="387">
        <v>33.5</v>
      </c>
      <c r="G52" s="387">
        <v>23.67</v>
      </c>
      <c r="H52" s="387">
        <v>874.22121000000004</v>
      </c>
      <c r="I52" s="387">
        <v>0.99995599999999996</v>
      </c>
      <c r="J52" s="387">
        <v>0.439029</v>
      </c>
      <c r="K52" s="387">
        <v>2251.4</v>
      </c>
      <c r="L52" s="387" t="s">
        <v>966</v>
      </c>
      <c r="M52" s="387" t="s">
        <v>25</v>
      </c>
      <c r="N52" s="389" t="s">
        <v>975</v>
      </c>
      <c r="O52" s="357"/>
      <c r="P52" s="357"/>
      <c r="Q52" s="357"/>
      <c r="R52" s="357"/>
      <c r="S52" s="357"/>
    </row>
    <row r="53" spans="1:19">
      <c r="A53" s="383" t="s">
        <v>1015</v>
      </c>
      <c r="B53" s="384" t="s">
        <v>934</v>
      </c>
      <c r="C53" s="390">
        <v>45218.127662037034</v>
      </c>
      <c r="D53" s="384">
        <v>20</v>
      </c>
      <c r="E53" s="384">
        <v>0.1018197</v>
      </c>
      <c r="F53" s="384">
        <v>33.5</v>
      </c>
      <c r="G53" s="384">
        <v>23.67</v>
      </c>
      <c r="H53" s="384">
        <v>879.18879600000002</v>
      </c>
      <c r="I53" s="384">
        <v>0.99996499999999999</v>
      </c>
      <c r="J53" s="384">
        <v>0.44222899999999998</v>
      </c>
      <c r="K53" s="384">
        <v>2251.4</v>
      </c>
      <c r="L53" s="384" t="s">
        <v>966</v>
      </c>
      <c r="M53" s="384" t="s">
        <v>25</v>
      </c>
      <c r="N53" s="385" t="s">
        <v>975</v>
      </c>
      <c r="O53" s="357"/>
      <c r="P53" s="357"/>
      <c r="Q53" s="357"/>
      <c r="R53" s="357"/>
      <c r="S53" s="357"/>
    </row>
    <row r="54" spans="1:19">
      <c r="A54" s="386" t="s">
        <v>967</v>
      </c>
      <c r="B54" s="387" t="s">
        <v>953</v>
      </c>
      <c r="C54" s="391">
        <v>45218.168993055559</v>
      </c>
      <c r="D54" s="387">
        <v>20</v>
      </c>
      <c r="E54" s="387">
        <v>0.1013626</v>
      </c>
      <c r="F54" s="387">
        <v>33.5</v>
      </c>
      <c r="G54" s="387">
        <v>23.67</v>
      </c>
      <c r="H54" s="387">
        <v>1015.2619089999999</v>
      </c>
      <c r="I54" s="387">
        <v>0.99972899999999998</v>
      </c>
      <c r="J54" s="387">
        <v>0.43385200000000002</v>
      </c>
      <c r="K54" s="387">
        <v>2198.8000000000002</v>
      </c>
      <c r="L54" s="387"/>
      <c r="M54" s="387" t="s">
        <v>25</v>
      </c>
      <c r="N54" s="389"/>
      <c r="O54" s="357"/>
      <c r="P54" s="357"/>
      <c r="Q54" s="357"/>
      <c r="R54" s="357"/>
      <c r="S54" s="357"/>
    </row>
    <row r="55" spans="1:19">
      <c r="A55" s="383" t="s">
        <v>968</v>
      </c>
      <c r="B55" s="384" t="s">
        <v>953</v>
      </c>
      <c r="C55" s="390">
        <v>45218.183252314811</v>
      </c>
      <c r="D55" s="384">
        <v>20</v>
      </c>
      <c r="E55" s="384">
        <v>0.1013626</v>
      </c>
      <c r="F55" s="384">
        <v>33.5</v>
      </c>
      <c r="G55" s="384">
        <v>23.67</v>
      </c>
      <c r="H55" s="384">
        <v>1021.680033</v>
      </c>
      <c r="I55" s="384">
        <v>0.99972799999999995</v>
      </c>
      <c r="J55" s="384">
        <v>0.43309199999999998</v>
      </c>
      <c r="K55" s="384">
        <v>2195</v>
      </c>
      <c r="L55" s="384">
        <v>2.7271999999999998</v>
      </c>
      <c r="M55" s="384" t="s">
        <v>25</v>
      </c>
      <c r="N55" s="438" t="s">
        <v>1016</v>
      </c>
      <c r="O55" s="439"/>
      <c r="P55" s="439"/>
      <c r="Q55" s="440"/>
      <c r="R55" s="357"/>
      <c r="S55" s="357"/>
    </row>
    <row r="56" spans="1:19">
      <c r="A56" s="386" t="s">
        <v>969</v>
      </c>
      <c r="B56" s="387" t="s">
        <v>953</v>
      </c>
      <c r="C56" s="391">
        <v>45218.197905092595</v>
      </c>
      <c r="D56" s="387">
        <v>20</v>
      </c>
      <c r="E56" s="387">
        <v>0.1013626</v>
      </c>
      <c r="F56" s="387">
        <v>33.5</v>
      </c>
      <c r="G56" s="387">
        <v>23.67</v>
      </c>
      <c r="H56" s="387">
        <v>1023.927542</v>
      </c>
      <c r="I56" s="387">
        <v>0.99967399999999995</v>
      </c>
      <c r="J56" s="387">
        <v>0.43441099999999999</v>
      </c>
      <c r="K56" s="387">
        <v>2201.6</v>
      </c>
      <c r="L56" s="387">
        <v>4.7270000000000003</v>
      </c>
      <c r="M56" s="387" t="s">
        <v>25</v>
      </c>
      <c r="N56" s="441" t="s">
        <v>1016</v>
      </c>
      <c r="O56" s="439"/>
      <c r="P56" s="439"/>
      <c r="Q56" s="440"/>
      <c r="R56" s="357"/>
      <c r="S56" s="357"/>
    </row>
    <row r="57" spans="1:19">
      <c r="A57" s="383" t="s">
        <v>1017</v>
      </c>
      <c r="B57" s="384" t="s">
        <v>953</v>
      </c>
      <c r="C57" s="390">
        <v>45218.211030092592</v>
      </c>
      <c r="D57" s="384">
        <v>20</v>
      </c>
      <c r="E57" s="384">
        <v>0.1013626</v>
      </c>
      <c r="F57" s="384">
        <v>33.5</v>
      </c>
      <c r="G57" s="384">
        <v>23.67</v>
      </c>
      <c r="H57" s="384">
        <v>1023.533682</v>
      </c>
      <c r="I57" s="384">
        <v>0.99970000000000003</v>
      </c>
      <c r="J57" s="384">
        <v>0.434278</v>
      </c>
      <c r="K57" s="384">
        <v>2201</v>
      </c>
      <c r="L57" s="384">
        <v>0.4743</v>
      </c>
      <c r="M57" s="384" t="s">
        <v>25</v>
      </c>
      <c r="N57" s="438" t="s">
        <v>1016</v>
      </c>
      <c r="O57" s="439"/>
      <c r="P57" s="439"/>
      <c r="Q57" s="440"/>
      <c r="R57" s="357"/>
      <c r="S57" s="357"/>
    </row>
    <row r="58" spans="1:19">
      <c r="A58" s="386" t="s">
        <v>1018</v>
      </c>
      <c r="B58" s="387" t="s">
        <v>953</v>
      </c>
      <c r="C58" s="391">
        <v>45218.224062499998</v>
      </c>
      <c r="D58" s="387">
        <v>20</v>
      </c>
      <c r="E58" s="387">
        <v>0.1013626</v>
      </c>
      <c r="F58" s="387">
        <v>33.5</v>
      </c>
      <c r="G58" s="387">
        <v>23.67</v>
      </c>
      <c r="H58" s="387">
        <v>1017.700349</v>
      </c>
      <c r="I58" s="387">
        <v>0.99968199999999996</v>
      </c>
      <c r="J58" s="387">
        <v>0.43234</v>
      </c>
      <c r="K58" s="387">
        <v>2191.1999999999998</v>
      </c>
      <c r="L58" s="387">
        <v>6.9448999999999996</v>
      </c>
      <c r="M58" s="387" t="s">
        <v>25</v>
      </c>
      <c r="N58" s="441" t="s">
        <v>1016</v>
      </c>
      <c r="O58" s="439"/>
      <c r="P58" s="439"/>
      <c r="Q58" s="440"/>
      <c r="R58" s="357"/>
      <c r="S58" s="357"/>
    </row>
    <row r="59" spans="1:19">
      <c r="A59" s="383" t="s">
        <v>1019</v>
      </c>
      <c r="B59" s="384" t="s">
        <v>953</v>
      </c>
      <c r="C59" s="390">
        <v>45218.237372685187</v>
      </c>
      <c r="D59" s="384">
        <v>20</v>
      </c>
      <c r="E59" s="384">
        <v>0.1013626</v>
      </c>
      <c r="F59" s="384">
        <v>33.5</v>
      </c>
      <c r="G59" s="384">
        <v>23.67</v>
      </c>
      <c r="H59" s="384">
        <v>1020.450586</v>
      </c>
      <c r="I59" s="384">
        <v>0.99972000000000005</v>
      </c>
      <c r="J59" s="384">
        <v>0.432143</v>
      </c>
      <c r="K59" s="384">
        <v>2190.1999999999998</v>
      </c>
      <c r="L59" s="384">
        <v>0.70630000000000004</v>
      </c>
      <c r="M59" s="384" t="s">
        <v>25</v>
      </c>
      <c r="N59" s="438" t="s">
        <v>1016</v>
      </c>
      <c r="O59" s="439"/>
      <c r="P59" s="439"/>
      <c r="Q59" s="440"/>
      <c r="R59" s="357"/>
      <c r="S59" s="357"/>
    </row>
    <row r="60" spans="1:19">
      <c r="A60" s="386" t="s">
        <v>970</v>
      </c>
      <c r="B60" s="387" t="s">
        <v>936</v>
      </c>
      <c r="C60" s="391">
        <v>45218.251759259256</v>
      </c>
      <c r="D60" s="387">
        <v>20</v>
      </c>
      <c r="E60" s="387">
        <v>0.1013626</v>
      </c>
      <c r="F60" s="387">
        <v>33.5</v>
      </c>
      <c r="G60" s="387">
        <v>23.67</v>
      </c>
      <c r="H60" s="387">
        <v>901.39550399999996</v>
      </c>
      <c r="I60" s="387">
        <v>0.99994400000000006</v>
      </c>
      <c r="J60" s="387">
        <v>0.44032500000000002</v>
      </c>
      <c r="K60" s="387">
        <v>2231.6</v>
      </c>
      <c r="L60" s="387"/>
      <c r="M60" s="387" t="s">
        <v>25</v>
      </c>
      <c r="N60" s="441" t="s">
        <v>1016</v>
      </c>
      <c r="O60" s="439"/>
      <c r="P60" s="439"/>
      <c r="Q60" s="440"/>
      <c r="R60" s="357"/>
      <c r="S60" s="357"/>
    </row>
    <row r="61" spans="1:19">
      <c r="A61" s="383" t="s">
        <v>972</v>
      </c>
      <c r="B61" s="384" t="s">
        <v>936</v>
      </c>
      <c r="C61" s="390">
        <v>45218.267002314817</v>
      </c>
      <c r="D61" s="384">
        <v>20</v>
      </c>
      <c r="E61" s="384">
        <v>0.1013626</v>
      </c>
      <c r="F61" s="384">
        <v>33.5</v>
      </c>
      <c r="G61" s="384">
        <v>23.67</v>
      </c>
      <c r="H61" s="384">
        <v>901.17897100000005</v>
      </c>
      <c r="I61" s="384">
        <v>0.99993299999999996</v>
      </c>
      <c r="J61" s="384">
        <v>0.44050899999999998</v>
      </c>
      <c r="K61" s="384">
        <v>2232.6</v>
      </c>
      <c r="L61" s="384">
        <v>0.66120000000000001</v>
      </c>
      <c r="M61" s="384" t="s">
        <v>25</v>
      </c>
      <c r="N61" s="438" t="s">
        <v>1016</v>
      </c>
      <c r="O61" s="439"/>
      <c r="P61" s="439"/>
      <c r="Q61" s="440"/>
      <c r="R61" s="357"/>
      <c r="S61" s="357"/>
    </row>
    <row r="62" spans="1:19">
      <c r="A62" s="386" t="s">
        <v>1020</v>
      </c>
      <c r="B62" s="387">
        <v>182</v>
      </c>
      <c r="C62" s="391">
        <v>45218.283379629633</v>
      </c>
      <c r="D62" s="387">
        <v>20</v>
      </c>
      <c r="E62" s="387">
        <v>0.1013626</v>
      </c>
      <c r="F62" s="387">
        <v>34.9</v>
      </c>
      <c r="G62" s="387">
        <v>23.67</v>
      </c>
      <c r="H62" s="387">
        <v>883.13239499999997</v>
      </c>
      <c r="I62" s="387">
        <v>0.99997000000000003</v>
      </c>
      <c r="J62" s="387">
        <v>0.45522699999999999</v>
      </c>
      <c r="K62" s="387">
        <v>2307.1</v>
      </c>
      <c r="L62" s="387"/>
      <c r="M62" s="387" t="s">
        <v>25</v>
      </c>
      <c r="N62" s="389" t="s">
        <v>1021</v>
      </c>
      <c r="O62" s="357"/>
      <c r="P62" s="357"/>
      <c r="Q62" s="357"/>
      <c r="R62" s="357"/>
      <c r="S62" s="357"/>
    </row>
    <row r="63" spans="1:19">
      <c r="A63" s="383" t="s">
        <v>979</v>
      </c>
      <c r="B63" s="384">
        <v>179</v>
      </c>
      <c r="C63" s="390">
        <v>45218.297546296293</v>
      </c>
      <c r="D63" s="384">
        <v>20</v>
      </c>
      <c r="E63" s="384">
        <v>0.1013626</v>
      </c>
      <c r="F63" s="384">
        <v>34.5</v>
      </c>
      <c r="G63" s="384">
        <v>23.67</v>
      </c>
      <c r="H63" s="384">
        <v>884.42803300000003</v>
      </c>
      <c r="I63" s="384">
        <v>0.99996200000000002</v>
      </c>
      <c r="J63" s="384">
        <v>0.45360699999999998</v>
      </c>
      <c r="K63" s="384">
        <v>2298.9</v>
      </c>
      <c r="L63" s="384"/>
      <c r="M63" s="384" t="s">
        <v>25</v>
      </c>
      <c r="N63" s="385" t="s">
        <v>1021</v>
      </c>
      <c r="O63" s="357"/>
      <c r="P63" s="357"/>
      <c r="Q63" s="357"/>
      <c r="R63" s="357"/>
      <c r="S63" s="357"/>
    </row>
    <row r="64" spans="1:19">
      <c r="A64" s="386" t="s">
        <v>983</v>
      </c>
      <c r="B64" s="387">
        <v>183</v>
      </c>
      <c r="C64" s="391">
        <v>45218.309224537035</v>
      </c>
      <c r="D64" s="387">
        <v>20</v>
      </c>
      <c r="E64" s="387">
        <v>0.1013626</v>
      </c>
      <c r="F64" s="387">
        <v>34.799999999999997</v>
      </c>
      <c r="G64" s="387">
        <v>23.67</v>
      </c>
      <c r="H64" s="387">
        <v>890.78869199999997</v>
      </c>
      <c r="I64" s="387">
        <v>0.99994899999999998</v>
      </c>
      <c r="J64" s="387">
        <v>0.46009899999999998</v>
      </c>
      <c r="K64" s="387">
        <v>2331.8000000000002</v>
      </c>
      <c r="L64" s="387"/>
      <c r="M64" s="387" t="s">
        <v>25</v>
      </c>
      <c r="N64" s="389" t="s">
        <v>1021</v>
      </c>
      <c r="O64" s="357"/>
      <c r="P64" s="357"/>
      <c r="Q64" s="357"/>
      <c r="R64" s="357"/>
      <c r="S64" s="357"/>
    </row>
    <row r="65" spans="1:26">
      <c r="A65" s="378"/>
      <c r="B65" s="379"/>
      <c r="C65" s="392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80"/>
      <c r="O65" s="381"/>
      <c r="P65" s="381"/>
      <c r="Q65" s="381"/>
      <c r="R65" s="381"/>
      <c r="S65" s="381"/>
      <c r="T65" s="382"/>
      <c r="U65" s="382"/>
      <c r="V65" s="382"/>
      <c r="W65" s="382"/>
      <c r="X65" s="382"/>
      <c r="Y65" s="382"/>
      <c r="Z65" s="382"/>
    </row>
    <row r="66" spans="1:26">
      <c r="A66" s="386" t="s">
        <v>0</v>
      </c>
      <c r="B66" s="387" t="s">
        <v>441</v>
      </c>
      <c r="C66" s="387" t="s">
        <v>412</v>
      </c>
      <c r="D66" s="387" t="s">
        <v>955</v>
      </c>
      <c r="E66" s="387" t="s">
        <v>956</v>
      </c>
      <c r="F66" s="387" t="s">
        <v>414</v>
      </c>
      <c r="G66" s="387" t="s">
        <v>957</v>
      </c>
      <c r="H66" s="387" t="s">
        <v>958</v>
      </c>
      <c r="I66" s="387" t="s">
        <v>959</v>
      </c>
      <c r="J66" s="387" t="s">
        <v>960</v>
      </c>
      <c r="K66" s="387" t="s">
        <v>961</v>
      </c>
      <c r="L66" s="387" t="s">
        <v>962</v>
      </c>
      <c r="M66" s="387" t="s">
        <v>963</v>
      </c>
      <c r="N66" s="389" t="s">
        <v>15</v>
      </c>
      <c r="O66" s="357"/>
      <c r="P66" s="357"/>
      <c r="Q66" s="357"/>
      <c r="R66" s="357"/>
      <c r="S66" s="357"/>
    </row>
    <row r="67" spans="1:26">
      <c r="A67" s="383" t="s">
        <v>964</v>
      </c>
      <c r="B67" s="384" t="s">
        <v>953</v>
      </c>
      <c r="C67" s="390">
        <v>45220.053530092591</v>
      </c>
      <c r="D67" s="384">
        <v>20</v>
      </c>
      <c r="E67" s="384">
        <v>0.1013626</v>
      </c>
      <c r="F67" s="384" t="s">
        <v>985</v>
      </c>
      <c r="G67" s="384">
        <v>23.67</v>
      </c>
      <c r="H67" s="384">
        <v>1115.386585</v>
      </c>
      <c r="I67" s="384">
        <v>0.99959399999999998</v>
      </c>
      <c r="J67" s="384">
        <v>0.28155999999999998</v>
      </c>
      <c r="K67" s="384">
        <v>1427</v>
      </c>
      <c r="L67" s="384"/>
      <c r="M67" s="384" t="s">
        <v>25</v>
      </c>
      <c r="N67" s="438" t="s">
        <v>1022</v>
      </c>
      <c r="O67" s="439"/>
      <c r="P67" s="440"/>
      <c r="Q67" s="357"/>
      <c r="R67" s="357"/>
      <c r="S67" s="357"/>
    </row>
    <row r="68" spans="1:26">
      <c r="A68" s="386" t="s">
        <v>1023</v>
      </c>
      <c r="B68" s="387" t="s">
        <v>953</v>
      </c>
      <c r="C68" s="391">
        <v>45220.065844907411</v>
      </c>
      <c r="D68" s="387">
        <v>20</v>
      </c>
      <c r="E68" s="387">
        <v>0.1013626</v>
      </c>
      <c r="F68" s="387" t="s">
        <v>985</v>
      </c>
      <c r="G68" s="387">
        <v>23.67</v>
      </c>
      <c r="H68" s="387">
        <v>0</v>
      </c>
      <c r="I68" s="387">
        <v>0</v>
      </c>
      <c r="J68" s="387">
        <v>0</v>
      </c>
      <c r="K68" s="387">
        <v>0</v>
      </c>
      <c r="L68" s="387" t="s">
        <v>966</v>
      </c>
      <c r="M68" s="387" t="s">
        <v>25</v>
      </c>
      <c r="N68" s="441" t="s">
        <v>1022</v>
      </c>
      <c r="O68" s="439"/>
      <c r="P68" s="440"/>
      <c r="Q68" s="357"/>
      <c r="R68" s="357"/>
      <c r="S68" s="357"/>
    </row>
    <row r="69" spans="1:26">
      <c r="A69" s="383" t="s">
        <v>1024</v>
      </c>
      <c r="B69" s="384" t="s">
        <v>953</v>
      </c>
      <c r="C69" s="390">
        <v>45220.084236111114</v>
      </c>
      <c r="D69" s="384">
        <v>20</v>
      </c>
      <c r="E69" s="384">
        <v>0.1013626</v>
      </c>
      <c r="F69" s="384" t="s">
        <v>985</v>
      </c>
      <c r="G69" s="384">
        <v>23.67</v>
      </c>
      <c r="H69" s="384">
        <v>1066.629072</v>
      </c>
      <c r="I69" s="384">
        <v>0.99965199999999999</v>
      </c>
      <c r="J69" s="384">
        <v>0.28154099999999999</v>
      </c>
      <c r="K69" s="384">
        <v>1426.9</v>
      </c>
      <c r="L69" s="384"/>
      <c r="M69" s="384" t="s">
        <v>25</v>
      </c>
      <c r="N69" s="438" t="s">
        <v>1022</v>
      </c>
      <c r="O69" s="439"/>
      <c r="P69" s="440"/>
      <c r="Q69" s="357"/>
      <c r="R69" s="357"/>
      <c r="S69" s="357"/>
    </row>
    <row r="70" spans="1:26">
      <c r="A70" s="386" t="s">
        <v>1025</v>
      </c>
      <c r="B70" s="387" t="s">
        <v>953</v>
      </c>
      <c r="C70" s="391">
        <v>45220.096412037034</v>
      </c>
      <c r="D70" s="387">
        <v>20</v>
      </c>
      <c r="E70" s="387">
        <v>0.1013626</v>
      </c>
      <c r="F70" s="387" t="s">
        <v>985</v>
      </c>
      <c r="G70" s="387">
        <v>23.67</v>
      </c>
      <c r="H70" s="387">
        <v>0</v>
      </c>
      <c r="I70" s="387">
        <v>0</v>
      </c>
      <c r="J70" s="387">
        <v>0</v>
      </c>
      <c r="K70" s="387">
        <v>0</v>
      </c>
      <c r="L70" s="387" t="s">
        <v>966</v>
      </c>
      <c r="M70" s="387" t="s">
        <v>25</v>
      </c>
      <c r="N70" s="441" t="s">
        <v>1022</v>
      </c>
      <c r="O70" s="439"/>
      <c r="P70" s="440"/>
      <c r="Q70" s="357"/>
      <c r="R70" s="357"/>
      <c r="S70" s="357"/>
    </row>
    <row r="71" spans="1:26">
      <c r="A71" s="383" t="s">
        <v>1026</v>
      </c>
      <c r="B71" s="384" t="s">
        <v>953</v>
      </c>
      <c r="C71" s="390">
        <v>45220.104189814818</v>
      </c>
      <c r="D71" s="384">
        <v>20</v>
      </c>
      <c r="E71" s="384">
        <v>0.1013626</v>
      </c>
      <c r="F71" s="384" t="s">
        <v>985</v>
      </c>
      <c r="G71" s="384">
        <v>23.67</v>
      </c>
      <c r="H71" s="384">
        <v>1051.3026709999999</v>
      </c>
      <c r="I71" s="384">
        <v>0.99964500000000001</v>
      </c>
      <c r="J71" s="384">
        <v>0.28170000000000001</v>
      </c>
      <c r="K71" s="384">
        <v>1427.7</v>
      </c>
      <c r="L71" s="384"/>
      <c r="M71" s="384" t="s">
        <v>25</v>
      </c>
      <c r="N71" s="438" t="s">
        <v>1022</v>
      </c>
      <c r="O71" s="439"/>
      <c r="P71" s="440"/>
      <c r="Q71" s="357"/>
      <c r="R71" s="357"/>
      <c r="S71" s="357"/>
    </row>
    <row r="72" spans="1:26">
      <c r="A72" s="386" t="s">
        <v>1027</v>
      </c>
      <c r="B72" s="387" t="s">
        <v>953</v>
      </c>
      <c r="C72" s="391">
        <v>45220.114791666667</v>
      </c>
      <c r="D72" s="387">
        <v>20</v>
      </c>
      <c r="E72" s="387">
        <v>0.1013626</v>
      </c>
      <c r="F72" s="387" t="s">
        <v>985</v>
      </c>
      <c r="G72" s="387">
        <v>23.67</v>
      </c>
      <c r="H72" s="387">
        <v>1046.557994</v>
      </c>
      <c r="I72" s="387">
        <v>0.99971500000000002</v>
      </c>
      <c r="J72" s="387">
        <v>0.28189799999999998</v>
      </c>
      <c r="K72" s="387">
        <v>1428.7</v>
      </c>
      <c r="L72" s="387">
        <v>0.71220000000000006</v>
      </c>
      <c r="M72" s="387" t="s">
        <v>25</v>
      </c>
      <c r="N72" s="441" t="s">
        <v>1022</v>
      </c>
      <c r="O72" s="439"/>
      <c r="P72" s="440"/>
      <c r="Q72" s="357"/>
      <c r="R72" s="357"/>
      <c r="S72" s="357"/>
    </row>
    <row r="73" spans="1:26">
      <c r="A73" s="383" t="s">
        <v>967</v>
      </c>
      <c r="B73" s="384" t="s">
        <v>936</v>
      </c>
      <c r="C73" s="390">
        <v>45220.131990740738</v>
      </c>
      <c r="D73" s="384">
        <v>20</v>
      </c>
      <c r="E73" s="384">
        <v>0.1013626</v>
      </c>
      <c r="F73" s="384" t="s">
        <v>985</v>
      </c>
      <c r="G73" s="384">
        <v>23.67</v>
      </c>
      <c r="H73" s="384">
        <v>906.70741299999997</v>
      </c>
      <c r="I73" s="384">
        <v>0.99995400000000001</v>
      </c>
      <c r="J73" s="384">
        <v>0.432919</v>
      </c>
      <c r="K73" s="384">
        <v>2194.1</v>
      </c>
      <c r="L73" s="384"/>
      <c r="M73" s="384" t="s">
        <v>25</v>
      </c>
      <c r="N73" s="438" t="s">
        <v>1022</v>
      </c>
      <c r="O73" s="439"/>
      <c r="P73" s="440"/>
      <c r="Q73" s="357"/>
      <c r="R73" s="357"/>
      <c r="S73" s="357"/>
    </row>
    <row r="74" spans="1:26">
      <c r="A74" s="386" t="s">
        <v>968</v>
      </c>
      <c r="B74" s="387" t="s">
        <v>936</v>
      </c>
      <c r="C74" s="388">
        <v>45220.148182870369</v>
      </c>
      <c r="D74" s="387">
        <v>20</v>
      </c>
      <c r="E74" s="387">
        <v>0.1013626</v>
      </c>
      <c r="F74" s="387" t="s">
        <v>985</v>
      </c>
      <c r="G74" s="387">
        <v>23.67</v>
      </c>
      <c r="H74" s="387">
        <v>910.05889200000001</v>
      </c>
      <c r="I74" s="387">
        <v>0.99993699999999996</v>
      </c>
      <c r="J74" s="387">
        <v>0.43860300000000002</v>
      </c>
      <c r="K74" s="387">
        <v>2222.9</v>
      </c>
      <c r="L74" s="387">
        <v>20.369</v>
      </c>
      <c r="M74" s="387" t="s">
        <v>25</v>
      </c>
      <c r="N74" s="441" t="s">
        <v>1022</v>
      </c>
      <c r="O74" s="439"/>
      <c r="P74" s="440"/>
      <c r="Q74" s="357"/>
      <c r="R74" s="357"/>
      <c r="S74" s="357"/>
    </row>
    <row r="75" spans="1:26">
      <c r="A75" s="383" t="s">
        <v>970</v>
      </c>
      <c r="B75" s="384" t="s">
        <v>936</v>
      </c>
      <c r="C75" s="393">
        <v>45220.166041666664</v>
      </c>
      <c r="D75" s="384">
        <v>20</v>
      </c>
      <c r="E75" s="384">
        <v>0.1013626</v>
      </c>
      <c r="F75" s="384" t="s">
        <v>985</v>
      </c>
      <c r="G75" s="384">
        <v>23.67</v>
      </c>
      <c r="H75" s="384">
        <v>907.54704100000004</v>
      </c>
      <c r="I75" s="384">
        <v>0.99994099999999997</v>
      </c>
      <c r="J75" s="384">
        <v>0.43936900000000001</v>
      </c>
      <c r="K75" s="384">
        <v>2226.8000000000002</v>
      </c>
      <c r="L75" s="384"/>
      <c r="M75" s="384" t="s">
        <v>25</v>
      </c>
      <c r="N75" s="438" t="s">
        <v>1022</v>
      </c>
      <c r="O75" s="439"/>
      <c r="P75" s="440"/>
      <c r="Q75" s="357"/>
      <c r="R75" s="357"/>
      <c r="S75" s="357"/>
    </row>
    <row r="76" spans="1:26">
      <c r="A76" s="386" t="s">
        <v>972</v>
      </c>
      <c r="B76" s="387" t="s">
        <v>936</v>
      </c>
      <c r="C76" s="391">
        <v>45220.184363425928</v>
      </c>
      <c r="D76" s="387">
        <v>20</v>
      </c>
      <c r="E76" s="387">
        <v>0.1013626</v>
      </c>
      <c r="F76" s="387" t="s">
        <v>985</v>
      </c>
      <c r="G76" s="387">
        <v>23.67</v>
      </c>
      <c r="H76" s="387">
        <v>906.31626300000005</v>
      </c>
      <c r="I76" s="387">
        <v>0.99994899999999998</v>
      </c>
      <c r="J76" s="387">
        <v>0.43774000000000002</v>
      </c>
      <c r="K76" s="387">
        <v>2218.5</v>
      </c>
      <c r="L76" s="387">
        <v>5.8388999999999998</v>
      </c>
      <c r="M76" s="387" t="s">
        <v>25</v>
      </c>
      <c r="N76" s="441" t="s">
        <v>1022</v>
      </c>
      <c r="O76" s="439"/>
      <c r="P76" s="440"/>
      <c r="Q76" s="357"/>
      <c r="R76" s="357"/>
      <c r="S76" s="357"/>
    </row>
    <row r="77" spans="1:26">
      <c r="A77" s="383" t="s">
        <v>1020</v>
      </c>
      <c r="B77" s="384">
        <v>195</v>
      </c>
      <c r="C77" s="390">
        <v>45220.205590277779</v>
      </c>
      <c r="D77" s="384">
        <v>20</v>
      </c>
      <c r="E77" s="384">
        <v>0.1013626</v>
      </c>
      <c r="F77" s="384">
        <v>34.1</v>
      </c>
      <c r="G77" s="384">
        <v>23.67</v>
      </c>
      <c r="H77" s="384">
        <v>919.52003000000002</v>
      </c>
      <c r="I77" s="384">
        <v>0.99992400000000004</v>
      </c>
      <c r="J77" s="384">
        <v>0.449299</v>
      </c>
      <c r="K77" s="384">
        <v>2277.1</v>
      </c>
      <c r="L77" s="384"/>
      <c r="M77" s="384" t="s">
        <v>25</v>
      </c>
      <c r="N77" s="438" t="s">
        <v>1022</v>
      </c>
      <c r="O77" s="439"/>
      <c r="P77" s="440"/>
      <c r="Q77" s="357"/>
      <c r="R77" s="357"/>
      <c r="S77" s="357"/>
    </row>
    <row r="78" spans="1:26">
      <c r="A78" s="386" t="s">
        <v>979</v>
      </c>
      <c r="B78" s="387">
        <v>187</v>
      </c>
      <c r="C78" s="391">
        <v>45220.218263888892</v>
      </c>
      <c r="D78" s="387">
        <v>20</v>
      </c>
      <c r="E78" s="387">
        <v>0.1013626</v>
      </c>
      <c r="F78" s="387">
        <v>33.9</v>
      </c>
      <c r="G78" s="387">
        <v>23.67</v>
      </c>
      <c r="H78" s="387">
        <v>0</v>
      </c>
      <c r="I78" s="387">
        <v>0</v>
      </c>
      <c r="J78" s="387">
        <v>0</v>
      </c>
      <c r="K78" s="387">
        <v>0</v>
      </c>
      <c r="L78" s="387" t="s">
        <v>966</v>
      </c>
      <c r="M78" s="387" t="s">
        <v>25</v>
      </c>
      <c r="N78" s="441" t="s">
        <v>1022</v>
      </c>
      <c r="O78" s="439"/>
      <c r="P78" s="440"/>
      <c r="Q78" s="357"/>
      <c r="R78" s="357"/>
      <c r="S78" s="357"/>
    </row>
    <row r="79" spans="1:26">
      <c r="A79" s="383" t="s">
        <v>983</v>
      </c>
      <c r="B79" s="384">
        <v>186</v>
      </c>
      <c r="C79" s="390">
        <v>45220.229363425926</v>
      </c>
      <c r="D79" s="384">
        <v>20</v>
      </c>
      <c r="E79" s="384">
        <v>0.1013626</v>
      </c>
      <c r="F79" s="384">
        <v>33.9</v>
      </c>
      <c r="G79" s="384">
        <v>23.67</v>
      </c>
      <c r="H79" s="384">
        <v>890.09142699999995</v>
      </c>
      <c r="I79" s="384">
        <v>0.99870000000000003</v>
      </c>
      <c r="J79" s="384">
        <v>0.45141300000000001</v>
      </c>
      <c r="K79" s="384">
        <v>2287.8000000000002</v>
      </c>
      <c r="L79" s="384"/>
      <c r="M79" s="384" t="s">
        <v>25</v>
      </c>
      <c r="N79" s="438" t="s">
        <v>1022</v>
      </c>
      <c r="O79" s="439"/>
      <c r="P79" s="440"/>
      <c r="Q79" s="357"/>
      <c r="R79" s="357"/>
      <c r="S79" s="357"/>
    </row>
    <row r="80" spans="1:26">
      <c r="A80" s="386" t="s">
        <v>984</v>
      </c>
      <c r="B80" s="387">
        <v>187</v>
      </c>
      <c r="C80" s="391">
        <v>45220.251377314817</v>
      </c>
      <c r="D80" s="387">
        <v>20</v>
      </c>
      <c r="E80" s="387">
        <v>0.1013626</v>
      </c>
      <c r="F80" s="387">
        <v>33.9</v>
      </c>
      <c r="G80" s="387">
        <v>23.67</v>
      </c>
      <c r="H80" s="387">
        <v>910.34463200000005</v>
      </c>
      <c r="I80" s="387">
        <v>0.99994499999999997</v>
      </c>
      <c r="J80" s="387">
        <v>0.45129999999999998</v>
      </c>
      <c r="K80" s="387">
        <v>2287.1999999999998</v>
      </c>
      <c r="L80" s="387"/>
      <c r="M80" s="387" t="s">
        <v>25</v>
      </c>
      <c r="N80" s="441" t="s">
        <v>1022</v>
      </c>
      <c r="O80" s="439"/>
      <c r="P80" s="440"/>
      <c r="Q80" s="357"/>
      <c r="R80" s="357"/>
      <c r="S80" s="357"/>
    </row>
    <row r="81" spans="1:26">
      <c r="A81" s="394"/>
      <c r="B81" s="395"/>
      <c r="C81" s="395"/>
      <c r="D81" s="395"/>
      <c r="E81" s="395"/>
      <c r="F81" s="395"/>
      <c r="G81" s="395"/>
      <c r="H81" s="395"/>
      <c r="I81" s="395"/>
      <c r="J81" s="395"/>
      <c r="K81" s="395"/>
      <c r="L81" s="395"/>
      <c r="M81" s="395"/>
      <c r="N81" s="396"/>
      <c r="O81" s="381"/>
      <c r="P81" s="381"/>
      <c r="Q81" s="381"/>
      <c r="R81" s="381"/>
      <c r="S81" s="381"/>
      <c r="T81" s="382"/>
      <c r="U81" s="382"/>
      <c r="V81" s="382"/>
      <c r="W81" s="382"/>
      <c r="X81" s="382"/>
      <c r="Y81" s="382"/>
      <c r="Z81" s="382"/>
    </row>
    <row r="82" spans="1:26">
      <c r="A82" s="383" t="s">
        <v>952</v>
      </c>
      <c r="B82" s="384" t="s">
        <v>1028</v>
      </c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5"/>
      <c r="O82" s="357"/>
      <c r="P82" s="357"/>
      <c r="Q82" s="357"/>
      <c r="R82" s="357"/>
      <c r="S82" s="357"/>
    </row>
    <row r="83" spans="1:26">
      <c r="A83" s="397" t="s">
        <v>954</v>
      </c>
      <c r="B83" s="398"/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9"/>
      <c r="O83" s="357"/>
      <c r="P83" s="357"/>
      <c r="Q83" s="357"/>
      <c r="R83" s="357"/>
      <c r="S83" s="357"/>
    </row>
    <row r="84" spans="1:26">
      <c r="A84" s="400"/>
      <c r="B84" s="401"/>
      <c r="C84" s="401"/>
      <c r="D84" s="401"/>
      <c r="E84" s="401"/>
      <c r="F84" s="401"/>
      <c r="G84" s="401"/>
      <c r="H84" s="401"/>
      <c r="I84" s="401"/>
      <c r="J84" s="401"/>
      <c r="K84" s="401"/>
      <c r="L84" s="401"/>
      <c r="M84" s="401"/>
      <c r="N84" s="402"/>
      <c r="O84" s="357"/>
      <c r="P84" s="357"/>
      <c r="Q84" s="357"/>
      <c r="R84" s="357"/>
      <c r="S84" s="357"/>
    </row>
    <row r="85" spans="1:26">
      <c r="A85" s="397" t="s">
        <v>0</v>
      </c>
      <c r="B85" s="398" t="s">
        <v>441</v>
      </c>
      <c r="C85" s="398" t="s">
        <v>412</v>
      </c>
      <c r="D85" s="398" t="s">
        <v>955</v>
      </c>
      <c r="E85" s="398" t="s">
        <v>956</v>
      </c>
      <c r="F85" s="398" t="s">
        <v>414</v>
      </c>
      <c r="G85" s="398" t="s">
        <v>957</v>
      </c>
      <c r="H85" s="398" t="s">
        <v>958</v>
      </c>
      <c r="I85" s="398" t="s">
        <v>959</v>
      </c>
      <c r="J85" s="398" t="s">
        <v>960</v>
      </c>
      <c r="K85" s="398" t="s">
        <v>961</v>
      </c>
      <c r="L85" s="398" t="s">
        <v>962</v>
      </c>
      <c r="M85" s="398" t="s">
        <v>963</v>
      </c>
      <c r="N85" s="399" t="s">
        <v>15</v>
      </c>
      <c r="O85" s="357"/>
      <c r="P85" s="357"/>
      <c r="Q85" s="357"/>
      <c r="R85" s="357"/>
      <c r="S85" s="357"/>
    </row>
    <row r="86" spans="1:26">
      <c r="A86" s="400" t="s">
        <v>964</v>
      </c>
      <c r="B86" s="401" t="s">
        <v>953</v>
      </c>
      <c r="C86" s="403">
        <v>45222.883935185186</v>
      </c>
      <c r="D86" s="401">
        <v>20</v>
      </c>
      <c r="E86" s="401">
        <v>0.1013626</v>
      </c>
      <c r="F86" s="401">
        <v>33.9</v>
      </c>
      <c r="G86" s="401">
        <v>23.67</v>
      </c>
      <c r="H86" s="401">
        <v>882.05863099999999</v>
      </c>
      <c r="I86" s="401">
        <v>0.99868599999999996</v>
      </c>
      <c r="J86" s="401">
        <v>0.25867200000000001</v>
      </c>
      <c r="K86" s="401">
        <v>1311</v>
      </c>
      <c r="L86" s="401"/>
      <c r="M86" s="401" t="s">
        <v>25</v>
      </c>
      <c r="N86" s="402"/>
      <c r="O86" s="357"/>
      <c r="P86" s="357"/>
      <c r="Q86" s="357"/>
      <c r="R86" s="357"/>
      <c r="S86" s="357"/>
    </row>
    <row r="87" spans="1:26">
      <c r="A87" s="397" t="s">
        <v>1023</v>
      </c>
      <c r="B87" s="398" t="s">
        <v>953</v>
      </c>
      <c r="C87" s="404">
        <v>45222.90357638889</v>
      </c>
      <c r="D87" s="398">
        <v>20</v>
      </c>
      <c r="E87" s="398">
        <v>0.1013626</v>
      </c>
      <c r="F87" s="398">
        <v>33.9</v>
      </c>
      <c r="G87" s="398">
        <v>23.67</v>
      </c>
      <c r="H87" s="398">
        <v>922.458168</v>
      </c>
      <c r="I87" s="398">
        <v>0.99985500000000005</v>
      </c>
      <c r="J87" s="398">
        <v>0.28195199999999998</v>
      </c>
      <c r="K87" s="398">
        <v>1429</v>
      </c>
      <c r="L87" s="398">
        <v>83.426599999999993</v>
      </c>
      <c r="M87" s="398" t="s">
        <v>25</v>
      </c>
      <c r="N87" s="399"/>
      <c r="O87" s="357"/>
      <c r="P87" s="357"/>
      <c r="Q87" s="357"/>
      <c r="R87" s="357"/>
      <c r="S87" s="357"/>
    </row>
    <row r="88" spans="1:26">
      <c r="A88" s="400" t="s">
        <v>1024</v>
      </c>
      <c r="B88" s="401" t="s">
        <v>953</v>
      </c>
      <c r="C88" s="403">
        <v>45222.915185185186</v>
      </c>
      <c r="D88" s="401">
        <v>20</v>
      </c>
      <c r="E88" s="401">
        <v>0.1013626</v>
      </c>
      <c r="F88" s="401">
        <v>33.9</v>
      </c>
      <c r="G88" s="401">
        <v>23.67</v>
      </c>
      <c r="H88" s="401">
        <v>933.90643999999998</v>
      </c>
      <c r="I88" s="401">
        <v>0.99980999999999998</v>
      </c>
      <c r="J88" s="401">
        <v>0.28174500000000002</v>
      </c>
      <c r="K88" s="401">
        <v>1427.9</v>
      </c>
      <c r="L88" s="401">
        <v>0.74029999999999996</v>
      </c>
      <c r="M88" s="401" t="s">
        <v>25</v>
      </c>
      <c r="N88" s="402"/>
      <c r="O88" s="357"/>
      <c r="P88" s="357"/>
      <c r="Q88" s="357"/>
      <c r="R88" s="357"/>
      <c r="S88" s="357"/>
    </row>
    <row r="89" spans="1:26">
      <c r="A89" s="397" t="s">
        <v>1025</v>
      </c>
      <c r="B89" s="398" t="s">
        <v>953</v>
      </c>
      <c r="C89" s="404">
        <v>45222.924895833334</v>
      </c>
      <c r="D89" s="398">
        <v>20</v>
      </c>
      <c r="E89" s="398">
        <v>0.1013626</v>
      </c>
      <c r="F89" s="398">
        <v>33.9</v>
      </c>
      <c r="G89" s="398">
        <v>23.67</v>
      </c>
      <c r="H89" s="398">
        <v>952.97673799999995</v>
      </c>
      <c r="I89" s="398">
        <v>0.99987099999999995</v>
      </c>
      <c r="J89" s="398">
        <v>0.28279599999999999</v>
      </c>
      <c r="K89" s="398">
        <v>1433.2</v>
      </c>
      <c r="L89" s="398">
        <v>3.7658</v>
      </c>
      <c r="M89" s="398" t="s">
        <v>25</v>
      </c>
      <c r="N89" s="399"/>
      <c r="O89" s="357"/>
      <c r="P89" s="357"/>
      <c r="Q89" s="357"/>
      <c r="R89" s="357"/>
      <c r="S89" s="357"/>
    </row>
    <row r="90" spans="1:26">
      <c r="A90" s="400" t="s">
        <v>1026</v>
      </c>
      <c r="B90" s="401" t="s">
        <v>953</v>
      </c>
      <c r="C90" s="403">
        <v>45222.938391203701</v>
      </c>
      <c r="D90" s="401">
        <v>20</v>
      </c>
      <c r="E90" s="401">
        <v>0.1013626</v>
      </c>
      <c r="F90" s="401">
        <v>33.9</v>
      </c>
      <c r="G90" s="401">
        <v>23.67</v>
      </c>
      <c r="H90" s="401">
        <v>962.985725</v>
      </c>
      <c r="I90" s="401">
        <v>0.99984300000000004</v>
      </c>
      <c r="J90" s="401">
        <v>0.28312500000000002</v>
      </c>
      <c r="K90" s="401">
        <v>1434.9</v>
      </c>
      <c r="L90" s="401">
        <v>1.1795</v>
      </c>
      <c r="M90" s="401" t="s">
        <v>25</v>
      </c>
      <c r="N90" s="402"/>
      <c r="O90" s="357"/>
      <c r="P90" s="357"/>
      <c r="Q90" s="357"/>
      <c r="R90" s="357"/>
      <c r="S90" s="357"/>
    </row>
    <row r="91" spans="1:26">
      <c r="A91" s="397" t="s">
        <v>1027</v>
      </c>
      <c r="B91" s="398" t="s">
        <v>953</v>
      </c>
      <c r="C91" s="404">
        <v>45222.950648148151</v>
      </c>
      <c r="D91" s="398">
        <v>20</v>
      </c>
      <c r="E91" s="398">
        <v>0.1013626</v>
      </c>
      <c r="F91" s="398">
        <v>33.9</v>
      </c>
      <c r="G91" s="398">
        <v>23.67</v>
      </c>
      <c r="H91" s="398">
        <v>970.80829600000004</v>
      </c>
      <c r="I91" s="398">
        <v>0.99972499999999997</v>
      </c>
      <c r="J91" s="398">
        <v>0.280694</v>
      </c>
      <c r="K91" s="398">
        <v>1422.6</v>
      </c>
      <c r="L91" s="398">
        <v>8.7112999999999996</v>
      </c>
      <c r="M91" s="398" t="s">
        <v>25</v>
      </c>
      <c r="N91" s="399"/>
      <c r="O91" s="357"/>
      <c r="P91" s="357"/>
      <c r="Q91" s="357"/>
      <c r="R91" s="357"/>
      <c r="S91" s="357"/>
    </row>
    <row r="92" spans="1:26">
      <c r="A92" s="400" t="s">
        <v>1029</v>
      </c>
      <c r="B92" s="401" t="s">
        <v>953</v>
      </c>
      <c r="C92" s="403">
        <v>45222.960428240738</v>
      </c>
      <c r="D92" s="401">
        <v>20</v>
      </c>
      <c r="E92" s="401">
        <v>0.1013626</v>
      </c>
      <c r="F92" s="401">
        <v>33.9</v>
      </c>
      <c r="G92" s="401">
        <v>23.67</v>
      </c>
      <c r="H92" s="401">
        <v>978.41242099999999</v>
      </c>
      <c r="I92" s="401">
        <v>0.999718</v>
      </c>
      <c r="J92" s="401">
        <v>0.28086899999999998</v>
      </c>
      <c r="K92" s="401">
        <v>1423.5</v>
      </c>
      <c r="L92" s="401">
        <v>0.62790000000000001</v>
      </c>
      <c r="M92" s="401" t="s">
        <v>25</v>
      </c>
      <c r="N92" s="402"/>
      <c r="O92" s="357"/>
      <c r="P92" s="357"/>
      <c r="Q92" s="357"/>
      <c r="R92" s="357"/>
      <c r="S92" s="357"/>
    </row>
    <row r="93" spans="1:26">
      <c r="A93" s="397" t="s">
        <v>1030</v>
      </c>
      <c r="B93" s="398" t="s">
        <v>953</v>
      </c>
      <c r="C93" s="404">
        <v>45222.969340277778</v>
      </c>
      <c r="D93" s="398">
        <v>20</v>
      </c>
      <c r="E93" s="398">
        <v>0.1013626</v>
      </c>
      <c r="F93" s="398">
        <v>33.9</v>
      </c>
      <c r="G93" s="398">
        <v>23.67</v>
      </c>
      <c r="H93" s="398">
        <v>984.24501699999996</v>
      </c>
      <c r="I93" s="398">
        <v>0.99971399999999999</v>
      </c>
      <c r="J93" s="398">
        <v>0.280192</v>
      </c>
      <c r="K93" s="398">
        <v>1420</v>
      </c>
      <c r="L93" s="398">
        <v>2.4278</v>
      </c>
      <c r="M93" s="398" t="s">
        <v>25</v>
      </c>
      <c r="N93" s="399"/>
      <c r="O93" s="357"/>
      <c r="P93" s="357"/>
      <c r="Q93" s="357"/>
      <c r="R93" s="357"/>
      <c r="S93" s="357"/>
    </row>
    <row r="94" spans="1:26">
      <c r="A94" s="400" t="s">
        <v>1031</v>
      </c>
      <c r="B94" s="401" t="s">
        <v>953</v>
      </c>
      <c r="C94" s="403">
        <v>45222.979409722226</v>
      </c>
      <c r="D94" s="401">
        <v>20</v>
      </c>
      <c r="E94" s="401">
        <v>0.1013626</v>
      </c>
      <c r="F94" s="401">
        <v>33.9</v>
      </c>
      <c r="G94" s="401">
        <v>23.67</v>
      </c>
      <c r="H94" s="401">
        <v>988.36227699999995</v>
      </c>
      <c r="I94" s="401">
        <v>0.99973599999999996</v>
      </c>
      <c r="J94" s="401">
        <v>0.280277</v>
      </c>
      <c r="K94" s="401">
        <v>1420.5</v>
      </c>
      <c r="L94" s="401">
        <v>0.30349999999999999</v>
      </c>
      <c r="M94" s="401" t="s">
        <v>25</v>
      </c>
      <c r="N94" s="402"/>
      <c r="O94" s="357"/>
      <c r="P94" s="357"/>
      <c r="Q94" s="357"/>
      <c r="R94" s="357"/>
      <c r="S94" s="357"/>
    </row>
    <row r="95" spans="1:26">
      <c r="A95" s="397" t="s">
        <v>967</v>
      </c>
      <c r="B95" s="398" t="s">
        <v>433</v>
      </c>
      <c r="C95" s="404">
        <v>45222.992002314815</v>
      </c>
      <c r="D95" s="398">
        <v>20</v>
      </c>
      <c r="E95" s="398">
        <v>0.1013626</v>
      </c>
      <c r="F95" s="398">
        <v>33.5</v>
      </c>
      <c r="G95" s="398">
        <v>23.67</v>
      </c>
      <c r="H95" s="398">
        <v>857.72386900000004</v>
      </c>
      <c r="I95" s="398">
        <v>0.99996200000000002</v>
      </c>
      <c r="J95" s="398">
        <v>0.42711100000000002</v>
      </c>
      <c r="K95" s="398">
        <v>2164.6999999999998</v>
      </c>
      <c r="L95" s="398"/>
      <c r="M95" s="398" t="s">
        <v>25</v>
      </c>
      <c r="N95" s="399"/>
      <c r="O95" s="357"/>
      <c r="P95" s="357"/>
      <c r="Q95" s="357"/>
      <c r="R95" s="357"/>
      <c r="S95" s="357"/>
    </row>
    <row r="96" spans="1:26">
      <c r="A96" s="400" t="s">
        <v>968</v>
      </c>
      <c r="B96" s="401" t="s">
        <v>433</v>
      </c>
      <c r="C96" s="403">
        <v>45223.010289351849</v>
      </c>
      <c r="D96" s="401">
        <v>20</v>
      </c>
      <c r="E96" s="401">
        <v>0.1013626</v>
      </c>
      <c r="F96" s="401">
        <v>33.5</v>
      </c>
      <c r="G96" s="401">
        <v>23.67</v>
      </c>
      <c r="H96" s="401">
        <v>861.05203800000004</v>
      </c>
      <c r="I96" s="401">
        <v>0.99995500000000004</v>
      </c>
      <c r="J96" s="401">
        <v>0.43143999999999999</v>
      </c>
      <c r="K96" s="401">
        <v>2186.6</v>
      </c>
      <c r="L96" s="401">
        <v>15.511699999999999</v>
      </c>
      <c r="M96" s="401" t="s">
        <v>25</v>
      </c>
      <c r="N96" s="402"/>
      <c r="O96" s="357"/>
      <c r="P96" s="357"/>
      <c r="Q96" s="357"/>
      <c r="R96" s="357"/>
      <c r="S96" s="357"/>
    </row>
    <row r="97" spans="1:26">
      <c r="A97" s="397" t="s">
        <v>969</v>
      </c>
      <c r="B97" s="398" t="s">
        <v>433</v>
      </c>
      <c r="C97" s="404">
        <v>45223.024224537039</v>
      </c>
      <c r="D97" s="398">
        <v>20</v>
      </c>
      <c r="E97" s="398">
        <v>0.1013626</v>
      </c>
      <c r="F97" s="398">
        <v>33.5</v>
      </c>
      <c r="G97" s="398">
        <v>23.67</v>
      </c>
      <c r="H97" s="398">
        <v>3584.757501</v>
      </c>
      <c r="I97" s="398">
        <v>0.68970900000000002</v>
      </c>
      <c r="J97" s="398">
        <v>1.23464</v>
      </c>
      <c r="K97" s="398">
        <v>6257.3</v>
      </c>
      <c r="L97" s="398">
        <v>2878.4351999999999</v>
      </c>
      <c r="M97" s="398" t="s">
        <v>25</v>
      </c>
      <c r="N97" s="399"/>
      <c r="O97" s="357"/>
      <c r="P97" s="357"/>
      <c r="Q97" s="357"/>
      <c r="R97" s="357"/>
      <c r="S97" s="357"/>
    </row>
    <row r="98" spans="1:26">
      <c r="A98" s="400" t="s">
        <v>970</v>
      </c>
      <c r="B98" s="401" t="s">
        <v>430</v>
      </c>
      <c r="C98" s="403">
        <v>45223.048842592594</v>
      </c>
      <c r="D98" s="401">
        <v>20</v>
      </c>
      <c r="E98" s="401">
        <v>0.1013626</v>
      </c>
      <c r="F98" s="401">
        <v>33.5</v>
      </c>
      <c r="G98" s="401">
        <v>23.67</v>
      </c>
      <c r="H98" s="401">
        <v>881.47215900000003</v>
      </c>
      <c r="I98" s="401">
        <v>0.99994899999999998</v>
      </c>
      <c r="J98" s="401">
        <v>0.43254599999999999</v>
      </c>
      <c r="K98" s="401">
        <v>2192.1999999999998</v>
      </c>
      <c r="L98" s="401"/>
      <c r="M98" s="401" t="s">
        <v>25</v>
      </c>
      <c r="N98" s="402" t="s">
        <v>1032</v>
      </c>
      <c r="O98" s="357"/>
      <c r="P98" s="357"/>
      <c r="Q98" s="357"/>
      <c r="R98" s="357"/>
      <c r="S98" s="357"/>
    </row>
    <row r="99" spans="1:26">
      <c r="A99" s="397" t="s">
        <v>972</v>
      </c>
      <c r="B99" s="398" t="s">
        <v>430</v>
      </c>
      <c r="C99" s="404">
        <v>45223.061249999999</v>
      </c>
      <c r="D99" s="398">
        <v>20</v>
      </c>
      <c r="E99" s="398">
        <v>0.1013626</v>
      </c>
      <c r="F99" s="398">
        <v>33.5</v>
      </c>
      <c r="G99" s="398">
        <v>23.67</v>
      </c>
      <c r="H99" s="398">
        <v>881.198262</v>
      </c>
      <c r="I99" s="398">
        <v>0.99993900000000002</v>
      </c>
      <c r="J99" s="398">
        <v>0.43221900000000002</v>
      </c>
      <c r="K99" s="398">
        <v>2190.5</v>
      </c>
      <c r="L99" s="398">
        <v>1.1714</v>
      </c>
      <c r="M99" s="398" t="s">
        <v>25</v>
      </c>
      <c r="N99" s="399" t="s">
        <v>1032</v>
      </c>
      <c r="O99" s="357"/>
      <c r="P99" s="357"/>
      <c r="Q99" s="357"/>
      <c r="R99" s="357"/>
      <c r="S99" s="357"/>
    </row>
    <row r="100" spans="1:26">
      <c r="A100" s="400" t="s">
        <v>1020</v>
      </c>
      <c r="B100" s="401">
        <v>192</v>
      </c>
      <c r="C100" s="403">
        <v>45223.07540509259</v>
      </c>
      <c r="D100" s="401">
        <v>20</v>
      </c>
      <c r="E100" s="401">
        <v>0.1013626</v>
      </c>
      <c r="F100" s="401">
        <v>34.1</v>
      </c>
      <c r="G100" s="401">
        <v>23.67</v>
      </c>
      <c r="H100" s="401">
        <v>863.70245699999998</v>
      </c>
      <c r="I100" s="401">
        <v>0.99995999999999996</v>
      </c>
      <c r="J100" s="401">
        <v>0.45155099999999998</v>
      </c>
      <c r="K100" s="401">
        <v>2288.5</v>
      </c>
      <c r="L100" s="401"/>
      <c r="M100" s="401" t="s">
        <v>25</v>
      </c>
      <c r="N100" s="402" t="s">
        <v>1032</v>
      </c>
      <c r="O100" s="357"/>
      <c r="P100" s="357"/>
      <c r="Q100" s="357"/>
      <c r="R100" s="357"/>
      <c r="S100" s="357"/>
    </row>
    <row r="101" spans="1:26">
      <c r="A101" s="397" t="s">
        <v>979</v>
      </c>
      <c r="B101" s="398">
        <v>194</v>
      </c>
      <c r="C101" s="404">
        <v>45223.088912037034</v>
      </c>
      <c r="D101" s="398">
        <v>20</v>
      </c>
      <c r="E101" s="398">
        <v>0.1013626</v>
      </c>
      <c r="F101" s="398">
        <v>34.1</v>
      </c>
      <c r="G101" s="398">
        <v>23.67</v>
      </c>
      <c r="H101" s="398">
        <v>866.90875000000005</v>
      </c>
      <c r="I101" s="398">
        <v>0.99997199999999997</v>
      </c>
      <c r="J101" s="398">
        <v>0.45209500000000002</v>
      </c>
      <c r="K101" s="398">
        <v>2291.3000000000002</v>
      </c>
      <c r="L101" s="398"/>
      <c r="M101" s="398" t="s">
        <v>25</v>
      </c>
      <c r="N101" s="399" t="s">
        <v>1032</v>
      </c>
      <c r="O101" s="357"/>
      <c r="P101" s="357"/>
      <c r="Q101" s="357"/>
      <c r="R101" s="357"/>
      <c r="S101" s="357"/>
    </row>
    <row r="102" spans="1:26">
      <c r="A102" s="400" t="s">
        <v>983</v>
      </c>
      <c r="B102" s="401">
        <v>184</v>
      </c>
      <c r="C102" s="403">
        <v>45223.109606481485</v>
      </c>
      <c r="D102" s="401">
        <v>20</v>
      </c>
      <c r="E102" s="401">
        <v>0.1013626</v>
      </c>
      <c r="F102" s="401">
        <v>35.9</v>
      </c>
      <c r="G102" s="401">
        <v>23.67</v>
      </c>
      <c r="H102" s="401">
        <v>876.98895500000003</v>
      </c>
      <c r="I102" s="401">
        <v>0.99996700000000005</v>
      </c>
      <c r="J102" s="401">
        <v>0.47246500000000002</v>
      </c>
      <c r="K102" s="401">
        <v>2394.5</v>
      </c>
      <c r="L102" s="401"/>
      <c r="M102" s="401" t="s">
        <v>25</v>
      </c>
      <c r="N102" s="402" t="s">
        <v>1032</v>
      </c>
      <c r="O102" s="357"/>
      <c r="P102" s="357"/>
      <c r="Q102" s="357"/>
      <c r="R102" s="357"/>
      <c r="S102" s="357"/>
    </row>
    <row r="103" spans="1:26">
      <c r="A103" s="397" t="s">
        <v>984</v>
      </c>
      <c r="B103" s="398">
        <v>200</v>
      </c>
      <c r="C103" s="404">
        <v>45223.126493055555</v>
      </c>
      <c r="D103" s="398">
        <v>20</v>
      </c>
      <c r="E103" s="398">
        <v>0.1013626</v>
      </c>
      <c r="F103" s="398">
        <v>34.700000000000003</v>
      </c>
      <c r="G103" s="398">
        <v>23.67</v>
      </c>
      <c r="H103" s="398">
        <v>881.58657800000003</v>
      </c>
      <c r="I103" s="398">
        <v>0.99995800000000001</v>
      </c>
      <c r="J103" s="398">
        <v>0.46365200000000001</v>
      </c>
      <c r="K103" s="398">
        <v>2349.8000000000002</v>
      </c>
      <c r="L103" s="398"/>
      <c r="M103" s="398" t="s">
        <v>25</v>
      </c>
      <c r="N103" s="399" t="s">
        <v>1032</v>
      </c>
      <c r="O103" s="357"/>
      <c r="P103" s="357"/>
      <c r="Q103" s="357"/>
      <c r="R103" s="357"/>
      <c r="S103" s="357"/>
    </row>
    <row r="104" spans="1:26">
      <c r="A104" s="400" t="s">
        <v>1033</v>
      </c>
      <c r="B104" s="401">
        <v>201</v>
      </c>
      <c r="C104" s="403">
        <v>45223.143229166664</v>
      </c>
      <c r="D104" s="401">
        <v>20</v>
      </c>
      <c r="E104" s="401">
        <v>0.1013626</v>
      </c>
      <c r="F104" s="401">
        <v>34.700000000000003</v>
      </c>
      <c r="G104" s="401">
        <v>23.67</v>
      </c>
      <c r="H104" s="401">
        <v>887.37725499999999</v>
      </c>
      <c r="I104" s="401">
        <v>0.99996600000000002</v>
      </c>
      <c r="J104" s="401">
        <v>0.46457500000000002</v>
      </c>
      <c r="K104" s="401">
        <v>2354.5</v>
      </c>
      <c r="L104" s="401"/>
      <c r="M104" s="401" t="s">
        <v>25</v>
      </c>
      <c r="N104" s="402" t="s">
        <v>1032</v>
      </c>
      <c r="O104" s="357"/>
      <c r="P104" s="357"/>
      <c r="Q104" s="357"/>
      <c r="R104" s="357"/>
      <c r="S104" s="357"/>
    </row>
    <row r="105" spans="1:26">
      <c r="A105" s="397" t="s">
        <v>990</v>
      </c>
      <c r="B105" s="398">
        <v>235</v>
      </c>
      <c r="C105" s="404">
        <v>45223.15587962963</v>
      </c>
      <c r="D105" s="398">
        <v>20</v>
      </c>
      <c r="E105" s="398">
        <v>0.1013626</v>
      </c>
      <c r="F105" s="398">
        <v>30.4</v>
      </c>
      <c r="G105" s="398">
        <v>23.67</v>
      </c>
      <c r="H105" s="398">
        <v>883.81742199999997</v>
      </c>
      <c r="I105" s="398">
        <v>0.99995999999999996</v>
      </c>
      <c r="J105" s="398">
        <v>0.46535300000000002</v>
      </c>
      <c r="K105" s="398">
        <v>2358.5</v>
      </c>
      <c r="L105" s="398"/>
      <c r="M105" s="398" t="s">
        <v>25</v>
      </c>
      <c r="N105" s="399" t="s">
        <v>1032</v>
      </c>
      <c r="O105" s="357"/>
      <c r="P105" s="357"/>
      <c r="Q105" s="357"/>
      <c r="R105" s="357"/>
      <c r="S105" s="357"/>
    </row>
    <row r="106" spans="1:26">
      <c r="A106" s="400" t="s">
        <v>996</v>
      </c>
      <c r="B106" s="401">
        <v>247</v>
      </c>
      <c r="C106" s="403">
        <v>45223.17119212963</v>
      </c>
      <c r="D106" s="401">
        <v>20</v>
      </c>
      <c r="E106" s="401">
        <v>0.1013626</v>
      </c>
      <c r="F106" s="401">
        <v>37</v>
      </c>
      <c r="G106" s="401">
        <v>23.67</v>
      </c>
      <c r="H106" s="401">
        <v>881.32002399999999</v>
      </c>
      <c r="I106" s="401">
        <v>0.99996700000000005</v>
      </c>
      <c r="J106" s="401">
        <v>0.46519500000000003</v>
      </c>
      <c r="K106" s="401">
        <v>2357.6999999999998</v>
      </c>
      <c r="L106" s="401"/>
      <c r="M106" s="401" t="s">
        <v>25</v>
      </c>
      <c r="N106" s="402" t="s">
        <v>1032</v>
      </c>
      <c r="O106" s="357"/>
      <c r="P106" s="357"/>
      <c r="Q106" s="357"/>
      <c r="R106" s="357"/>
      <c r="S106" s="357"/>
    </row>
    <row r="107" spans="1:26">
      <c r="A107" s="397" t="s">
        <v>997</v>
      </c>
      <c r="B107" s="398">
        <v>257</v>
      </c>
      <c r="C107" s="404">
        <v>45223.183587962965</v>
      </c>
      <c r="D107" s="398">
        <v>20</v>
      </c>
      <c r="E107" s="398">
        <v>0.1013626</v>
      </c>
      <c r="F107" s="398">
        <v>36.200000000000003</v>
      </c>
      <c r="G107" s="398">
        <v>23.67</v>
      </c>
      <c r="H107" s="398">
        <v>880.60130900000001</v>
      </c>
      <c r="I107" s="398">
        <v>0.99996700000000005</v>
      </c>
      <c r="J107" s="398">
        <v>0.464586</v>
      </c>
      <c r="K107" s="398">
        <v>2354.6</v>
      </c>
      <c r="L107" s="398"/>
      <c r="M107" s="398" t="s">
        <v>25</v>
      </c>
      <c r="N107" s="399" t="s">
        <v>1032</v>
      </c>
      <c r="O107" s="357"/>
      <c r="P107" s="357"/>
      <c r="Q107" s="357"/>
      <c r="R107" s="357"/>
      <c r="S107" s="357"/>
    </row>
    <row r="108" spans="1:26">
      <c r="A108" s="400" t="s">
        <v>999</v>
      </c>
      <c r="B108" s="401">
        <v>291</v>
      </c>
      <c r="C108" s="403">
        <v>45223.194166666668</v>
      </c>
      <c r="D108" s="401">
        <v>20</v>
      </c>
      <c r="E108" s="401">
        <v>0.1013626</v>
      </c>
      <c r="F108" s="401" t="s">
        <v>985</v>
      </c>
      <c r="G108" s="401">
        <v>23.67</v>
      </c>
      <c r="H108" s="401">
        <v>891.52429800000004</v>
      </c>
      <c r="I108" s="401">
        <v>0.99995599999999996</v>
      </c>
      <c r="J108" s="401">
        <v>0.46334399999999998</v>
      </c>
      <c r="K108" s="401">
        <v>2348.3000000000002</v>
      </c>
      <c r="L108" s="401"/>
      <c r="M108" s="401" t="s">
        <v>25</v>
      </c>
      <c r="N108" s="402" t="s">
        <v>1032</v>
      </c>
      <c r="O108" s="357"/>
      <c r="P108" s="357"/>
      <c r="Q108" s="357"/>
      <c r="R108" s="357"/>
      <c r="S108" s="357"/>
    </row>
    <row r="109" spans="1:26">
      <c r="A109" s="397" t="s">
        <v>1000</v>
      </c>
      <c r="B109" s="398">
        <v>291</v>
      </c>
      <c r="C109" s="404">
        <v>45223.206226851849</v>
      </c>
      <c r="D109" s="398">
        <v>20</v>
      </c>
      <c r="E109" s="398">
        <v>0.1013626</v>
      </c>
      <c r="F109" s="398" t="s">
        <v>985</v>
      </c>
      <c r="G109" s="398">
        <v>23.67</v>
      </c>
      <c r="H109" s="398">
        <v>853.41069300000004</v>
      </c>
      <c r="I109" s="398">
        <v>0.99998399999999998</v>
      </c>
      <c r="J109" s="398">
        <v>0.46548200000000001</v>
      </c>
      <c r="K109" s="398">
        <v>2359.1</v>
      </c>
      <c r="L109" s="398"/>
      <c r="M109" s="398" t="s">
        <v>25</v>
      </c>
      <c r="N109" s="399" t="s">
        <v>1032</v>
      </c>
      <c r="O109" s="357"/>
      <c r="P109" s="357"/>
      <c r="Q109" s="357"/>
      <c r="R109" s="357"/>
      <c r="S109" s="357"/>
    </row>
    <row r="110" spans="1:26">
      <c r="A110" s="400" t="s">
        <v>1001</v>
      </c>
      <c r="B110" s="401">
        <v>246</v>
      </c>
      <c r="C110" s="403">
        <v>45223.220243055555</v>
      </c>
      <c r="D110" s="401">
        <v>20</v>
      </c>
      <c r="E110" s="401">
        <v>0.1013626</v>
      </c>
      <c r="F110" s="401">
        <v>36.5</v>
      </c>
      <c r="G110" s="401">
        <v>23.67</v>
      </c>
      <c r="H110" s="401">
        <v>882.07176200000004</v>
      </c>
      <c r="I110" s="401">
        <v>0.99997000000000003</v>
      </c>
      <c r="J110" s="401">
        <v>0.46487800000000001</v>
      </c>
      <c r="K110" s="401">
        <v>2356.1</v>
      </c>
      <c r="L110" s="401"/>
      <c r="M110" s="401" t="s">
        <v>25</v>
      </c>
      <c r="N110" s="402" t="s">
        <v>1032</v>
      </c>
      <c r="O110" s="357"/>
      <c r="P110" s="357"/>
      <c r="Q110" s="357"/>
      <c r="R110" s="357"/>
      <c r="S110" s="357"/>
    </row>
    <row r="111" spans="1:26">
      <c r="A111" s="394"/>
      <c r="B111" s="395"/>
      <c r="C111" s="395"/>
      <c r="D111" s="395"/>
      <c r="E111" s="395"/>
      <c r="F111" s="395"/>
      <c r="G111" s="395"/>
      <c r="H111" s="395"/>
      <c r="I111" s="395"/>
      <c r="J111" s="395"/>
      <c r="K111" s="395"/>
      <c r="L111" s="395"/>
      <c r="M111" s="395"/>
      <c r="N111" s="396"/>
      <c r="O111" s="381"/>
      <c r="P111" s="381"/>
      <c r="Q111" s="381"/>
      <c r="R111" s="381"/>
      <c r="S111" s="381"/>
      <c r="T111" s="382"/>
      <c r="U111" s="382"/>
      <c r="V111" s="382"/>
      <c r="W111" s="382"/>
      <c r="X111" s="382"/>
      <c r="Y111" s="382"/>
      <c r="Z111" s="382"/>
    </row>
    <row r="112" spans="1:26">
      <c r="A112" s="383" t="s">
        <v>952</v>
      </c>
      <c r="B112" s="384" t="s">
        <v>1034</v>
      </c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5"/>
      <c r="O112" s="357"/>
      <c r="P112" s="357"/>
      <c r="Q112" s="357"/>
      <c r="R112" s="357"/>
      <c r="S112" s="357"/>
    </row>
    <row r="113" spans="1:19">
      <c r="A113" s="397" t="s">
        <v>954</v>
      </c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9"/>
      <c r="O113" s="357"/>
      <c r="P113" s="357"/>
      <c r="Q113" s="357"/>
      <c r="R113" s="357"/>
      <c r="S113" s="357"/>
    </row>
    <row r="114" spans="1:19">
      <c r="A114" s="400"/>
      <c r="B114" s="401"/>
      <c r="C114" s="401"/>
      <c r="D114" s="401"/>
      <c r="E114" s="401"/>
      <c r="F114" s="401"/>
      <c r="G114" s="401"/>
      <c r="H114" s="401"/>
      <c r="I114" s="401"/>
      <c r="J114" s="401"/>
      <c r="K114" s="401"/>
      <c r="L114" s="401"/>
      <c r="M114" s="401"/>
      <c r="N114" s="402"/>
      <c r="O114" s="357"/>
      <c r="P114" s="357"/>
      <c r="Q114" s="357"/>
      <c r="R114" s="357"/>
      <c r="S114" s="357"/>
    </row>
    <row r="115" spans="1:19">
      <c r="A115" s="397" t="s">
        <v>0</v>
      </c>
      <c r="B115" s="398" t="s">
        <v>441</v>
      </c>
      <c r="C115" s="398" t="s">
        <v>412</v>
      </c>
      <c r="D115" s="398" t="s">
        <v>955</v>
      </c>
      <c r="E115" s="398" t="s">
        <v>956</v>
      </c>
      <c r="F115" s="398" t="s">
        <v>414</v>
      </c>
      <c r="G115" s="398" t="s">
        <v>957</v>
      </c>
      <c r="H115" s="398" t="s">
        <v>958</v>
      </c>
      <c r="I115" s="398" t="s">
        <v>959</v>
      </c>
      <c r="J115" s="398" t="s">
        <v>960</v>
      </c>
      <c r="K115" s="398" t="s">
        <v>961</v>
      </c>
      <c r="L115" s="398" t="s">
        <v>962</v>
      </c>
      <c r="M115" s="398" t="s">
        <v>963</v>
      </c>
      <c r="N115" s="399" t="s">
        <v>15</v>
      </c>
      <c r="O115" s="357"/>
      <c r="P115" s="357"/>
      <c r="Q115" s="357"/>
      <c r="R115" s="357"/>
      <c r="S115" s="357"/>
    </row>
    <row r="116" spans="1:19">
      <c r="A116" s="400" t="s">
        <v>964</v>
      </c>
      <c r="B116" s="401" t="s">
        <v>953</v>
      </c>
      <c r="C116" s="403">
        <v>45224.873726851853</v>
      </c>
      <c r="D116" s="401">
        <v>20</v>
      </c>
      <c r="E116" s="401">
        <v>0.1013626</v>
      </c>
      <c r="F116" s="401" t="s">
        <v>985</v>
      </c>
      <c r="G116" s="401">
        <v>23.67</v>
      </c>
      <c r="H116" s="401">
        <v>909.58062099999995</v>
      </c>
      <c r="I116" s="401">
        <v>0.99958599999999997</v>
      </c>
      <c r="J116" s="401">
        <v>0.38371499999999997</v>
      </c>
      <c r="K116" s="401">
        <v>1944.7</v>
      </c>
      <c r="L116" s="401"/>
      <c r="M116" s="401" t="s">
        <v>25</v>
      </c>
      <c r="N116" s="402"/>
      <c r="O116" s="357"/>
      <c r="P116" s="357"/>
      <c r="Q116" s="357"/>
      <c r="R116" s="357"/>
      <c r="S116" s="357"/>
    </row>
    <row r="117" spans="1:19">
      <c r="A117" s="397" t="s">
        <v>1023</v>
      </c>
      <c r="B117" s="398" t="s">
        <v>953</v>
      </c>
      <c r="C117" s="404">
        <v>45224.891469907408</v>
      </c>
      <c r="D117" s="398">
        <v>20</v>
      </c>
      <c r="E117" s="398">
        <v>0.1013626</v>
      </c>
      <c r="F117" s="398" t="s">
        <v>985</v>
      </c>
      <c r="G117" s="398">
        <v>23.67</v>
      </c>
      <c r="H117" s="398">
        <v>917.62326499999995</v>
      </c>
      <c r="I117" s="398">
        <v>0.99968299999999999</v>
      </c>
      <c r="J117" s="398">
        <v>0.39685900000000002</v>
      </c>
      <c r="K117" s="398">
        <v>2011.3</v>
      </c>
      <c r="L117" s="398">
        <v>47.105699999999999</v>
      </c>
      <c r="M117" s="398" t="s">
        <v>25</v>
      </c>
      <c r="N117" s="399"/>
      <c r="O117" s="357"/>
      <c r="P117" s="357"/>
      <c r="Q117" s="357"/>
      <c r="R117" s="357"/>
      <c r="S117" s="357"/>
    </row>
    <row r="118" spans="1:19">
      <c r="A118" s="400" t="s">
        <v>1024</v>
      </c>
      <c r="B118" s="401" t="s">
        <v>953</v>
      </c>
      <c r="C118" s="403">
        <v>45224.904050925928</v>
      </c>
      <c r="D118" s="401">
        <v>20</v>
      </c>
      <c r="E118" s="401">
        <v>0.1013626</v>
      </c>
      <c r="F118" s="401" t="s">
        <v>985</v>
      </c>
      <c r="G118" s="401">
        <v>23.67</v>
      </c>
      <c r="H118" s="401">
        <v>922.57082200000002</v>
      </c>
      <c r="I118" s="401">
        <v>0.99972799999999995</v>
      </c>
      <c r="J118" s="401">
        <v>0.39729500000000001</v>
      </c>
      <c r="K118" s="401">
        <v>2013.5</v>
      </c>
      <c r="L118" s="401">
        <v>1.5616000000000001</v>
      </c>
      <c r="M118" s="401" t="s">
        <v>25</v>
      </c>
      <c r="N118" s="402"/>
      <c r="O118" s="357"/>
      <c r="P118" s="357"/>
      <c r="Q118" s="357"/>
      <c r="R118" s="357"/>
      <c r="S118" s="357"/>
    </row>
    <row r="119" spans="1:19">
      <c r="A119" s="397" t="s">
        <v>1025</v>
      </c>
      <c r="B119" s="398" t="s">
        <v>953</v>
      </c>
      <c r="C119" s="404">
        <v>45224.926458333335</v>
      </c>
      <c r="D119" s="398">
        <v>20</v>
      </c>
      <c r="E119" s="398">
        <v>0.1013626</v>
      </c>
      <c r="F119" s="398" t="s">
        <v>985</v>
      </c>
      <c r="G119" s="398">
        <v>23.67</v>
      </c>
      <c r="H119" s="398">
        <v>939.32725400000004</v>
      </c>
      <c r="I119" s="398">
        <v>0.99972899999999998</v>
      </c>
      <c r="J119" s="398">
        <v>0.39845199999999997</v>
      </c>
      <c r="K119" s="398">
        <v>2019.4</v>
      </c>
      <c r="L119" s="398">
        <v>4.1455000000000002</v>
      </c>
      <c r="M119" s="398" t="s">
        <v>25</v>
      </c>
      <c r="N119" s="399"/>
      <c r="O119" s="357"/>
      <c r="P119" s="357"/>
      <c r="Q119" s="357"/>
      <c r="R119" s="357"/>
      <c r="S119" s="357"/>
    </row>
    <row r="120" spans="1:19">
      <c r="A120" s="400" t="s">
        <v>1026</v>
      </c>
      <c r="B120" s="401" t="s">
        <v>953</v>
      </c>
      <c r="C120" s="403">
        <v>45224.941608796296</v>
      </c>
      <c r="D120" s="401">
        <v>20</v>
      </c>
      <c r="E120" s="401">
        <v>0.1013626</v>
      </c>
      <c r="F120" s="401" t="s">
        <v>985</v>
      </c>
      <c r="G120" s="401">
        <v>23.67</v>
      </c>
      <c r="H120" s="401">
        <v>947.58704599999999</v>
      </c>
      <c r="I120" s="401">
        <v>0.99973299999999998</v>
      </c>
      <c r="J120" s="401">
        <v>0.398955</v>
      </c>
      <c r="K120" s="401">
        <v>2022</v>
      </c>
      <c r="L120" s="401">
        <v>1.8028999999999999</v>
      </c>
      <c r="M120" s="401" t="s">
        <v>25</v>
      </c>
      <c r="N120" s="402"/>
      <c r="O120" s="357"/>
      <c r="P120" s="357"/>
      <c r="Q120" s="357"/>
      <c r="R120" s="357"/>
      <c r="S120" s="357"/>
    </row>
    <row r="121" spans="1:19">
      <c r="A121" s="397" t="s">
        <v>1027</v>
      </c>
      <c r="B121" s="398" t="s">
        <v>953</v>
      </c>
      <c r="C121" s="404">
        <v>45224.960057870368</v>
      </c>
      <c r="D121" s="398">
        <v>20</v>
      </c>
      <c r="E121" s="398">
        <v>0.1013626</v>
      </c>
      <c r="F121" s="398" t="s">
        <v>985</v>
      </c>
      <c r="G121" s="398">
        <v>23.67</v>
      </c>
      <c r="H121" s="398">
        <v>949.31771500000002</v>
      </c>
      <c r="I121" s="398">
        <v>0.99969200000000003</v>
      </c>
      <c r="J121" s="398">
        <v>0.39758399999999999</v>
      </c>
      <c r="K121" s="398">
        <v>2015</v>
      </c>
      <c r="L121" s="398">
        <v>4.9135999999999997</v>
      </c>
      <c r="M121" s="398" t="s">
        <v>25</v>
      </c>
      <c r="N121" s="399"/>
      <c r="O121" s="357"/>
      <c r="P121" s="357"/>
      <c r="Q121" s="357"/>
      <c r="R121" s="357"/>
      <c r="S121" s="357"/>
    </row>
    <row r="122" spans="1:19">
      <c r="A122" s="400" t="s">
        <v>1029</v>
      </c>
      <c r="B122" s="401" t="s">
        <v>953</v>
      </c>
      <c r="C122" s="403">
        <v>45224.974178240744</v>
      </c>
      <c r="D122" s="401">
        <v>20</v>
      </c>
      <c r="E122" s="401">
        <v>0.1013626</v>
      </c>
      <c r="F122" s="401" t="s">
        <v>985</v>
      </c>
      <c r="G122" s="401">
        <v>23.67</v>
      </c>
      <c r="H122" s="401">
        <v>960.11369400000001</v>
      </c>
      <c r="I122" s="401">
        <v>0.99969200000000003</v>
      </c>
      <c r="J122" s="401">
        <v>0.39793800000000001</v>
      </c>
      <c r="K122" s="401">
        <v>2016.8</v>
      </c>
      <c r="L122" s="401">
        <v>1.2704</v>
      </c>
      <c r="M122" s="401" t="s">
        <v>25</v>
      </c>
      <c r="N122" s="402"/>
      <c r="O122" s="357"/>
      <c r="P122" s="357"/>
      <c r="Q122" s="357"/>
      <c r="R122" s="357"/>
      <c r="S122" s="357"/>
    </row>
    <row r="123" spans="1:19">
      <c r="A123" s="397" t="s">
        <v>967</v>
      </c>
      <c r="B123" s="398" t="s">
        <v>937</v>
      </c>
      <c r="C123" s="404">
        <v>45224.989062499997</v>
      </c>
      <c r="D123" s="398">
        <v>20</v>
      </c>
      <c r="E123" s="398">
        <v>0.1013626</v>
      </c>
      <c r="F123" s="398">
        <v>33.5</v>
      </c>
      <c r="G123" s="398">
        <v>23.67</v>
      </c>
      <c r="H123" s="398">
        <v>840.36007400000005</v>
      </c>
      <c r="I123" s="398">
        <v>0.99992000000000003</v>
      </c>
      <c r="J123" s="398">
        <v>0.437052</v>
      </c>
      <c r="K123" s="398">
        <v>2215</v>
      </c>
      <c r="L123" s="398"/>
      <c r="M123" s="398" t="s">
        <v>25</v>
      </c>
      <c r="N123" s="399"/>
      <c r="O123" s="357"/>
      <c r="P123" s="357"/>
      <c r="Q123" s="357"/>
      <c r="R123" s="357"/>
      <c r="S123" s="357"/>
    </row>
    <row r="124" spans="1:19">
      <c r="A124" s="400" t="s">
        <v>970</v>
      </c>
      <c r="B124" s="401">
        <v>202</v>
      </c>
      <c r="C124" s="403">
        <v>45225.030509259261</v>
      </c>
      <c r="D124" s="401">
        <v>20</v>
      </c>
      <c r="E124" s="401">
        <v>0.1013626</v>
      </c>
      <c r="F124" s="401" t="s">
        <v>985</v>
      </c>
      <c r="G124" s="401">
        <v>23.67</v>
      </c>
      <c r="H124" s="401">
        <v>69.687725999999998</v>
      </c>
      <c r="I124" s="401">
        <v>2.8329E-2</v>
      </c>
      <c r="J124" s="401">
        <v>-1.9361250000000001</v>
      </c>
      <c r="K124" s="401">
        <v>-9812.5</v>
      </c>
      <c r="L124" s="401"/>
      <c r="M124" s="401" t="s">
        <v>25</v>
      </c>
      <c r="N124" s="402"/>
      <c r="O124" s="357"/>
      <c r="P124" s="357"/>
      <c r="Q124" s="357"/>
      <c r="R124" s="357"/>
      <c r="S124" s="357"/>
    </row>
    <row r="125" spans="1:19">
      <c r="A125" s="397" t="s">
        <v>1020</v>
      </c>
      <c r="B125" s="398">
        <v>203</v>
      </c>
      <c r="C125" s="404">
        <v>45225.083912037036</v>
      </c>
      <c r="D125" s="398">
        <v>20</v>
      </c>
      <c r="E125" s="398">
        <v>0.1013626</v>
      </c>
      <c r="F125" s="398" t="s">
        <v>985</v>
      </c>
      <c r="G125" s="398">
        <v>23.67</v>
      </c>
      <c r="H125" s="398">
        <v>873.80449199999998</v>
      </c>
      <c r="I125" s="398">
        <v>0.99993799999999999</v>
      </c>
      <c r="J125" s="398">
        <v>0.46307300000000001</v>
      </c>
      <c r="K125" s="398">
        <v>2346.9</v>
      </c>
      <c r="L125" s="398"/>
      <c r="M125" s="398" t="s">
        <v>25</v>
      </c>
      <c r="N125" s="399"/>
      <c r="O125" s="357"/>
      <c r="P125" s="357"/>
      <c r="Q125" s="357"/>
      <c r="R125" s="357"/>
      <c r="S125" s="357"/>
    </row>
    <row r="126" spans="1:19">
      <c r="A126" s="400" t="s">
        <v>979</v>
      </c>
      <c r="B126" s="401">
        <v>280</v>
      </c>
      <c r="C126" s="403">
        <v>45225.098599537036</v>
      </c>
      <c r="D126" s="401">
        <v>20</v>
      </c>
      <c r="E126" s="401">
        <v>0.1013626</v>
      </c>
      <c r="F126" s="401">
        <v>36.5</v>
      </c>
      <c r="G126" s="401">
        <v>23.67</v>
      </c>
      <c r="H126" s="401">
        <v>875.06809499999997</v>
      </c>
      <c r="I126" s="401">
        <v>0.99992099999999995</v>
      </c>
      <c r="J126" s="401">
        <v>0.45988200000000001</v>
      </c>
      <c r="K126" s="401">
        <v>2330.6999999999998</v>
      </c>
      <c r="L126" s="401"/>
      <c r="M126" s="401" t="s">
        <v>25</v>
      </c>
      <c r="N126" s="402"/>
      <c r="O126" s="357"/>
      <c r="P126" s="357"/>
      <c r="Q126" s="357"/>
      <c r="R126" s="357"/>
      <c r="S126" s="357"/>
    </row>
    <row r="127" spans="1:19">
      <c r="A127" s="397" t="s">
        <v>983</v>
      </c>
      <c r="B127" s="398">
        <v>290</v>
      </c>
      <c r="C127" s="404">
        <v>45225.120069444441</v>
      </c>
      <c r="D127" s="398">
        <v>20</v>
      </c>
      <c r="E127" s="398">
        <v>0.1013626</v>
      </c>
      <c r="F127" s="398">
        <v>36.700000000000003</v>
      </c>
      <c r="G127" s="398">
        <v>23.67</v>
      </c>
      <c r="H127" s="398">
        <v>1805.66256</v>
      </c>
      <c r="I127" s="398">
        <v>0.45284200000000002</v>
      </c>
      <c r="J127" s="398">
        <v>1.219382</v>
      </c>
      <c r="K127" s="398">
        <v>6180</v>
      </c>
      <c r="L127" s="398"/>
      <c r="M127" s="398" t="s">
        <v>25</v>
      </c>
      <c r="N127" s="399"/>
      <c r="O127" s="357"/>
      <c r="P127" s="357"/>
      <c r="Q127" s="357"/>
      <c r="R127" s="357"/>
      <c r="S127" s="357"/>
    </row>
    <row r="128" spans="1:19">
      <c r="A128" s="400" t="s">
        <v>984</v>
      </c>
      <c r="B128" s="401">
        <v>290</v>
      </c>
      <c r="C128" s="403">
        <v>45225.140844907408</v>
      </c>
      <c r="D128" s="401">
        <v>20</v>
      </c>
      <c r="E128" s="401">
        <v>0.1013626</v>
      </c>
      <c r="F128" s="401">
        <v>36.700000000000003</v>
      </c>
      <c r="G128" s="401">
        <v>23.67</v>
      </c>
      <c r="H128" s="401">
        <v>881.08210599999995</v>
      </c>
      <c r="I128" s="401">
        <v>0.99992700000000001</v>
      </c>
      <c r="J128" s="401">
        <v>0.45869100000000002</v>
      </c>
      <c r="K128" s="401">
        <v>2324.6999999999998</v>
      </c>
      <c r="L128" s="401"/>
      <c r="M128" s="401" t="s">
        <v>25</v>
      </c>
      <c r="N128" s="402"/>
      <c r="O128" s="357"/>
      <c r="P128" s="357"/>
      <c r="Q128" s="357"/>
      <c r="R128" s="357"/>
      <c r="S128" s="357"/>
    </row>
    <row r="129" spans="1:26">
      <c r="A129" s="397" t="s">
        <v>1033</v>
      </c>
      <c r="B129" s="398">
        <v>269</v>
      </c>
      <c r="C129" s="404">
        <v>45225.153333333335</v>
      </c>
      <c r="D129" s="398">
        <v>20</v>
      </c>
      <c r="E129" s="398">
        <v>0.1013626</v>
      </c>
      <c r="F129" s="398">
        <v>36.200000000000003</v>
      </c>
      <c r="G129" s="398">
        <v>23.67</v>
      </c>
      <c r="H129" s="398">
        <v>888.59522000000004</v>
      </c>
      <c r="I129" s="398">
        <v>0.99990100000000004</v>
      </c>
      <c r="J129" s="398">
        <v>0.46047700000000003</v>
      </c>
      <c r="K129" s="398">
        <v>2333.8000000000002</v>
      </c>
      <c r="L129" s="398"/>
      <c r="M129" s="398" t="s">
        <v>25</v>
      </c>
      <c r="N129" s="399"/>
      <c r="O129" s="357"/>
      <c r="P129" s="357"/>
      <c r="Q129" s="357"/>
      <c r="R129" s="357"/>
      <c r="S129" s="357"/>
    </row>
    <row r="130" spans="1:26">
      <c r="A130" s="400" t="s">
        <v>990</v>
      </c>
      <c r="B130" s="401">
        <v>279</v>
      </c>
      <c r="C130" s="403">
        <v>45225.168900462966</v>
      </c>
      <c r="D130" s="401">
        <v>20</v>
      </c>
      <c r="E130" s="401">
        <v>0.1013626</v>
      </c>
      <c r="F130" s="401">
        <v>36</v>
      </c>
      <c r="G130" s="401">
        <v>23.67</v>
      </c>
      <c r="H130" s="401">
        <v>897.21715400000005</v>
      </c>
      <c r="I130" s="401">
        <v>0.99994000000000005</v>
      </c>
      <c r="J130" s="401">
        <v>0.46054299999999998</v>
      </c>
      <c r="K130" s="401">
        <v>2334.1</v>
      </c>
      <c r="L130" s="401"/>
      <c r="M130" s="401" t="s">
        <v>25</v>
      </c>
      <c r="N130" s="402"/>
      <c r="O130" s="357"/>
      <c r="P130" s="357"/>
      <c r="Q130" s="357"/>
      <c r="R130" s="357"/>
      <c r="S130" s="357"/>
    </row>
    <row r="131" spans="1:26">
      <c r="A131" s="397" t="s">
        <v>996</v>
      </c>
      <c r="B131" s="398">
        <v>202</v>
      </c>
      <c r="C131" s="404">
        <v>45225.180752314816</v>
      </c>
      <c r="D131" s="398">
        <v>20</v>
      </c>
      <c r="E131" s="398">
        <v>0.1013626</v>
      </c>
      <c r="F131" s="398" t="s">
        <v>985</v>
      </c>
      <c r="G131" s="398">
        <v>23.67</v>
      </c>
      <c r="H131" s="398">
        <v>880.90698699999996</v>
      </c>
      <c r="I131" s="398">
        <v>0.99992800000000004</v>
      </c>
      <c r="J131" s="398">
        <v>0.458368</v>
      </c>
      <c r="K131" s="398">
        <v>2323.1</v>
      </c>
      <c r="L131" s="398"/>
      <c r="M131" s="398" t="s">
        <v>25</v>
      </c>
      <c r="N131" s="399"/>
      <c r="O131" s="357"/>
      <c r="P131" s="357"/>
      <c r="Q131" s="357"/>
      <c r="R131" s="357"/>
      <c r="S131" s="357"/>
    </row>
    <row r="132" spans="1:26">
      <c r="A132" s="400" t="s">
        <v>997</v>
      </c>
      <c r="B132" s="401">
        <v>533</v>
      </c>
      <c r="C132" s="403">
        <v>45225.194837962961</v>
      </c>
      <c r="D132" s="401">
        <v>20</v>
      </c>
      <c r="E132" s="401">
        <v>0.1013626</v>
      </c>
      <c r="F132" s="401" t="s">
        <v>985</v>
      </c>
      <c r="G132" s="401">
        <v>23.67</v>
      </c>
      <c r="H132" s="401">
        <v>890.57982000000004</v>
      </c>
      <c r="I132" s="401">
        <v>0.99993699999999996</v>
      </c>
      <c r="J132" s="401">
        <v>0.469084</v>
      </c>
      <c r="K132" s="401">
        <v>2377.4</v>
      </c>
      <c r="L132" s="401"/>
      <c r="M132" s="401" t="s">
        <v>25</v>
      </c>
      <c r="N132" s="402"/>
      <c r="O132" s="357"/>
      <c r="P132" s="357"/>
      <c r="Q132" s="357"/>
      <c r="R132" s="357"/>
      <c r="S132" s="357"/>
    </row>
    <row r="133" spans="1:26">
      <c r="A133" s="397" t="s">
        <v>999</v>
      </c>
      <c r="B133" s="398">
        <v>268</v>
      </c>
      <c r="C133" s="404">
        <v>45225.22315972222</v>
      </c>
      <c r="D133" s="398">
        <v>20</v>
      </c>
      <c r="E133" s="398">
        <v>0.1013626</v>
      </c>
      <c r="F133" s="398">
        <v>36.4</v>
      </c>
      <c r="G133" s="398">
        <v>23.67</v>
      </c>
      <c r="H133" s="398">
        <v>873.80449199999998</v>
      </c>
      <c r="I133" s="398">
        <v>0.99937900000000002</v>
      </c>
      <c r="J133" s="398">
        <v>0.43747799999999998</v>
      </c>
      <c r="K133" s="33">
        <v>2217.1999999999998</v>
      </c>
      <c r="L133" s="398"/>
      <c r="M133" s="398" t="s">
        <v>25</v>
      </c>
      <c r="N133" s="399"/>
      <c r="O133" s="357"/>
      <c r="P133" s="357"/>
      <c r="Q133" s="357"/>
      <c r="R133" s="357"/>
      <c r="S133" s="357"/>
    </row>
    <row r="134" spans="1:26">
      <c r="A134" s="400" t="s">
        <v>1000</v>
      </c>
      <c r="B134" s="401">
        <v>455</v>
      </c>
      <c r="C134" s="403">
        <v>45225.234965277778</v>
      </c>
      <c r="D134" s="401">
        <v>20</v>
      </c>
      <c r="E134" s="401">
        <v>0.1013626</v>
      </c>
      <c r="F134" s="401" t="s">
        <v>985</v>
      </c>
      <c r="G134" s="401">
        <v>23.67</v>
      </c>
      <c r="H134" s="401">
        <v>865.63071600000001</v>
      </c>
      <c r="I134" s="401">
        <v>0.99938899999999997</v>
      </c>
      <c r="J134" s="401">
        <v>0.43747799999999998</v>
      </c>
      <c r="K134" s="401">
        <v>2374.86</v>
      </c>
      <c r="L134" s="401"/>
      <c r="M134" s="401" t="s">
        <v>25</v>
      </c>
      <c r="N134" s="402"/>
      <c r="O134" s="357"/>
      <c r="P134" s="357"/>
      <c r="Q134" s="357"/>
      <c r="R134" s="357"/>
      <c r="S134" s="357"/>
    </row>
    <row r="135" spans="1:26">
      <c r="A135" s="405" t="s">
        <v>1000</v>
      </c>
      <c r="B135" s="406" t="s">
        <v>1035</v>
      </c>
      <c r="C135" s="407">
        <v>45225.241249999999</v>
      </c>
      <c r="D135" s="406">
        <v>20</v>
      </c>
      <c r="E135" s="406">
        <v>0.1013626</v>
      </c>
      <c r="F135" s="406">
        <v>33.5</v>
      </c>
      <c r="G135" s="406">
        <v>23.67</v>
      </c>
      <c r="H135" s="406">
        <v>888.09962700000005</v>
      </c>
      <c r="I135" s="406">
        <v>0.99994300000000003</v>
      </c>
      <c r="J135" s="406">
        <v>0.43995699999999999</v>
      </c>
      <c r="K135" s="406">
        <v>2229.8000000000002</v>
      </c>
      <c r="L135" s="406"/>
      <c r="M135" s="406" t="s">
        <v>25</v>
      </c>
      <c r="N135" s="408"/>
      <c r="O135" s="376"/>
      <c r="P135" s="376"/>
      <c r="Q135" s="376"/>
      <c r="R135" s="376"/>
      <c r="S135" s="376"/>
      <c r="T135" s="152"/>
      <c r="U135" s="152"/>
      <c r="V135" s="152"/>
      <c r="W135" s="152"/>
      <c r="X135" s="152"/>
      <c r="Y135" s="152"/>
      <c r="Z135" s="152"/>
    </row>
    <row r="136" spans="1:26">
      <c r="A136" s="394"/>
      <c r="B136" s="395"/>
      <c r="C136" s="395"/>
      <c r="D136" s="395"/>
      <c r="E136" s="395"/>
      <c r="F136" s="395"/>
      <c r="G136" s="395"/>
      <c r="H136" s="395"/>
      <c r="I136" s="395"/>
      <c r="J136" s="395"/>
      <c r="K136" s="395"/>
      <c r="L136" s="395"/>
      <c r="M136" s="395"/>
      <c r="N136" s="396"/>
      <c r="O136" s="381"/>
      <c r="P136" s="381"/>
      <c r="Q136" s="381"/>
      <c r="R136" s="381"/>
      <c r="S136" s="381"/>
      <c r="T136" s="382"/>
      <c r="U136" s="382"/>
      <c r="V136" s="382"/>
      <c r="W136" s="382"/>
      <c r="X136" s="382"/>
      <c r="Y136" s="382"/>
      <c r="Z136" s="382"/>
    </row>
    <row r="137" spans="1:26">
      <c r="A137" s="383" t="s">
        <v>952</v>
      </c>
      <c r="B137" s="384" t="s">
        <v>1034</v>
      </c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384"/>
      <c r="N137" s="385"/>
      <c r="O137" s="357"/>
      <c r="P137" s="357"/>
      <c r="Q137" s="357"/>
      <c r="R137" s="357"/>
      <c r="S137" s="357"/>
    </row>
    <row r="138" spans="1:26">
      <c r="A138" s="397" t="s">
        <v>954</v>
      </c>
      <c r="B138" s="398"/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9"/>
      <c r="O138" s="357"/>
      <c r="P138" s="357"/>
      <c r="Q138" s="357"/>
      <c r="R138" s="357"/>
      <c r="S138" s="357"/>
    </row>
    <row r="139" spans="1:26">
      <c r="A139" s="400"/>
      <c r="B139" s="401"/>
      <c r="C139" s="401"/>
      <c r="D139" s="401"/>
      <c r="E139" s="401"/>
      <c r="F139" s="401"/>
      <c r="G139" s="401"/>
      <c r="H139" s="401"/>
      <c r="I139" s="401"/>
      <c r="J139" s="401"/>
      <c r="K139" s="401"/>
      <c r="L139" s="401"/>
      <c r="M139" s="401"/>
      <c r="N139" s="402"/>
      <c r="O139" s="357"/>
      <c r="P139" s="357"/>
      <c r="Q139" s="357"/>
      <c r="R139" s="357"/>
      <c r="S139" s="357"/>
    </row>
    <row r="140" spans="1:26">
      <c r="A140" s="397" t="s">
        <v>0</v>
      </c>
      <c r="B140" s="398" t="s">
        <v>441</v>
      </c>
      <c r="C140" s="398" t="s">
        <v>412</v>
      </c>
      <c r="D140" s="398" t="s">
        <v>955</v>
      </c>
      <c r="E140" s="398" t="s">
        <v>956</v>
      </c>
      <c r="F140" s="398" t="s">
        <v>414</v>
      </c>
      <c r="G140" s="398" t="s">
        <v>957</v>
      </c>
      <c r="H140" s="398" t="s">
        <v>958</v>
      </c>
      <c r="I140" s="398" t="s">
        <v>959</v>
      </c>
      <c r="J140" s="398" t="s">
        <v>960</v>
      </c>
      <c r="K140" s="398" t="s">
        <v>961</v>
      </c>
      <c r="L140" s="398" t="s">
        <v>962</v>
      </c>
      <c r="M140" s="398" t="s">
        <v>963</v>
      </c>
      <c r="N140" s="399" t="s">
        <v>15</v>
      </c>
      <c r="O140" s="357"/>
      <c r="P140" s="357"/>
      <c r="Q140" s="357"/>
      <c r="R140" s="357"/>
      <c r="S140" s="357"/>
    </row>
    <row r="141" spans="1:26">
      <c r="A141" s="400" t="s">
        <v>964</v>
      </c>
      <c r="B141" s="401" t="s">
        <v>953</v>
      </c>
      <c r="C141" s="403">
        <v>45226.877071759256</v>
      </c>
      <c r="D141" s="401">
        <v>20</v>
      </c>
      <c r="E141" s="401">
        <v>0.1013626</v>
      </c>
      <c r="F141" s="401" t="s">
        <v>985</v>
      </c>
      <c r="G141" s="401">
        <v>23.67</v>
      </c>
      <c r="H141" s="401">
        <v>905.23317499999996</v>
      </c>
      <c r="I141" s="401">
        <v>0.99949500000000002</v>
      </c>
      <c r="J141" s="401">
        <v>0.38996700000000001</v>
      </c>
      <c r="K141" s="401">
        <v>1976.4</v>
      </c>
      <c r="L141" s="401"/>
      <c r="M141" s="401" t="s">
        <v>25</v>
      </c>
      <c r="N141" s="402"/>
      <c r="O141" s="357"/>
      <c r="P141" s="357"/>
      <c r="Q141" s="357"/>
      <c r="R141" s="357"/>
      <c r="S141" s="357"/>
    </row>
    <row r="142" spans="1:26">
      <c r="A142" s="397" t="s">
        <v>1023</v>
      </c>
      <c r="B142" s="398" t="s">
        <v>953</v>
      </c>
      <c r="C142" s="404">
        <v>45226.889120370368</v>
      </c>
      <c r="D142" s="398">
        <v>20</v>
      </c>
      <c r="E142" s="398">
        <v>0.1013626</v>
      </c>
      <c r="F142" s="398" t="s">
        <v>985</v>
      </c>
      <c r="G142" s="398">
        <v>23.67</v>
      </c>
      <c r="H142" s="398">
        <v>886.43816500000003</v>
      </c>
      <c r="I142" s="398">
        <v>0.99962700000000004</v>
      </c>
      <c r="J142" s="398">
        <v>0.39411000000000002</v>
      </c>
      <c r="K142" s="398">
        <v>1997.4</v>
      </c>
      <c r="L142" s="398">
        <v>14.8498</v>
      </c>
      <c r="M142" s="398" t="s">
        <v>25</v>
      </c>
      <c r="N142" s="399"/>
      <c r="O142" s="357"/>
      <c r="P142" s="357"/>
      <c r="Q142" s="357"/>
      <c r="R142" s="357"/>
      <c r="S142" s="357"/>
    </row>
    <row r="143" spans="1:26">
      <c r="A143" s="400" t="s">
        <v>1024</v>
      </c>
      <c r="B143" s="401" t="s">
        <v>953</v>
      </c>
      <c r="C143" s="403">
        <v>45226.90625</v>
      </c>
      <c r="D143" s="401">
        <v>20</v>
      </c>
      <c r="E143" s="401">
        <v>0.1013626</v>
      </c>
      <c r="F143" s="401" t="s">
        <v>985</v>
      </c>
      <c r="G143" s="401">
        <v>23.67</v>
      </c>
      <c r="H143" s="401">
        <v>913.43699800000002</v>
      </c>
      <c r="I143" s="401">
        <v>0.99971699999999997</v>
      </c>
      <c r="J143" s="401">
        <v>0.39929100000000001</v>
      </c>
      <c r="K143" s="401">
        <v>2023.7</v>
      </c>
      <c r="L143" s="401">
        <v>18.566299999999998</v>
      </c>
      <c r="M143" s="401" t="s">
        <v>25</v>
      </c>
      <c r="N143" s="402"/>
      <c r="O143" s="357"/>
      <c r="P143" s="357"/>
      <c r="Q143" s="357"/>
      <c r="R143" s="357"/>
      <c r="S143" s="357"/>
    </row>
    <row r="144" spans="1:26">
      <c r="A144" s="397" t="s">
        <v>1025</v>
      </c>
      <c r="B144" s="398" t="s">
        <v>953</v>
      </c>
      <c r="C144" s="404">
        <v>45226.922905092593</v>
      </c>
      <c r="D144" s="398">
        <v>20</v>
      </c>
      <c r="E144" s="398">
        <v>0.1013626</v>
      </c>
      <c r="F144" s="398" t="s">
        <v>985</v>
      </c>
      <c r="G144" s="398">
        <v>23.67</v>
      </c>
      <c r="H144" s="398">
        <v>922.95687099999998</v>
      </c>
      <c r="I144" s="398">
        <v>0.99980899999999995</v>
      </c>
      <c r="J144" s="398">
        <v>0.39366899999999999</v>
      </c>
      <c r="K144" s="398">
        <v>1995.2</v>
      </c>
      <c r="L144" s="398">
        <v>20.1465</v>
      </c>
      <c r="M144" s="398" t="s">
        <v>25</v>
      </c>
      <c r="N144" s="399"/>
      <c r="O144" s="357"/>
      <c r="P144" s="357"/>
      <c r="Q144" s="357"/>
      <c r="R144" s="357"/>
      <c r="S144" s="357"/>
    </row>
    <row r="145" spans="1:26">
      <c r="A145" s="400" t="s">
        <v>967</v>
      </c>
      <c r="B145" s="401" t="s">
        <v>953</v>
      </c>
      <c r="C145" s="403">
        <v>45226.941620370373</v>
      </c>
      <c r="D145" s="401">
        <v>20</v>
      </c>
      <c r="E145" s="401">
        <v>0.1013626</v>
      </c>
      <c r="F145" s="401" t="s">
        <v>985</v>
      </c>
      <c r="G145" s="401">
        <v>23.67</v>
      </c>
      <c r="H145" s="401">
        <v>933.89778899999999</v>
      </c>
      <c r="I145" s="401">
        <v>0.99970599999999998</v>
      </c>
      <c r="J145" s="401">
        <v>0.38360899999999998</v>
      </c>
      <c r="K145" s="401">
        <v>1944.2</v>
      </c>
      <c r="L145" s="401"/>
      <c r="M145" s="401" t="s">
        <v>25</v>
      </c>
      <c r="N145" s="402" t="s">
        <v>1036</v>
      </c>
      <c r="O145" s="357"/>
      <c r="P145" s="357"/>
      <c r="Q145" s="357"/>
      <c r="R145" s="357"/>
      <c r="S145" s="357"/>
    </row>
    <row r="146" spans="1:26">
      <c r="A146" s="397" t="s">
        <v>968</v>
      </c>
      <c r="B146" s="398" t="s">
        <v>953</v>
      </c>
      <c r="C146" s="404">
        <v>45226.959421296298</v>
      </c>
      <c r="D146" s="398">
        <v>20</v>
      </c>
      <c r="E146" s="398">
        <v>0.1013626</v>
      </c>
      <c r="F146" s="398" t="s">
        <v>985</v>
      </c>
      <c r="G146" s="398">
        <v>23.67</v>
      </c>
      <c r="H146" s="398">
        <v>949.610319</v>
      </c>
      <c r="I146" s="398">
        <v>0.99973199999999995</v>
      </c>
      <c r="J146" s="398">
        <v>0.39101000000000002</v>
      </c>
      <c r="K146" s="398">
        <v>1981.7</v>
      </c>
      <c r="L146" s="398">
        <v>26.523</v>
      </c>
      <c r="M146" s="398" t="s">
        <v>25</v>
      </c>
      <c r="N146" s="399" t="s">
        <v>1036</v>
      </c>
      <c r="O146" s="357"/>
      <c r="P146" s="357"/>
      <c r="Q146" s="357"/>
      <c r="R146" s="357"/>
      <c r="S146" s="357"/>
    </row>
    <row r="147" spans="1:26">
      <c r="A147" s="400" t="s">
        <v>969</v>
      </c>
      <c r="B147" s="401" t="s">
        <v>953</v>
      </c>
      <c r="C147" s="403">
        <v>45226.978483796294</v>
      </c>
      <c r="D147" s="401">
        <v>20</v>
      </c>
      <c r="E147" s="401">
        <v>0.1013626</v>
      </c>
      <c r="F147" s="401" t="s">
        <v>985</v>
      </c>
      <c r="G147" s="401">
        <v>23.67</v>
      </c>
      <c r="H147" s="401">
        <v>951.27339400000005</v>
      </c>
      <c r="I147" s="401">
        <v>0.999668</v>
      </c>
      <c r="J147" s="401">
        <v>0.38620900000000002</v>
      </c>
      <c r="K147" s="401">
        <v>1957.4</v>
      </c>
      <c r="L147" s="401">
        <v>17.202200000000001</v>
      </c>
      <c r="M147" s="401" t="s">
        <v>25</v>
      </c>
      <c r="N147" s="402" t="s">
        <v>1036</v>
      </c>
      <c r="O147" s="357"/>
      <c r="P147" s="357"/>
      <c r="Q147" s="357"/>
      <c r="R147" s="357"/>
      <c r="S147" s="357"/>
    </row>
    <row r="148" spans="1:26">
      <c r="A148" s="397" t="s">
        <v>1017</v>
      </c>
      <c r="B148" s="398" t="s">
        <v>953</v>
      </c>
      <c r="C148" s="404">
        <v>45226.99391203704</v>
      </c>
      <c r="D148" s="398">
        <v>20</v>
      </c>
      <c r="E148" s="398">
        <v>0.1013626</v>
      </c>
      <c r="F148" s="398" t="s">
        <v>985</v>
      </c>
      <c r="G148" s="398">
        <v>23.67</v>
      </c>
      <c r="H148" s="398">
        <v>954.14810699999998</v>
      </c>
      <c r="I148" s="398">
        <v>0.99966999999999995</v>
      </c>
      <c r="J148" s="398">
        <v>0.38859900000000003</v>
      </c>
      <c r="K148" s="398">
        <v>1969.5</v>
      </c>
      <c r="L148" s="398">
        <v>8.5639000000000003</v>
      </c>
      <c r="M148" s="398" t="s">
        <v>25</v>
      </c>
      <c r="N148" s="399" t="s">
        <v>1036</v>
      </c>
      <c r="O148" s="357"/>
      <c r="P148" s="357"/>
      <c r="Q148" s="357"/>
      <c r="R148" s="357"/>
      <c r="S148" s="357"/>
    </row>
    <row r="149" spans="1:26">
      <c r="A149" s="400" t="s">
        <v>1018</v>
      </c>
      <c r="B149" s="401" t="s">
        <v>953</v>
      </c>
      <c r="C149" s="403">
        <v>45227.033599537041</v>
      </c>
      <c r="D149" s="401">
        <v>20</v>
      </c>
      <c r="E149" s="401">
        <v>0.1013626</v>
      </c>
      <c r="F149" s="401" t="s">
        <v>985</v>
      </c>
      <c r="G149" s="401">
        <v>23.67</v>
      </c>
      <c r="H149" s="401">
        <v>962.68426099999999</v>
      </c>
      <c r="I149" s="401">
        <v>0.99970300000000001</v>
      </c>
      <c r="J149" s="401">
        <v>0.38920500000000002</v>
      </c>
      <c r="K149" s="401">
        <v>1972.5</v>
      </c>
      <c r="L149" s="401">
        <v>2.1701999999999999</v>
      </c>
      <c r="M149" s="401" t="s">
        <v>25</v>
      </c>
      <c r="N149" s="402" t="s">
        <v>1036</v>
      </c>
      <c r="O149" s="357"/>
      <c r="P149" s="357"/>
      <c r="Q149" s="357"/>
      <c r="R149" s="357"/>
      <c r="S149" s="357"/>
    </row>
    <row r="150" spans="1:26">
      <c r="A150" s="397" t="s">
        <v>1019</v>
      </c>
      <c r="B150" s="398" t="s">
        <v>953</v>
      </c>
      <c r="C150" s="404">
        <v>45227.061840277776</v>
      </c>
      <c r="D150" s="398">
        <v>20</v>
      </c>
      <c r="E150" s="398">
        <v>0.1013626</v>
      </c>
      <c r="F150" s="398" t="s">
        <v>985</v>
      </c>
      <c r="G150" s="398">
        <v>23.67</v>
      </c>
      <c r="H150" s="398">
        <v>961.840374</v>
      </c>
      <c r="I150" s="398">
        <v>0.99961999999999995</v>
      </c>
      <c r="J150" s="398">
        <v>0.38807900000000001</v>
      </c>
      <c r="K150" s="398">
        <v>1966.8</v>
      </c>
      <c r="L150" s="398">
        <v>4.0354999999999999</v>
      </c>
      <c r="M150" s="398" t="s">
        <v>25</v>
      </c>
      <c r="N150" s="399" t="s">
        <v>1036</v>
      </c>
      <c r="O150" s="357"/>
      <c r="P150" s="357"/>
      <c r="Q150" s="357"/>
      <c r="R150" s="357"/>
      <c r="S150" s="357"/>
    </row>
    <row r="151" spans="1:26">
      <c r="A151" s="400" t="s">
        <v>1037</v>
      </c>
      <c r="B151" s="401" t="s">
        <v>953</v>
      </c>
      <c r="C151" s="403">
        <v>45227.089907407404</v>
      </c>
      <c r="D151" s="401">
        <v>20</v>
      </c>
      <c r="E151" s="401">
        <v>0.1013626</v>
      </c>
      <c r="F151" s="401" t="s">
        <v>985</v>
      </c>
      <c r="G151" s="401">
        <v>23.67</v>
      </c>
      <c r="H151" s="401">
        <v>963.48051899999996</v>
      </c>
      <c r="I151" s="401">
        <v>0.99974200000000002</v>
      </c>
      <c r="J151" s="401">
        <v>0.38492599999999999</v>
      </c>
      <c r="K151" s="401">
        <v>1950.9</v>
      </c>
      <c r="L151" s="401">
        <v>11.297499999999999</v>
      </c>
      <c r="M151" s="401" t="s">
        <v>25</v>
      </c>
      <c r="N151" s="402" t="s">
        <v>1036</v>
      </c>
      <c r="O151" s="357"/>
      <c r="P151" s="357"/>
      <c r="Q151" s="357"/>
      <c r="R151" s="357"/>
      <c r="S151" s="357"/>
    </row>
    <row r="152" spans="1:26">
      <c r="A152" s="397" t="s">
        <v>1038</v>
      </c>
      <c r="B152" s="398" t="s">
        <v>953</v>
      </c>
      <c r="C152" s="404">
        <v>45227.106666666667</v>
      </c>
      <c r="D152" s="398">
        <v>20</v>
      </c>
      <c r="E152" s="398">
        <v>0.1013626</v>
      </c>
      <c r="F152" s="398" t="s">
        <v>985</v>
      </c>
      <c r="G152" s="398">
        <v>23.67</v>
      </c>
      <c r="H152" s="398">
        <v>973.16057799999999</v>
      </c>
      <c r="I152" s="398">
        <v>0.99982199999999999</v>
      </c>
      <c r="J152" s="398">
        <v>0.38866200000000001</v>
      </c>
      <c r="K152" s="398">
        <v>1969.8</v>
      </c>
      <c r="L152" s="398">
        <v>13.3893</v>
      </c>
      <c r="M152" s="398" t="s">
        <v>25</v>
      </c>
      <c r="N152" s="399" t="s">
        <v>1036</v>
      </c>
      <c r="O152" s="357"/>
      <c r="P152" s="357"/>
      <c r="Q152" s="357"/>
      <c r="R152" s="357"/>
      <c r="S152" s="357"/>
    </row>
    <row r="153" spans="1:26">
      <c r="A153" s="400" t="s">
        <v>1039</v>
      </c>
      <c r="B153" s="401" t="s">
        <v>953</v>
      </c>
      <c r="C153" s="403">
        <v>45227.126319444447</v>
      </c>
      <c r="D153" s="401">
        <v>20</v>
      </c>
      <c r="E153" s="401">
        <v>0.1013626</v>
      </c>
      <c r="F153" s="401" t="s">
        <v>985</v>
      </c>
      <c r="G153" s="401">
        <v>23.67</v>
      </c>
      <c r="H153" s="401">
        <v>985.89195400000006</v>
      </c>
      <c r="I153" s="401">
        <v>0.99964600000000003</v>
      </c>
      <c r="J153" s="401">
        <v>0.38927600000000001</v>
      </c>
      <c r="K153" s="401">
        <v>1972.9</v>
      </c>
      <c r="L153" s="401">
        <v>2.2006000000000001</v>
      </c>
      <c r="M153" s="401" t="s">
        <v>25</v>
      </c>
      <c r="N153" s="402" t="s">
        <v>1036</v>
      </c>
      <c r="O153" s="357"/>
      <c r="P153" s="357"/>
      <c r="Q153" s="357"/>
      <c r="R153" s="357"/>
      <c r="S153" s="357"/>
    </row>
    <row r="154" spans="1:26">
      <c r="A154" s="397" t="s">
        <v>1040</v>
      </c>
      <c r="B154" s="398" t="s">
        <v>953</v>
      </c>
      <c r="C154" s="404">
        <v>45227.143171296295</v>
      </c>
      <c r="D154" s="398">
        <v>20</v>
      </c>
      <c r="E154" s="398">
        <v>0.1013626</v>
      </c>
      <c r="F154" s="398" t="s">
        <v>985</v>
      </c>
      <c r="G154" s="398">
        <v>23.67</v>
      </c>
      <c r="H154" s="398">
        <v>0</v>
      </c>
      <c r="I154" s="398">
        <v>0</v>
      </c>
      <c r="J154" s="398">
        <v>0</v>
      </c>
      <c r="K154" s="398">
        <v>0</v>
      </c>
      <c r="L154" s="398" t="s">
        <v>966</v>
      </c>
      <c r="M154" s="398" t="s">
        <v>25</v>
      </c>
      <c r="N154" s="399" t="s">
        <v>1036</v>
      </c>
      <c r="O154" s="357"/>
      <c r="P154" s="357"/>
      <c r="Q154" s="357"/>
      <c r="R154" s="357"/>
      <c r="S154" s="357"/>
    </row>
    <row r="155" spans="1:26">
      <c r="A155" s="400" t="s">
        <v>1041</v>
      </c>
      <c r="B155" s="401" t="s">
        <v>953</v>
      </c>
      <c r="C155" s="403">
        <v>45227.165416666663</v>
      </c>
      <c r="D155" s="401">
        <v>20</v>
      </c>
      <c r="E155" s="401">
        <v>0.1013626</v>
      </c>
      <c r="F155" s="401" t="s">
        <v>985</v>
      </c>
      <c r="G155" s="401">
        <v>23.67</v>
      </c>
      <c r="H155" s="401">
        <v>998.13373200000001</v>
      </c>
      <c r="I155" s="401">
        <v>0.99956199999999995</v>
      </c>
      <c r="J155" s="401">
        <v>0.38718799999999998</v>
      </c>
      <c r="K155" s="401">
        <v>1962.3</v>
      </c>
      <c r="L155" s="401"/>
      <c r="M155" s="401" t="s">
        <v>25</v>
      </c>
      <c r="N155" s="402" t="s">
        <v>1036</v>
      </c>
      <c r="O155" s="357"/>
      <c r="P155" s="357"/>
      <c r="Q155" s="357"/>
      <c r="R155" s="357"/>
      <c r="S155" s="357"/>
    </row>
    <row r="156" spans="1:26">
      <c r="A156" s="397" t="s">
        <v>1042</v>
      </c>
      <c r="B156" s="398" t="s">
        <v>953</v>
      </c>
      <c r="C156" s="404">
        <v>45227.193692129629</v>
      </c>
      <c r="D156" s="398">
        <v>20</v>
      </c>
      <c r="E156" s="398">
        <v>0.1013626</v>
      </c>
      <c r="F156" s="398" t="s">
        <v>985</v>
      </c>
      <c r="G156" s="398">
        <v>23.67</v>
      </c>
      <c r="H156" s="398">
        <v>954.959654</v>
      </c>
      <c r="I156" s="398">
        <v>0.999552</v>
      </c>
      <c r="J156" s="398">
        <v>0.39424799999999999</v>
      </c>
      <c r="K156" s="398">
        <v>1998.1</v>
      </c>
      <c r="L156" s="398">
        <v>25.3018</v>
      </c>
      <c r="M156" s="398" t="s">
        <v>25</v>
      </c>
      <c r="N156" s="399" t="s">
        <v>1036</v>
      </c>
      <c r="O156" s="357"/>
      <c r="P156" s="357"/>
      <c r="Q156" s="357"/>
      <c r="R156" s="357"/>
      <c r="S156" s="357"/>
    </row>
    <row r="157" spans="1:26">
      <c r="A157" s="400" t="s">
        <v>1043</v>
      </c>
      <c r="B157" s="401" t="s">
        <v>953</v>
      </c>
      <c r="C157" s="403">
        <v>45227.223530092589</v>
      </c>
      <c r="D157" s="401">
        <v>20</v>
      </c>
      <c r="E157" s="401">
        <v>0.1013626</v>
      </c>
      <c r="F157" s="401" t="s">
        <v>985</v>
      </c>
      <c r="G157" s="401">
        <v>23.67</v>
      </c>
      <c r="H157" s="401">
        <v>952.01867400000003</v>
      </c>
      <c r="I157" s="401">
        <v>0.99965499999999996</v>
      </c>
      <c r="J157" s="401">
        <v>0.39187</v>
      </c>
      <c r="K157" s="401">
        <v>1986</v>
      </c>
      <c r="L157" s="401">
        <v>8.5226000000000006</v>
      </c>
      <c r="M157" s="401" t="s">
        <v>25</v>
      </c>
      <c r="N157" s="402" t="s">
        <v>1036</v>
      </c>
      <c r="O157" s="357"/>
      <c r="P157" s="357"/>
      <c r="Q157" s="357"/>
      <c r="R157" s="357"/>
      <c r="S157" s="357"/>
    </row>
    <row r="158" spans="1:26">
      <c r="A158" s="394"/>
      <c r="B158" s="395"/>
      <c r="C158" s="395"/>
      <c r="D158" s="395"/>
      <c r="E158" s="395"/>
      <c r="F158" s="395"/>
      <c r="G158" s="395"/>
      <c r="H158" s="395"/>
      <c r="I158" s="395"/>
      <c r="J158" s="395"/>
      <c r="K158" s="395"/>
      <c r="L158" s="395"/>
      <c r="M158" s="395"/>
      <c r="N158" s="396"/>
      <c r="O158" s="381"/>
      <c r="P158" s="381"/>
      <c r="Q158" s="381"/>
      <c r="R158" s="381"/>
      <c r="S158" s="381"/>
      <c r="T158" s="382"/>
      <c r="U158" s="382"/>
      <c r="V158" s="382"/>
      <c r="W158" s="382"/>
      <c r="X158" s="382"/>
      <c r="Y158" s="382"/>
      <c r="Z158" s="382"/>
    </row>
    <row r="159" spans="1:26">
      <c r="A159" s="383" t="s">
        <v>952</v>
      </c>
      <c r="B159" s="384" t="s">
        <v>1034</v>
      </c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5"/>
      <c r="O159" s="357"/>
      <c r="P159" s="357"/>
      <c r="Q159" s="357"/>
      <c r="R159" s="357"/>
      <c r="S159" s="357"/>
    </row>
    <row r="160" spans="1:26">
      <c r="A160" s="397" t="s">
        <v>954</v>
      </c>
      <c r="B160" s="398"/>
      <c r="C160" s="398"/>
      <c r="D160" s="398"/>
      <c r="E160" s="398"/>
      <c r="F160" s="398"/>
      <c r="G160" s="398"/>
      <c r="H160" s="398"/>
      <c r="I160" s="398"/>
      <c r="J160" s="398"/>
      <c r="K160" s="398"/>
      <c r="L160" s="398"/>
      <c r="M160" s="398"/>
      <c r="N160" s="399"/>
      <c r="O160" s="357"/>
      <c r="P160" s="357"/>
      <c r="Q160" s="357"/>
      <c r="R160" s="357"/>
      <c r="S160" s="357"/>
    </row>
    <row r="161" spans="1:19">
      <c r="A161" s="400"/>
      <c r="B161" s="401"/>
      <c r="C161" s="401"/>
      <c r="D161" s="401"/>
      <c r="E161" s="401"/>
      <c r="F161" s="401"/>
      <c r="G161" s="401"/>
      <c r="H161" s="401"/>
      <c r="I161" s="401"/>
      <c r="J161" s="401"/>
      <c r="K161" s="401"/>
      <c r="L161" s="401"/>
      <c r="M161" s="401"/>
      <c r="N161" s="402"/>
      <c r="O161" s="357"/>
      <c r="P161" s="357"/>
      <c r="Q161" s="357"/>
      <c r="R161" s="357"/>
      <c r="S161" s="357"/>
    </row>
    <row r="162" spans="1:19">
      <c r="A162" s="397" t="s">
        <v>0</v>
      </c>
      <c r="B162" s="398" t="s">
        <v>441</v>
      </c>
      <c r="C162" s="398" t="s">
        <v>412</v>
      </c>
      <c r="D162" s="398" t="s">
        <v>955</v>
      </c>
      <c r="E162" s="398" t="s">
        <v>956</v>
      </c>
      <c r="F162" s="398" t="s">
        <v>414</v>
      </c>
      <c r="G162" s="398" t="s">
        <v>957</v>
      </c>
      <c r="H162" s="398" t="s">
        <v>958</v>
      </c>
      <c r="I162" s="398" t="s">
        <v>959</v>
      </c>
      <c r="J162" s="398" t="s">
        <v>960</v>
      </c>
      <c r="K162" s="398" t="s">
        <v>961</v>
      </c>
      <c r="L162" s="398" t="s">
        <v>962</v>
      </c>
      <c r="M162" s="398" t="s">
        <v>963</v>
      </c>
      <c r="N162" s="399" t="s">
        <v>15</v>
      </c>
      <c r="O162" s="357"/>
      <c r="P162" s="357"/>
      <c r="Q162" s="357"/>
      <c r="R162" s="357"/>
      <c r="S162" s="357"/>
    </row>
    <row r="163" spans="1:19">
      <c r="A163" s="400" t="s">
        <v>964</v>
      </c>
      <c r="B163" s="401" t="s">
        <v>953</v>
      </c>
      <c r="C163" s="409">
        <v>45236.895254629628</v>
      </c>
      <c r="D163" s="401">
        <v>20</v>
      </c>
      <c r="E163" s="401">
        <v>0.1013626</v>
      </c>
      <c r="F163" s="401" t="s">
        <v>985</v>
      </c>
      <c r="G163" s="401">
        <v>23.67</v>
      </c>
      <c r="H163" s="401">
        <v>1090.3619249999999</v>
      </c>
      <c r="I163" s="401">
        <v>0.99973500000000004</v>
      </c>
      <c r="J163" s="401">
        <v>0.39482099999999998</v>
      </c>
      <c r="K163" s="401">
        <v>2001</v>
      </c>
      <c r="L163" s="401"/>
      <c r="M163" s="401" t="s">
        <v>25</v>
      </c>
      <c r="N163" s="402"/>
      <c r="O163" s="357"/>
      <c r="P163" s="357"/>
      <c r="Q163" s="357"/>
      <c r="R163" s="357"/>
      <c r="S163" s="357"/>
    </row>
    <row r="164" spans="1:19">
      <c r="A164" s="397" t="s">
        <v>1023</v>
      </c>
      <c r="B164" s="398" t="s">
        <v>953</v>
      </c>
      <c r="C164" s="410">
        <v>45236.908437500002</v>
      </c>
      <c r="D164" s="398">
        <v>20</v>
      </c>
      <c r="E164" s="398">
        <v>0.1013626</v>
      </c>
      <c r="F164" s="398" t="s">
        <v>985</v>
      </c>
      <c r="G164" s="398">
        <v>23.67</v>
      </c>
      <c r="H164" s="398">
        <v>1092.703143</v>
      </c>
      <c r="I164" s="398">
        <v>0.99970800000000004</v>
      </c>
      <c r="J164" s="398">
        <v>0.39366299999999999</v>
      </c>
      <c r="K164" s="398">
        <v>1995.1</v>
      </c>
      <c r="L164" s="398">
        <v>4.1512000000000002</v>
      </c>
      <c r="M164" s="398" t="s">
        <v>25</v>
      </c>
      <c r="N164" s="399"/>
      <c r="O164" s="357"/>
      <c r="P164" s="357"/>
      <c r="Q164" s="357"/>
      <c r="R164" s="357"/>
      <c r="S164" s="357"/>
    </row>
    <row r="165" spans="1:19">
      <c r="A165" s="400" t="s">
        <v>1024</v>
      </c>
      <c r="B165" s="401" t="s">
        <v>953</v>
      </c>
      <c r="C165" s="409">
        <v>45236.920439814814</v>
      </c>
      <c r="D165" s="401">
        <v>20</v>
      </c>
      <c r="E165" s="401">
        <v>0.1013626</v>
      </c>
      <c r="F165" s="401" t="s">
        <v>985</v>
      </c>
      <c r="G165" s="401">
        <v>23.67</v>
      </c>
      <c r="H165" s="401">
        <v>1101.3965559999999</v>
      </c>
      <c r="I165" s="401">
        <v>0.99968900000000005</v>
      </c>
      <c r="J165" s="401">
        <v>0.393542</v>
      </c>
      <c r="K165" s="401">
        <v>1994.5</v>
      </c>
      <c r="L165" s="401">
        <v>0.43409999999999999</v>
      </c>
      <c r="M165" s="401" t="s">
        <v>25</v>
      </c>
      <c r="N165" s="402"/>
      <c r="O165" s="357"/>
      <c r="P165" s="357"/>
      <c r="Q165" s="357"/>
      <c r="R165" s="357"/>
      <c r="S165" s="357"/>
    </row>
    <row r="166" spans="1:19">
      <c r="A166" s="397" t="s">
        <v>1025</v>
      </c>
      <c r="B166" s="398" t="s">
        <v>953</v>
      </c>
      <c r="C166" s="410">
        <v>45236.93204861111</v>
      </c>
      <c r="D166" s="398">
        <v>20</v>
      </c>
      <c r="E166" s="398">
        <v>0.1013626</v>
      </c>
      <c r="F166" s="398" t="s">
        <v>985</v>
      </c>
      <c r="G166" s="398">
        <v>23.67</v>
      </c>
      <c r="H166" s="398">
        <v>1084.5227159999999</v>
      </c>
      <c r="I166" s="398">
        <v>0.99967099999999998</v>
      </c>
      <c r="J166" s="398">
        <v>0.393401</v>
      </c>
      <c r="K166" s="398">
        <v>1993.8</v>
      </c>
      <c r="L166" s="398">
        <v>0.50539999999999996</v>
      </c>
      <c r="M166" s="398" t="s">
        <v>25</v>
      </c>
      <c r="N166" s="399"/>
      <c r="O166" s="357"/>
      <c r="P166" s="357"/>
      <c r="Q166" s="357"/>
      <c r="R166" s="357"/>
      <c r="S166" s="357"/>
    </row>
    <row r="167" spans="1:19">
      <c r="A167" s="400" t="s">
        <v>967</v>
      </c>
      <c r="B167" s="401" t="s">
        <v>760</v>
      </c>
      <c r="C167" s="409">
        <v>45236.946053240739</v>
      </c>
      <c r="D167" s="401">
        <v>20</v>
      </c>
      <c r="E167" s="401">
        <v>0.1013626</v>
      </c>
      <c r="F167" s="401">
        <v>33.5</v>
      </c>
      <c r="G167" s="401">
        <v>23.67</v>
      </c>
      <c r="H167" s="401">
        <v>959.30896800000005</v>
      </c>
      <c r="I167" s="401">
        <v>0.99996700000000005</v>
      </c>
      <c r="J167" s="401">
        <v>0.44963700000000001</v>
      </c>
      <c r="K167" s="401">
        <v>2278.8000000000002</v>
      </c>
      <c r="L167" s="401"/>
      <c r="M167" s="401" t="s">
        <v>25</v>
      </c>
      <c r="N167" s="402"/>
      <c r="O167" s="357"/>
      <c r="P167" s="357"/>
      <c r="Q167" s="357"/>
      <c r="R167" s="357"/>
      <c r="S167" s="357"/>
    </row>
    <row r="168" spans="1:19">
      <c r="A168" s="397" t="s">
        <v>968</v>
      </c>
      <c r="B168" s="398" t="s">
        <v>760</v>
      </c>
      <c r="C168" s="410">
        <v>45236.958472222221</v>
      </c>
      <c r="D168" s="398">
        <v>20</v>
      </c>
      <c r="E168" s="398">
        <v>0.1013626</v>
      </c>
      <c r="F168" s="398">
        <v>33.5</v>
      </c>
      <c r="G168" s="398">
        <v>23.67</v>
      </c>
      <c r="H168" s="398">
        <v>955.30752199999995</v>
      </c>
      <c r="I168" s="398">
        <v>0.99994099999999997</v>
      </c>
      <c r="J168" s="398">
        <v>0.445247</v>
      </c>
      <c r="K168" s="398">
        <v>2256.6</v>
      </c>
      <c r="L168" s="398">
        <v>15.7316</v>
      </c>
      <c r="M168" s="398" t="s">
        <v>25</v>
      </c>
      <c r="N168" s="399"/>
      <c r="O168" s="357"/>
      <c r="P168" s="357"/>
      <c r="Q168" s="357"/>
      <c r="R168" s="357"/>
      <c r="S168" s="357"/>
    </row>
    <row r="169" spans="1:19">
      <c r="A169" s="400" t="s">
        <v>969</v>
      </c>
      <c r="B169" s="401" t="s">
        <v>760</v>
      </c>
      <c r="C169" s="409">
        <v>45236.971493055556</v>
      </c>
      <c r="D169" s="401">
        <v>20</v>
      </c>
      <c r="E169" s="401">
        <v>0.1013626</v>
      </c>
      <c r="F169" s="401">
        <v>33.5</v>
      </c>
      <c r="G169" s="401">
        <v>23.67</v>
      </c>
      <c r="H169" s="401">
        <v>960.50481100000002</v>
      </c>
      <c r="I169" s="401">
        <v>0.99995400000000001</v>
      </c>
      <c r="J169" s="401">
        <v>0.44747100000000001</v>
      </c>
      <c r="K169" s="401">
        <v>2267.8000000000002</v>
      </c>
      <c r="L169" s="401">
        <v>7.9711999999999996</v>
      </c>
      <c r="M169" s="401" t="s">
        <v>25</v>
      </c>
      <c r="N169" s="402"/>
      <c r="O169" s="357"/>
      <c r="P169" s="357"/>
      <c r="Q169" s="357"/>
      <c r="R169" s="357"/>
      <c r="S169" s="357"/>
    </row>
    <row r="170" spans="1:19">
      <c r="A170" s="397" t="s">
        <v>1017</v>
      </c>
      <c r="B170" s="398" t="s">
        <v>760</v>
      </c>
      <c r="C170" s="410">
        <v>45236.985960648148</v>
      </c>
      <c r="D170" s="398">
        <v>20</v>
      </c>
      <c r="E170" s="398">
        <v>0.1013626</v>
      </c>
      <c r="F170" s="398">
        <v>33.5</v>
      </c>
      <c r="G170" s="398">
        <v>23.67</v>
      </c>
      <c r="H170" s="398">
        <v>952.22866399999998</v>
      </c>
      <c r="I170" s="398">
        <v>0.99994099999999997</v>
      </c>
      <c r="J170" s="398">
        <v>0.44820399999999999</v>
      </c>
      <c r="K170" s="398">
        <v>2271.6</v>
      </c>
      <c r="L170" s="398">
        <v>2.6251000000000002</v>
      </c>
      <c r="M170" s="398" t="s">
        <v>25</v>
      </c>
      <c r="N170" s="399"/>
      <c r="O170" s="357"/>
      <c r="P170" s="357"/>
      <c r="Q170" s="357"/>
      <c r="R170" s="357"/>
      <c r="S170" s="357"/>
    </row>
    <row r="171" spans="1:19">
      <c r="A171" s="400" t="s">
        <v>1018</v>
      </c>
      <c r="B171" s="401" t="s">
        <v>760</v>
      </c>
      <c r="C171" s="409">
        <v>45237.003784722219</v>
      </c>
      <c r="D171" s="401">
        <v>20</v>
      </c>
      <c r="E171" s="401">
        <v>0.1013626</v>
      </c>
      <c r="F171" s="401">
        <v>33.5</v>
      </c>
      <c r="G171" s="401">
        <v>23.67</v>
      </c>
      <c r="H171" s="401">
        <v>954.15981999999997</v>
      </c>
      <c r="I171" s="401">
        <v>0.99995699999999998</v>
      </c>
      <c r="J171" s="401">
        <v>0.44853500000000002</v>
      </c>
      <c r="K171" s="401">
        <v>2273.1999999999998</v>
      </c>
      <c r="L171" s="401">
        <v>1.1873</v>
      </c>
      <c r="M171" s="401" t="s">
        <v>25</v>
      </c>
      <c r="N171" s="402"/>
      <c r="O171" s="357"/>
      <c r="P171" s="357"/>
      <c r="Q171" s="357"/>
      <c r="R171" s="357"/>
      <c r="S171" s="357"/>
    </row>
    <row r="172" spans="1:19">
      <c r="A172" s="397" t="s">
        <v>1044</v>
      </c>
      <c r="B172" s="398" t="s">
        <v>760</v>
      </c>
      <c r="C172" s="410">
        <v>45237.021180555559</v>
      </c>
      <c r="D172" s="398">
        <v>20</v>
      </c>
      <c r="E172" s="398">
        <v>0.10028819999999999</v>
      </c>
      <c r="F172" s="398">
        <v>33.5</v>
      </c>
      <c r="G172" s="398">
        <v>23.67</v>
      </c>
      <c r="H172" s="398">
        <v>947.24474299999997</v>
      </c>
      <c r="I172" s="398">
        <v>0.99994899999999998</v>
      </c>
      <c r="J172" s="398">
        <v>0.44898199999999999</v>
      </c>
      <c r="K172" s="398">
        <v>2251.4</v>
      </c>
      <c r="L172" s="398" t="s">
        <v>542</v>
      </c>
      <c r="M172" s="398" t="s">
        <v>25</v>
      </c>
      <c r="N172" s="399" t="s">
        <v>975</v>
      </c>
      <c r="O172" s="357"/>
      <c r="P172" s="357"/>
      <c r="Q172" s="357"/>
      <c r="R172" s="357"/>
      <c r="S172" s="357"/>
    </row>
    <row r="173" spans="1:19">
      <c r="A173" s="400" t="s">
        <v>1045</v>
      </c>
      <c r="B173" s="401" t="s">
        <v>760</v>
      </c>
      <c r="C173" s="409">
        <v>45237.039212962962</v>
      </c>
      <c r="D173" s="401">
        <v>20</v>
      </c>
      <c r="E173" s="401">
        <v>0.10041020000000001</v>
      </c>
      <c r="F173" s="401">
        <v>33.5</v>
      </c>
      <c r="G173" s="401">
        <v>23.67</v>
      </c>
      <c r="H173" s="401">
        <v>950.02767100000005</v>
      </c>
      <c r="I173" s="401">
        <v>0.99995199999999995</v>
      </c>
      <c r="J173" s="401">
        <v>0.448436</v>
      </c>
      <c r="K173" s="401">
        <v>2251.4</v>
      </c>
      <c r="L173" s="401" t="s">
        <v>1046</v>
      </c>
      <c r="M173" s="401" t="s">
        <v>25</v>
      </c>
      <c r="N173" s="402" t="s">
        <v>975</v>
      </c>
      <c r="O173" s="357"/>
      <c r="P173" s="357"/>
      <c r="Q173" s="357"/>
      <c r="R173" s="357"/>
      <c r="S173" s="357"/>
    </row>
    <row r="174" spans="1:19">
      <c r="A174" s="397" t="s">
        <v>1047</v>
      </c>
      <c r="B174" s="398" t="s">
        <v>760</v>
      </c>
      <c r="C174" s="410">
        <v>45237.053310185183</v>
      </c>
      <c r="D174" s="398">
        <v>20</v>
      </c>
      <c r="E174" s="398">
        <v>0.1005829</v>
      </c>
      <c r="F174" s="398">
        <v>33.5</v>
      </c>
      <c r="G174" s="398">
        <v>23.67</v>
      </c>
      <c r="H174" s="398">
        <v>951.73780099999999</v>
      </c>
      <c r="I174" s="398">
        <v>0.99995000000000001</v>
      </c>
      <c r="J174" s="398">
        <v>0.44766699999999998</v>
      </c>
      <c r="K174" s="398">
        <v>2251.4</v>
      </c>
      <c r="L174" s="398" t="s">
        <v>1046</v>
      </c>
      <c r="M174" s="398" t="s">
        <v>25</v>
      </c>
      <c r="N174" s="399" t="s">
        <v>975</v>
      </c>
      <c r="O174" s="357"/>
      <c r="P174" s="357"/>
      <c r="Q174" s="357"/>
      <c r="R174" s="357"/>
      <c r="S174" s="357"/>
    </row>
    <row r="175" spans="1:19">
      <c r="A175" s="400" t="s">
        <v>1020</v>
      </c>
      <c r="B175" s="401" t="s">
        <v>760</v>
      </c>
      <c r="C175" s="409">
        <v>45237.071388888886</v>
      </c>
      <c r="D175" s="401">
        <v>20</v>
      </c>
      <c r="E175" s="401">
        <v>0.1004965</v>
      </c>
      <c r="F175" s="401">
        <v>33.5</v>
      </c>
      <c r="G175" s="401">
        <v>23.67</v>
      </c>
      <c r="H175" s="401">
        <v>950.60772799999995</v>
      </c>
      <c r="I175" s="401">
        <v>0.99995000000000001</v>
      </c>
      <c r="J175" s="401">
        <v>0.44749299999999997</v>
      </c>
      <c r="K175" s="401">
        <v>2248.6</v>
      </c>
      <c r="L175" s="401"/>
      <c r="M175" s="401" t="s">
        <v>25</v>
      </c>
      <c r="N175" s="402"/>
      <c r="O175" s="357"/>
      <c r="P175" s="357"/>
      <c r="Q175" s="357"/>
      <c r="R175" s="357"/>
      <c r="S175" s="357"/>
    </row>
    <row r="176" spans="1:19">
      <c r="A176" s="397" t="s">
        <v>979</v>
      </c>
      <c r="B176" s="398">
        <v>236</v>
      </c>
      <c r="C176" s="410">
        <v>45237.109097222223</v>
      </c>
      <c r="D176" s="398">
        <v>20</v>
      </c>
      <c r="E176" s="398">
        <v>0.1004965</v>
      </c>
      <c r="F176" s="398" t="s">
        <v>985</v>
      </c>
      <c r="G176" s="398">
        <v>23.67</v>
      </c>
      <c r="H176" s="398">
        <v>919.22275200000001</v>
      </c>
      <c r="I176" s="398">
        <v>0.99996600000000002</v>
      </c>
      <c r="J176" s="398">
        <v>0.47765099999999999</v>
      </c>
      <c r="K176" s="398">
        <v>2400.1</v>
      </c>
      <c r="L176" s="398"/>
      <c r="M176" s="398" t="s">
        <v>25</v>
      </c>
      <c r="N176" s="399"/>
      <c r="O176" s="357"/>
      <c r="P176" s="357"/>
      <c r="Q176" s="357"/>
      <c r="R176" s="357"/>
      <c r="S176" s="357"/>
    </row>
    <row r="177" spans="1:26">
      <c r="A177" s="400" t="s">
        <v>983</v>
      </c>
      <c r="B177" s="401">
        <v>258</v>
      </c>
      <c r="C177" s="409">
        <v>45237.124745370369</v>
      </c>
      <c r="D177" s="401">
        <v>20</v>
      </c>
      <c r="E177" s="401">
        <v>0.1004965</v>
      </c>
      <c r="F177" s="401" t="s">
        <v>985</v>
      </c>
      <c r="G177" s="401">
        <v>23.67</v>
      </c>
      <c r="H177" s="401">
        <v>921.87272700000005</v>
      </c>
      <c r="I177" s="401">
        <v>0.99994499999999997</v>
      </c>
      <c r="J177" s="401">
        <v>0.47074199999999999</v>
      </c>
      <c r="K177" s="401">
        <v>2365.4</v>
      </c>
      <c r="L177" s="401"/>
      <c r="M177" s="401" t="s">
        <v>25</v>
      </c>
      <c r="N177" s="402"/>
      <c r="O177" s="357"/>
      <c r="P177" s="357"/>
      <c r="Q177" s="357"/>
      <c r="R177" s="357"/>
      <c r="S177" s="357"/>
    </row>
    <row r="178" spans="1:26">
      <c r="A178" s="397" t="s">
        <v>984</v>
      </c>
      <c r="B178" s="398">
        <v>213</v>
      </c>
      <c r="C178" s="410">
        <v>45237.142060185186</v>
      </c>
      <c r="D178" s="398">
        <v>20</v>
      </c>
      <c r="E178" s="398">
        <v>0.1004965</v>
      </c>
      <c r="F178" s="398" t="s">
        <v>985</v>
      </c>
      <c r="G178" s="398">
        <v>23.67</v>
      </c>
      <c r="H178" s="398">
        <v>930.02838899999995</v>
      </c>
      <c r="I178" s="398">
        <v>0.99996099999999999</v>
      </c>
      <c r="J178" s="398">
        <v>0.46934999999999999</v>
      </c>
      <c r="K178" s="398">
        <v>2358.4</v>
      </c>
      <c r="L178" s="398"/>
      <c r="M178" s="398" t="s">
        <v>25</v>
      </c>
      <c r="N178" s="399"/>
      <c r="O178" s="357"/>
      <c r="P178" s="357"/>
      <c r="Q178" s="357"/>
      <c r="R178" s="357"/>
      <c r="S178" s="357"/>
    </row>
    <row r="179" spans="1:26">
      <c r="A179" s="400" t="s">
        <v>1033</v>
      </c>
      <c r="B179" s="401">
        <v>214</v>
      </c>
      <c r="C179" s="409">
        <v>45237.157766203702</v>
      </c>
      <c r="D179" s="401">
        <v>20</v>
      </c>
      <c r="E179" s="401">
        <v>0.1004965</v>
      </c>
      <c r="F179" s="401" t="s">
        <v>985</v>
      </c>
      <c r="G179" s="401">
        <v>23.67</v>
      </c>
      <c r="H179" s="401">
        <v>917.24711600000001</v>
      </c>
      <c r="I179" s="401">
        <v>0.99996200000000002</v>
      </c>
      <c r="J179" s="401">
        <v>0.46875800000000001</v>
      </c>
      <c r="K179" s="401">
        <v>2355.4</v>
      </c>
      <c r="L179" s="401"/>
      <c r="M179" s="401" t="s">
        <v>25</v>
      </c>
      <c r="N179" s="402"/>
      <c r="O179" s="357"/>
      <c r="P179" s="357"/>
      <c r="Q179" s="357"/>
      <c r="R179" s="357"/>
      <c r="S179" s="357"/>
    </row>
    <row r="180" spans="1:26">
      <c r="A180" s="397" t="s">
        <v>990</v>
      </c>
      <c r="B180" s="398">
        <v>346</v>
      </c>
      <c r="C180" s="410">
        <v>45237.169861111113</v>
      </c>
      <c r="D180" s="398">
        <v>20</v>
      </c>
      <c r="E180" s="398">
        <v>0.1004965</v>
      </c>
      <c r="F180" s="398" t="s">
        <v>985</v>
      </c>
      <c r="G180" s="398">
        <v>23.67</v>
      </c>
      <c r="H180" s="398">
        <v>933.83332099999996</v>
      </c>
      <c r="I180" s="398">
        <v>0.99997000000000003</v>
      </c>
      <c r="J180" s="398">
        <v>0.48001899999999997</v>
      </c>
      <c r="K180" s="398">
        <v>2412</v>
      </c>
      <c r="L180" s="398"/>
      <c r="M180" s="398" t="s">
        <v>25</v>
      </c>
      <c r="N180" s="399"/>
      <c r="O180" s="357"/>
      <c r="P180" s="357"/>
      <c r="Q180" s="357"/>
      <c r="R180" s="357"/>
      <c r="S180" s="357"/>
    </row>
    <row r="181" spans="1:26">
      <c r="A181" s="400" t="s">
        <v>996</v>
      </c>
      <c r="B181" s="401">
        <v>345</v>
      </c>
      <c r="C181" s="409">
        <v>45237.18173611111</v>
      </c>
      <c r="D181" s="401">
        <v>20</v>
      </c>
      <c r="E181" s="401">
        <v>0.1004965</v>
      </c>
      <c r="F181" s="401">
        <v>35.299999999999997</v>
      </c>
      <c r="G181" s="401">
        <v>23.67</v>
      </c>
      <c r="H181" s="401">
        <v>921.06325400000003</v>
      </c>
      <c r="I181" s="401">
        <v>0.99993399999999999</v>
      </c>
      <c r="J181" s="401">
        <v>0.46659499999999998</v>
      </c>
      <c r="K181" s="401">
        <v>2344.6</v>
      </c>
      <c r="L181" s="401"/>
      <c r="M181" s="401" t="s">
        <v>25</v>
      </c>
      <c r="N181" s="402"/>
      <c r="O181" s="357"/>
      <c r="P181" s="357"/>
      <c r="Q181" s="357"/>
      <c r="R181" s="357"/>
      <c r="S181" s="357"/>
    </row>
    <row r="182" spans="1:26">
      <c r="A182" s="397" t="s">
        <v>997</v>
      </c>
      <c r="B182" s="398">
        <v>445</v>
      </c>
      <c r="C182" s="410">
        <v>45237.194687499999</v>
      </c>
      <c r="D182" s="398">
        <v>20</v>
      </c>
      <c r="E182" s="398">
        <v>0.1004965</v>
      </c>
      <c r="F182" s="398" t="s">
        <v>985</v>
      </c>
      <c r="G182" s="398">
        <v>23.67</v>
      </c>
      <c r="H182" s="398">
        <v>932.24088700000004</v>
      </c>
      <c r="I182" s="398">
        <v>0.99996799999999997</v>
      </c>
      <c r="J182" s="398">
        <v>0.47032000000000002</v>
      </c>
      <c r="K182" s="398">
        <v>2363.3000000000002</v>
      </c>
      <c r="L182" s="398"/>
      <c r="M182" s="398" t="s">
        <v>25</v>
      </c>
      <c r="N182" s="399"/>
      <c r="O182" s="357"/>
      <c r="P182" s="357"/>
      <c r="Q182" s="357"/>
      <c r="R182" s="357"/>
      <c r="S182" s="357"/>
    </row>
    <row r="183" spans="1:26">
      <c r="A183" s="400" t="s">
        <v>999</v>
      </c>
      <c r="B183" s="401">
        <v>444</v>
      </c>
      <c r="C183" s="409">
        <v>45237.209108796298</v>
      </c>
      <c r="D183" s="401">
        <v>20</v>
      </c>
      <c r="E183" s="401">
        <v>0.1004965</v>
      </c>
      <c r="F183" s="401">
        <v>34.799999999999997</v>
      </c>
      <c r="G183" s="401">
        <v>23.67</v>
      </c>
      <c r="H183" s="401">
        <v>935.91985499999998</v>
      </c>
      <c r="I183" s="401">
        <v>0.99996399999999996</v>
      </c>
      <c r="J183" s="401">
        <v>0.46688600000000002</v>
      </c>
      <c r="K183" s="401">
        <v>2346</v>
      </c>
      <c r="L183" s="401"/>
      <c r="M183" s="401" t="s">
        <v>25</v>
      </c>
      <c r="N183" s="402"/>
      <c r="O183" s="357"/>
      <c r="P183" s="357"/>
      <c r="Q183" s="357"/>
      <c r="R183" s="357"/>
      <c r="S183" s="357"/>
    </row>
    <row r="184" spans="1:26">
      <c r="A184" s="397" t="s">
        <v>1000</v>
      </c>
      <c r="B184" s="398">
        <v>379</v>
      </c>
      <c r="C184" s="410">
        <v>45237.219942129632</v>
      </c>
      <c r="D184" s="398">
        <v>20</v>
      </c>
      <c r="E184" s="398">
        <v>0.1004965</v>
      </c>
      <c r="F184" s="398" t="s">
        <v>985</v>
      </c>
      <c r="G184" s="398">
        <v>23.67</v>
      </c>
      <c r="H184" s="398">
        <v>937.57071299999996</v>
      </c>
      <c r="I184" s="398">
        <v>0.99996200000000002</v>
      </c>
      <c r="J184" s="398">
        <v>0.47212100000000001</v>
      </c>
      <c r="K184" s="398">
        <v>2372.3000000000002</v>
      </c>
      <c r="L184" s="398"/>
      <c r="M184" s="398" t="s">
        <v>25</v>
      </c>
      <c r="N184" s="399"/>
      <c r="O184" s="357"/>
      <c r="P184" s="357"/>
      <c r="Q184" s="357"/>
      <c r="R184" s="357"/>
      <c r="S184" s="357"/>
    </row>
    <row r="185" spans="1:26">
      <c r="A185" s="400" t="s">
        <v>1001</v>
      </c>
      <c r="B185" s="401">
        <v>390</v>
      </c>
      <c r="C185" s="409">
        <v>45237.238657407404</v>
      </c>
      <c r="D185" s="401">
        <v>20</v>
      </c>
      <c r="E185" s="401">
        <v>0.1004965</v>
      </c>
      <c r="F185" s="401" t="s">
        <v>985</v>
      </c>
      <c r="G185" s="401">
        <v>23.67</v>
      </c>
      <c r="H185" s="401">
        <v>936.77956700000004</v>
      </c>
      <c r="I185" s="401">
        <v>0.99994700000000003</v>
      </c>
      <c r="J185" s="401">
        <v>0.47027799999999997</v>
      </c>
      <c r="K185" s="401">
        <v>2363.1</v>
      </c>
      <c r="L185" s="401"/>
      <c r="M185" s="401" t="s">
        <v>25</v>
      </c>
      <c r="N185" s="402"/>
      <c r="O185" s="357"/>
      <c r="P185" s="357"/>
      <c r="Q185" s="357"/>
      <c r="R185" s="357"/>
      <c r="S185" s="357"/>
    </row>
    <row r="186" spans="1:26">
      <c r="A186" s="397" t="s">
        <v>1002</v>
      </c>
      <c r="B186" s="398">
        <v>224</v>
      </c>
      <c r="C186" s="410">
        <v>45237.250023148146</v>
      </c>
      <c r="D186" s="398">
        <v>20</v>
      </c>
      <c r="E186" s="398">
        <v>0.1004965</v>
      </c>
      <c r="F186" s="398" t="s">
        <v>985</v>
      </c>
      <c r="G186" s="398">
        <v>23.67</v>
      </c>
      <c r="H186" s="398">
        <v>935.82804799999997</v>
      </c>
      <c r="I186" s="398">
        <v>0.99996399999999996</v>
      </c>
      <c r="J186" s="398">
        <v>0.46871499999999999</v>
      </c>
      <c r="K186" s="398">
        <v>2355.1999999999998</v>
      </c>
      <c r="L186" s="398"/>
      <c r="M186" s="398" t="s">
        <v>25</v>
      </c>
      <c r="N186" s="399"/>
      <c r="O186" s="357"/>
      <c r="P186" s="357"/>
      <c r="Q186" s="357"/>
      <c r="R186" s="357"/>
      <c r="S186" s="357"/>
    </row>
    <row r="187" spans="1:26">
      <c r="A187" s="400" t="s">
        <v>1003</v>
      </c>
      <c r="B187" s="401">
        <v>335</v>
      </c>
      <c r="C187" s="409">
        <v>45237.263240740744</v>
      </c>
      <c r="D187" s="401">
        <v>20</v>
      </c>
      <c r="E187" s="401">
        <v>0.1004965</v>
      </c>
      <c r="F187" s="401" t="s">
        <v>985</v>
      </c>
      <c r="G187" s="401">
        <v>23.67</v>
      </c>
      <c r="H187" s="401">
        <v>938.49059299999999</v>
      </c>
      <c r="I187" s="401">
        <v>0.99995299999999998</v>
      </c>
      <c r="J187" s="401">
        <v>0.47667999999999999</v>
      </c>
      <c r="K187" s="401">
        <v>2395.1999999999998</v>
      </c>
      <c r="L187" s="401"/>
      <c r="M187" s="401" t="s">
        <v>25</v>
      </c>
      <c r="N187" s="402"/>
      <c r="O187" s="357"/>
      <c r="P187" s="357"/>
      <c r="Q187" s="357"/>
      <c r="R187" s="357"/>
      <c r="S187" s="357"/>
    </row>
    <row r="188" spans="1:26">
      <c r="A188" s="397" t="s">
        <v>1004</v>
      </c>
      <c r="B188" s="398">
        <v>313</v>
      </c>
      <c r="C188" s="410">
        <v>45237.274699074071</v>
      </c>
      <c r="D188" s="398">
        <v>20</v>
      </c>
      <c r="E188" s="398">
        <v>0.1004965</v>
      </c>
      <c r="F188" s="398" t="s">
        <v>985</v>
      </c>
      <c r="G188" s="398">
        <v>23.67</v>
      </c>
      <c r="H188" s="398">
        <v>936.99067300000002</v>
      </c>
      <c r="I188" s="398">
        <v>0.99995500000000004</v>
      </c>
      <c r="J188" s="398">
        <v>0.47316200000000003</v>
      </c>
      <c r="K188" s="398">
        <v>2377.6</v>
      </c>
      <c r="L188" s="398"/>
      <c r="M188" s="398" t="s">
        <v>25</v>
      </c>
      <c r="N188" s="399"/>
      <c r="O188" s="357"/>
      <c r="P188" s="357"/>
      <c r="Q188" s="357"/>
      <c r="R188" s="357"/>
      <c r="S188" s="357"/>
    </row>
    <row r="189" spans="1:26">
      <c r="A189" s="400" t="s">
        <v>1005</v>
      </c>
      <c r="B189" s="401">
        <v>301</v>
      </c>
      <c r="C189" s="409">
        <v>45237.286006944443</v>
      </c>
      <c r="D189" s="401">
        <v>20</v>
      </c>
      <c r="E189" s="401">
        <v>0.1004965</v>
      </c>
      <c r="F189" s="401" t="s">
        <v>985</v>
      </c>
      <c r="G189" s="401">
        <v>23.67</v>
      </c>
      <c r="H189" s="401">
        <v>938.98709799999995</v>
      </c>
      <c r="I189" s="401">
        <v>0.99996300000000005</v>
      </c>
      <c r="J189" s="401">
        <v>0.47837499999999999</v>
      </c>
      <c r="K189" s="401">
        <v>2403.8000000000002</v>
      </c>
      <c r="L189" s="401"/>
      <c r="M189" s="401" t="s">
        <v>25</v>
      </c>
      <c r="N189" s="402"/>
      <c r="O189" s="357"/>
      <c r="P189" s="357"/>
      <c r="Q189" s="357"/>
      <c r="R189" s="357"/>
      <c r="S189" s="357"/>
    </row>
    <row r="190" spans="1:26">
      <c r="A190" s="397" t="s">
        <v>1006</v>
      </c>
      <c r="B190" s="398">
        <v>323</v>
      </c>
      <c r="C190" s="410">
        <v>45237.298402777778</v>
      </c>
      <c r="D190" s="398">
        <v>20</v>
      </c>
      <c r="E190" s="398">
        <v>0.1004965</v>
      </c>
      <c r="F190" s="398">
        <v>34.700000000000003</v>
      </c>
      <c r="G190" s="398">
        <v>23.67</v>
      </c>
      <c r="H190" s="398">
        <v>941.39802699999996</v>
      </c>
      <c r="I190" s="398">
        <v>0.99994799999999995</v>
      </c>
      <c r="J190" s="398">
        <v>0.47680499999999998</v>
      </c>
      <c r="K190" s="398">
        <v>2395.9</v>
      </c>
      <c r="L190" s="398"/>
      <c r="M190" s="398" t="s">
        <v>25</v>
      </c>
      <c r="N190" s="399"/>
      <c r="O190" s="357"/>
      <c r="P190" s="357"/>
      <c r="Q190" s="357"/>
      <c r="R190" s="357"/>
      <c r="S190" s="357"/>
    </row>
    <row r="191" spans="1:26">
      <c r="A191" s="394"/>
      <c r="B191" s="395"/>
      <c r="C191" s="395"/>
      <c r="D191" s="395"/>
      <c r="E191" s="395"/>
      <c r="F191" s="395"/>
      <c r="G191" s="395"/>
      <c r="H191" s="395"/>
      <c r="I191" s="395"/>
      <c r="J191" s="395"/>
      <c r="K191" s="395"/>
      <c r="L191" s="395"/>
      <c r="M191" s="395"/>
      <c r="N191" s="396"/>
      <c r="O191" s="381"/>
      <c r="P191" s="381"/>
      <c r="Q191" s="381"/>
      <c r="R191" s="381"/>
      <c r="S191" s="381"/>
      <c r="T191" s="382"/>
      <c r="U191" s="382"/>
      <c r="V191" s="382"/>
      <c r="W191" s="382"/>
      <c r="X191" s="382"/>
      <c r="Y191" s="382"/>
      <c r="Z191" s="382"/>
    </row>
    <row r="192" spans="1:26">
      <c r="A192" s="383" t="s">
        <v>952</v>
      </c>
      <c r="B192" s="384" t="s">
        <v>1034</v>
      </c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5"/>
      <c r="O192" s="357"/>
      <c r="P192" s="357"/>
      <c r="Q192" s="357"/>
      <c r="R192" s="357"/>
      <c r="S192" s="357"/>
    </row>
    <row r="193" spans="1:19">
      <c r="A193" s="397" t="s">
        <v>954</v>
      </c>
      <c r="B193" s="398"/>
      <c r="C193" s="398"/>
      <c r="D193" s="398"/>
      <c r="E193" s="398"/>
      <c r="F193" s="398"/>
      <c r="G193" s="398"/>
      <c r="H193" s="398"/>
      <c r="I193" s="398"/>
      <c r="J193" s="398"/>
      <c r="K193" s="398"/>
      <c r="L193" s="398"/>
      <c r="M193" s="398"/>
      <c r="N193" s="399"/>
      <c r="O193" s="357"/>
      <c r="P193" s="357"/>
      <c r="Q193" s="357"/>
      <c r="R193" s="357"/>
      <c r="S193" s="357"/>
    </row>
    <row r="194" spans="1:19">
      <c r="A194" s="400"/>
      <c r="B194" s="401"/>
      <c r="C194" s="401"/>
      <c r="D194" s="401"/>
      <c r="E194" s="401"/>
      <c r="F194" s="401"/>
      <c r="G194" s="401"/>
      <c r="H194" s="401"/>
      <c r="I194" s="401"/>
      <c r="J194" s="401"/>
      <c r="K194" s="401"/>
      <c r="L194" s="401"/>
      <c r="M194" s="401"/>
      <c r="N194" s="402"/>
      <c r="O194" s="357"/>
      <c r="P194" s="357"/>
      <c r="Q194" s="357"/>
      <c r="R194" s="357"/>
      <c r="S194" s="357"/>
    </row>
    <row r="195" spans="1:19">
      <c r="A195" s="397" t="s">
        <v>0</v>
      </c>
      <c r="B195" s="398" t="s">
        <v>441</v>
      </c>
      <c r="C195" s="398" t="s">
        <v>412</v>
      </c>
      <c r="D195" s="398" t="s">
        <v>955</v>
      </c>
      <c r="E195" s="398" t="s">
        <v>956</v>
      </c>
      <c r="F195" s="398" t="s">
        <v>414</v>
      </c>
      <c r="G195" s="398" t="s">
        <v>957</v>
      </c>
      <c r="H195" s="398" t="s">
        <v>958</v>
      </c>
      <c r="I195" s="398" t="s">
        <v>959</v>
      </c>
      <c r="J195" s="398" t="s">
        <v>960</v>
      </c>
      <c r="K195" s="398" t="s">
        <v>961</v>
      </c>
      <c r="L195" s="398" t="s">
        <v>962</v>
      </c>
      <c r="M195" s="398" t="s">
        <v>963</v>
      </c>
      <c r="N195" s="399" t="s">
        <v>15</v>
      </c>
      <c r="O195" s="357"/>
      <c r="P195" s="357"/>
      <c r="Q195" s="357"/>
      <c r="R195" s="357"/>
      <c r="S195" s="357"/>
    </row>
    <row r="196" spans="1:19">
      <c r="A196" s="400" t="s">
        <v>964</v>
      </c>
      <c r="B196" s="401" t="s">
        <v>953</v>
      </c>
      <c r="C196" s="409">
        <v>45237.901388888888</v>
      </c>
      <c r="D196" s="401">
        <v>20</v>
      </c>
      <c r="E196" s="401">
        <v>0.1004965</v>
      </c>
      <c r="F196" s="401" t="s">
        <v>985</v>
      </c>
      <c r="G196" s="401">
        <v>23.67</v>
      </c>
      <c r="H196" s="401">
        <v>1079.151196</v>
      </c>
      <c r="I196" s="401">
        <v>0.99969600000000003</v>
      </c>
      <c r="J196" s="401">
        <v>0.39347399999999999</v>
      </c>
      <c r="K196" s="401">
        <v>1977.1</v>
      </c>
      <c r="L196" s="401"/>
      <c r="M196" s="401" t="s">
        <v>25</v>
      </c>
      <c r="N196" s="402"/>
      <c r="O196" s="357"/>
      <c r="P196" s="357"/>
      <c r="Q196" s="357"/>
      <c r="R196" s="357"/>
      <c r="S196" s="357"/>
    </row>
    <row r="197" spans="1:19">
      <c r="A197" s="397" t="s">
        <v>1023</v>
      </c>
      <c r="B197" s="398" t="s">
        <v>953</v>
      </c>
      <c r="C197" s="410">
        <v>45237.913240740738</v>
      </c>
      <c r="D197" s="398">
        <v>20</v>
      </c>
      <c r="E197" s="398">
        <v>0.1004965</v>
      </c>
      <c r="F197" s="398" t="s">
        <v>985</v>
      </c>
      <c r="G197" s="398">
        <v>23.67</v>
      </c>
      <c r="H197" s="398">
        <v>1082.3162259999999</v>
      </c>
      <c r="I197" s="398">
        <v>0.99970199999999998</v>
      </c>
      <c r="J197" s="398">
        <v>0.39430999999999999</v>
      </c>
      <c r="K197" s="398">
        <v>1981.3</v>
      </c>
      <c r="L197" s="398">
        <v>2.9697</v>
      </c>
      <c r="M197" s="398" t="s">
        <v>25</v>
      </c>
      <c r="N197" s="399"/>
      <c r="O197" s="357"/>
      <c r="P197" s="357"/>
      <c r="Q197" s="357"/>
      <c r="R197" s="357"/>
      <c r="S197" s="357"/>
    </row>
    <row r="198" spans="1:19">
      <c r="A198" s="400" t="s">
        <v>1024</v>
      </c>
      <c r="B198" s="401" t="s">
        <v>953</v>
      </c>
      <c r="C198" s="409">
        <v>45237.924733796295</v>
      </c>
      <c r="D198" s="401">
        <v>20</v>
      </c>
      <c r="E198" s="401">
        <v>0.1004965</v>
      </c>
      <c r="F198" s="401" t="s">
        <v>985</v>
      </c>
      <c r="G198" s="401">
        <v>23.67</v>
      </c>
      <c r="H198" s="401" t="s">
        <v>1048</v>
      </c>
      <c r="I198" s="401" t="s">
        <v>1048</v>
      </c>
      <c r="J198" s="401" t="s">
        <v>1048</v>
      </c>
      <c r="K198" s="401" t="s">
        <v>1048</v>
      </c>
      <c r="L198" s="401" t="s">
        <v>1048</v>
      </c>
      <c r="M198" s="401" t="s">
        <v>25</v>
      </c>
      <c r="N198" s="402"/>
      <c r="O198" s="357"/>
      <c r="P198" s="357"/>
      <c r="Q198" s="357"/>
      <c r="R198" s="357"/>
      <c r="S198" s="357"/>
    </row>
    <row r="199" spans="1:19">
      <c r="A199" s="397" t="s">
        <v>1025</v>
      </c>
      <c r="B199" s="398" t="s">
        <v>953</v>
      </c>
      <c r="C199" s="410">
        <v>45237.942986111113</v>
      </c>
      <c r="D199" s="398">
        <v>20</v>
      </c>
      <c r="E199" s="398">
        <v>0.1004965</v>
      </c>
      <c r="F199" s="398" t="s">
        <v>985</v>
      </c>
      <c r="G199" s="398">
        <v>23.67</v>
      </c>
      <c r="H199" s="398">
        <v>1073.965019</v>
      </c>
      <c r="I199" s="398">
        <v>0.99978400000000001</v>
      </c>
      <c r="J199" s="398">
        <v>0.39366499999999999</v>
      </c>
      <c r="K199" s="398">
        <v>1978.1</v>
      </c>
      <c r="L199" s="398" t="s">
        <v>1048</v>
      </c>
      <c r="M199" s="398" t="s">
        <v>25</v>
      </c>
      <c r="N199" s="399"/>
      <c r="O199" s="357"/>
      <c r="P199" s="357"/>
      <c r="Q199" s="357"/>
      <c r="R199" s="357"/>
      <c r="S199" s="357"/>
    </row>
    <row r="200" spans="1:19">
      <c r="A200" s="400" t="s">
        <v>1026</v>
      </c>
      <c r="B200" s="401" t="s">
        <v>953</v>
      </c>
      <c r="C200" s="409">
        <v>45237.974583333336</v>
      </c>
      <c r="D200" s="401">
        <v>20</v>
      </c>
      <c r="E200" s="401">
        <v>0.1004965</v>
      </c>
      <c r="F200" s="401" t="s">
        <v>985</v>
      </c>
      <c r="G200" s="401">
        <v>23.67</v>
      </c>
      <c r="H200" s="401">
        <v>1087.911638</v>
      </c>
      <c r="I200" s="401">
        <v>0.99976100000000001</v>
      </c>
      <c r="J200" s="401">
        <v>0.39462399999999997</v>
      </c>
      <c r="K200" s="401">
        <v>1982.9</v>
      </c>
      <c r="L200" s="401">
        <v>3.4051999999999998</v>
      </c>
      <c r="M200" s="401" t="s">
        <v>25</v>
      </c>
      <c r="N200" s="402"/>
      <c r="O200" s="357"/>
      <c r="P200" s="357"/>
      <c r="Q200" s="357"/>
      <c r="R200" s="357"/>
      <c r="S200" s="357"/>
    </row>
    <row r="201" spans="1:19">
      <c r="A201" s="397" t="s">
        <v>1027</v>
      </c>
      <c r="B201" s="398" t="s">
        <v>953</v>
      </c>
      <c r="C201" s="410">
        <v>45237.986018518517</v>
      </c>
      <c r="D201" s="398">
        <v>20</v>
      </c>
      <c r="E201" s="398">
        <v>0.1004965</v>
      </c>
      <c r="F201" s="398" t="s">
        <v>985</v>
      </c>
      <c r="G201" s="398">
        <v>23.67</v>
      </c>
      <c r="H201" s="398">
        <v>1090.740401</v>
      </c>
      <c r="I201" s="398">
        <v>0.999726</v>
      </c>
      <c r="J201" s="398">
        <v>0.39468500000000001</v>
      </c>
      <c r="K201" s="398">
        <v>1983.2</v>
      </c>
      <c r="L201" s="398">
        <v>0.21740000000000001</v>
      </c>
      <c r="M201" s="398" t="s">
        <v>25</v>
      </c>
      <c r="N201" s="399"/>
      <c r="O201" s="357"/>
      <c r="P201" s="357"/>
      <c r="Q201" s="357"/>
      <c r="R201" s="357"/>
      <c r="S201" s="357"/>
    </row>
    <row r="202" spans="1:19">
      <c r="A202" s="400" t="s">
        <v>1029</v>
      </c>
      <c r="B202" s="401" t="s">
        <v>953</v>
      </c>
      <c r="C202" s="409">
        <v>45237.999895833331</v>
      </c>
      <c r="D202" s="401">
        <v>20</v>
      </c>
      <c r="E202" s="401">
        <v>0.1004965</v>
      </c>
      <c r="F202" s="401" t="s">
        <v>985</v>
      </c>
      <c r="G202" s="401">
        <v>23.67</v>
      </c>
      <c r="H202" s="401">
        <v>1092.946099</v>
      </c>
      <c r="I202" s="401">
        <v>0.99972799999999995</v>
      </c>
      <c r="J202" s="401">
        <v>0.393542</v>
      </c>
      <c r="K202" s="401">
        <v>1977.5</v>
      </c>
      <c r="L202" s="401">
        <v>4.0608000000000004</v>
      </c>
      <c r="M202" s="401" t="s">
        <v>25</v>
      </c>
      <c r="N202" s="402"/>
      <c r="O202" s="357"/>
      <c r="P202" s="357"/>
      <c r="Q202" s="357"/>
      <c r="R202" s="357"/>
      <c r="S202" s="357"/>
    </row>
    <row r="203" spans="1:19">
      <c r="A203" s="397" t="s">
        <v>1030</v>
      </c>
      <c r="B203" s="398" t="s">
        <v>953</v>
      </c>
      <c r="C203" s="410">
        <v>45238.011064814818</v>
      </c>
      <c r="D203" s="398">
        <v>20</v>
      </c>
      <c r="E203" s="398">
        <v>0.1004965</v>
      </c>
      <c r="F203" s="398" t="s">
        <v>985</v>
      </c>
      <c r="G203" s="398">
        <v>23.67</v>
      </c>
      <c r="H203" s="398">
        <v>1091.9647640000001</v>
      </c>
      <c r="I203" s="398">
        <v>0.99974700000000005</v>
      </c>
      <c r="J203" s="398">
        <v>0.39417000000000002</v>
      </c>
      <c r="K203" s="398">
        <v>1980.6</v>
      </c>
      <c r="L203" s="398">
        <v>2.2303999999999999</v>
      </c>
      <c r="M203" s="398" t="s">
        <v>25</v>
      </c>
      <c r="N203" s="399"/>
      <c r="O203" s="357"/>
      <c r="P203" s="357"/>
      <c r="Q203" s="357"/>
      <c r="R203" s="357"/>
      <c r="S203" s="357"/>
    </row>
    <row r="204" spans="1:19">
      <c r="A204" s="400" t="s">
        <v>967</v>
      </c>
      <c r="B204" s="401" t="s">
        <v>434</v>
      </c>
      <c r="C204" s="409">
        <v>45238.025671296295</v>
      </c>
      <c r="D204" s="401">
        <v>20</v>
      </c>
      <c r="E204" s="401">
        <v>0.1004965</v>
      </c>
      <c r="F204" s="401">
        <v>33.5</v>
      </c>
      <c r="G204" s="401">
        <v>23.67</v>
      </c>
      <c r="H204" s="401">
        <v>952.57926299999997</v>
      </c>
      <c r="I204" s="401">
        <v>0.99996200000000002</v>
      </c>
      <c r="J204" s="401">
        <v>0.44292300000000001</v>
      </c>
      <c r="K204" s="401">
        <v>2225.6</v>
      </c>
      <c r="L204" s="401"/>
      <c r="M204" s="401" t="s">
        <v>25</v>
      </c>
      <c r="N204" s="402"/>
      <c r="O204" s="357"/>
      <c r="P204" s="357"/>
      <c r="Q204" s="357"/>
      <c r="R204" s="357"/>
      <c r="S204" s="357"/>
    </row>
    <row r="205" spans="1:19">
      <c r="A205" s="397" t="s">
        <v>968</v>
      </c>
      <c r="B205" s="398" t="s">
        <v>434</v>
      </c>
      <c r="C205" s="410">
        <v>45238.037361111114</v>
      </c>
      <c r="D205" s="398">
        <v>20</v>
      </c>
      <c r="E205" s="398">
        <v>0.1004965</v>
      </c>
      <c r="F205" s="398">
        <v>33.5</v>
      </c>
      <c r="G205" s="398">
        <v>23.67</v>
      </c>
      <c r="H205" s="398">
        <v>949.95524399999999</v>
      </c>
      <c r="I205" s="398">
        <v>0.999973</v>
      </c>
      <c r="J205" s="398">
        <v>0.443936</v>
      </c>
      <c r="K205" s="398">
        <v>2230.6999999999998</v>
      </c>
      <c r="L205" s="398">
        <v>3.5996999999999999</v>
      </c>
      <c r="M205" s="398" t="s">
        <v>25</v>
      </c>
      <c r="N205" s="399"/>
      <c r="O205" s="357"/>
      <c r="P205" s="357"/>
      <c r="Q205" s="357"/>
      <c r="R205" s="357"/>
      <c r="S205" s="357"/>
    </row>
    <row r="206" spans="1:19">
      <c r="A206" s="400" t="s">
        <v>969</v>
      </c>
      <c r="B206" s="401" t="s">
        <v>434</v>
      </c>
      <c r="C206" s="409">
        <v>45238.050046296295</v>
      </c>
      <c r="D206" s="401">
        <v>20</v>
      </c>
      <c r="E206" s="401">
        <v>0.1004965</v>
      </c>
      <c r="F206" s="401">
        <v>33.5</v>
      </c>
      <c r="G206" s="401">
        <v>23.67</v>
      </c>
      <c r="H206" s="401">
        <v>950.92425200000002</v>
      </c>
      <c r="I206" s="401">
        <v>0.99996799999999997</v>
      </c>
      <c r="J206" s="401">
        <v>0.44451299999999999</v>
      </c>
      <c r="K206" s="401">
        <v>2233.6</v>
      </c>
      <c r="L206" s="401">
        <v>2.0508999999999999</v>
      </c>
      <c r="M206" s="401" t="s">
        <v>25</v>
      </c>
      <c r="N206" s="402"/>
      <c r="O206" s="357"/>
      <c r="P206" s="357"/>
      <c r="Q206" s="357"/>
      <c r="R206" s="357"/>
      <c r="S206" s="357"/>
    </row>
    <row r="207" spans="1:19">
      <c r="A207" s="397" t="s">
        <v>1017</v>
      </c>
      <c r="B207" s="398" t="s">
        <v>434</v>
      </c>
      <c r="C207" s="410">
        <v>45238.068240740744</v>
      </c>
      <c r="D207" s="398">
        <v>20</v>
      </c>
      <c r="E207" s="398">
        <v>0.1004965</v>
      </c>
      <c r="F207" s="398">
        <v>33.5</v>
      </c>
      <c r="G207" s="398">
        <v>23.67</v>
      </c>
      <c r="H207" s="398">
        <v>940.20350399999995</v>
      </c>
      <c r="I207" s="398">
        <v>0.99996099999999999</v>
      </c>
      <c r="J207" s="398">
        <v>0.428425</v>
      </c>
      <c r="K207" s="398">
        <v>2152.8000000000002</v>
      </c>
      <c r="L207" s="398">
        <v>57.163899999999998</v>
      </c>
      <c r="M207" s="398" t="s">
        <v>25</v>
      </c>
      <c r="N207" s="399"/>
      <c r="O207" s="357"/>
      <c r="P207" s="357"/>
      <c r="Q207" s="357"/>
      <c r="R207" s="357"/>
      <c r="S207" s="357"/>
    </row>
    <row r="208" spans="1:19">
      <c r="A208" s="400" t="s">
        <v>970</v>
      </c>
      <c r="B208" s="401" t="s">
        <v>434</v>
      </c>
      <c r="C208" s="409">
        <v>45238.085856481484</v>
      </c>
      <c r="D208" s="401">
        <v>20</v>
      </c>
      <c r="E208" s="401">
        <v>0.1004965</v>
      </c>
      <c r="F208" s="401">
        <v>33.5</v>
      </c>
      <c r="G208" s="401">
        <v>23.67</v>
      </c>
      <c r="H208" s="401">
        <v>945.39467400000001</v>
      </c>
      <c r="I208" s="401">
        <v>0.99996099999999999</v>
      </c>
      <c r="J208" s="401">
        <v>0.44323600000000002</v>
      </c>
      <c r="K208" s="401">
        <v>2227.1999999999998</v>
      </c>
      <c r="L208" s="401"/>
      <c r="M208" s="401" t="s">
        <v>25</v>
      </c>
      <c r="N208" s="402"/>
      <c r="O208" s="357"/>
      <c r="P208" s="357"/>
      <c r="Q208" s="357"/>
      <c r="R208" s="357"/>
      <c r="S208" s="357"/>
    </row>
    <row r="209" spans="1:26">
      <c r="A209" s="397" t="s">
        <v>972</v>
      </c>
      <c r="B209" s="398" t="s">
        <v>434</v>
      </c>
      <c r="C209" s="410">
        <v>45238.099710648145</v>
      </c>
      <c r="D209" s="398">
        <v>20</v>
      </c>
      <c r="E209" s="398">
        <v>0.1004965</v>
      </c>
      <c r="F209" s="398">
        <v>33.5</v>
      </c>
      <c r="G209" s="398">
        <v>23.67</v>
      </c>
      <c r="H209" s="398">
        <v>952.02105200000005</v>
      </c>
      <c r="I209" s="398">
        <v>0.99995599999999996</v>
      </c>
      <c r="J209" s="398">
        <v>0.44355699999999998</v>
      </c>
      <c r="K209" s="398">
        <v>2228.8000000000002</v>
      </c>
      <c r="L209" s="398">
        <v>1.1409</v>
      </c>
      <c r="M209" s="398" t="s">
        <v>25</v>
      </c>
      <c r="N209" s="399"/>
      <c r="O209" s="357"/>
      <c r="P209" s="357"/>
      <c r="Q209" s="357"/>
      <c r="R209" s="357"/>
      <c r="S209" s="357"/>
    </row>
    <row r="210" spans="1:26">
      <c r="A210" s="400" t="s">
        <v>1020</v>
      </c>
      <c r="B210" s="401">
        <v>477</v>
      </c>
      <c r="C210" s="409">
        <v>45238.116805555554</v>
      </c>
      <c r="D210" s="401">
        <v>20</v>
      </c>
      <c r="E210" s="401">
        <v>0.1004965</v>
      </c>
      <c r="F210" s="401">
        <v>33.4</v>
      </c>
      <c r="G210" s="401">
        <v>23.67</v>
      </c>
      <c r="H210" s="401">
        <v>953.19804099999999</v>
      </c>
      <c r="I210" s="401">
        <v>0.99995299999999998</v>
      </c>
      <c r="J210" s="401">
        <v>0.47265699999999999</v>
      </c>
      <c r="K210" s="401">
        <v>2375</v>
      </c>
      <c r="L210" s="401"/>
      <c r="M210" s="401" t="s">
        <v>25</v>
      </c>
      <c r="N210" s="402"/>
      <c r="O210" s="357"/>
      <c r="P210" s="357"/>
      <c r="Q210" s="357"/>
      <c r="R210" s="357"/>
      <c r="S210" s="357"/>
    </row>
    <row r="211" spans="1:26">
      <c r="A211" s="397" t="s">
        <v>979</v>
      </c>
      <c r="B211" s="398">
        <v>478</v>
      </c>
      <c r="C211" s="410">
        <v>45238.130057870374</v>
      </c>
      <c r="D211" s="398">
        <v>20</v>
      </c>
      <c r="E211" s="398">
        <v>0.1004965</v>
      </c>
      <c r="F211" s="398">
        <v>35.6</v>
      </c>
      <c r="G211" s="398">
        <v>23.67</v>
      </c>
      <c r="H211" s="398">
        <v>959.91871600000002</v>
      </c>
      <c r="I211" s="398">
        <v>0.99994700000000003</v>
      </c>
      <c r="J211" s="398">
        <v>0.473833</v>
      </c>
      <c r="K211" s="398">
        <v>2380.9</v>
      </c>
      <c r="L211" s="398"/>
      <c r="M211" s="398" t="s">
        <v>25</v>
      </c>
      <c r="N211" s="399"/>
      <c r="O211" s="357"/>
      <c r="P211" s="357"/>
      <c r="Q211" s="357"/>
      <c r="R211" s="357"/>
      <c r="S211" s="357"/>
    </row>
    <row r="212" spans="1:26">
      <c r="A212" s="400" t="s">
        <v>983</v>
      </c>
      <c r="B212" s="401">
        <v>368</v>
      </c>
      <c r="C212" s="409">
        <v>45238.145613425928</v>
      </c>
      <c r="D212" s="401">
        <v>20</v>
      </c>
      <c r="E212" s="401">
        <v>0.1004965</v>
      </c>
      <c r="F212" s="401">
        <v>35.4</v>
      </c>
      <c r="G212" s="401">
        <v>23.67</v>
      </c>
      <c r="H212" s="401">
        <v>954.68901100000005</v>
      </c>
      <c r="I212" s="401">
        <v>0.99994499999999997</v>
      </c>
      <c r="J212" s="401">
        <v>0.47057399999999999</v>
      </c>
      <c r="K212" s="401">
        <v>2364.6</v>
      </c>
      <c r="L212" s="401"/>
      <c r="M212" s="401" t="s">
        <v>25</v>
      </c>
      <c r="N212" s="402"/>
      <c r="O212" s="357"/>
      <c r="P212" s="357"/>
      <c r="Q212" s="357"/>
      <c r="R212" s="357"/>
      <c r="S212" s="357"/>
    </row>
    <row r="213" spans="1:26">
      <c r="A213" s="397" t="s">
        <v>984</v>
      </c>
      <c r="B213" s="398">
        <v>587</v>
      </c>
      <c r="C213" s="410">
        <v>45238.159317129626</v>
      </c>
      <c r="D213" s="398">
        <v>20</v>
      </c>
      <c r="E213" s="398">
        <v>0.1004965</v>
      </c>
      <c r="F213" s="398">
        <v>35.4</v>
      </c>
      <c r="G213" s="398">
        <v>23.67</v>
      </c>
      <c r="H213" s="398">
        <v>954.26872300000002</v>
      </c>
      <c r="I213" s="398">
        <v>0.99995900000000004</v>
      </c>
      <c r="J213" s="398">
        <v>0.47229900000000002</v>
      </c>
      <c r="K213" s="398">
        <v>2373.1999999999998</v>
      </c>
      <c r="L213" s="398"/>
      <c r="M213" s="398" t="s">
        <v>25</v>
      </c>
      <c r="N213" s="399"/>
      <c r="O213" s="357"/>
      <c r="P213" s="357"/>
      <c r="Q213" s="357"/>
      <c r="R213" s="357"/>
      <c r="S213" s="357"/>
    </row>
    <row r="214" spans="1:26">
      <c r="A214" s="400" t="s">
        <v>1033</v>
      </c>
      <c r="B214" s="401">
        <v>588</v>
      </c>
      <c r="C214" s="409">
        <v>45238.172210648147</v>
      </c>
      <c r="D214" s="401">
        <v>20</v>
      </c>
      <c r="E214" s="401">
        <v>0.1004965</v>
      </c>
      <c r="F214" s="401">
        <v>35.799999999999997</v>
      </c>
      <c r="G214" s="401">
        <v>23.67</v>
      </c>
      <c r="H214" s="401">
        <v>959.85693600000002</v>
      </c>
      <c r="I214" s="401">
        <v>0.99996300000000005</v>
      </c>
      <c r="J214" s="401">
        <v>0.47805999999999998</v>
      </c>
      <c r="K214" s="401">
        <v>2402.1999999999998</v>
      </c>
      <c r="L214" s="401"/>
      <c r="M214" s="401" t="s">
        <v>25</v>
      </c>
      <c r="N214" s="402"/>
      <c r="O214" s="357"/>
      <c r="P214" s="357"/>
      <c r="Q214" s="357"/>
      <c r="R214" s="357"/>
      <c r="S214" s="357"/>
    </row>
    <row r="215" spans="1:26">
      <c r="A215" s="397" t="s">
        <v>990</v>
      </c>
      <c r="B215" s="398">
        <v>609</v>
      </c>
      <c r="C215" s="410">
        <v>45238.183078703703</v>
      </c>
      <c r="D215" s="398">
        <v>20</v>
      </c>
      <c r="E215" s="398">
        <v>0.1004965</v>
      </c>
      <c r="F215" s="398">
        <v>35.4</v>
      </c>
      <c r="G215" s="398">
        <v>23.67</v>
      </c>
      <c r="H215" s="398">
        <v>956.92053699999997</v>
      </c>
      <c r="I215" s="398">
        <v>0.99995999999999996</v>
      </c>
      <c r="J215" s="398">
        <v>0.47278799999999999</v>
      </c>
      <c r="K215" s="398">
        <v>2375.6999999999998</v>
      </c>
      <c r="L215" s="398"/>
      <c r="M215" s="398" t="s">
        <v>25</v>
      </c>
      <c r="N215" s="399"/>
      <c r="O215" s="357"/>
      <c r="P215" s="357"/>
      <c r="Q215" s="357"/>
      <c r="R215" s="357"/>
      <c r="S215" s="357"/>
    </row>
    <row r="216" spans="1:26">
      <c r="A216" s="400" t="s">
        <v>996</v>
      </c>
      <c r="B216" s="401">
        <v>610</v>
      </c>
      <c r="C216" s="409">
        <v>45238.197743055556</v>
      </c>
      <c r="D216" s="401">
        <v>20</v>
      </c>
      <c r="E216" s="401">
        <v>0.1004965</v>
      </c>
      <c r="F216" s="401">
        <v>35.299999999999997</v>
      </c>
      <c r="G216" s="401">
        <v>23.67</v>
      </c>
      <c r="H216" s="401">
        <v>954.437996</v>
      </c>
      <c r="I216" s="401">
        <v>0.99994400000000006</v>
      </c>
      <c r="J216" s="401">
        <v>0.47643200000000002</v>
      </c>
      <c r="K216" s="401">
        <v>2394</v>
      </c>
      <c r="L216" s="401"/>
      <c r="M216" s="401" t="s">
        <v>25</v>
      </c>
      <c r="N216" s="402"/>
      <c r="O216" s="357"/>
      <c r="P216" s="357"/>
      <c r="Q216" s="357"/>
      <c r="R216" s="357"/>
      <c r="S216" s="357"/>
    </row>
    <row r="217" spans="1:26">
      <c r="A217" s="397" t="s">
        <v>997</v>
      </c>
      <c r="B217" s="398">
        <v>225</v>
      </c>
      <c r="C217" s="410">
        <v>45238.212210648147</v>
      </c>
      <c r="D217" s="398">
        <v>20</v>
      </c>
      <c r="E217" s="398">
        <v>0.1004965</v>
      </c>
      <c r="F217" s="398" t="s">
        <v>985</v>
      </c>
      <c r="G217" s="398">
        <v>23.67</v>
      </c>
      <c r="H217" s="398">
        <v>934.54346899999996</v>
      </c>
      <c r="I217" s="398">
        <v>0.999977</v>
      </c>
      <c r="J217" s="398">
        <v>0.48372300000000001</v>
      </c>
      <c r="K217" s="398">
        <v>2430.6</v>
      </c>
      <c r="L217" s="398"/>
      <c r="M217" s="398" t="s">
        <v>25</v>
      </c>
      <c r="N217" s="399"/>
      <c r="O217" s="357"/>
      <c r="P217" s="357"/>
      <c r="Q217" s="357"/>
      <c r="R217" s="357"/>
      <c r="S217" s="357"/>
    </row>
    <row r="218" spans="1:26">
      <c r="A218" s="400" t="s">
        <v>999</v>
      </c>
      <c r="B218" s="401">
        <v>367</v>
      </c>
      <c r="C218" s="409">
        <v>45238.225266203706</v>
      </c>
      <c r="D218" s="401">
        <v>20</v>
      </c>
      <c r="E218" s="401">
        <v>0.1004965</v>
      </c>
      <c r="F218" s="401">
        <v>35.200000000000003</v>
      </c>
      <c r="G218" s="401">
        <v>23.67</v>
      </c>
      <c r="H218" s="401">
        <v>929.89432999999997</v>
      </c>
      <c r="I218" s="401">
        <v>0.99996799999999997</v>
      </c>
      <c r="J218" s="401">
        <v>0.47226000000000001</v>
      </c>
      <c r="K218" s="401">
        <v>2373</v>
      </c>
      <c r="L218" s="401"/>
      <c r="M218" s="401" t="s">
        <v>25</v>
      </c>
      <c r="N218" s="402"/>
      <c r="O218" s="357"/>
      <c r="P218" s="357"/>
      <c r="Q218" s="357"/>
      <c r="R218" s="357"/>
      <c r="S218" s="357"/>
    </row>
    <row r="219" spans="1:26">
      <c r="A219" s="397" t="s">
        <v>1000</v>
      </c>
      <c r="B219" s="398">
        <v>302</v>
      </c>
      <c r="C219" s="410">
        <v>45238.239699074074</v>
      </c>
      <c r="D219" s="398">
        <v>20</v>
      </c>
      <c r="E219" s="398">
        <v>0.1004965</v>
      </c>
      <c r="F219" s="398" t="s">
        <v>985</v>
      </c>
      <c r="G219" s="398">
        <v>23.67</v>
      </c>
      <c r="H219" s="398">
        <v>935.31727000000001</v>
      </c>
      <c r="I219" s="398">
        <v>0.99984300000000004</v>
      </c>
      <c r="J219" s="398">
        <v>0.47708400000000001</v>
      </c>
      <c r="K219" s="398">
        <v>2397.3000000000002</v>
      </c>
      <c r="L219" s="398"/>
      <c r="M219" s="398" t="s">
        <v>25</v>
      </c>
      <c r="N219" s="399"/>
      <c r="O219" s="357"/>
      <c r="P219" s="357"/>
      <c r="Q219" s="357"/>
      <c r="R219" s="357"/>
      <c r="S219" s="357"/>
    </row>
    <row r="220" spans="1:26">
      <c r="A220" s="400" t="s">
        <v>1001</v>
      </c>
      <c r="B220" s="401">
        <v>334</v>
      </c>
      <c r="C220" s="409">
        <v>45238.251793981479</v>
      </c>
      <c r="D220" s="401">
        <v>20</v>
      </c>
      <c r="E220" s="401">
        <v>0.1004965</v>
      </c>
      <c r="F220" s="401">
        <v>31.8</v>
      </c>
      <c r="G220" s="401">
        <v>23.67</v>
      </c>
      <c r="H220" s="401">
        <v>935.19958299999996</v>
      </c>
      <c r="I220" s="401">
        <v>0.99996099999999999</v>
      </c>
      <c r="J220" s="401">
        <v>0.47794700000000001</v>
      </c>
      <c r="K220" s="401">
        <v>2401.6</v>
      </c>
      <c r="L220" s="401"/>
      <c r="M220" s="401" t="s">
        <v>25</v>
      </c>
      <c r="N220" s="402"/>
      <c r="O220" s="357"/>
      <c r="P220" s="357"/>
      <c r="Q220" s="357"/>
      <c r="R220" s="357"/>
      <c r="S220" s="357"/>
    </row>
    <row r="221" spans="1:26">
      <c r="A221" s="397" t="s">
        <v>1002</v>
      </c>
      <c r="B221" s="398" t="s">
        <v>434</v>
      </c>
      <c r="C221" s="410">
        <v>45238.265555555554</v>
      </c>
      <c r="D221" s="398">
        <v>20</v>
      </c>
      <c r="E221" s="398">
        <v>0.1004965</v>
      </c>
      <c r="F221" s="398">
        <v>33.5</v>
      </c>
      <c r="G221" s="398">
        <v>23.67</v>
      </c>
      <c r="H221" s="398">
        <v>938.99438999999995</v>
      </c>
      <c r="I221" s="398">
        <v>0.99996099999999999</v>
      </c>
      <c r="J221" s="398">
        <v>0.443602</v>
      </c>
      <c r="K221" s="398">
        <v>2229</v>
      </c>
      <c r="L221" s="398"/>
      <c r="M221" s="398" t="s">
        <v>25</v>
      </c>
      <c r="N221" s="399"/>
      <c r="O221" s="357"/>
      <c r="P221" s="357"/>
      <c r="Q221" s="357"/>
      <c r="R221" s="357"/>
      <c r="S221" s="357"/>
    </row>
    <row r="222" spans="1:26">
      <c r="A222" s="394"/>
      <c r="B222" s="395"/>
      <c r="C222" s="395"/>
      <c r="D222" s="395"/>
      <c r="E222" s="395"/>
      <c r="F222" s="395"/>
      <c r="G222" s="395"/>
      <c r="H222" s="395"/>
      <c r="I222" s="395"/>
      <c r="J222" s="395"/>
      <c r="K222" s="395"/>
      <c r="L222" s="395"/>
      <c r="M222" s="395"/>
      <c r="N222" s="396"/>
      <c r="O222" s="381"/>
      <c r="P222" s="381"/>
      <c r="Q222" s="381"/>
      <c r="R222" s="381"/>
      <c r="S222" s="381"/>
      <c r="T222" s="382"/>
      <c r="U222" s="382"/>
      <c r="V222" s="382"/>
      <c r="W222" s="382"/>
      <c r="X222" s="382"/>
      <c r="Y222" s="382"/>
      <c r="Z222" s="382"/>
    </row>
    <row r="223" spans="1:26">
      <c r="A223" s="383" t="s">
        <v>952</v>
      </c>
      <c r="B223" s="384" t="s">
        <v>1034</v>
      </c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5"/>
      <c r="O223" s="357"/>
      <c r="P223" s="357"/>
      <c r="Q223" s="357"/>
      <c r="R223" s="357"/>
      <c r="S223" s="357"/>
    </row>
    <row r="224" spans="1:26">
      <c r="A224" s="397" t="s">
        <v>954</v>
      </c>
      <c r="B224" s="398"/>
      <c r="C224" s="398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9"/>
      <c r="O224" s="357"/>
      <c r="P224" s="357"/>
      <c r="Q224" s="357"/>
      <c r="R224" s="357"/>
      <c r="S224" s="357"/>
    </row>
    <row r="225" spans="1:19">
      <c r="A225" s="400"/>
      <c r="B225" s="401"/>
      <c r="C225" s="401"/>
      <c r="D225" s="401"/>
      <c r="E225" s="401"/>
      <c r="F225" s="401"/>
      <c r="G225" s="401"/>
      <c r="H225" s="401"/>
      <c r="I225" s="401"/>
      <c r="J225" s="401"/>
      <c r="K225" s="401"/>
      <c r="L225" s="401"/>
      <c r="M225" s="401"/>
      <c r="N225" s="402"/>
      <c r="O225" s="357"/>
      <c r="P225" s="357"/>
      <c r="Q225" s="357"/>
      <c r="R225" s="357"/>
      <c r="S225" s="357"/>
    </row>
    <row r="226" spans="1:19">
      <c r="A226" s="397" t="s">
        <v>0</v>
      </c>
      <c r="B226" s="398" t="s">
        <v>441</v>
      </c>
      <c r="C226" s="398" t="s">
        <v>412</v>
      </c>
      <c r="D226" s="398" t="s">
        <v>955</v>
      </c>
      <c r="E226" s="398" t="s">
        <v>956</v>
      </c>
      <c r="F226" s="398" t="s">
        <v>414</v>
      </c>
      <c r="G226" s="398" t="s">
        <v>957</v>
      </c>
      <c r="H226" s="398" t="s">
        <v>958</v>
      </c>
      <c r="I226" s="398" t="s">
        <v>959</v>
      </c>
      <c r="J226" s="398" t="s">
        <v>960</v>
      </c>
      <c r="K226" s="398" t="s">
        <v>961</v>
      </c>
      <c r="L226" s="398" t="s">
        <v>962</v>
      </c>
      <c r="M226" s="398" t="s">
        <v>963</v>
      </c>
      <c r="N226" s="399" t="s">
        <v>15</v>
      </c>
      <c r="O226" s="357"/>
      <c r="P226" s="357"/>
      <c r="Q226" s="357"/>
      <c r="R226" s="357"/>
      <c r="S226" s="357"/>
    </row>
    <row r="227" spans="1:19">
      <c r="A227" s="400" t="s">
        <v>964</v>
      </c>
      <c r="B227" s="401" t="s">
        <v>953</v>
      </c>
      <c r="C227" s="409">
        <v>45238.861817129633</v>
      </c>
      <c r="D227" s="401">
        <v>20</v>
      </c>
      <c r="E227" s="401">
        <v>0.1004965</v>
      </c>
      <c r="F227" s="401" t="s">
        <v>985</v>
      </c>
      <c r="G227" s="401">
        <v>23.67</v>
      </c>
      <c r="H227" s="401">
        <v>0</v>
      </c>
      <c r="I227" s="401">
        <v>0</v>
      </c>
      <c r="J227" s="401">
        <v>0</v>
      </c>
      <c r="K227" s="401">
        <v>0</v>
      </c>
      <c r="L227" s="401" t="s">
        <v>966</v>
      </c>
      <c r="M227" s="401" t="s">
        <v>25</v>
      </c>
      <c r="N227" s="402"/>
      <c r="O227" s="357"/>
      <c r="P227" s="357"/>
      <c r="Q227" s="357"/>
      <c r="R227" s="357"/>
      <c r="S227" s="357"/>
    </row>
    <row r="228" spans="1:19">
      <c r="A228" s="397" t="s">
        <v>1023</v>
      </c>
      <c r="B228" s="398" t="s">
        <v>953</v>
      </c>
      <c r="C228" s="410">
        <v>45238.86347222222</v>
      </c>
      <c r="D228" s="398">
        <v>20</v>
      </c>
      <c r="E228" s="398">
        <v>0.1004965</v>
      </c>
      <c r="F228" s="398" t="s">
        <v>985</v>
      </c>
      <c r="G228" s="398">
        <v>23.67</v>
      </c>
      <c r="H228" s="398">
        <v>1064.9567300000001</v>
      </c>
      <c r="I228" s="398">
        <v>0.999699</v>
      </c>
      <c r="J228" s="398">
        <v>0.38290400000000002</v>
      </c>
      <c r="K228" s="398">
        <v>1924</v>
      </c>
      <c r="L228" s="398"/>
      <c r="M228" s="398" t="s">
        <v>25</v>
      </c>
      <c r="N228" s="399"/>
      <c r="O228" s="357"/>
      <c r="P228" s="357"/>
      <c r="Q228" s="357"/>
      <c r="R228" s="357"/>
      <c r="S228" s="357"/>
    </row>
    <row r="229" spans="1:19">
      <c r="A229" s="400" t="s">
        <v>1024</v>
      </c>
      <c r="B229" s="401" t="s">
        <v>953</v>
      </c>
      <c r="C229" s="409">
        <v>45238.882013888891</v>
      </c>
      <c r="D229" s="401">
        <v>20</v>
      </c>
      <c r="E229" s="401">
        <v>0.1004965</v>
      </c>
      <c r="F229" s="401" t="s">
        <v>985</v>
      </c>
      <c r="G229" s="401">
        <v>23.67</v>
      </c>
      <c r="H229" s="401">
        <v>1054.10104</v>
      </c>
      <c r="I229" s="401">
        <v>0.99969699999999995</v>
      </c>
      <c r="J229" s="401">
        <v>0.39819599999999999</v>
      </c>
      <c r="K229" s="401">
        <v>2000.9</v>
      </c>
      <c r="L229" s="401">
        <v>54.335500000000003</v>
      </c>
      <c r="M229" s="401" t="s">
        <v>25</v>
      </c>
      <c r="N229" s="402"/>
      <c r="O229" s="357"/>
      <c r="P229" s="357"/>
      <c r="Q229" s="357"/>
      <c r="R229" s="357"/>
      <c r="S229" s="357"/>
    </row>
    <row r="230" spans="1:19">
      <c r="A230" s="397" t="s">
        <v>1025</v>
      </c>
      <c r="B230" s="398" t="s">
        <v>953</v>
      </c>
      <c r="C230" s="410">
        <v>45238.89472222222</v>
      </c>
      <c r="D230" s="398">
        <v>20</v>
      </c>
      <c r="E230" s="398">
        <v>0.1004965</v>
      </c>
      <c r="F230" s="398" t="s">
        <v>985</v>
      </c>
      <c r="G230" s="398">
        <v>23.67</v>
      </c>
      <c r="H230" s="398">
        <v>1050.507441</v>
      </c>
      <c r="I230" s="398">
        <v>0.99968900000000005</v>
      </c>
      <c r="J230" s="398">
        <v>0.39784700000000001</v>
      </c>
      <c r="K230" s="398">
        <v>1999.1</v>
      </c>
      <c r="L230" s="398">
        <v>1.2417</v>
      </c>
      <c r="M230" s="398" t="s">
        <v>25</v>
      </c>
      <c r="N230" s="399"/>
      <c r="O230" s="357"/>
      <c r="P230" s="357"/>
      <c r="Q230" s="357"/>
      <c r="R230" s="357"/>
      <c r="S230" s="357"/>
    </row>
    <row r="231" spans="1:19">
      <c r="A231" s="400" t="s">
        <v>1026</v>
      </c>
      <c r="B231" s="401" t="s">
        <v>953</v>
      </c>
      <c r="C231" s="409">
        <v>45238.910393518519</v>
      </c>
      <c r="D231" s="401">
        <v>20</v>
      </c>
      <c r="E231" s="401">
        <v>0.1004965</v>
      </c>
      <c r="F231" s="401" t="s">
        <v>985</v>
      </c>
      <c r="G231" s="401">
        <v>23.67</v>
      </c>
      <c r="H231" s="401">
        <v>1058.582805</v>
      </c>
      <c r="I231" s="401">
        <v>0.999718</v>
      </c>
      <c r="J231" s="401">
        <v>0.39821299999999998</v>
      </c>
      <c r="K231" s="401">
        <v>2001</v>
      </c>
      <c r="L231" s="401">
        <v>1.302</v>
      </c>
      <c r="M231" s="401" t="s">
        <v>25</v>
      </c>
      <c r="N231" s="402"/>
      <c r="O231" s="357"/>
      <c r="P231" s="357"/>
      <c r="Q231" s="357"/>
      <c r="R231" s="357"/>
      <c r="S231" s="357"/>
    </row>
    <row r="232" spans="1:19">
      <c r="A232" s="397" t="s">
        <v>967</v>
      </c>
      <c r="B232" s="398" t="s">
        <v>417</v>
      </c>
      <c r="C232" s="410">
        <v>45238.92664351852</v>
      </c>
      <c r="D232" s="398">
        <v>20</v>
      </c>
      <c r="E232" s="398">
        <v>0.1004965</v>
      </c>
      <c r="F232" s="398">
        <v>33.5</v>
      </c>
      <c r="G232" s="398">
        <v>23.67</v>
      </c>
      <c r="H232" s="398">
        <v>926.68624</v>
      </c>
      <c r="I232" s="398">
        <v>0.99994799999999995</v>
      </c>
      <c r="J232" s="398">
        <v>0.447878</v>
      </c>
      <c r="K232" s="398">
        <v>2250.5</v>
      </c>
      <c r="L232" s="398"/>
      <c r="M232" s="398" t="s">
        <v>25</v>
      </c>
      <c r="N232" s="399"/>
      <c r="O232" s="357"/>
      <c r="P232" s="357"/>
      <c r="Q232" s="357"/>
      <c r="R232" s="357"/>
      <c r="S232" s="357"/>
    </row>
    <row r="233" spans="1:19">
      <c r="A233" s="400" t="s">
        <v>968</v>
      </c>
      <c r="B233" s="401" t="s">
        <v>417</v>
      </c>
      <c r="C233" s="409">
        <v>45238.942129629628</v>
      </c>
      <c r="D233" s="401">
        <v>20</v>
      </c>
      <c r="E233" s="401">
        <v>0.1004965</v>
      </c>
      <c r="F233" s="401">
        <v>33.5</v>
      </c>
      <c r="G233" s="401">
        <v>23.67</v>
      </c>
      <c r="H233" s="401">
        <v>922.27870800000005</v>
      </c>
      <c r="I233" s="401">
        <v>0.99995599999999996</v>
      </c>
      <c r="J233" s="401">
        <v>0.44711200000000001</v>
      </c>
      <c r="K233" s="401">
        <v>2246.6999999999998</v>
      </c>
      <c r="L233" s="401">
        <v>2.7218</v>
      </c>
      <c r="M233" s="401" t="s">
        <v>25</v>
      </c>
      <c r="N233" s="402"/>
      <c r="O233" s="357"/>
      <c r="P233" s="357"/>
      <c r="Q233" s="357"/>
      <c r="R233" s="357"/>
      <c r="S233" s="357"/>
    </row>
    <row r="234" spans="1:19">
      <c r="A234" s="397" t="s">
        <v>969</v>
      </c>
      <c r="B234" s="398" t="s">
        <v>417</v>
      </c>
      <c r="C234" s="410">
        <v>45238.958865740744</v>
      </c>
      <c r="D234" s="398">
        <v>20</v>
      </c>
      <c r="E234" s="398">
        <v>0.1004965</v>
      </c>
      <c r="F234" s="398">
        <v>33.5</v>
      </c>
      <c r="G234" s="398">
        <v>23.67</v>
      </c>
      <c r="H234" s="398">
        <v>922.92292599999996</v>
      </c>
      <c r="I234" s="398">
        <v>0.99995400000000001</v>
      </c>
      <c r="J234" s="398">
        <v>0.44627600000000001</v>
      </c>
      <c r="K234" s="398">
        <v>2242.5</v>
      </c>
      <c r="L234" s="398">
        <v>2.9695</v>
      </c>
      <c r="M234" s="398" t="s">
        <v>25</v>
      </c>
      <c r="N234" s="399"/>
      <c r="O234" s="357"/>
      <c r="P234" s="357"/>
      <c r="Q234" s="357"/>
      <c r="R234" s="357"/>
      <c r="S234" s="357"/>
    </row>
    <row r="235" spans="1:19">
      <c r="A235" s="400" t="s">
        <v>970</v>
      </c>
      <c r="B235" s="401">
        <v>400</v>
      </c>
      <c r="C235" s="409">
        <v>45238.976990740739</v>
      </c>
      <c r="D235" s="401">
        <v>20</v>
      </c>
      <c r="E235" s="401">
        <v>0.1004965</v>
      </c>
      <c r="F235" s="401">
        <v>36.299999999999997</v>
      </c>
      <c r="G235" s="401">
        <v>23.67</v>
      </c>
      <c r="H235" s="401">
        <v>934.10333800000001</v>
      </c>
      <c r="I235" s="401">
        <v>0.99993600000000005</v>
      </c>
      <c r="J235" s="401">
        <v>0.47769499999999998</v>
      </c>
      <c r="K235" s="401">
        <v>2400.3000000000002</v>
      </c>
      <c r="L235" s="401"/>
      <c r="M235" s="401" t="s">
        <v>25</v>
      </c>
      <c r="N235" s="402"/>
      <c r="O235" s="357"/>
      <c r="P235" s="357"/>
      <c r="Q235" s="357"/>
      <c r="R235" s="357"/>
      <c r="S235" s="357"/>
    </row>
    <row r="236" spans="1:19">
      <c r="A236" s="397" t="s">
        <v>1020</v>
      </c>
      <c r="B236" s="398">
        <v>434</v>
      </c>
      <c r="C236" s="410">
        <v>45238.992349537039</v>
      </c>
      <c r="D236" s="398">
        <v>20</v>
      </c>
      <c r="E236" s="398">
        <v>0.1004965</v>
      </c>
      <c r="F236" s="398" t="s">
        <v>985</v>
      </c>
      <c r="G236" s="398">
        <v>23.67</v>
      </c>
      <c r="H236" s="398">
        <v>931.89219300000002</v>
      </c>
      <c r="I236" s="398">
        <v>0.999942</v>
      </c>
      <c r="J236" s="398">
        <v>0.475879</v>
      </c>
      <c r="K236" s="398">
        <v>2391.1999999999998</v>
      </c>
      <c r="L236" s="398"/>
      <c r="M236" s="398" t="s">
        <v>25</v>
      </c>
      <c r="N236" s="399"/>
      <c r="O236" s="357"/>
      <c r="P236" s="357"/>
      <c r="Q236" s="357"/>
      <c r="R236" s="357"/>
      <c r="S236" s="357"/>
    </row>
    <row r="237" spans="1:19">
      <c r="A237" s="400" t="s">
        <v>979</v>
      </c>
      <c r="B237" s="401">
        <v>433</v>
      </c>
      <c r="C237" s="409">
        <v>45239.004236111112</v>
      </c>
      <c r="D237" s="401">
        <v>20</v>
      </c>
      <c r="E237" s="401">
        <v>0.1004965</v>
      </c>
      <c r="F237" s="401" t="s">
        <v>985</v>
      </c>
      <c r="G237" s="401">
        <v>23.67</v>
      </c>
      <c r="H237" s="401">
        <v>892.71909100000005</v>
      </c>
      <c r="I237" s="401">
        <v>0.99998799999999999</v>
      </c>
      <c r="J237" s="401">
        <v>0.47692800000000002</v>
      </c>
      <c r="K237" s="401">
        <v>2396.5</v>
      </c>
      <c r="L237" s="401"/>
      <c r="M237" s="401" t="s">
        <v>25</v>
      </c>
      <c r="N237" s="402"/>
      <c r="O237" s="357"/>
      <c r="P237" s="357"/>
      <c r="Q237" s="357"/>
      <c r="R237" s="357"/>
      <c r="S237" s="357"/>
    </row>
    <row r="238" spans="1:19">
      <c r="A238" s="397" t="s">
        <v>983</v>
      </c>
      <c r="B238" s="398">
        <v>423</v>
      </c>
      <c r="C238" s="410">
        <v>45239.020856481482</v>
      </c>
      <c r="D238" s="398">
        <v>20</v>
      </c>
      <c r="E238" s="398">
        <v>0.1004965</v>
      </c>
      <c r="F238" s="398">
        <v>34.200000000000003</v>
      </c>
      <c r="G238" s="398">
        <v>23.67</v>
      </c>
      <c r="H238" s="398">
        <v>866.75487299999998</v>
      </c>
      <c r="I238" s="398">
        <v>0.99997899999999995</v>
      </c>
      <c r="J238" s="398">
        <v>0.47735100000000003</v>
      </c>
      <c r="K238" s="398">
        <v>2398.6</v>
      </c>
      <c r="L238" s="398"/>
      <c r="M238" s="398" t="s">
        <v>25</v>
      </c>
      <c r="N238" s="399"/>
      <c r="O238" s="357"/>
      <c r="P238" s="357"/>
      <c r="Q238" s="357"/>
      <c r="R238" s="357"/>
      <c r="S238" s="357"/>
    </row>
    <row r="239" spans="1:19">
      <c r="A239" s="400" t="s">
        <v>984</v>
      </c>
      <c r="B239" s="401">
        <v>356</v>
      </c>
      <c r="C239" s="409">
        <v>45239.032881944448</v>
      </c>
      <c r="D239" s="401">
        <v>20</v>
      </c>
      <c r="E239" s="401">
        <v>0.1004965</v>
      </c>
      <c r="F239" s="401">
        <v>36.1</v>
      </c>
      <c r="G239" s="401">
        <v>23.67</v>
      </c>
      <c r="H239" s="401">
        <v>884.63655800000004</v>
      </c>
      <c r="I239" s="401">
        <v>0.99980500000000005</v>
      </c>
      <c r="J239" s="401">
        <v>0.48214000000000001</v>
      </c>
      <c r="K239" s="401">
        <v>2422.6999999999998</v>
      </c>
      <c r="L239" s="401"/>
      <c r="M239" s="401" t="s">
        <v>25</v>
      </c>
      <c r="N239" s="402"/>
      <c r="O239" s="357"/>
      <c r="P239" s="357"/>
      <c r="Q239" s="357"/>
      <c r="R239" s="357"/>
      <c r="S239" s="357"/>
    </row>
    <row r="240" spans="1:19">
      <c r="A240" s="397" t="s">
        <v>1033</v>
      </c>
      <c r="B240" s="398">
        <v>378</v>
      </c>
      <c r="C240" s="410">
        <v>45239.052627314813</v>
      </c>
      <c r="D240" s="398">
        <v>20</v>
      </c>
      <c r="E240" s="398">
        <v>0.1004965</v>
      </c>
      <c r="F240" s="398">
        <v>35.9</v>
      </c>
      <c r="G240" s="398">
        <v>23.67</v>
      </c>
      <c r="H240" s="398">
        <v>843.50853800000004</v>
      </c>
      <c r="I240" s="398">
        <v>0.99998200000000004</v>
      </c>
      <c r="J240" s="398">
        <v>0.45972800000000003</v>
      </c>
      <c r="K240" s="398">
        <v>2310.1</v>
      </c>
      <c r="L240" s="398"/>
      <c r="M240" s="398" t="s">
        <v>25</v>
      </c>
      <c r="N240" s="399"/>
      <c r="O240" s="357"/>
      <c r="P240" s="357"/>
      <c r="Q240" s="357"/>
      <c r="R240" s="357"/>
      <c r="S240" s="357"/>
    </row>
    <row r="241" spans="1:26">
      <c r="A241" s="400" t="s">
        <v>990</v>
      </c>
      <c r="B241" s="401">
        <v>357</v>
      </c>
      <c r="C241" s="409">
        <v>45239.066400462965</v>
      </c>
      <c r="D241" s="401">
        <v>20</v>
      </c>
      <c r="E241" s="401">
        <v>0.1004965</v>
      </c>
      <c r="F241" s="401">
        <v>35.9</v>
      </c>
      <c r="G241" s="401">
        <v>23.67</v>
      </c>
      <c r="H241" s="401">
        <v>0</v>
      </c>
      <c r="I241" s="401">
        <v>0</v>
      </c>
      <c r="J241" s="401">
        <v>0</v>
      </c>
      <c r="K241" s="401">
        <v>0</v>
      </c>
      <c r="L241" s="401" t="s">
        <v>966</v>
      </c>
      <c r="M241" s="401" t="s">
        <v>25</v>
      </c>
      <c r="N241" s="402"/>
      <c r="O241" s="357"/>
      <c r="P241" s="357"/>
      <c r="Q241" s="357"/>
      <c r="R241" s="357"/>
      <c r="S241" s="357"/>
    </row>
    <row r="242" spans="1:26">
      <c r="A242" s="397" t="s">
        <v>996</v>
      </c>
      <c r="B242" s="398">
        <v>312</v>
      </c>
      <c r="C242" s="410">
        <v>45239.081400462965</v>
      </c>
      <c r="D242" s="398">
        <v>20</v>
      </c>
      <c r="E242" s="398">
        <v>0.1004965</v>
      </c>
      <c r="F242" s="398">
        <v>36</v>
      </c>
      <c r="G242" s="398">
        <v>23.67</v>
      </c>
      <c r="H242" s="398">
        <v>893.46722299999999</v>
      </c>
      <c r="I242" s="398">
        <v>0.99980999999999998</v>
      </c>
      <c r="J242" s="398">
        <v>0.48046100000000003</v>
      </c>
      <c r="K242" s="398">
        <v>2414.1999999999998</v>
      </c>
      <c r="L242" s="398"/>
      <c r="M242" s="398" t="s">
        <v>25</v>
      </c>
      <c r="N242" s="399"/>
      <c r="O242" s="357"/>
      <c r="P242" s="357"/>
      <c r="Q242" s="357"/>
      <c r="R242" s="357"/>
      <c r="S242" s="357"/>
    </row>
    <row r="243" spans="1:26">
      <c r="A243" s="400" t="s">
        <v>997</v>
      </c>
      <c r="B243" s="401">
        <v>357</v>
      </c>
      <c r="C243" s="409">
        <v>45239.103958333333</v>
      </c>
      <c r="D243" s="401">
        <v>20</v>
      </c>
      <c r="E243" s="401">
        <v>0.1004965</v>
      </c>
      <c r="F243" s="401">
        <v>35.9</v>
      </c>
      <c r="G243" s="401">
        <v>23.67</v>
      </c>
      <c r="H243" s="401">
        <v>865.15517999999997</v>
      </c>
      <c r="I243" s="401">
        <v>0.99767600000000001</v>
      </c>
      <c r="J243" s="401">
        <v>0.458708</v>
      </c>
      <c r="K243" s="401">
        <v>2304.9</v>
      </c>
      <c r="L243" s="401"/>
      <c r="M243" s="401" t="s">
        <v>25</v>
      </c>
      <c r="N243" s="402"/>
      <c r="O243" s="357"/>
      <c r="P243" s="357"/>
      <c r="Q243" s="357"/>
      <c r="R243" s="357"/>
      <c r="S243" s="357"/>
    </row>
    <row r="244" spans="1:26">
      <c r="A244" s="397" t="s">
        <v>999</v>
      </c>
      <c r="B244" s="398">
        <v>389</v>
      </c>
      <c r="C244" s="410">
        <v>45239.127905092595</v>
      </c>
      <c r="D244" s="398">
        <v>20</v>
      </c>
      <c r="E244" s="398">
        <v>0.1004965</v>
      </c>
      <c r="F244" s="398">
        <v>36</v>
      </c>
      <c r="G244" s="398">
        <v>23.67</v>
      </c>
      <c r="H244" s="398">
        <v>910.68921799999998</v>
      </c>
      <c r="I244" s="398">
        <v>0.99996600000000002</v>
      </c>
      <c r="J244" s="398">
        <v>0.47570400000000002</v>
      </c>
      <c r="K244" s="398">
        <v>2390.3000000000002</v>
      </c>
      <c r="L244" s="398"/>
      <c r="M244" s="398" t="s">
        <v>25</v>
      </c>
      <c r="N244" s="399"/>
      <c r="O244" s="357"/>
      <c r="P244" s="357"/>
      <c r="Q244" s="357"/>
      <c r="R244" s="357"/>
      <c r="S244" s="357"/>
    </row>
    <row r="245" spans="1:26">
      <c r="A245" s="400" t="s">
        <v>1000</v>
      </c>
      <c r="B245" s="401">
        <v>323</v>
      </c>
      <c r="C245" s="409">
        <v>45239.148402777777</v>
      </c>
      <c r="D245" s="401">
        <v>20</v>
      </c>
      <c r="E245" s="401">
        <v>0.1004965</v>
      </c>
      <c r="F245" s="401" t="s">
        <v>985</v>
      </c>
      <c r="G245" s="401">
        <v>23.67</v>
      </c>
      <c r="H245" s="401">
        <v>906.32725200000004</v>
      </c>
      <c r="I245" s="401">
        <v>0.99997599999999998</v>
      </c>
      <c r="J245" s="401">
        <v>0.47262500000000002</v>
      </c>
      <c r="K245" s="401">
        <v>2374.9</v>
      </c>
      <c r="L245" s="401"/>
      <c r="M245" s="401" t="s">
        <v>25</v>
      </c>
      <c r="N245" s="402" t="s">
        <v>1049</v>
      </c>
      <c r="O245" s="357"/>
      <c r="P245" s="357"/>
      <c r="Q245" s="357"/>
      <c r="R245" s="357"/>
      <c r="S245" s="357"/>
    </row>
    <row r="246" spans="1:26">
      <c r="A246" s="397" t="s">
        <v>1001</v>
      </c>
      <c r="B246" s="398">
        <v>510</v>
      </c>
      <c r="C246" s="410">
        <v>45239.164884259262</v>
      </c>
      <c r="D246" s="398">
        <v>20</v>
      </c>
      <c r="E246" s="398">
        <v>0.1004965</v>
      </c>
      <c r="F246" s="398">
        <v>35.9</v>
      </c>
      <c r="G246" s="398">
        <v>23.67</v>
      </c>
      <c r="H246" s="398">
        <v>898.55936199999996</v>
      </c>
      <c r="I246" s="398">
        <v>0.999969</v>
      </c>
      <c r="J246" s="398">
        <v>0.47877500000000001</v>
      </c>
      <c r="K246" s="398">
        <v>2405.8000000000002</v>
      </c>
      <c r="L246" s="398"/>
      <c r="M246" s="398" t="s">
        <v>25</v>
      </c>
      <c r="N246" s="399"/>
      <c r="O246" s="357"/>
      <c r="P246" s="357"/>
      <c r="Q246" s="357"/>
      <c r="R246" s="357"/>
      <c r="S246" s="357"/>
    </row>
    <row r="247" spans="1:26">
      <c r="A247" s="400" t="s">
        <v>1002</v>
      </c>
      <c r="B247" s="401">
        <v>456</v>
      </c>
      <c r="C247" s="409">
        <v>45239.176249999997</v>
      </c>
      <c r="D247" s="401">
        <v>20</v>
      </c>
      <c r="E247" s="401">
        <v>0.1004965</v>
      </c>
      <c r="F247" s="401">
        <v>35.5</v>
      </c>
      <c r="G247" s="401">
        <v>23.67</v>
      </c>
      <c r="H247" s="401">
        <v>904.95923900000003</v>
      </c>
      <c r="I247" s="401">
        <v>0.99997400000000003</v>
      </c>
      <c r="J247" s="401">
        <v>0.48530499999999999</v>
      </c>
      <c r="K247" s="401">
        <v>2438.6</v>
      </c>
      <c r="L247" s="401"/>
      <c r="M247" s="401" t="s">
        <v>25</v>
      </c>
      <c r="N247" s="402"/>
      <c r="O247" s="357"/>
      <c r="P247" s="357"/>
      <c r="Q247" s="357"/>
      <c r="R247" s="357"/>
      <c r="S247" s="357"/>
    </row>
    <row r="248" spans="1:26">
      <c r="A248" s="397" t="s">
        <v>1003</v>
      </c>
      <c r="B248" s="398">
        <v>544</v>
      </c>
      <c r="C248" s="410">
        <v>45239.192372685182</v>
      </c>
      <c r="D248" s="398">
        <v>20</v>
      </c>
      <c r="E248" s="398">
        <v>0.1004965</v>
      </c>
      <c r="F248" s="398">
        <v>35.299999999999997</v>
      </c>
      <c r="G248" s="398">
        <v>23.67</v>
      </c>
      <c r="H248" s="398">
        <v>872.76929800000005</v>
      </c>
      <c r="I248" s="398">
        <v>0.99997899999999995</v>
      </c>
      <c r="J248" s="398">
        <v>0.47212700000000002</v>
      </c>
      <c r="K248" s="398">
        <v>2372.4</v>
      </c>
      <c r="L248" s="398"/>
      <c r="M248" s="398" t="s">
        <v>25</v>
      </c>
      <c r="N248" s="399"/>
      <c r="O248" s="357"/>
      <c r="P248" s="357"/>
      <c r="Q248" s="357"/>
      <c r="R248" s="357"/>
      <c r="S248" s="357"/>
    </row>
    <row r="249" spans="1:26">
      <c r="A249" s="400" t="s">
        <v>1004</v>
      </c>
      <c r="B249" s="401">
        <v>411</v>
      </c>
      <c r="C249" s="409">
        <v>45239.205891203703</v>
      </c>
      <c r="D249" s="401">
        <v>20</v>
      </c>
      <c r="E249" s="401">
        <v>0.1004965</v>
      </c>
      <c r="F249" s="401">
        <v>35.9</v>
      </c>
      <c r="G249" s="401">
        <v>23.67</v>
      </c>
      <c r="H249" s="401">
        <v>900.43697299999997</v>
      </c>
      <c r="I249" s="401">
        <v>0.99995400000000001</v>
      </c>
      <c r="J249" s="401">
        <v>0.47914000000000001</v>
      </c>
      <c r="K249" s="401">
        <v>2407.6</v>
      </c>
      <c r="L249" s="401"/>
      <c r="M249" s="401" t="s">
        <v>25</v>
      </c>
      <c r="N249" s="402"/>
      <c r="O249" s="357"/>
      <c r="P249" s="357"/>
      <c r="Q249" s="357"/>
      <c r="R249" s="357"/>
      <c r="S249" s="357"/>
    </row>
    <row r="250" spans="1:26">
      <c r="A250" s="397" t="s">
        <v>1005</v>
      </c>
      <c r="B250" s="398">
        <v>324</v>
      </c>
      <c r="C250" s="410">
        <v>45239.222557870373</v>
      </c>
      <c r="D250" s="398">
        <v>20</v>
      </c>
      <c r="E250" s="398">
        <v>0.1004965</v>
      </c>
      <c r="F250" s="398" t="s">
        <v>985</v>
      </c>
      <c r="G250" s="398">
        <v>23.67</v>
      </c>
      <c r="H250" s="398">
        <v>914.33448699999997</v>
      </c>
      <c r="I250" s="398">
        <v>0.99995699999999998</v>
      </c>
      <c r="J250" s="398">
        <v>0.47960900000000001</v>
      </c>
      <c r="K250" s="398">
        <v>2410</v>
      </c>
      <c r="L250" s="398"/>
      <c r="M250" s="398" t="s">
        <v>25</v>
      </c>
      <c r="N250" s="399"/>
      <c r="O250" s="357"/>
      <c r="P250" s="357"/>
      <c r="Q250" s="357"/>
      <c r="R250" s="357"/>
      <c r="S250" s="357"/>
    </row>
    <row r="251" spans="1:26">
      <c r="A251" s="400" t="s">
        <v>1006</v>
      </c>
      <c r="B251" s="401">
        <v>412</v>
      </c>
      <c r="C251" s="409">
        <v>45239.241585648146</v>
      </c>
      <c r="D251" s="401">
        <v>20</v>
      </c>
      <c r="E251" s="401">
        <v>0.1004965</v>
      </c>
      <c r="F251" s="401">
        <v>35.9</v>
      </c>
      <c r="G251" s="401">
        <v>23.67</v>
      </c>
      <c r="H251" s="401">
        <v>897.35071900000003</v>
      </c>
      <c r="I251" s="401">
        <v>0.99995999999999996</v>
      </c>
      <c r="J251" s="401">
        <v>0.47749900000000001</v>
      </c>
      <c r="K251" s="401">
        <v>2399.4</v>
      </c>
      <c r="L251" s="401"/>
      <c r="M251" s="401" t="s">
        <v>25</v>
      </c>
      <c r="N251" s="402"/>
      <c r="O251" s="357"/>
      <c r="P251" s="357"/>
      <c r="Q251" s="357"/>
      <c r="R251" s="357"/>
      <c r="S251" s="357"/>
    </row>
    <row r="252" spans="1:26">
      <c r="A252" s="397" t="s">
        <v>1007</v>
      </c>
      <c r="B252" s="398" t="s">
        <v>417</v>
      </c>
      <c r="C252" s="410">
        <v>45239.251956018517</v>
      </c>
      <c r="D252" s="398">
        <v>20</v>
      </c>
      <c r="E252" s="398">
        <v>0.1004965</v>
      </c>
      <c r="F252" s="398">
        <v>33.5</v>
      </c>
      <c r="G252" s="398">
        <v>23.67</v>
      </c>
      <c r="H252" s="398">
        <v>910.49553900000001</v>
      </c>
      <c r="I252" s="398">
        <v>0.99995599999999996</v>
      </c>
      <c r="J252" s="398">
        <v>0.44874000000000003</v>
      </c>
      <c r="K252" s="398">
        <v>2254.8000000000002</v>
      </c>
      <c r="L252" s="398"/>
      <c r="M252" s="398" t="s">
        <v>25</v>
      </c>
      <c r="N252" s="399"/>
      <c r="O252" s="357"/>
      <c r="P252" s="357"/>
      <c r="Q252" s="357"/>
      <c r="R252" s="357"/>
      <c r="S252" s="357"/>
    </row>
    <row r="253" spans="1:26">
      <c r="A253" s="394"/>
      <c r="B253" s="395"/>
      <c r="C253" s="395"/>
      <c r="D253" s="395"/>
      <c r="E253" s="395"/>
      <c r="F253" s="395"/>
      <c r="G253" s="395"/>
      <c r="H253" s="395"/>
      <c r="I253" s="395"/>
      <c r="J253" s="395"/>
      <c r="K253" s="395"/>
      <c r="L253" s="395"/>
      <c r="M253" s="395"/>
      <c r="N253" s="396"/>
      <c r="O253" s="381"/>
      <c r="P253" s="381"/>
      <c r="Q253" s="381"/>
      <c r="R253" s="381"/>
      <c r="S253" s="381"/>
      <c r="T253" s="382"/>
      <c r="U253" s="382"/>
      <c r="V253" s="382"/>
      <c r="W253" s="382"/>
      <c r="X253" s="382"/>
      <c r="Y253" s="382"/>
      <c r="Z253" s="382"/>
    </row>
    <row r="254" spans="1:26">
      <c r="A254" s="383" t="s">
        <v>952</v>
      </c>
      <c r="B254" s="384" t="s">
        <v>1034</v>
      </c>
      <c r="C254" s="384"/>
      <c r="D254" s="384"/>
      <c r="E254" s="384"/>
      <c r="F254" s="384"/>
      <c r="G254" s="384"/>
      <c r="H254" s="384"/>
      <c r="I254" s="384"/>
      <c r="J254" s="384"/>
      <c r="K254" s="384"/>
      <c r="L254" s="384"/>
      <c r="M254" s="384"/>
      <c r="N254" s="385"/>
      <c r="O254" s="357"/>
      <c r="P254" s="357"/>
      <c r="Q254" s="357"/>
      <c r="R254" s="357"/>
      <c r="S254" s="357"/>
    </row>
    <row r="255" spans="1:26">
      <c r="A255" s="397" t="s">
        <v>954</v>
      </c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9"/>
      <c r="O255" s="357"/>
      <c r="P255" s="357"/>
      <c r="Q255" s="357"/>
      <c r="R255" s="357"/>
      <c r="S255" s="357"/>
    </row>
    <row r="256" spans="1:26">
      <c r="A256" s="400"/>
      <c r="B256" s="401"/>
      <c r="C256" s="401"/>
      <c r="D256" s="401"/>
      <c r="E256" s="401"/>
      <c r="F256" s="401"/>
      <c r="G256" s="401"/>
      <c r="H256" s="401"/>
      <c r="I256" s="401"/>
      <c r="J256" s="401"/>
      <c r="K256" s="401"/>
      <c r="L256" s="401"/>
      <c r="M256" s="401"/>
      <c r="N256" s="402"/>
      <c r="O256" s="357"/>
      <c r="P256" s="357"/>
      <c r="Q256" s="357"/>
      <c r="R256" s="357"/>
      <c r="S256" s="357"/>
    </row>
    <row r="257" spans="1:19">
      <c r="A257" s="397" t="s">
        <v>0</v>
      </c>
      <c r="B257" s="398" t="s">
        <v>441</v>
      </c>
      <c r="C257" s="398" t="s">
        <v>412</v>
      </c>
      <c r="D257" s="398" t="s">
        <v>955</v>
      </c>
      <c r="E257" s="398" t="s">
        <v>956</v>
      </c>
      <c r="F257" s="398" t="s">
        <v>414</v>
      </c>
      <c r="G257" s="398" t="s">
        <v>957</v>
      </c>
      <c r="H257" s="398" t="s">
        <v>958</v>
      </c>
      <c r="I257" s="398" t="s">
        <v>959</v>
      </c>
      <c r="J257" s="398" t="s">
        <v>960</v>
      </c>
      <c r="K257" s="398" t="s">
        <v>961</v>
      </c>
      <c r="L257" s="398" t="s">
        <v>962</v>
      </c>
      <c r="M257" s="398" t="s">
        <v>963</v>
      </c>
      <c r="N257" s="399" t="s">
        <v>15</v>
      </c>
      <c r="O257" s="357"/>
      <c r="P257" s="357"/>
      <c r="Q257" s="357"/>
      <c r="R257" s="357"/>
      <c r="S257" s="357"/>
    </row>
    <row r="258" spans="1:19">
      <c r="A258" s="400" t="s">
        <v>964</v>
      </c>
      <c r="B258" s="401" t="s">
        <v>953</v>
      </c>
      <c r="C258" s="409">
        <v>45239.849247685182</v>
      </c>
      <c r="D258" s="401">
        <v>20</v>
      </c>
      <c r="E258" s="401">
        <v>0.1004965</v>
      </c>
      <c r="F258" s="401" t="s">
        <v>985</v>
      </c>
      <c r="G258" s="401">
        <v>23.67</v>
      </c>
      <c r="H258" s="401">
        <v>1048.854235</v>
      </c>
      <c r="I258" s="401">
        <v>0.99966999999999995</v>
      </c>
      <c r="J258" s="401">
        <v>0.39357500000000001</v>
      </c>
      <c r="K258" s="401">
        <v>1977.6</v>
      </c>
      <c r="L258" s="401"/>
      <c r="M258" s="401" t="s">
        <v>25</v>
      </c>
      <c r="N258" s="402"/>
      <c r="O258" s="357"/>
      <c r="P258" s="357"/>
      <c r="Q258" s="357"/>
      <c r="R258" s="357"/>
      <c r="S258" s="357"/>
    </row>
    <row r="259" spans="1:19">
      <c r="A259" s="397" t="s">
        <v>1023</v>
      </c>
      <c r="B259" s="398" t="s">
        <v>953</v>
      </c>
      <c r="C259" s="410">
        <v>45239.861770833333</v>
      </c>
      <c r="D259" s="398">
        <v>20</v>
      </c>
      <c r="E259" s="398">
        <v>0.1004965</v>
      </c>
      <c r="F259" s="398" t="s">
        <v>985</v>
      </c>
      <c r="G259" s="398">
        <v>23.67</v>
      </c>
      <c r="H259" s="398">
        <v>1056.489067</v>
      </c>
      <c r="I259" s="398">
        <v>0.99967799999999996</v>
      </c>
      <c r="J259" s="398">
        <v>0.393484</v>
      </c>
      <c r="K259" s="398">
        <v>1977.2</v>
      </c>
      <c r="L259" s="398">
        <v>0.3216</v>
      </c>
      <c r="M259" s="398" t="s">
        <v>25</v>
      </c>
      <c r="N259" s="399"/>
      <c r="O259" s="357"/>
      <c r="P259" s="357"/>
      <c r="Q259" s="357"/>
      <c r="R259" s="357"/>
      <c r="S259" s="357"/>
    </row>
    <row r="260" spans="1:19">
      <c r="A260" s="400" t="s">
        <v>1024</v>
      </c>
      <c r="B260" s="401" t="s">
        <v>953</v>
      </c>
      <c r="C260" s="409">
        <v>45239.874027777776</v>
      </c>
      <c r="D260" s="401">
        <v>20</v>
      </c>
      <c r="E260" s="401">
        <v>0.1004965</v>
      </c>
      <c r="F260" s="401" t="s">
        <v>985</v>
      </c>
      <c r="G260" s="401">
        <v>23.67</v>
      </c>
      <c r="H260" s="401">
        <v>1053.3947700000001</v>
      </c>
      <c r="I260" s="401">
        <v>0.99965099999999996</v>
      </c>
      <c r="J260" s="401">
        <v>0.39381100000000002</v>
      </c>
      <c r="K260" s="401">
        <v>1978.8</v>
      </c>
      <c r="L260" s="401">
        <v>1.1607000000000001</v>
      </c>
      <c r="M260" s="401" t="s">
        <v>25</v>
      </c>
      <c r="N260" s="402"/>
      <c r="O260" s="357"/>
      <c r="P260" s="357"/>
      <c r="Q260" s="357"/>
      <c r="R260" s="357"/>
      <c r="S260" s="357"/>
    </row>
    <row r="261" spans="1:19">
      <c r="A261" s="397" t="s">
        <v>967</v>
      </c>
      <c r="B261" s="398" t="s">
        <v>427</v>
      </c>
      <c r="C261" s="410">
        <v>45239.886562500003</v>
      </c>
      <c r="D261" s="398">
        <v>20</v>
      </c>
      <c r="E261" s="398">
        <v>0.1004965</v>
      </c>
      <c r="F261" s="398">
        <v>33.5</v>
      </c>
      <c r="G261" s="398">
        <v>23.67</v>
      </c>
      <c r="H261" s="398">
        <v>917.50496899999996</v>
      </c>
      <c r="I261" s="398">
        <v>0.99993699999999996</v>
      </c>
      <c r="J261" s="398">
        <v>0.392847</v>
      </c>
      <c r="K261" s="398">
        <v>1974</v>
      </c>
      <c r="L261" s="398"/>
      <c r="M261" s="398" t="s">
        <v>25</v>
      </c>
      <c r="N261" s="399"/>
      <c r="O261" s="357"/>
      <c r="P261" s="357"/>
      <c r="Q261" s="357"/>
      <c r="R261" s="357"/>
      <c r="S261" s="357"/>
    </row>
    <row r="262" spans="1:19">
      <c r="A262" s="400" t="s">
        <v>968</v>
      </c>
      <c r="B262" s="401" t="s">
        <v>427</v>
      </c>
      <c r="C262" s="409">
        <v>45239.899641203701</v>
      </c>
      <c r="D262" s="401">
        <v>20</v>
      </c>
      <c r="E262" s="401">
        <v>0.1004965</v>
      </c>
      <c r="F262" s="401">
        <v>33.5</v>
      </c>
      <c r="G262" s="401">
        <v>23.67</v>
      </c>
      <c r="H262" s="401">
        <v>918.49802999999997</v>
      </c>
      <c r="I262" s="401">
        <v>0.99995100000000003</v>
      </c>
      <c r="J262" s="401">
        <v>0.393507</v>
      </c>
      <c r="K262" s="401">
        <v>1977.3</v>
      </c>
      <c r="L262" s="401">
        <v>2.3468</v>
      </c>
      <c r="M262" s="401" t="s">
        <v>25</v>
      </c>
      <c r="N262" s="402"/>
      <c r="O262" s="357"/>
      <c r="P262" s="357"/>
      <c r="Q262" s="357"/>
      <c r="R262" s="357"/>
      <c r="S262" s="357"/>
    </row>
    <row r="263" spans="1:19">
      <c r="A263" s="397" t="s">
        <v>969</v>
      </c>
      <c r="B263" s="398" t="s">
        <v>427</v>
      </c>
      <c r="C263" s="410">
        <v>45239.912488425929</v>
      </c>
      <c r="D263" s="398">
        <v>20</v>
      </c>
      <c r="E263" s="398">
        <v>0.1004965</v>
      </c>
      <c r="F263" s="398">
        <v>33.5</v>
      </c>
      <c r="G263" s="398">
        <v>23.67</v>
      </c>
      <c r="H263" s="398">
        <v>917.40916800000002</v>
      </c>
      <c r="I263" s="398">
        <v>0.99994700000000003</v>
      </c>
      <c r="J263" s="398">
        <v>0.39416699999999999</v>
      </c>
      <c r="K263" s="398">
        <v>1980.6</v>
      </c>
      <c r="L263" s="398">
        <v>2.3456000000000001</v>
      </c>
      <c r="M263" s="398" t="s">
        <v>25</v>
      </c>
      <c r="N263" s="399"/>
      <c r="O263" s="357"/>
      <c r="P263" s="357"/>
      <c r="Q263" s="357"/>
      <c r="R263" s="357"/>
      <c r="S263" s="357"/>
    </row>
    <row r="264" spans="1:19">
      <c r="A264" s="400" t="s">
        <v>1017</v>
      </c>
      <c r="B264" s="401" t="s">
        <v>427</v>
      </c>
      <c r="C264" s="409">
        <v>45239.925636574073</v>
      </c>
      <c r="D264" s="401">
        <v>20</v>
      </c>
      <c r="E264" s="401">
        <v>0.1004965</v>
      </c>
      <c r="F264" s="401">
        <v>33.5</v>
      </c>
      <c r="G264" s="401">
        <v>23.67</v>
      </c>
      <c r="H264" s="401">
        <v>901.96905500000003</v>
      </c>
      <c r="I264" s="401">
        <v>0.99974200000000002</v>
      </c>
      <c r="J264" s="401">
        <v>0.38993299999999997</v>
      </c>
      <c r="K264" s="401">
        <v>1959.3</v>
      </c>
      <c r="L264" s="401">
        <v>15.045400000000001</v>
      </c>
      <c r="M264" s="401" t="s">
        <v>25</v>
      </c>
      <c r="N264" s="402"/>
      <c r="O264" s="357"/>
      <c r="P264" s="357"/>
      <c r="Q264" s="357"/>
      <c r="R264" s="357"/>
      <c r="S264" s="357"/>
    </row>
    <row r="265" spans="1:19">
      <c r="A265" s="397" t="s">
        <v>970</v>
      </c>
      <c r="B265" s="398" t="s">
        <v>417</v>
      </c>
      <c r="C265" s="410">
        <v>45239.946226851855</v>
      </c>
      <c r="D265" s="398">
        <v>20</v>
      </c>
      <c r="E265" s="398">
        <v>0.1004965</v>
      </c>
      <c r="F265" s="398">
        <v>33.5</v>
      </c>
      <c r="G265" s="398">
        <v>23.67</v>
      </c>
      <c r="H265" s="398">
        <v>925.39578300000005</v>
      </c>
      <c r="I265" s="398">
        <v>0.99992800000000004</v>
      </c>
      <c r="J265" s="398">
        <v>0.44234899999999999</v>
      </c>
      <c r="K265" s="398">
        <v>2222.6999999999998</v>
      </c>
      <c r="L265" s="398"/>
      <c r="M265" s="398" t="s">
        <v>25</v>
      </c>
      <c r="N265" s="399"/>
      <c r="O265" s="357"/>
      <c r="P265" s="357"/>
      <c r="Q265" s="357"/>
      <c r="R265" s="357"/>
      <c r="S265" s="357"/>
    </row>
    <row r="266" spans="1:19">
      <c r="A266" s="400" t="s">
        <v>972</v>
      </c>
      <c r="B266" s="401" t="s">
        <v>417</v>
      </c>
      <c r="C266" s="409">
        <v>45239.9612037037</v>
      </c>
      <c r="D266" s="401">
        <v>20</v>
      </c>
      <c r="E266" s="401">
        <v>0.1004965</v>
      </c>
      <c r="F266" s="401">
        <v>33.5</v>
      </c>
      <c r="G266" s="401">
        <v>23.67</v>
      </c>
      <c r="H266" s="401">
        <v>923.93845099999999</v>
      </c>
      <c r="I266" s="401">
        <v>0.99995000000000001</v>
      </c>
      <c r="J266" s="401">
        <v>0.44136599999999998</v>
      </c>
      <c r="K266" s="401">
        <v>2217.8000000000002</v>
      </c>
      <c r="L266" s="401">
        <v>3.4935999999999998</v>
      </c>
      <c r="M266" s="401" t="s">
        <v>25</v>
      </c>
      <c r="N266" s="402"/>
      <c r="O266" s="357"/>
      <c r="P266" s="357"/>
      <c r="Q266" s="357"/>
      <c r="R266" s="357"/>
      <c r="S266" s="357"/>
    </row>
    <row r="267" spans="1:19">
      <c r="A267" s="397" t="s">
        <v>973</v>
      </c>
      <c r="B267" s="398" t="s">
        <v>417</v>
      </c>
      <c r="C267" s="410">
        <v>45239.979131944441</v>
      </c>
      <c r="D267" s="398">
        <v>20</v>
      </c>
      <c r="E267" s="398">
        <v>0.1004965</v>
      </c>
      <c r="F267" s="398">
        <v>33.5</v>
      </c>
      <c r="G267" s="398">
        <v>23.67</v>
      </c>
      <c r="H267" s="398">
        <v>922.41327799999999</v>
      </c>
      <c r="I267" s="398">
        <v>0.99995599999999996</v>
      </c>
      <c r="J267" s="398">
        <v>0.44428200000000001</v>
      </c>
      <c r="K267" s="398">
        <v>2232.4</v>
      </c>
      <c r="L267" s="398">
        <v>10.362399999999999</v>
      </c>
      <c r="M267" s="398" t="s">
        <v>25</v>
      </c>
      <c r="N267" s="399"/>
      <c r="O267" s="357"/>
      <c r="P267" s="357"/>
      <c r="Q267" s="357"/>
      <c r="R267" s="357"/>
      <c r="S267" s="357"/>
    </row>
    <row r="268" spans="1:19">
      <c r="A268" s="400" t="s">
        <v>1020</v>
      </c>
      <c r="B268" s="401" t="s">
        <v>430</v>
      </c>
      <c r="C268" s="409">
        <v>45239.994467592594</v>
      </c>
      <c r="D268" s="401">
        <v>20</v>
      </c>
      <c r="E268" s="401">
        <v>0.1004965</v>
      </c>
      <c r="F268" s="401">
        <v>33.5</v>
      </c>
      <c r="G268" s="401">
        <v>23.67</v>
      </c>
      <c r="H268" s="401">
        <v>921.92146200000002</v>
      </c>
      <c r="I268" s="401">
        <v>0.99995999999999996</v>
      </c>
      <c r="J268" s="401">
        <v>0.42991099999999999</v>
      </c>
      <c r="K268" s="401">
        <v>2160.1999999999998</v>
      </c>
      <c r="L268" s="401"/>
      <c r="M268" s="401" t="s">
        <v>25</v>
      </c>
      <c r="N268" s="402"/>
      <c r="O268" s="357"/>
      <c r="P268" s="357"/>
      <c r="Q268" s="357"/>
      <c r="R268" s="357"/>
      <c r="S268" s="357"/>
    </row>
    <row r="269" spans="1:19">
      <c r="A269" s="397" t="s">
        <v>979</v>
      </c>
      <c r="B269" s="398" t="s">
        <v>435</v>
      </c>
      <c r="C269" s="404">
        <v>45240.013472222221</v>
      </c>
      <c r="D269" s="398">
        <v>20</v>
      </c>
      <c r="E269" s="398">
        <v>0.1004965</v>
      </c>
      <c r="F269" s="398">
        <v>33.5</v>
      </c>
      <c r="G269" s="398">
        <v>23.67</v>
      </c>
      <c r="H269" s="398">
        <v>923.05296499999997</v>
      </c>
      <c r="I269" s="398">
        <v>0.99995000000000001</v>
      </c>
      <c r="J269" s="398">
        <v>0.44474399999999997</v>
      </c>
      <c r="K269" s="398">
        <v>2234.8000000000002</v>
      </c>
      <c r="L269" s="398"/>
      <c r="M269" s="398" t="s">
        <v>25</v>
      </c>
      <c r="N269" s="399"/>
      <c r="O269" s="357"/>
      <c r="P269" s="357"/>
      <c r="Q269" s="357"/>
      <c r="R269" s="357"/>
      <c r="S269" s="357"/>
    </row>
    <row r="270" spans="1:19">
      <c r="A270" s="400" t="s">
        <v>983</v>
      </c>
      <c r="B270" s="401">
        <v>522</v>
      </c>
      <c r="C270" s="403">
        <v>45240.030381944445</v>
      </c>
      <c r="D270" s="401">
        <v>20</v>
      </c>
      <c r="E270" s="401">
        <v>0.1004965</v>
      </c>
      <c r="F270" s="401">
        <v>36</v>
      </c>
      <c r="G270" s="401">
        <v>23.67</v>
      </c>
      <c r="H270" s="401">
        <v>923.37614399999995</v>
      </c>
      <c r="I270" s="401">
        <v>0.99996099999999999</v>
      </c>
      <c r="J270" s="401">
        <v>0.476684</v>
      </c>
      <c r="K270" s="401">
        <v>2395.3000000000002</v>
      </c>
      <c r="L270" s="401"/>
      <c r="M270" s="401" t="s">
        <v>25</v>
      </c>
      <c r="N270" s="402"/>
      <c r="O270" s="357"/>
      <c r="P270" s="357"/>
      <c r="Q270" s="357"/>
      <c r="R270" s="357"/>
      <c r="S270" s="357"/>
    </row>
    <row r="271" spans="1:19">
      <c r="A271" s="397" t="s">
        <v>984</v>
      </c>
      <c r="B271" s="398">
        <v>467</v>
      </c>
      <c r="C271" s="404">
        <v>45240.048159722224</v>
      </c>
      <c r="D271" s="398">
        <v>20</v>
      </c>
      <c r="E271" s="398">
        <v>0.1004965</v>
      </c>
      <c r="F271" s="398">
        <v>36.1</v>
      </c>
      <c r="G271" s="398">
        <v>23.67</v>
      </c>
      <c r="H271" s="398">
        <v>924.70981500000005</v>
      </c>
      <c r="I271" s="398">
        <v>0.99995000000000001</v>
      </c>
      <c r="J271" s="398">
        <v>0.47658699999999998</v>
      </c>
      <c r="K271" s="398">
        <v>2394.8000000000002</v>
      </c>
      <c r="L271" s="398"/>
      <c r="M271" s="398" t="s">
        <v>25</v>
      </c>
      <c r="N271" s="399"/>
      <c r="O271" s="357"/>
      <c r="P271" s="357"/>
      <c r="Q271" s="357"/>
      <c r="R271" s="357"/>
      <c r="S271" s="357"/>
    </row>
    <row r="272" spans="1:19">
      <c r="A272" s="400" t="s">
        <v>1033</v>
      </c>
      <c r="B272" s="401">
        <v>499</v>
      </c>
      <c r="C272" s="403">
        <v>45240.061493055553</v>
      </c>
      <c r="D272" s="401">
        <v>20</v>
      </c>
      <c r="E272" s="401">
        <v>0.1004965</v>
      </c>
      <c r="F272" s="401">
        <v>35.299999999999997</v>
      </c>
      <c r="G272" s="401">
        <v>23.67</v>
      </c>
      <c r="H272" s="401">
        <v>922.82422999999994</v>
      </c>
      <c r="I272" s="401">
        <v>0.99998699999999996</v>
      </c>
      <c r="J272" s="401">
        <v>0.46140399999999998</v>
      </c>
      <c r="K272" s="401">
        <v>2318.5</v>
      </c>
      <c r="L272" s="401"/>
      <c r="M272" s="401" t="s">
        <v>25</v>
      </c>
      <c r="N272" s="402"/>
      <c r="O272" s="357"/>
      <c r="P272" s="357"/>
      <c r="Q272" s="357"/>
      <c r="R272" s="357"/>
      <c r="S272" s="357"/>
    </row>
    <row r="273" spans="1:19">
      <c r="A273" s="397" t="s">
        <v>990</v>
      </c>
      <c r="B273" s="398">
        <v>543</v>
      </c>
      <c r="C273" s="404">
        <v>45240.069837962961</v>
      </c>
      <c r="D273" s="398">
        <v>20</v>
      </c>
      <c r="E273" s="398">
        <v>0.1004965</v>
      </c>
      <c r="F273" s="398">
        <v>35.200000000000003</v>
      </c>
      <c r="G273" s="398">
        <v>23.67</v>
      </c>
      <c r="H273" s="398">
        <v>920.12199499999997</v>
      </c>
      <c r="I273" s="398">
        <v>0.99995999999999996</v>
      </c>
      <c r="J273" s="398">
        <v>0.46635100000000002</v>
      </c>
      <c r="K273" s="398">
        <v>2343.3000000000002</v>
      </c>
      <c r="L273" s="398"/>
      <c r="M273" s="398" t="s">
        <v>25</v>
      </c>
      <c r="N273" s="399"/>
      <c r="O273" s="357"/>
      <c r="P273" s="357"/>
      <c r="Q273" s="357"/>
      <c r="R273" s="357"/>
      <c r="S273" s="357"/>
    </row>
    <row r="274" spans="1:19">
      <c r="A274" s="400" t="s">
        <v>996</v>
      </c>
      <c r="B274" s="401">
        <v>566</v>
      </c>
      <c r="C274" s="403">
        <v>45240.087569444448</v>
      </c>
      <c r="D274" s="401">
        <v>20</v>
      </c>
      <c r="E274" s="401">
        <v>0.1004965</v>
      </c>
      <c r="F274" s="401">
        <v>35.6</v>
      </c>
      <c r="G274" s="401">
        <v>23.67</v>
      </c>
      <c r="H274" s="401">
        <v>915.89234699999997</v>
      </c>
      <c r="I274" s="401">
        <v>0.99995299999999998</v>
      </c>
      <c r="J274" s="401">
        <v>0.46777600000000003</v>
      </c>
      <c r="K274" s="401">
        <v>2350.5</v>
      </c>
      <c r="L274" s="401"/>
      <c r="M274" s="401" t="s">
        <v>25</v>
      </c>
      <c r="N274" s="402"/>
      <c r="O274" s="357"/>
      <c r="P274" s="357"/>
      <c r="Q274" s="357"/>
      <c r="R274" s="357"/>
      <c r="S274" s="357"/>
    </row>
    <row r="275" spans="1:19">
      <c r="A275" s="397" t="s">
        <v>997</v>
      </c>
      <c r="B275" s="398">
        <v>532</v>
      </c>
      <c r="C275" s="404">
        <v>45240.1</v>
      </c>
      <c r="D275" s="398">
        <v>20</v>
      </c>
      <c r="E275" s="398">
        <v>0.1004965</v>
      </c>
      <c r="F275" s="398">
        <v>35.200000000000003</v>
      </c>
      <c r="G275" s="398">
        <v>23.67</v>
      </c>
      <c r="H275" s="398">
        <v>914.94205199999999</v>
      </c>
      <c r="I275" s="398">
        <v>0.99996700000000005</v>
      </c>
      <c r="J275" s="398">
        <v>0.47539500000000001</v>
      </c>
      <c r="K275" s="398">
        <v>2388.8000000000002</v>
      </c>
      <c r="L275" s="398"/>
      <c r="M275" s="398" t="s">
        <v>25</v>
      </c>
      <c r="N275" s="399"/>
      <c r="O275" s="357"/>
      <c r="P275" s="357"/>
      <c r="Q275" s="357"/>
      <c r="R275" s="357"/>
      <c r="S275" s="357"/>
    </row>
    <row r="276" spans="1:19">
      <c r="A276" s="400" t="s">
        <v>999</v>
      </c>
      <c r="B276" s="401">
        <v>466</v>
      </c>
      <c r="C276" s="403">
        <v>45240.111215277779</v>
      </c>
      <c r="D276" s="401">
        <v>20</v>
      </c>
      <c r="E276" s="401">
        <v>0.1004965</v>
      </c>
      <c r="F276" s="401">
        <v>35.799999999999997</v>
      </c>
      <c r="G276" s="401">
        <v>23.67</v>
      </c>
      <c r="H276" s="401">
        <v>916.93843100000004</v>
      </c>
      <c r="I276" s="401">
        <v>0.99994799999999995</v>
      </c>
      <c r="J276" s="401">
        <v>0.47557899999999997</v>
      </c>
      <c r="K276" s="401">
        <v>2389.6999999999998</v>
      </c>
      <c r="L276" s="401"/>
      <c r="M276" s="401" t="s">
        <v>25</v>
      </c>
      <c r="N276" s="402"/>
      <c r="O276" s="357"/>
      <c r="P276" s="357"/>
      <c r="Q276" s="357"/>
      <c r="R276" s="357"/>
      <c r="S276" s="357"/>
    </row>
    <row r="277" spans="1:19">
      <c r="A277" s="397" t="s">
        <v>1000</v>
      </c>
      <c r="B277" s="398">
        <v>511</v>
      </c>
      <c r="C277" s="404">
        <v>45240.123773148145</v>
      </c>
      <c r="D277" s="398">
        <v>20</v>
      </c>
      <c r="E277" s="398">
        <v>0.1004965</v>
      </c>
      <c r="F277" s="398">
        <v>36.1</v>
      </c>
      <c r="G277" s="398">
        <v>23.67</v>
      </c>
      <c r="H277" s="398">
        <v>0</v>
      </c>
      <c r="I277" s="398">
        <v>0</v>
      </c>
      <c r="J277" s="398">
        <v>0</v>
      </c>
      <c r="K277" s="398">
        <v>0</v>
      </c>
      <c r="L277" s="398" t="s">
        <v>966</v>
      </c>
      <c r="M277" s="398" t="s">
        <v>25</v>
      </c>
      <c r="N277" s="399"/>
      <c r="O277" s="357"/>
      <c r="P277" s="357"/>
      <c r="Q277" s="357"/>
      <c r="R277" s="357"/>
      <c r="S277" s="357"/>
    </row>
    <row r="278" spans="1:19">
      <c r="A278" s="400" t="s">
        <v>1050</v>
      </c>
      <c r="B278" s="401">
        <v>511</v>
      </c>
      <c r="C278" s="403">
        <v>45240.124837962961</v>
      </c>
      <c r="D278" s="401">
        <v>20</v>
      </c>
      <c r="E278" s="401">
        <v>0.1004965</v>
      </c>
      <c r="F278" s="401">
        <v>36.1</v>
      </c>
      <c r="G278" s="401">
        <v>23.67</v>
      </c>
      <c r="H278" s="401">
        <v>906.34586300000001</v>
      </c>
      <c r="I278" s="401">
        <v>0.99995699999999998</v>
      </c>
      <c r="J278" s="401">
        <v>0.46607399999999999</v>
      </c>
      <c r="K278" s="401">
        <v>2341.9</v>
      </c>
      <c r="L278" s="401"/>
      <c r="M278" s="401" t="s">
        <v>25</v>
      </c>
      <c r="N278" s="402"/>
      <c r="O278" s="357"/>
      <c r="P278" s="357"/>
      <c r="Q278" s="357"/>
      <c r="R278" s="357"/>
      <c r="S278" s="357"/>
    </row>
    <row r="279" spans="1:19">
      <c r="A279" s="397" t="s">
        <v>1001</v>
      </c>
      <c r="B279" s="398">
        <v>422</v>
      </c>
      <c r="C279" s="404">
        <v>45240.137870370374</v>
      </c>
      <c r="D279" s="398">
        <v>20</v>
      </c>
      <c r="E279" s="398">
        <v>0.1004965</v>
      </c>
      <c r="F279" s="398">
        <v>35.6</v>
      </c>
      <c r="G279" s="398">
        <v>23.67</v>
      </c>
      <c r="H279" s="398">
        <v>904.05992800000001</v>
      </c>
      <c r="I279" s="398">
        <v>0.999942</v>
      </c>
      <c r="J279" s="398">
        <v>0.471055</v>
      </c>
      <c r="K279" s="398">
        <v>2367</v>
      </c>
      <c r="L279" s="398"/>
      <c r="M279" s="398" t="s">
        <v>25</v>
      </c>
      <c r="N279" s="399"/>
      <c r="O279" s="357"/>
      <c r="P279" s="357"/>
      <c r="Q279" s="357"/>
      <c r="R279" s="357"/>
      <c r="S279" s="357"/>
    </row>
    <row r="280" spans="1:19">
      <c r="A280" s="400" t="s">
        <v>1002</v>
      </c>
      <c r="B280" s="401">
        <v>555</v>
      </c>
      <c r="C280" s="403">
        <v>45240.154606481483</v>
      </c>
      <c r="D280" s="401">
        <v>20</v>
      </c>
      <c r="E280" s="401">
        <v>0.1004965</v>
      </c>
      <c r="F280" s="401">
        <v>35.4</v>
      </c>
      <c r="G280" s="401">
        <v>23.67</v>
      </c>
      <c r="H280" s="401">
        <v>906.00412900000003</v>
      </c>
      <c r="I280" s="401">
        <v>0.99997400000000003</v>
      </c>
      <c r="J280" s="401">
        <v>0.46922799999999998</v>
      </c>
      <c r="K280" s="401">
        <v>2357.8000000000002</v>
      </c>
      <c r="L280" s="401"/>
      <c r="M280" s="401" t="s">
        <v>25</v>
      </c>
      <c r="N280" s="402"/>
      <c r="O280" s="357"/>
      <c r="P280" s="357"/>
      <c r="Q280" s="357"/>
      <c r="R280" s="357"/>
      <c r="S280" s="357"/>
    </row>
    <row r="281" spans="1:19">
      <c r="A281" s="397" t="s">
        <v>1003</v>
      </c>
      <c r="B281" s="398">
        <v>521</v>
      </c>
      <c r="C281" s="404">
        <v>45240.170543981483</v>
      </c>
      <c r="D281" s="398">
        <v>20</v>
      </c>
      <c r="E281" s="398">
        <v>0.1004965</v>
      </c>
      <c r="F281" s="398">
        <v>36</v>
      </c>
      <c r="G281" s="398">
        <v>23.67</v>
      </c>
      <c r="H281" s="398">
        <v>907.70979</v>
      </c>
      <c r="I281" s="398">
        <v>0.99997999999999998</v>
      </c>
      <c r="J281" s="398">
        <v>0.47836200000000001</v>
      </c>
      <c r="K281" s="398">
        <v>2403.6999999999998</v>
      </c>
      <c r="L281" s="398"/>
      <c r="M281" s="398" t="s">
        <v>25</v>
      </c>
      <c r="N281" s="399"/>
      <c r="O281" s="357"/>
      <c r="P281" s="357"/>
      <c r="Q281" s="357"/>
      <c r="R281" s="357"/>
      <c r="S281" s="357"/>
    </row>
    <row r="282" spans="1:19">
      <c r="A282" s="400" t="s">
        <v>1004</v>
      </c>
      <c r="B282" s="401">
        <v>577</v>
      </c>
      <c r="C282" s="403">
        <v>45240.186354166668</v>
      </c>
      <c r="D282" s="401">
        <v>20</v>
      </c>
      <c r="E282" s="401">
        <v>0.1004965</v>
      </c>
      <c r="F282" s="401">
        <v>35.4</v>
      </c>
      <c r="G282" s="401">
        <v>23.67</v>
      </c>
      <c r="H282" s="401">
        <v>908.19732199999999</v>
      </c>
      <c r="I282" s="401">
        <v>0.999969</v>
      </c>
      <c r="J282" s="401">
        <v>0.472607</v>
      </c>
      <c r="K282" s="401">
        <v>2374.8000000000002</v>
      </c>
      <c r="L282" s="401"/>
      <c r="M282" s="401" t="s">
        <v>25</v>
      </c>
      <c r="N282" s="402"/>
      <c r="O282" s="357"/>
      <c r="P282" s="357"/>
      <c r="Q282" s="357"/>
      <c r="R282" s="357"/>
      <c r="S282" s="357"/>
    </row>
    <row r="283" spans="1:19">
      <c r="A283" s="397" t="s">
        <v>1005</v>
      </c>
      <c r="B283" s="398">
        <v>576</v>
      </c>
      <c r="C283" s="404">
        <v>45240.200509259259</v>
      </c>
      <c r="D283" s="398">
        <v>20</v>
      </c>
      <c r="E283" s="398">
        <v>0.1004965</v>
      </c>
      <c r="F283" s="398">
        <v>35.299999999999997</v>
      </c>
      <c r="G283" s="398">
        <v>23.67</v>
      </c>
      <c r="H283" s="398">
        <v>904.09231999999997</v>
      </c>
      <c r="I283" s="398">
        <v>0.99996799999999997</v>
      </c>
      <c r="J283" s="398">
        <v>0.46487499999999998</v>
      </c>
      <c r="K283" s="398">
        <v>2335.9</v>
      </c>
      <c r="L283" s="398"/>
      <c r="M283" s="398" t="s">
        <v>25</v>
      </c>
      <c r="N283" s="399"/>
      <c r="O283" s="357"/>
      <c r="P283" s="357"/>
      <c r="Q283" s="357"/>
      <c r="R283" s="357"/>
      <c r="S283" s="357"/>
    </row>
    <row r="284" spans="1:19">
      <c r="A284" s="400" t="s">
        <v>1006</v>
      </c>
      <c r="B284" s="401">
        <v>554</v>
      </c>
      <c r="C284" s="403">
        <v>45240.213356481479</v>
      </c>
      <c r="D284" s="401">
        <v>20</v>
      </c>
      <c r="E284" s="401">
        <v>0.1004965</v>
      </c>
      <c r="F284" s="401">
        <v>35.200000000000003</v>
      </c>
      <c r="G284" s="401">
        <v>23.67</v>
      </c>
      <c r="H284" s="401">
        <v>907.19791199999997</v>
      </c>
      <c r="I284" s="401">
        <v>0.99995400000000001</v>
      </c>
      <c r="J284" s="401">
        <v>0.46379700000000001</v>
      </c>
      <c r="K284" s="401">
        <v>2330.5</v>
      </c>
      <c r="L284" s="401"/>
      <c r="M284" s="401" t="s">
        <v>25</v>
      </c>
      <c r="N284" s="402"/>
      <c r="O284" s="357"/>
      <c r="P284" s="357"/>
      <c r="Q284" s="357"/>
      <c r="R284" s="357"/>
      <c r="S284" s="357"/>
    </row>
    <row r="285" spans="1:19">
      <c r="A285" s="397" t="s">
        <v>1007</v>
      </c>
      <c r="B285" s="398">
        <v>565</v>
      </c>
      <c r="C285" s="404">
        <v>45240.226331018515</v>
      </c>
      <c r="D285" s="398">
        <v>20</v>
      </c>
      <c r="E285" s="398">
        <v>0.1004965</v>
      </c>
      <c r="F285" s="398">
        <v>35.4</v>
      </c>
      <c r="G285" s="398">
        <v>23.67</v>
      </c>
      <c r="H285" s="398">
        <v>910.23020799999995</v>
      </c>
      <c r="I285" s="398">
        <v>0.99995800000000001</v>
      </c>
      <c r="J285" s="398">
        <v>0.467034</v>
      </c>
      <c r="K285" s="398">
        <v>2346.8000000000002</v>
      </c>
      <c r="L285" s="398"/>
      <c r="M285" s="398" t="s">
        <v>25</v>
      </c>
      <c r="N285" s="399"/>
      <c r="O285" s="357"/>
      <c r="P285" s="357"/>
      <c r="Q285" s="357"/>
      <c r="R285" s="357"/>
      <c r="S285" s="357"/>
    </row>
    <row r="286" spans="1:19">
      <c r="A286" s="400" t="s">
        <v>1008</v>
      </c>
      <c r="B286" s="401">
        <v>500</v>
      </c>
      <c r="C286" s="403">
        <v>45240.23940972222</v>
      </c>
      <c r="D286" s="401">
        <v>20</v>
      </c>
      <c r="E286" s="401">
        <v>0.1004965</v>
      </c>
      <c r="F286" s="401">
        <v>35.5</v>
      </c>
      <c r="G286" s="401">
        <v>23.67</v>
      </c>
      <c r="H286" s="401">
        <v>905.10223099999996</v>
      </c>
      <c r="I286" s="401">
        <v>0.99995299999999998</v>
      </c>
      <c r="J286" s="401">
        <v>0.46777600000000003</v>
      </c>
      <c r="K286" s="401">
        <v>2336.6</v>
      </c>
      <c r="L286" s="401"/>
      <c r="M286" s="401" t="s">
        <v>25</v>
      </c>
      <c r="N286" s="402"/>
      <c r="O286" s="357"/>
      <c r="P286" s="357"/>
      <c r="Q286" s="357"/>
      <c r="R286" s="357"/>
      <c r="S286" s="357"/>
    </row>
    <row r="287" spans="1:19">
      <c r="A287" s="397" t="s">
        <v>1009</v>
      </c>
      <c r="B287" s="398">
        <v>402</v>
      </c>
      <c r="C287" s="404">
        <v>45240.264548611114</v>
      </c>
      <c r="D287" s="398">
        <v>20</v>
      </c>
      <c r="E287" s="398">
        <v>0.1004965</v>
      </c>
      <c r="F287" s="398">
        <v>36.32</v>
      </c>
      <c r="G287" s="398">
        <v>23.67</v>
      </c>
      <c r="H287" s="398">
        <v>904.10123099999998</v>
      </c>
      <c r="I287" s="398">
        <v>0.99996700000000005</v>
      </c>
      <c r="J287" s="398">
        <v>0.47539500000000001</v>
      </c>
      <c r="K287" s="398">
        <v>2343.6</v>
      </c>
      <c r="L287" s="398"/>
      <c r="M287" s="398" t="s">
        <v>25</v>
      </c>
      <c r="N287" s="399"/>
      <c r="O287" s="357"/>
      <c r="P287" s="357"/>
      <c r="Q287" s="357"/>
      <c r="R287" s="357"/>
      <c r="S287" s="357"/>
    </row>
    <row r="288" spans="1:19">
      <c r="A288" s="400" t="s">
        <v>1051</v>
      </c>
      <c r="B288" s="401">
        <v>403</v>
      </c>
      <c r="C288" s="403">
        <v>45240.274270833332</v>
      </c>
      <c r="D288" s="401">
        <v>20</v>
      </c>
      <c r="E288" s="401">
        <v>0.1004965</v>
      </c>
      <c r="F288" s="401">
        <v>35.96</v>
      </c>
      <c r="G288" s="401">
        <v>23.67</v>
      </c>
      <c r="H288" s="401">
        <v>904.05223100000001</v>
      </c>
      <c r="I288" s="401">
        <v>0.99994799999999995</v>
      </c>
      <c r="J288" s="401">
        <v>0.47557899999999997</v>
      </c>
      <c r="K288" s="401">
        <v>2296.6</v>
      </c>
      <c r="L288" s="401"/>
      <c r="M288" s="398" t="s">
        <v>25</v>
      </c>
      <c r="N288" s="402"/>
      <c r="O288" s="357"/>
      <c r="P288" s="357"/>
      <c r="Q288" s="357"/>
      <c r="R288" s="357"/>
      <c r="S288" s="357"/>
    </row>
    <row r="289" spans="1:19">
      <c r="A289" s="397" t="s">
        <v>1052</v>
      </c>
      <c r="B289" s="398" t="s">
        <v>435</v>
      </c>
      <c r="C289" s="404">
        <v>45240.283993055556</v>
      </c>
      <c r="D289" s="398">
        <v>20</v>
      </c>
      <c r="E289" s="398">
        <v>0.1004965</v>
      </c>
      <c r="F289" s="398">
        <v>33.5</v>
      </c>
      <c r="G289" s="398">
        <v>23.67</v>
      </c>
      <c r="H289" s="398">
        <v>909.53931999999998</v>
      </c>
      <c r="I289" s="398">
        <v>0.99995299999999998</v>
      </c>
      <c r="J289" s="398">
        <v>0.44371699999999997</v>
      </c>
      <c r="K289" s="398">
        <v>2229.6</v>
      </c>
      <c r="L289" s="398"/>
      <c r="M289" s="398" t="s">
        <v>25</v>
      </c>
      <c r="N289" s="399"/>
      <c r="O289" s="357"/>
      <c r="P289" s="357"/>
      <c r="Q289" s="357"/>
      <c r="R289" s="357"/>
      <c r="S289" s="357"/>
    </row>
    <row r="290" spans="1:19">
      <c r="A290" s="33"/>
      <c r="B290" s="411"/>
      <c r="C290" s="411"/>
      <c r="D290" s="411"/>
      <c r="E290" s="411"/>
      <c r="F290" s="411"/>
      <c r="G290" s="411"/>
      <c r="H290" s="411"/>
      <c r="I290" s="411"/>
      <c r="J290" s="411"/>
      <c r="K290" s="411"/>
      <c r="L290" s="411"/>
      <c r="M290" s="411"/>
      <c r="N290" s="412"/>
    </row>
    <row r="291" spans="1:19">
      <c r="A291" s="33"/>
      <c r="B291" s="411"/>
      <c r="C291" s="411"/>
      <c r="D291" s="411"/>
      <c r="E291" s="411"/>
      <c r="F291" s="411"/>
      <c r="G291" s="411"/>
      <c r="H291" s="411"/>
      <c r="I291" s="411"/>
      <c r="J291" s="411"/>
      <c r="K291" s="411"/>
      <c r="L291" s="411"/>
      <c r="M291" s="411"/>
      <c r="N291" s="412"/>
    </row>
    <row r="292" spans="1:19">
      <c r="A292" s="33"/>
      <c r="B292" s="411"/>
      <c r="C292" s="411"/>
      <c r="D292" s="411"/>
      <c r="E292" s="411"/>
      <c r="F292" s="411"/>
      <c r="G292" s="411"/>
      <c r="H292" s="411"/>
      <c r="I292" s="411"/>
      <c r="J292" s="411"/>
      <c r="K292" s="411"/>
      <c r="L292" s="411"/>
      <c r="M292" s="411"/>
      <c r="N292" s="412"/>
    </row>
    <row r="293" spans="1:19">
      <c r="A293" s="33"/>
      <c r="B293" s="411"/>
      <c r="C293" s="411"/>
      <c r="D293" s="411"/>
      <c r="E293" s="411"/>
      <c r="F293" s="411"/>
      <c r="G293" s="411"/>
      <c r="H293" s="411"/>
      <c r="I293" s="411"/>
      <c r="J293" s="411"/>
      <c r="K293" s="411"/>
      <c r="L293" s="411"/>
      <c r="M293" s="411"/>
      <c r="N293" s="412"/>
    </row>
    <row r="294" spans="1:19">
      <c r="A294" s="33"/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1"/>
      <c r="M294" s="411"/>
      <c r="N294" s="412"/>
    </row>
    <row r="295" spans="1:19">
      <c r="A295" s="33"/>
      <c r="B295" s="411"/>
      <c r="C295" s="411"/>
      <c r="D295" s="411"/>
      <c r="E295" s="411"/>
      <c r="F295" s="411"/>
      <c r="G295" s="411"/>
      <c r="H295" s="411"/>
      <c r="I295" s="411"/>
      <c r="J295" s="411"/>
      <c r="K295" s="411"/>
      <c r="L295" s="411"/>
      <c r="M295" s="411"/>
      <c r="N295" s="412"/>
    </row>
    <row r="296" spans="1:19">
      <c r="A296" s="33"/>
      <c r="B296" s="411"/>
      <c r="C296" s="411"/>
      <c r="D296" s="411"/>
      <c r="E296" s="411"/>
      <c r="F296" s="411"/>
      <c r="G296" s="411"/>
      <c r="H296" s="411"/>
      <c r="I296" s="411"/>
      <c r="J296" s="411"/>
      <c r="K296" s="411"/>
      <c r="L296" s="411"/>
      <c r="M296" s="411"/>
      <c r="N296" s="412"/>
    </row>
    <row r="297" spans="1:19">
      <c r="A297" s="33"/>
      <c r="B297" s="411"/>
      <c r="C297" s="411"/>
      <c r="D297" s="411"/>
      <c r="E297" s="411"/>
      <c r="F297" s="411"/>
      <c r="G297" s="411"/>
      <c r="H297" s="411"/>
      <c r="I297" s="411"/>
      <c r="J297" s="411"/>
      <c r="K297" s="411"/>
      <c r="L297" s="411"/>
      <c r="M297" s="411"/>
      <c r="N297" s="412"/>
    </row>
    <row r="298" spans="1:19">
      <c r="A298" s="33"/>
      <c r="B298" s="411"/>
      <c r="C298" s="411"/>
      <c r="D298" s="411"/>
      <c r="E298" s="411"/>
      <c r="F298" s="411"/>
      <c r="G298" s="411"/>
      <c r="H298" s="411"/>
      <c r="I298" s="411"/>
      <c r="J298" s="411"/>
      <c r="K298" s="411"/>
      <c r="L298" s="411"/>
      <c r="M298" s="411"/>
      <c r="N298" s="412"/>
    </row>
    <row r="299" spans="1:19">
      <c r="A299" s="33"/>
      <c r="B299" s="411"/>
      <c r="C299" s="411"/>
      <c r="D299" s="411"/>
      <c r="E299" s="411"/>
      <c r="F299" s="411"/>
      <c r="G299" s="411"/>
      <c r="H299" s="411"/>
      <c r="I299" s="411"/>
      <c r="J299" s="411"/>
      <c r="K299" s="411"/>
      <c r="L299" s="411"/>
      <c r="M299" s="411"/>
      <c r="N299" s="412"/>
    </row>
    <row r="300" spans="1:19">
      <c r="A300" s="33"/>
      <c r="B300" s="411"/>
      <c r="C300" s="411"/>
      <c r="D300" s="411"/>
      <c r="E300" s="411"/>
      <c r="F300" s="411"/>
      <c r="G300" s="411"/>
      <c r="H300" s="411"/>
      <c r="I300" s="411"/>
      <c r="J300" s="411"/>
      <c r="K300" s="411"/>
      <c r="L300" s="411"/>
      <c r="M300" s="411"/>
      <c r="N300" s="412"/>
    </row>
    <row r="301" spans="1:19">
      <c r="A301" s="33"/>
      <c r="B301" s="411"/>
      <c r="C301" s="411"/>
      <c r="D301" s="411"/>
      <c r="E301" s="411"/>
      <c r="F301" s="411"/>
      <c r="G301" s="411"/>
      <c r="H301" s="411"/>
      <c r="I301" s="411"/>
      <c r="J301" s="411"/>
      <c r="K301" s="411"/>
      <c r="L301" s="411"/>
      <c r="M301" s="411"/>
      <c r="N301" s="412"/>
    </row>
    <row r="302" spans="1:19">
      <c r="A302" s="33"/>
      <c r="B302" s="411"/>
      <c r="C302" s="411"/>
      <c r="D302" s="411"/>
      <c r="E302" s="411"/>
      <c r="F302" s="411"/>
      <c r="G302" s="411"/>
      <c r="H302" s="411"/>
      <c r="I302" s="411"/>
      <c r="J302" s="411"/>
      <c r="K302" s="411"/>
      <c r="L302" s="411"/>
      <c r="M302" s="411"/>
      <c r="N302" s="412"/>
    </row>
    <row r="303" spans="1:19">
      <c r="A303" s="33"/>
      <c r="B303" s="411"/>
      <c r="C303" s="411"/>
      <c r="D303" s="411"/>
      <c r="E303" s="411"/>
      <c r="F303" s="411"/>
      <c r="G303" s="411"/>
      <c r="H303" s="411"/>
      <c r="I303" s="411"/>
      <c r="J303" s="411"/>
      <c r="K303" s="411"/>
      <c r="L303" s="411"/>
      <c r="M303" s="411"/>
      <c r="N303" s="412"/>
    </row>
    <row r="304" spans="1:19">
      <c r="A304" s="33"/>
      <c r="B304" s="411"/>
      <c r="C304" s="411"/>
      <c r="D304" s="411"/>
      <c r="E304" s="411"/>
      <c r="F304" s="411"/>
      <c r="G304" s="411"/>
      <c r="H304" s="411"/>
      <c r="I304" s="411"/>
      <c r="J304" s="411"/>
      <c r="K304" s="411"/>
      <c r="L304" s="411"/>
      <c r="M304" s="411"/>
      <c r="N304" s="412"/>
    </row>
    <row r="305" spans="1:14">
      <c r="A305" s="33"/>
      <c r="B305" s="411"/>
      <c r="C305" s="411"/>
      <c r="D305" s="411"/>
      <c r="E305" s="411"/>
      <c r="F305" s="411"/>
      <c r="G305" s="411"/>
      <c r="H305" s="411"/>
      <c r="I305" s="411"/>
      <c r="J305" s="411"/>
      <c r="K305" s="411"/>
      <c r="L305" s="411"/>
      <c r="M305" s="411"/>
      <c r="N305" s="412"/>
    </row>
    <row r="306" spans="1:14">
      <c r="A306" s="33"/>
      <c r="B306" s="411"/>
      <c r="C306" s="411"/>
      <c r="D306" s="411"/>
      <c r="E306" s="411"/>
      <c r="F306" s="411"/>
      <c r="G306" s="411"/>
      <c r="H306" s="411"/>
      <c r="I306" s="411"/>
      <c r="J306" s="411"/>
      <c r="K306" s="411"/>
      <c r="L306" s="411"/>
      <c r="M306" s="411"/>
      <c r="N306" s="412"/>
    </row>
    <row r="307" spans="1:14">
      <c r="A307" s="33"/>
      <c r="B307" s="411"/>
      <c r="C307" s="411"/>
      <c r="D307" s="411"/>
      <c r="E307" s="411"/>
      <c r="F307" s="411"/>
      <c r="G307" s="411"/>
      <c r="H307" s="411"/>
      <c r="I307" s="411"/>
      <c r="J307" s="411"/>
      <c r="K307" s="411"/>
      <c r="L307" s="411"/>
      <c r="M307" s="411"/>
      <c r="N307" s="412"/>
    </row>
    <row r="308" spans="1:14">
      <c r="A308" s="33"/>
      <c r="B308" s="411"/>
      <c r="C308" s="411"/>
      <c r="D308" s="411"/>
      <c r="E308" s="411"/>
      <c r="F308" s="411"/>
      <c r="G308" s="411"/>
      <c r="H308" s="411"/>
      <c r="I308" s="411"/>
      <c r="J308" s="411"/>
      <c r="K308" s="411"/>
      <c r="L308" s="411"/>
      <c r="M308" s="411"/>
      <c r="N308" s="412"/>
    </row>
    <row r="309" spans="1:14">
      <c r="A309" s="33"/>
      <c r="B309" s="411"/>
      <c r="C309" s="411"/>
      <c r="D309" s="411"/>
      <c r="E309" s="411"/>
      <c r="F309" s="411"/>
      <c r="G309" s="411"/>
      <c r="H309" s="411"/>
      <c r="I309" s="411"/>
      <c r="J309" s="411"/>
      <c r="K309" s="411"/>
      <c r="L309" s="411"/>
      <c r="M309" s="411"/>
      <c r="N309" s="412"/>
    </row>
    <row r="310" spans="1:14">
      <c r="A310" s="33"/>
      <c r="B310" s="411"/>
      <c r="C310" s="411"/>
      <c r="D310" s="411"/>
      <c r="E310" s="411"/>
      <c r="F310" s="411"/>
      <c r="G310" s="411"/>
      <c r="H310" s="411"/>
      <c r="I310" s="411"/>
      <c r="J310" s="411"/>
      <c r="K310" s="411"/>
      <c r="L310" s="411"/>
      <c r="M310" s="411"/>
      <c r="N310" s="412"/>
    </row>
    <row r="311" spans="1:14">
      <c r="A311" s="33"/>
      <c r="B311" s="411"/>
      <c r="C311" s="411"/>
      <c r="D311" s="411"/>
      <c r="E311" s="411"/>
      <c r="F311" s="411"/>
      <c r="G311" s="411"/>
      <c r="H311" s="411"/>
      <c r="I311" s="411"/>
      <c r="J311" s="411"/>
      <c r="K311" s="411"/>
      <c r="L311" s="411"/>
      <c r="M311" s="411"/>
      <c r="N311" s="412"/>
    </row>
    <row r="312" spans="1:14">
      <c r="A312" s="33"/>
      <c r="B312" s="411"/>
      <c r="C312" s="411"/>
      <c r="D312" s="411"/>
      <c r="E312" s="411"/>
      <c r="F312" s="411"/>
      <c r="G312" s="411"/>
      <c r="H312" s="411"/>
      <c r="I312" s="411"/>
      <c r="J312" s="411"/>
      <c r="K312" s="411"/>
      <c r="L312" s="411"/>
      <c r="M312" s="411"/>
      <c r="N312" s="412"/>
    </row>
    <row r="313" spans="1:14">
      <c r="A313" s="33"/>
      <c r="B313" s="411"/>
      <c r="C313" s="411"/>
      <c r="D313" s="411"/>
      <c r="E313" s="411"/>
      <c r="F313" s="411"/>
      <c r="G313" s="411"/>
      <c r="H313" s="411"/>
      <c r="I313" s="411"/>
      <c r="J313" s="411"/>
      <c r="K313" s="411"/>
      <c r="L313" s="411"/>
      <c r="M313" s="411"/>
      <c r="N313" s="412"/>
    </row>
    <row r="314" spans="1:14">
      <c r="A314" s="33"/>
      <c r="B314" s="411"/>
      <c r="C314" s="411"/>
      <c r="D314" s="411"/>
      <c r="E314" s="411"/>
      <c r="F314" s="411"/>
      <c r="G314" s="411"/>
      <c r="H314" s="411"/>
      <c r="I314" s="411"/>
      <c r="J314" s="411"/>
      <c r="K314" s="411"/>
      <c r="L314" s="411"/>
      <c r="M314" s="411"/>
      <c r="N314" s="412"/>
    </row>
    <row r="315" spans="1:14">
      <c r="A315" s="33"/>
      <c r="B315" s="411"/>
      <c r="C315" s="411"/>
      <c r="D315" s="411"/>
      <c r="E315" s="411"/>
      <c r="F315" s="411"/>
      <c r="G315" s="411"/>
      <c r="H315" s="411"/>
      <c r="I315" s="411"/>
      <c r="J315" s="411"/>
      <c r="K315" s="411"/>
      <c r="L315" s="411"/>
      <c r="M315" s="411"/>
      <c r="N315" s="412"/>
    </row>
    <row r="316" spans="1:14">
      <c r="A316" s="33"/>
      <c r="B316" s="411"/>
      <c r="C316" s="411"/>
      <c r="D316" s="411"/>
      <c r="E316" s="411"/>
      <c r="F316" s="411"/>
      <c r="G316" s="411"/>
      <c r="H316" s="411"/>
      <c r="I316" s="411"/>
      <c r="J316" s="411"/>
      <c r="K316" s="411"/>
      <c r="L316" s="411"/>
      <c r="M316" s="411"/>
      <c r="N316" s="412"/>
    </row>
    <row r="317" spans="1:14">
      <c r="A317" s="33"/>
      <c r="B317" s="411"/>
      <c r="C317" s="411"/>
      <c r="D317" s="411"/>
      <c r="E317" s="411"/>
      <c r="F317" s="411"/>
      <c r="G317" s="411"/>
      <c r="H317" s="411"/>
      <c r="I317" s="411"/>
      <c r="J317" s="411"/>
      <c r="K317" s="411"/>
      <c r="L317" s="411"/>
      <c r="M317" s="411"/>
      <c r="N317" s="412"/>
    </row>
    <row r="318" spans="1:14">
      <c r="A318" s="33"/>
      <c r="B318" s="411"/>
      <c r="C318" s="411"/>
      <c r="D318" s="411"/>
      <c r="E318" s="411"/>
      <c r="F318" s="411"/>
      <c r="G318" s="411"/>
      <c r="H318" s="411"/>
      <c r="I318" s="411"/>
      <c r="J318" s="411"/>
      <c r="K318" s="411"/>
      <c r="L318" s="411"/>
      <c r="M318" s="411"/>
      <c r="N318" s="412"/>
    </row>
    <row r="319" spans="1:14">
      <c r="A319" s="33"/>
      <c r="B319" s="411"/>
      <c r="C319" s="411"/>
      <c r="D319" s="411"/>
      <c r="E319" s="411"/>
      <c r="F319" s="411"/>
      <c r="G319" s="411"/>
      <c r="H319" s="411"/>
      <c r="I319" s="411"/>
      <c r="J319" s="411"/>
      <c r="K319" s="411"/>
      <c r="L319" s="411"/>
      <c r="M319" s="411"/>
      <c r="N319" s="412"/>
    </row>
    <row r="320" spans="1:14">
      <c r="A320" s="33"/>
      <c r="B320" s="411"/>
      <c r="C320" s="411"/>
      <c r="D320" s="411"/>
      <c r="E320" s="411"/>
      <c r="F320" s="411"/>
      <c r="G320" s="411"/>
      <c r="H320" s="411"/>
      <c r="I320" s="411"/>
      <c r="J320" s="411"/>
      <c r="K320" s="411"/>
      <c r="L320" s="411"/>
      <c r="M320" s="411"/>
      <c r="N320" s="412"/>
    </row>
    <row r="321" spans="1:14">
      <c r="A321" s="33"/>
      <c r="B321" s="411"/>
      <c r="C321" s="411"/>
      <c r="D321" s="411"/>
      <c r="E321" s="411"/>
      <c r="F321" s="411"/>
      <c r="G321" s="411"/>
      <c r="H321" s="411"/>
      <c r="I321" s="411"/>
      <c r="J321" s="411"/>
      <c r="K321" s="411"/>
      <c r="L321" s="411"/>
      <c r="M321" s="411"/>
      <c r="N321" s="412"/>
    </row>
    <row r="322" spans="1:14">
      <c r="A322" s="33"/>
      <c r="B322" s="411"/>
      <c r="C322" s="411"/>
      <c r="D322" s="411"/>
      <c r="E322" s="411"/>
      <c r="F322" s="411"/>
      <c r="G322" s="411"/>
      <c r="H322" s="411"/>
      <c r="I322" s="411"/>
      <c r="J322" s="411"/>
      <c r="K322" s="411"/>
      <c r="L322" s="411"/>
      <c r="M322" s="411"/>
      <c r="N322" s="412"/>
    </row>
    <row r="323" spans="1:14">
      <c r="A323" s="33"/>
      <c r="B323" s="411"/>
      <c r="C323" s="411"/>
      <c r="D323" s="411"/>
      <c r="E323" s="411"/>
      <c r="F323" s="411"/>
      <c r="G323" s="411"/>
      <c r="H323" s="411"/>
      <c r="I323" s="411"/>
      <c r="J323" s="411"/>
      <c r="K323" s="411"/>
      <c r="L323" s="411"/>
      <c r="M323" s="411"/>
      <c r="N323" s="412"/>
    </row>
    <row r="324" spans="1:14">
      <c r="A324" s="33"/>
      <c r="B324" s="411"/>
      <c r="C324" s="411"/>
      <c r="D324" s="411"/>
      <c r="E324" s="411"/>
      <c r="F324" s="411"/>
      <c r="G324" s="411"/>
      <c r="H324" s="411"/>
      <c r="I324" s="411"/>
      <c r="J324" s="411"/>
      <c r="K324" s="411"/>
      <c r="L324" s="411"/>
      <c r="M324" s="411"/>
      <c r="N324" s="412"/>
    </row>
    <row r="325" spans="1:14">
      <c r="A325" s="33"/>
      <c r="B325" s="411"/>
      <c r="C325" s="411"/>
      <c r="D325" s="411"/>
      <c r="E325" s="411"/>
      <c r="F325" s="411"/>
      <c r="G325" s="411"/>
      <c r="H325" s="411"/>
      <c r="I325" s="411"/>
      <c r="J325" s="411"/>
      <c r="K325" s="411"/>
      <c r="L325" s="411"/>
      <c r="M325" s="411"/>
      <c r="N325" s="412"/>
    </row>
    <row r="326" spans="1:14">
      <c r="A326" s="33"/>
      <c r="B326" s="411"/>
      <c r="C326" s="411"/>
      <c r="D326" s="411"/>
      <c r="E326" s="411"/>
      <c r="F326" s="411"/>
      <c r="G326" s="411"/>
      <c r="H326" s="411"/>
      <c r="I326" s="411"/>
      <c r="J326" s="411"/>
      <c r="K326" s="411"/>
      <c r="L326" s="411"/>
      <c r="M326" s="411"/>
      <c r="N326" s="412"/>
    </row>
    <row r="327" spans="1:14">
      <c r="A327" s="33"/>
      <c r="B327" s="411"/>
      <c r="C327" s="411"/>
      <c r="D327" s="411"/>
      <c r="E327" s="411"/>
      <c r="F327" s="411"/>
      <c r="G327" s="411"/>
      <c r="H327" s="411"/>
      <c r="I327" s="411"/>
      <c r="J327" s="411"/>
      <c r="K327" s="411"/>
      <c r="L327" s="411"/>
      <c r="M327" s="411"/>
      <c r="N327" s="412"/>
    </row>
    <row r="328" spans="1:14">
      <c r="A328" s="33"/>
      <c r="B328" s="411"/>
      <c r="C328" s="411"/>
      <c r="D328" s="411"/>
      <c r="E328" s="411"/>
      <c r="F328" s="411"/>
      <c r="G328" s="411"/>
      <c r="H328" s="411"/>
      <c r="I328" s="411"/>
      <c r="J328" s="411"/>
      <c r="K328" s="411"/>
      <c r="L328" s="411"/>
      <c r="M328" s="411"/>
      <c r="N328" s="412"/>
    </row>
    <row r="329" spans="1:14">
      <c r="A329" s="33"/>
      <c r="B329" s="411"/>
      <c r="C329" s="411"/>
      <c r="D329" s="411"/>
      <c r="E329" s="411"/>
      <c r="F329" s="411"/>
      <c r="G329" s="411"/>
      <c r="H329" s="411"/>
      <c r="I329" s="411"/>
      <c r="J329" s="411"/>
      <c r="K329" s="411"/>
      <c r="L329" s="411"/>
      <c r="M329" s="411"/>
      <c r="N329" s="412"/>
    </row>
    <row r="330" spans="1:14">
      <c r="A330" s="33"/>
      <c r="B330" s="411"/>
      <c r="C330" s="411"/>
      <c r="D330" s="411"/>
      <c r="E330" s="411"/>
      <c r="F330" s="411"/>
      <c r="G330" s="411"/>
      <c r="H330" s="411"/>
      <c r="I330" s="411"/>
      <c r="J330" s="411"/>
      <c r="K330" s="411"/>
      <c r="L330" s="411"/>
      <c r="M330" s="411"/>
      <c r="N330" s="412"/>
    </row>
    <row r="331" spans="1:14">
      <c r="A331" s="33"/>
      <c r="B331" s="411"/>
      <c r="C331" s="411"/>
      <c r="D331" s="411"/>
      <c r="E331" s="411"/>
      <c r="F331" s="411"/>
      <c r="G331" s="411"/>
      <c r="H331" s="411"/>
      <c r="I331" s="411"/>
      <c r="J331" s="411"/>
      <c r="K331" s="411"/>
      <c r="L331" s="411"/>
      <c r="M331" s="411"/>
      <c r="N331" s="412"/>
    </row>
    <row r="332" spans="1:14">
      <c r="A332" s="33"/>
      <c r="B332" s="411"/>
      <c r="C332" s="411"/>
      <c r="D332" s="411"/>
      <c r="E332" s="411"/>
      <c r="F332" s="411"/>
      <c r="G332" s="411"/>
      <c r="H332" s="411"/>
      <c r="I332" s="411"/>
      <c r="J332" s="411"/>
      <c r="K332" s="411"/>
      <c r="L332" s="411"/>
      <c r="M332" s="411"/>
      <c r="N332" s="412"/>
    </row>
    <row r="333" spans="1:14">
      <c r="A333" s="33"/>
      <c r="B333" s="411"/>
      <c r="C333" s="411"/>
      <c r="D333" s="411"/>
      <c r="E333" s="411"/>
      <c r="F333" s="411"/>
      <c r="G333" s="411"/>
      <c r="H333" s="411"/>
      <c r="I333" s="411"/>
      <c r="J333" s="411"/>
      <c r="K333" s="411"/>
      <c r="L333" s="411"/>
      <c r="M333" s="411"/>
      <c r="N333" s="412"/>
    </row>
    <row r="334" spans="1:14">
      <c r="A334" s="33"/>
      <c r="B334" s="411"/>
      <c r="C334" s="411"/>
      <c r="D334" s="411"/>
      <c r="E334" s="411"/>
      <c r="F334" s="411"/>
      <c r="G334" s="411"/>
      <c r="H334" s="411"/>
      <c r="I334" s="411"/>
      <c r="J334" s="411"/>
      <c r="K334" s="411"/>
      <c r="L334" s="411"/>
      <c r="M334" s="411"/>
      <c r="N334" s="412"/>
    </row>
    <row r="335" spans="1:14">
      <c r="A335" s="33"/>
      <c r="B335" s="411"/>
      <c r="C335" s="411"/>
      <c r="D335" s="411"/>
      <c r="E335" s="411"/>
      <c r="F335" s="411"/>
      <c r="G335" s="411"/>
      <c r="H335" s="411"/>
      <c r="I335" s="411"/>
      <c r="J335" s="411"/>
      <c r="K335" s="411"/>
      <c r="L335" s="411"/>
      <c r="M335" s="411"/>
      <c r="N335" s="412"/>
    </row>
    <row r="336" spans="1:14">
      <c r="A336" s="33"/>
      <c r="B336" s="411"/>
      <c r="C336" s="411"/>
      <c r="D336" s="411"/>
      <c r="E336" s="411"/>
      <c r="F336" s="411"/>
      <c r="G336" s="411"/>
      <c r="H336" s="411"/>
      <c r="I336" s="411"/>
      <c r="J336" s="411"/>
      <c r="K336" s="411"/>
      <c r="L336" s="411"/>
      <c r="M336" s="411"/>
      <c r="N336" s="412"/>
    </row>
    <row r="337" spans="1:14">
      <c r="A337" s="33"/>
      <c r="B337" s="411"/>
      <c r="C337" s="411"/>
      <c r="D337" s="411"/>
      <c r="E337" s="411"/>
      <c r="F337" s="411"/>
      <c r="G337" s="411"/>
      <c r="H337" s="411"/>
      <c r="I337" s="411"/>
      <c r="J337" s="411"/>
      <c r="K337" s="411"/>
      <c r="L337" s="411"/>
      <c r="M337" s="411"/>
      <c r="N337" s="412"/>
    </row>
    <row r="338" spans="1:14">
      <c r="A338" s="33"/>
      <c r="B338" s="411"/>
      <c r="C338" s="411"/>
      <c r="D338" s="411"/>
      <c r="E338" s="411"/>
      <c r="F338" s="411"/>
      <c r="G338" s="411"/>
      <c r="H338" s="411"/>
      <c r="I338" s="411"/>
      <c r="J338" s="411"/>
      <c r="K338" s="411"/>
      <c r="L338" s="411"/>
      <c r="M338" s="411"/>
      <c r="N338" s="412"/>
    </row>
    <row r="339" spans="1:14">
      <c r="A339" s="33"/>
      <c r="B339" s="411"/>
      <c r="C339" s="411"/>
      <c r="D339" s="411"/>
      <c r="E339" s="411"/>
      <c r="F339" s="411"/>
      <c r="G339" s="411"/>
      <c r="H339" s="411"/>
      <c r="I339" s="411"/>
      <c r="J339" s="411"/>
      <c r="K339" s="411"/>
      <c r="L339" s="411"/>
      <c r="M339" s="411"/>
      <c r="N339" s="412"/>
    </row>
    <row r="340" spans="1:14">
      <c r="A340" s="33"/>
      <c r="B340" s="411"/>
      <c r="C340" s="411"/>
      <c r="D340" s="411"/>
      <c r="E340" s="411"/>
      <c r="F340" s="411"/>
      <c r="G340" s="411"/>
      <c r="H340" s="411"/>
      <c r="I340" s="411"/>
      <c r="J340" s="411"/>
      <c r="K340" s="411"/>
      <c r="L340" s="411"/>
      <c r="M340" s="411"/>
      <c r="N340" s="412"/>
    </row>
    <row r="341" spans="1:14">
      <c r="A341" s="33"/>
      <c r="B341" s="411"/>
      <c r="C341" s="411"/>
      <c r="D341" s="411"/>
      <c r="E341" s="411"/>
      <c r="F341" s="411"/>
      <c r="G341" s="411"/>
      <c r="H341" s="411"/>
      <c r="I341" s="411"/>
      <c r="J341" s="411"/>
      <c r="K341" s="411"/>
      <c r="L341" s="411"/>
      <c r="M341" s="411"/>
      <c r="N341" s="412"/>
    </row>
    <row r="342" spans="1:14">
      <c r="A342" s="33"/>
      <c r="B342" s="411"/>
      <c r="C342" s="411"/>
      <c r="D342" s="411"/>
      <c r="E342" s="411"/>
      <c r="F342" s="411"/>
      <c r="G342" s="411"/>
      <c r="H342" s="411"/>
      <c r="I342" s="411"/>
      <c r="J342" s="411"/>
      <c r="K342" s="411"/>
      <c r="L342" s="411"/>
      <c r="M342" s="411"/>
      <c r="N342" s="412"/>
    </row>
    <row r="343" spans="1:14">
      <c r="A343" s="33"/>
      <c r="B343" s="411"/>
      <c r="C343" s="411"/>
      <c r="D343" s="411"/>
      <c r="E343" s="411"/>
      <c r="F343" s="411"/>
      <c r="G343" s="411"/>
      <c r="H343" s="411"/>
      <c r="I343" s="411"/>
      <c r="J343" s="411"/>
      <c r="K343" s="411"/>
      <c r="L343" s="411"/>
      <c r="M343" s="411"/>
      <c r="N343" s="412"/>
    </row>
    <row r="344" spans="1:14">
      <c r="A344" s="33"/>
      <c r="B344" s="411"/>
      <c r="C344" s="411"/>
      <c r="D344" s="411"/>
      <c r="E344" s="411"/>
      <c r="F344" s="411"/>
      <c r="G344" s="411"/>
      <c r="H344" s="411"/>
      <c r="I344" s="411"/>
      <c r="J344" s="411"/>
      <c r="K344" s="411"/>
      <c r="L344" s="411"/>
      <c r="M344" s="411"/>
      <c r="N344" s="412"/>
    </row>
    <row r="345" spans="1:14">
      <c r="A345" s="33"/>
      <c r="B345" s="411"/>
      <c r="C345" s="411"/>
      <c r="D345" s="411"/>
      <c r="E345" s="411"/>
      <c r="F345" s="411"/>
      <c r="G345" s="411"/>
      <c r="H345" s="411"/>
      <c r="I345" s="411"/>
      <c r="J345" s="411"/>
      <c r="K345" s="411"/>
      <c r="L345" s="411"/>
      <c r="M345" s="411"/>
      <c r="N345" s="412"/>
    </row>
    <row r="346" spans="1:14">
      <c r="A346" s="33"/>
      <c r="B346" s="411"/>
      <c r="C346" s="411"/>
      <c r="D346" s="411"/>
      <c r="E346" s="411"/>
      <c r="F346" s="411"/>
      <c r="G346" s="411"/>
      <c r="H346" s="411"/>
      <c r="I346" s="411"/>
      <c r="J346" s="411"/>
      <c r="K346" s="411"/>
      <c r="L346" s="411"/>
      <c r="M346" s="411"/>
      <c r="N346" s="412"/>
    </row>
    <row r="347" spans="1:14">
      <c r="A347" s="33"/>
      <c r="B347" s="411"/>
      <c r="C347" s="411"/>
      <c r="D347" s="411"/>
      <c r="E347" s="411"/>
      <c r="F347" s="411"/>
      <c r="G347" s="411"/>
      <c r="H347" s="411"/>
      <c r="I347" s="411"/>
      <c r="J347" s="411"/>
      <c r="K347" s="411"/>
      <c r="L347" s="411"/>
      <c r="M347" s="411"/>
      <c r="N347" s="412"/>
    </row>
    <row r="348" spans="1:14">
      <c r="A348" s="33"/>
      <c r="B348" s="411"/>
      <c r="C348" s="411"/>
      <c r="D348" s="411"/>
      <c r="E348" s="411"/>
      <c r="F348" s="411"/>
      <c r="G348" s="411"/>
      <c r="H348" s="411"/>
      <c r="I348" s="411"/>
      <c r="J348" s="411"/>
      <c r="K348" s="411"/>
      <c r="L348" s="411"/>
      <c r="M348" s="411"/>
      <c r="N348" s="412"/>
    </row>
    <row r="349" spans="1:14">
      <c r="A349" s="33"/>
      <c r="B349" s="411"/>
      <c r="C349" s="411"/>
      <c r="D349" s="411"/>
      <c r="E349" s="411"/>
      <c r="F349" s="411"/>
      <c r="G349" s="411"/>
      <c r="H349" s="411"/>
      <c r="I349" s="411"/>
      <c r="J349" s="411"/>
      <c r="K349" s="411"/>
      <c r="L349" s="411"/>
      <c r="M349" s="411"/>
      <c r="N349" s="412"/>
    </row>
    <row r="350" spans="1:14">
      <c r="A350" s="33"/>
      <c r="B350" s="411"/>
      <c r="C350" s="411"/>
      <c r="D350" s="411"/>
      <c r="E350" s="411"/>
      <c r="F350" s="411"/>
      <c r="G350" s="411"/>
      <c r="H350" s="411"/>
      <c r="I350" s="411"/>
      <c r="J350" s="411"/>
      <c r="K350" s="411"/>
      <c r="L350" s="411"/>
      <c r="M350" s="411"/>
      <c r="N350" s="412"/>
    </row>
    <row r="351" spans="1:14">
      <c r="A351" s="33"/>
      <c r="B351" s="411"/>
      <c r="C351" s="411"/>
      <c r="D351" s="411"/>
      <c r="E351" s="411"/>
      <c r="F351" s="411"/>
      <c r="G351" s="411"/>
      <c r="H351" s="411"/>
      <c r="I351" s="411"/>
      <c r="J351" s="411"/>
      <c r="K351" s="411"/>
      <c r="L351" s="411"/>
      <c r="M351" s="411"/>
      <c r="N351" s="412"/>
    </row>
    <row r="352" spans="1:14">
      <c r="A352" s="33"/>
      <c r="B352" s="411"/>
      <c r="C352" s="411"/>
      <c r="D352" s="411"/>
      <c r="E352" s="411"/>
      <c r="F352" s="411"/>
      <c r="G352" s="411"/>
      <c r="H352" s="411"/>
      <c r="I352" s="411"/>
      <c r="J352" s="411"/>
      <c r="K352" s="411"/>
      <c r="L352" s="411"/>
      <c r="M352" s="411"/>
      <c r="N352" s="412"/>
    </row>
    <row r="353" spans="1:14">
      <c r="A353" s="33"/>
      <c r="B353" s="411"/>
      <c r="C353" s="411"/>
      <c r="D353" s="411"/>
      <c r="E353" s="411"/>
      <c r="F353" s="411"/>
      <c r="G353" s="411"/>
      <c r="H353" s="411"/>
      <c r="I353" s="411"/>
      <c r="J353" s="411"/>
      <c r="K353" s="411"/>
      <c r="L353" s="411"/>
      <c r="M353" s="411"/>
      <c r="N353" s="412"/>
    </row>
    <row r="354" spans="1:14">
      <c r="A354" s="33"/>
      <c r="B354" s="411"/>
      <c r="C354" s="411"/>
      <c r="D354" s="411"/>
      <c r="E354" s="411"/>
      <c r="F354" s="411"/>
      <c r="G354" s="411"/>
      <c r="H354" s="411"/>
      <c r="I354" s="411"/>
      <c r="J354" s="411"/>
      <c r="K354" s="411"/>
      <c r="L354" s="411"/>
      <c r="M354" s="411"/>
      <c r="N354" s="412"/>
    </row>
    <row r="355" spans="1:14">
      <c r="A355" s="33"/>
      <c r="B355" s="411"/>
      <c r="C355" s="411"/>
      <c r="D355" s="411"/>
      <c r="E355" s="411"/>
      <c r="F355" s="411"/>
      <c r="G355" s="411"/>
      <c r="H355" s="411"/>
      <c r="I355" s="411"/>
      <c r="J355" s="411"/>
      <c r="K355" s="411"/>
      <c r="L355" s="411"/>
      <c r="M355" s="411"/>
      <c r="N355" s="412"/>
    </row>
    <row r="356" spans="1:14">
      <c r="A356" s="33"/>
      <c r="B356" s="411"/>
      <c r="C356" s="411"/>
      <c r="D356" s="411"/>
      <c r="E356" s="411"/>
      <c r="F356" s="411"/>
      <c r="G356" s="411"/>
      <c r="H356" s="411"/>
      <c r="I356" s="411"/>
      <c r="J356" s="411"/>
      <c r="K356" s="411"/>
      <c r="L356" s="411"/>
      <c r="M356" s="411"/>
      <c r="N356" s="412"/>
    </row>
    <row r="357" spans="1:14">
      <c r="A357" s="33"/>
      <c r="B357" s="411"/>
      <c r="C357" s="411"/>
      <c r="D357" s="411"/>
      <c r="E357" s="411"/>
      <c r="F357" s="411"/>
      <c r="G357" s="411"/>
      <c r="H357" s="411"/>
      <c r="I357" s="411"/>
      <c r="J357" s="411"/>
      <c r="K357" s="411"/>
      <c r="L357" s="411"/>
      <c r="M357" s="411"/>
      <c r="N357" s="412"/>
    </row>
    <row r="358" spans="1:14">
      <c r="A358" s="33"/>
      <c r="B358" s="411"/>
      <c r="C358" s="411"/>
      <c r="D358" s="411"/>
      <c r="E358" s="411"/>
      <c r="F358" s="411"/>
      <c r="G358" s="411"/>
      <c r="H358" s="411"/>
      <c r="I358" s="411"/>
      <c r="J358" s="411"/>
      <c r="K358" s="411"/>
      <c r="L358" s="411"/>
      <c r="M358" s="411"/>
      <c r="N358" s="412"/>
    </row>
    <row r="359" spans="1:14">
      <c r="A359" s="33"/>
      <c r="B359" s="411"/>
      <c r="C359" s="411"/>
      <c r="D359" s="411"/>
      <c r="E359" s="411"/>
      <c r="F359" s="411"/>
      <c r="G359" s="411"/>
      <c r="H359" s="411"/>
      <c r="I359" s="411"/>
      <c r="J359" s="411"/>
      <c r="K359" s="411"/>
      <c r="L359" s="411"/>
      <c r="M359" s="411"/>
      <c r="N359" s="412"/>
    </row>
    <row r="360" spans="1:14">
      <c r="A360" s="33"/>
      <c r="B360" s="411"/>
      <c r="C360" s="411"/>
      <c r="D360" s="411"/>
      <c r="E360" s="411"/>
      <c r="F360" s="411"/>
      <c r="G360" s="411"/>
      <c r="H360" s="411"/>
      <c r="I360" s="411"/>
      <c r="J360" s="411"/>
      <c r="K360" s="411"/>
      <c r="L360" s="411"/>
      <c r="M360" s="411"/>
      <c r="N360" s="412"/>
    </row>
    <row r="361" spans="1:14">
      <c r="A361" s="33"/>
      <c r="B361" s="411"/>
      <c r="C361" s="411"/>
      <c r="D361" s="411"/>
      <c r="E361" s="411"/>
      <c r="F361" s="411"/>
      <c r="G361" s="411"/>
      <c r="H361" s="411"/>
      <c r="I361" s="411"/>
      <c r="J361" s="411"/>
      <c r="K361" s="411"/>
      <c r="L361" s="411"/>
      <c r="M361" s="411"/>
      <c r="N361" s="412"/>
    </row>
    <row r="362" spans="1:14">
      <c r="A362" s="33"/>
      <c r="B362" s="411"/>
      <c r="C362" s="411"/>
      <c r="D362" s="411"/>
      <c r="E362" s="411"/>
      <c r="F362" s="411"/>
      <c r="G362" s="411"/>
      <c r="H362" s="411"/>
      <c r="I362" s="411"/>
      <c r="J362" s="411"/>
      <c r="K362" s="411"/>
      <c r="L362" s="411"/>
      <c r="M362" s="411"/>
      <c r="N362" s="412"/>
    </row>
    <row r="363" spans="1:14">
      <c r="A363" s="33"/>
      <c r="B363" s="411"/>
      <c r="C363" s="411"/>
      <c r="D363" s="411"/>
      <c r="E363" s="411"/>
      <c r="F363" s="411"/>
      <c r="G363" s="411"/>
      <c r="H363" s="411"/>
      <c r="I363" s="411"/>
      <c r="J363" s="411"/>
      <c r="K363" s="411"/>
      <c r="L363" s="411"/>
      <c r="M363" s="411"/>
      <c r="N363" s="412"/>
    </row>
    <row r="364" spans="1:14">
      <c r="A364" s="33"/>
      <c r="B364" s="411"/>
      <c r="C364" s="411"/>
      <c r="D364" s="411"/>
      <c r="E364" s="411"/>
      <c r="F364" s="411"/>
      <c r="G364" s="411"/>
      <c r="H364" s="411"/>
      <c r="I364" s="411"/>
      <c r="J364" s="411"/>
      <c r="K364" s="411"/>
      <c r="L364" s="411"/>
      <c r="M364" s="411"/>
      <c r="N364" s="412"/>
    </row>
    <row r="365" spans="1:14">
      <c r="A365" s="33"/>
      <c r="B365" s="411"/>
      <c r="C365" s="411"/>
      <c r="D365" s="411"/>
      <c r="E365" s="411"/>
      <c r="F365" s="411"/>
      <c r="G365" s="411"/>
      <c r="H365" s="411"/>
      <c r="I365" s="411"/>
      <c r="J365" s="411"/>
      <c r="K365" s="411"/>
      <c r="L365" s="411"/>
      <c r="M365" s="411"/>
      <c r="N365" s="412"/>
    </row>
    <row r="366" spans="1:14">
      <c r="A366" s="33"/>
      <c r="B366" s="411"/>
      <c r="C366" s="411"/>
      <c r="D366" s="411"/>
      <c r="E366" s="411"/>
      <c r="F366" s="411"/>
      <c r="G366" s="411"/>
      <c r="H366" s="411"/>
      <c r="I366" s="411"/>
      <c r="J366" s="411"/>
      <c r="K366" s="411"/>
      <c r="L366" s="411"/>
      <c r="M366" s="411"/>
      <c r="N366" s="412"/>
    </row>
    <row r="367" spans="1:14">
      <c r="A367" s="33"/>
      <c r="B367" s="411"/>
      <c r="C367" s="411"/>
      <c r="D367" s="411"/>
      <c r="E367" s="411"/>
      <c r="F367" s="411"/>
      <c r="G367" s="411"/>
      <c r="H367" s="411"/>
      <c r="I367" s="411"/>
      <c r="J367" s="411"/>
      <c r="K367" s="411"/>
      <c r="L367" s="411"/>
      <c r="M367" s="411"/>
      <c r="N367" s="412"/>
    </row>
    <row r="368" spans="1:14">
      <c r="A368" s="33"/>
      <c r="B368" s="411"/>
      <c r="C368" s="411"/>
      <c r="D368" s="411"/>
      <c r="E368" s="411"/>
      <c r="F368" s="411"/>
      <c r="G368" s="411"/>
      <c r="H368" s="411"/>
      <c r="I368" s="411"/>
      <c r="J368" s="411"/>
      <c r="K368" s="411"/>
      <c r="L368" s="411"/>
      <c r="M368" s="411"/>
      <c r="N368" s="412"/>
    </row>
    <row r="369" spans="1:14">
      <c r="A369" s="33"/>
      <c r="B369" s="411"/>
      <c r="C369" s="411"/>
      <c r="D369" s="411"/>
      <c r="E369" s="411"/>
      <c r="F369" s="411"/>
      <c r="G369" s="411"/>
      <c r="H369" s="411"/>
      <c r="I369" s="411"/>
      <c r="J369" s="411"/>
      <c r="K369" s="411"/>
      <c r="L369" s="411"/>
      <c r="M369" s="411"/>
      <c r="N369" s="412"/>
    </row>
    <row r="370" spans="1:14">
      <c r="A370" s="33"/>
      <c r="B370" s="411"/>
      <c r="C370" s="411"/>
      <c r="D370" s="411"/>
      <c r="E370" s="411"/>
      <c r="F370" s="411"/>
      <c r="G370" s="411"/>
      <c r="H370" s="411"/>
      <c r="I370" s="411"/>
      <c r="J370" s="411"/>
      <c r="K370" s="411"/>
      <c r="L370" s="411"/>
      <c r="M370" s="411"/>
      <c r="N370" s="412"/>
    </row>
    <row r="371" spans="1:14">
      <c r="A371" s="33"/>
      <c r="B371" s="411"/>
      <c r="C371" s="411"/>
      <c r="D371" s="411"/>
      <c r="E371" s="411"/>
      <c r="F371" s="411"/>
      <c r="G371" s="411"/>
      <c r="H371" s="411"/>
      <c r="I371" s="411"/>
      <c r="J371" s="411"/>
      <c r="K371" s="411"/>
      <c r="L371" s="411"/>
      <c r="M371" s="411"/>
      <c r="N371" s="412"/>
    </row>
    <row r="372" spans="1:14">
      <c r="A372" s="33"/>
      <c r="B372" s="411"/>
      <c r="C372" s="411"/>
      <c r="D372" s="411"/>
      <c r="E372" s="411"/>
      <c r="F372" s="411"/>
      <c r="G372" s="411"/>
      <c r="H372" s="411"/>
      <c r="I372" s="411"/>
      <c r="J372" s="411"/>
      <c r="K372" s="411"/>
      <c r="L372" s="411"/>
      <c r="M372" s="411"/>
      <c r="N372" s="412"/>
    </row>
    <row r="373" spans="1:14">
      <c r="A373" s="33"/>
      <c r="B373" s="411"/>
      <c r="C373" s="411"/>
      <c r="D373" s="411"/>
      <c r="E373" s="411"/>
      <c r="F373" s="411"/>
      <c r="G373" s="411"/>
      <c r="H373" s="411"/>
      <c r="I373" s="411"/>
      <c r="J373" s="411"/>
      <c r="K373" s="411"/>
      <c r="L373" s="411"/>
      <c r="M373" s="411"/>
      <c r="N373" s="412"/>
    </row>
    <row r="374" spans="1:14">
      <c r="A374" s="33"/>
      <c r="B374" s="411"/>
      <c r="C374" s="411"/>
      <c r="D374" s="411"/>
      <c r="E374" s="411"/>
      <c r="F374" s="411"/>
      <c r="G374" s="411"/>
      <c r="H374" s="411"/>
      <c r="I374" s="411"/>
      <c r="J374" s="411"/>
      <c r="K374" s="411"/>
      <c r="L374" s="411"/>
      <c r="M374" s="411"/>
      <c r="N374" s="412"/>
    </row>
    <row r="375" spans="1:14">
      <c r="A375" s="33"/>
      <c r="B375" s="411"/>
      <c r="C375" s="411"/>
      <c r="D375" s="411"/>
      <c r="E375" s="411"/>
      <c r="F375" s="411"/>
      <c r="G375" s="411"/>
      <c r="H375" s="411"/>
      <c r="I375" s="411"/>
      <c r="J375" s="411"/>
      <c r="K375" s="411"/>
      <c r="L375" s="411"/>
      <c r="M375" s="411"/>
      <c r="N375" s="412"/>
    </row>
    <row r="376" spans="1:14">
      <c r="A376" s="33"/>
      <c r="B376" s="411"/>
      <c r="C376" s="411"/>
      <c r="D376" s="411"/>
      <c r="E376" s="411"/>
      <c r="F376" s="411"/>
      <c r="G376" s="411"/>
      <c r="H376" s="411"/>
      <c r="I376" s="411"/>
      <c r="J376" s="411"/>
      <c r="K376" s="411"/>
      <c r="L376" s="411"/>
      <c r="M376" s="411"/>
      <c r="N376" s="412"/>
    </row>
    <row r="377" spans="1:14">
      <c r="A377" s="33"/>
      <c r="B377" s="411"/>
      <c r="C377" s="411"/>
      <c r="D377" s="411"/>
      <c r="E377" s="411"/>
      <c r="F377" s="411"/>
      <c r="G377" s="411"/>
      <c r="H377" s="411"/>
      <c r="I377" s="411"/>
      <c r="J377" s="411"/>
      <c r="K377" s="411"/>
      <c r="L377" s="411"/>
      <c r="M377" s="411"/>
      <c r="N377" s="412"/>
    </row>
    <row r="378" spans="1:14">
      <c r="A378" s="33"/>
      <c r="B378" s="411"/>
      <c r="C378" s="411"/>
      <c r="D378" s="411"/>
      <c r="E378" s="411"/>
      <c r="F378" s="411"/>
      <c r="G378" s="411"/>
      <c r="H378" s="411"/>
      <c r="I378" s="411"/>
      <c r="J378" s="411"/>
      <c r="K378" s="411"/>
      <c r="L378" s="411"/>
      <c r="M378" s="411"/>
      <c r="N378" s="412"/>
    </row>
    <row r="379" spans="1:14">
      <c r="A379" s="33"/>
      <c r="B379" s="411"/>
      <c r="C379" s="411"/>
      <c r="D379" s="411"/>
      <c r="E379" s="411"/>
      <c r="F379" s="411"/>
      <c r="G379" s="411"/>
      <c r="H379" s="411"/>
      <c r="I379" s="411"/>
      <c r="J379" s="411"/>
      <c r="K379" s="411"/>
      <c r="L379" s="411"/>
      <c r="M379" s="411"/>
      <c r="N379" s="412"/>
    </row>
    <row r="380" spans="1:14">
      <c r="A380" s="33"/>
      <c r="B380" s="411"/>
      <c r="C380" s="411"/>
      <c r="D380" s="411"/>
      <c r="E380" s="411"/>
      <c r="F380" s="411"/>
      <c r="G380" s="411"/>
      <c r="H380" s="411"/>
      <c r="I380" s="411"/>
      <c r="J380" s="411"/>
      <c r="K380" s="411"/>
      <c r="L380" s="411"/>
      <c r="M380" s="411"/>
      <c r="N380" s="412"/>
    </row>
    <row r="381" spans="1:14">
      <c r="A381" s="33"/>
      <c r="B381" s="411"/>
      <c r="C381" s="411"/>
      <c r="D381" s="411"/>
      <c r="E381" s="411"/>
      <c r="F381" s="411"/>
      <c r="G381" s="411"/>
      <c r="H381" s="411"/>
      <c r="I381" s="411"/>
      <c r="J381" s="411"/>
      <c r="K381" s="411"/>
      <c r="L381" s="411"/>
      <c r="M381" s="411"/>
      <c r="N381" s="412"/>
    </row>
    <row r="382" spans="1:14">
      <c r="A382" s="33"/>
      <c r="B382" s="411"/>
      <c r="C382" s="411"/>
      <c r="D382" s="411"/>
      <c r="E382" s="411"/>
      <c r="F382" s="411"/>
      <c r="G382" s="411"/>
      <c r="H382" s="411"/>
      <c r="I382" s="411"/>
      <c r="J382" s="411"/>
      <c r="K382" s="411"/>
      <c r="L382" s="411"/>
      <c r="M382" s="411"/>
      <c r="N382" s="412"/>
    </row>
    <row r="383" spans="1:14">
      <c r="A383" s="33"/>
      <c r="B383" s="411"/>
      <c r="C383" s="411"/>
      <c r="D383" s="411"/>
      <c r="E383" s="411"/>
      <c r="F383" s="411"/>
      <c r="G383" s="411"/>
      <c r="H383" s="411"/>
      <c r="I383" s="411"/>
      <c r="J383" s="411"/>
      <c r="K383" s="411"/>
      <c r="L383" s="411"/>
      <c r="M383" s="411"/>
      <c r="N383" s="412"/>
    </row>
    <row r="384" spans="1:14">
      <c r="A384" s="33"/>
      <c r="B384" s="411"/>
      <c r="C384" s="411"/>
      <c r="D384" s="411"/>
      <c r="E384" s="411"/>
      <c r="F384" s="411"/>
      <c r="G384" s="411"/>
      <c r="H384" s="411"/>
      <c r="I384" s="411"/>
      <c r="J384" s="411"/>
      <c r="K384" s="411"/>
      <c r="L384" s="411"/>
      <c r="M384" s="411"/>
      <c r="N384" s="412"/>
    </row>
    <row r="385" spans="1:14">
      <c r="A385" s="33"/>
      <c r="B385" s="411"/>
      <c r="C385" s="411"/>
      <c r="D385" s="411"/>
      <c r="E385" s="411"/>
      <c r="F385" s="411"/>
      <c r="G385" s="411"/>
      <c r="H385" s="411"/>
      <c r="I385" s="411"/>
      <c r="J385" s="411"/>
      <c r="K385" s="411"/>
      <c r="L385" s="411"/>
      <c r="M385" s="411"/>
      <c r="N385" s="412"/>
    </row>
    <row r="386" spans="1:14">
      <c r="A386" s="33"/>
      <c r="B386" s="411"/>
      <c r="C386" s="411"/>
      <c r="D386" s="411"/>
      <c r="E386" s="411"/>
      <c r="F386" s="411"/>
      <c r="G386" s="411"/>
      <c r="H386" s="411"/>
      <c r="I386" s="411"/>
      <c r="J386" s="411"/>
      <c r="K386" s="411"/>
      <c r="L386" s="411"/>
      <c r="M386" s="411"/>
      <c r="N386" s="412"/>
    </row>
    <row r="387" spans="1:14">
      <c r="A387" s="33"/>
      <c r="B387" s="411"/>
      <c r="C387" s="411"/>
      <c r="D387" s="411"/>
      <c r="E387" s="411"/>
      <c r="F387" s="411"/>
      <c r="G387" s="411"/>
      <c r="H387" s="411"/>
      <c r="I387" s="411"/>
      <c r="J387" s="411"/>
      <c r="K387" s="411"/>
      <c r="L387" s="411"/>
      <c r="M387" s="411"/>
      <c r="N387" s="412"/>
    </row>
    <row r="388" spans="1:14">
      <c r="A388" s="33"/>
      <c r="B388" s="411"/>
      <c r="C388" s="411"/>
      <c r="D388" s="411"/>
      <c r="E388" s="411"/>
      <c r="F388" s="411"/>
      <c r="G388" s="411"/>
      <c r="H388" s="411"/>
      <c r="I388" s="411"/>
      <c r="J388" s="411"/>
      <c r="K388" s="411"/>
      <c r="L388" s="411"/>
      <c r="M388" s="411"/>
      <c r="N388" s="412"/>
    </row>
    <row r="389" spans="1:14">
      <c r="A389" s="33"/>
      <c r="B389" s="411"/>
      <c r="C389" s="411"/>
      <c r="D389" s="411"/>
      <c r="E389" s="411"/>
      <c r="F389" s="411"/>
      <c r="G389" s="411"/>
      <c r="H389" s="411"/>
      <c r="I389" s="411"/>
      <c r="J389" s="411"/>
      <c r="K389" s="411"/>
      <c r="L389" s="411"/>
      <c r="M389" s="411"/>
      <c r="N389" s="412"/>
    </row>
    <row r="390" spans="1:14">
      <c r="A390" s="33"/>
      <c r="B390" s="411"/>
      <c r="C390" s="411"/>
      <c r="D390" s="411"/>
      <c r="E390" s="411"/>
      <c r="F390" s="411"/>
      <c r="G390" s="411"/>
      <c r="H390" s="411"/>
      <c r="I390" s="411"/>
      <c r="J390" s="411"/>
      <c r="K390" s="411"/>
      <c r="L390" s="411"/>
      <c r="M390" s="411"/>
      <c r="N390" s="412"/>
    </row>
    <row r="391" spans="1:14">
      <c r="A391" s="33"/>
      <c r="B391" s="411"/>
      <c r="C391" s="411"/>
      <c r="D391" s="411"/>
      <c r="E391" s="411"/>
      <c r="F391" s="411"/>
      <c r="G391" s="411"/>
      <c r="H391" s="411"/>
      <c r="I391" s="411"/>
      <c r="J391" s="411"/>
      <c r="K391" s="411"/>
      <c r="L391" s="411"/>
      <c r="M391" s="411"/>
      <c r="N391" s="412"/>
    </row>
    <row r="392" spans="1:14">
      <c r="A392" s="33"/>
      <c r="B392" s="411"/>
      <c r="C392" s="411"/>
      <c r="D392" s="411"/>
      <c r="E392" s="411"/>
      <c r="F392" s="411"/>
      <c r="G392" s="411"/>
      <c r="H392" s="411"/>
      <c r="I392" s="411"/>
      <c r="J392" s="411"/>
      <c r="K392" s="411"/>
      <c r="L392" s="411"/>
      <c r="M392" s="411"/>
      <c r="N392" s="412"/>
    </row>
    <row r="393" spans="1:14">
      <c r="A393" s="33"/>
      <c r="B393" s="411"/>
      <c r="C393" s="411"/>
      <c r="D393" s="411"/>
      <c r="E393" s="411"/>
      <c r="F393" s="411"/>
      <c r="G393" s="411"/>
      <c r="H393" s="411"/>
      <c r="I393" s="411"/>
      <c r="J393" s="411"/>
      <c r="K393" s="411"/>
      <c r="L393" s="411"/>
      <c r="M393" s="411"/>
      <c r="N393" s="412"/>
    </row>
    <row r="394" spans="1:14">
      <c r="A394" s="33"/>
      <c r="B394" s="411"/>
      <c r="C394" s="411"/>
      <c r="D394" s="411"/>
      <c r="E394" s="411"/>
      <c r="F394" s="411"/>
      <c r="G394" s="411"/>
      <c r="H394" s="411"/>
      <c r="I394" s="411"/>
      <c r="J394" s="411"/>
      <c r="K394" s="411"/>
      <c r="L394" s="411"/>
      <c r="M394" s="411"/>
      <c r="N394" s="412"/>
    </row>
    <row r="395" spans="1:14">
      <c r="A395" s="33"/>
      <c r="B395" s="411"/>
      <c r="C395" s="411"/>
      <c r="D395" s="411"/>
      <c r="E395" s="411"/>
      <c r="F395" s="411"/>
      <c r="G395" s="411"/>
      <c r="H395" s="411"/>
      <c r="I395" s="411"/>
      <c r="J395" s="411"/>
      <c r="K395" s="411"/>
      <c r="L395" s="411"/>
      <c r="M395" s="411"/>
      <c r="N395" s="412"/>
    </row>
    <row r="396" spans="1:14">
      <c r="A396" s="33"/>
      <c r="B396" s="411"/>
      <c r="C396" s="411"/>
      <c r="D396" s="411"/>
      <c r="E396" s="411"/>
      <c r="F396" s="411"/>
      <c r="G396" s="411"/>
      <c r="H396" s="411"/>
      <c r="I396" s="411"/>
      <c r="J396" s="411"/>
      <c r="K396" s="411"/>
      <c r="L396" s="411"/>
      <c r="M396" s="411"/>
      <c r="N396" s="412"/>
    </row>
    <row r="397" spans="1:14">
      <c r="A397" s="33"/>
      <c r="B397" s="411"/>
      <c r="C397" s="411"/>
      <c r="D397" s="411"/>
      <c r="E397" s="411"/>
      <c r="F397" s="411"/>
      <c r="G397" s="411"/>
      <c r="H397" s="411"/>
      <c r="I397" s="411"/>
      <c r="J397" s="411"/>
      <c r="K397" s="411"/>
      <c r="L397" s="411"/>
      <c r="M397" s="411"/>
      <c r="N397" s="412"/>
    </row>
    <row r="398" spans="1:14">
      <c r="A398" s="33"/>
      <c r="B398" s="411"/>
      <c r="C398" s="411"/>
      <c r="D398" s="411"/>
      <c r="E398" s="411"/>
      <c r="F398" s="411"/>
      <c r="G398" s="411"/>
      <c r="H398" s="411"/>
      <c r="I398" s="411"/>
      <c r="J398" s="411"/>
      <c r="K398" s="411"/>
      <c r="L398" s="411"/>
      <c r="M398" s="411"/>
      <c r="N398" s="412"/>
    </row>
    <row r="399" spans="1:14">
      <c r="A399" s="33"/>
      <c r="B399" s="411"/>
      <c r="C399" s="411"/>
      <c r="D399" s="411"/>
      <c r="E399" s="411"/>
      <c r="F399" s="411"/>
      <c r="G399" s="411"/>
      <c r="H399" s="411"/>
      <c r="I399" s="411"/>
      <c r="J399" s="411"/>
      <c r="K399" s="411"/>
      <c r="L399" s="411"/>
      <c r="M399" s="411"/>
      <c r="N399" s="412"/>
    </row>
    <row r="400" spans="1:14">
      <c r="A400" s="33"/>
      <c r="B400" s="411"/>
      <c r="C400" s="411"/>
      <c r="D400" s="411"/>
      <c r="E400" s="411"/>
      <c r="F400" s="411"/>
      <c r="G400" s="411"/>
      <c r="H400" s="411"/>
      <c r="I400" s="411"/>
      <c r="J400" s="411"/>
      <c r="K400" s="411"/>
      <c r="L400" s="411"/>
      <c r="M400" s="411"/>
      <c r="N400" s="412"/>
    </row>
    <row r="401" spans="1:14">
      <c r="A401" s="33"/>
      <c r="B401" s="411"/>
      <c r="C401" s="411"/>
      <c r="D401" s="411"/>
      <c r="E401" s="411"/>
      <c r="F401" s="411"/>
      <c r="G401" s="411"/>
      <c r="H401" s="411"/>
      <c r="I401" s="411"/>
      <c r="J401" s="411"/>
      <c r="K401" s="411"/>
      <c r="L401" s="411"/>
      <c r="M401" s="411"/>
      <c r="N401" s="412"/>
    </row>
    <row r="402" spans="1:14">
      <c r="A402" s="33"/>
      <c r="B402" s="411"/>
      <c r="C402" s="411"/>
      <c r="D402" s="411"/>
      <c r="E402" s="411"/>
      <c r="F402" s="411"/>
      <c r="G402" s="411"/>
      <c r="H402" s="411"/>
      <c r="I402" s="411"/>
      <c r="J402" s="411"/>
      <c r="K402" s="411"/>
      <c r="L402" s="411"/>
      <c r="M402" s="411"/>
      <c r="N402" s="412"/>
    </row>
    <row r="403" spans="1:14">
      <c r="A403" s="33"/>
      <c r="B403" s="411"/>
      <c r="C403" s="411"/>
      <c r="D403" s="411"/>
      <c r="E403" s="411"/>
      <c r="F403" s="411"/>
      <c r="G403" s="411"/>
      <c r="H403" s="411"/>
      <c r="I403" s="411"/>
      <c r="J403" s="411"/>
      <c r="K403" s="411"/>
      <c r="L403" s="411"/>
      <c r="M403" s="411"/>
      <c r="N403" s="412"/>
    </row>
    <row r="404" spans="1:14">
      <c r="A404" s="33"/>
      <c r="B404" s="411"/>
      <c r="C404" s="411"/>
      <c r="D404" s="411"/>
      <c r="E404" s="411"/>
      <c r="F404" s="411"/>
      <c r="G404" s="411"/>
      <c r="H404" s="411"/>
      <c r="I404" s="411"/>
      <c r="J404" s="411"/>
      <c r="K404" s="411"/>
      <c r="L404" s="411"/>
      <c r="M404" s="411"/>
      <c r="N404" s="412"/>
    </row>
    <row r="405" spans="1:14">
      <c r="A405" s="33"/>
      <c r="B405" s="411"/>
      <c r="C405" s="411"/>
      <c r="D405" s="411"/>
      <c r="E405" s="411"/>
      <c r="F405" s="411"/>
      <c r="G405" s="411"/>
      <c r="H405" s="411"/>
      <c r="I405" s="411"/>
      <c r="J405" s="411"/>
      <c r="K405" s="411"/>
      <c r="L405" s="411"/>
      <c r="M405" s="411"/>
      <c r="N405" s="412"/>
    </row>
    <row r="406" spans="1:14">
      <c r="A406" s="33"/>
      <c r="B406" s="411"/>
      <c r="C406" s="411"/>
      <c r="D406" s="411"/>
      <c r="E406" s="411"/>
      <c r="F406" s="411"/>
      <c r="G406" s="411"/>
      <c r="H406" s="411"/>
      <c r="I406" s="411"/>
      <c r="J406" s="411"/>
      <c r="K406" s="411"/>
      <c r="L406" s="411"/>
      <c r="M406" s="411"/>
      <c r="N406" s="412"/>
    </row>
    <row r="407" spans="1:14">
      <c r="A407" s="33"/>
      <c r="B407" s="411"/>
      <c r="C407" s="411"/>
      <c r="D407" s="411"/>
      <c r="E407" s="411"/>
      <c r="F407" s="411"/>
      <c r="G407" s="411"/>
      <c r="H407" s="411"/>
      <c r="I407" s="411"/>
      <c r="J407" s="411"/>
      <c r="K407" s="411"/>
      <c r="L407" s="411"/>
      <c r="M407" s="411"/>
      <c r="N407" s="412"/>
    </row>
    <row r="408" spans="1:14">
      <c r="A408" s="33"/>
      <c r="B408" s="411"/>
      <c r="C408" s="411"/>
      <c r="D408" s="411"/>
      <c r="E408" s="411"/>
      <c r="F408" s="411"/>
      <c r="G408" s="411"/>
      <c r="H408" s="411"/>
      <c r="I408" s="411"/>
      <c r="J408" s="411"/>
      <c r="K408" s="411"/>
      <c r="L408" s="411"/>
      <c r="M408" s="411"/>
      <c r="N408" s="412"/>
    </row>
    <row r="409" spans="1:14">
      <c r="A409" s="33"/>
      <c r="B409" s="411"/>
      <c r="C409" s="411"/>
      <c r="D409" s="411"/>
      <c r="E409" s="411"/>
      <c r="F409" s="411"/>
      <c r="G409" s="411"/>
      <c r="H409" s="411"/>
      <c r="I409" s="411"/>
      <c r="J409" s="411"/>
      <c r="K409" s="411"/>
      <c r="L409" s="411"/>
      <c r="M409" s="411"/>
      <c r="N409" s="412"/>
    </row>
    <row r="410" spans="1:14">
      <c r="A410" s="33"/>
      <c r="B410" s="411"/>
      <c r="C410" s="411"/>
      <c r="D410" s="411"/>
      <c r="E410" s="411"/>
      <c r="F410" s="411"/>
      <c r="G410" s="411"/>
      <c r="H410" s="411"/>
      <c r="I410" s="411"/>
      <c r="J410" s="411"/>
      <c r="K410" s="411"/>
      <c r="L410" s="411"/>
      <c r="M410" s="411"/>
      <c r="N410" s="412"/>
    </row>
    <row r="411" spans="1:14">
      <c r="A411" s="33"/>
      <c r="B411" s="411"/>
      <c r="C411" s="411"/>
      <c r="D411" s="411"/>
      <c r="E411" s="411"/>
      <c r="F411" s="411"/>
      <c r="G411" s="411"/>
      <c r="H411" s="411"/>
      <c r="I411" s="411"/>
      <c r="J411" s="411"/>
      <c r="K411" s="411"/>
      <c r="L411" s="411"/>
      <c r="M411" s="411"/>
      <c r="N411" s="412"/>
    </row>
    <row r="412" spans="1:14">
      <c r="A412" s="33"/>
      <c r="B412" s="411"/>
      <c r="C412" s="411"/>
      <c r="D412" s="411"/>
      <c r="E412" s="411"/>
      <c r="F412" s="411"/>
      <c r="G412" s="411"/>
      <c r="H412" s="411"/>
      <c r="I412" s="411"/>
      <c r="J412" s="411"/>
      <c r="K412" s="411"/>
      <c r="L412" s="411"/>
      <c r="M412" s="411"/>
      <c r="N412" s="412"/>
    </row>
    <row r="413" spans="1:14">
      <c r="A413" s="33"/>
      <c r="B413" s="411"/>
      <c r="C413" s="411"/>
      <c r="D413" s="411"/>
      <c r="E413" s="411"/>
      <c r="F413" s="411"/>
      <c r="G413" s="411"/>
      <c r="H413" s="411"/>
      <c r="I413" s="411"/>
      <c r="J413" s="411"/>
      <c r="K413" s="411"/>
      <c r="L413" s="411"/>
      <c r="M413" s="411"/>
      <c r="N413" s="412"/>
    </row>
    <row r="414" spans="1:14">
      <c r="A414" s="33"/>
      <c r="B414" s="411"/>
      <c r="C414" s="411"/>
      <c r="D414" s="411"/>
      <c r="E414" s="411"/>
      <c r="F414" s="411"/>
      <c r="G414" s="411"/>
      <c r="H414" s="411"/>
      <c r="I414" s="411"/>
      <c r="J414" s="411"/>
      <c r="K414" s="411"/>
      <c r="L414" s="411"/>
      <c r="M414" s="411"/>
      <c r="N414" s="412"/>
    </row>
    <row r="415" spans="1:14">
      <c r="A415" s="33"/>
      <c r="B415" s="411"/>
      <c r="C415" s="411"/>
      <c r="D415" s="411"/>
      <c r="E415" s="411"/>
      <c r="F415" s="411"/>
      <c r="G415" s="411"/>
      <c r="H415" s="411"/>
      <c r="I415" s="411"/>
      <c r="J415" s="411"/>
      <c r="K415" s="411"/>
      <c r="L415" s="411"/>
      <c r="M415" s="411"/>
      <c r="N415" s="412"/>
    </row>
    <row r="416" spans="1:14">
      <c r="A416" s="33"/>
      <c r="B416" s="411"/>
      <c r="C416" s="411"/>
      <c r="D416" s="411"/>
      <c r="E416" s="411"/>
      <c r="F416" s="411"/>
      <c r="G416" s="411"/>
      <c r="H416" s="411"/>
      <c r="I416" s="411"/>
      <c r="J416" s="411"/>
      <c r="K416" s="411"/>
      <c r="L416" s="411"/>
      <c r="M416" s="411"/>
      <c r="N416" s="412"/>
    </row>
    <row r="417" spans="1:14">
      <c r="A417" s="33"/>
      <c r="B417" s="411"/>
      <c r="C417" s="411"/>
      <c r="D417" s="411"/>
      <c r="E417" s="411"/>
      <c r="F417" s="411"/>
      <c r="G417" s="411"/>
      <c r="H417" s="411"/>
      <c r="I417" s="411"/>
      <c r="J417" s="411"/>
      <c r="K417" s="411"/>
      <c r="L417" s="411"/>
      <c r="M417" s="411"/>
      <c r="N417" s="412"/>
    </row>
    <row r="418" spans="1:14">
      <c r="A418" s="33"/>
      <c r="B418" s="411"/>
      <c r="C418" s="411"/>
      <c r="D418" s="411"/>
      <c r="E418" s="411"/>
      <c r="F418" s="411"/>
      <c r="G418" s="411"/>
      <c r="H418" s="411"/>
      <c r="I418" s="411"/>
      <c r="J418" s="411"/>
      <c r="K418" s="411"/>
      <c r="L418" s="411"/>
      <c r="M418" s="411"/>
      <c r="N418" s="412"/>
    </row>
    <row r="419" spans="1:14">
      <c r="A419" s="33"/>
      <c r="B419" s="411"/>
      <c r="C419" s="411"/>
      <c r="D419" s="411"/>
      <c r="E419" s="411"/>
      <c r="F419" s="411"/>
      <c r="G419" s="411"/>
      <c r="H419" s="411"/>
      <c r="I419" s="411"/>
      <c r="J419" s="411"/>
      <c r="K419" s="411"/>
      <c r="L419" s="411"/>
      <c r="M419" s="411"/>
      <c r="N419" s="412"/>
    </row>
    <row r="420" spans="1:14">
      <c r="A420" s="33"/>
      <c r="B420" s="411"/>
      <c r="C420" s="411"/>
      <c r="D420" s="411"/>
      <c r="E420" s="411"/>
      <c r="F420" s="411"/>
      <c r="G420" s="411"/>
      <c r="H420" s="411"/>
      <c r="I420" s="411"/>
      <c r="J420" s="411"/>
      <c r="K420" s="411"/>
      <c r="L420" s="411"/>
      <c r="M420" s="411"/>
      <c r="N420" s="412"/>
    </row>
    <row r="421" spans="1:14">
      <c r="A421" s="33"/>
      <c r="B421" s="411"/>
      <c r="C421" s="411"/>
      <c r="D421" s="411"/>
      <c r="E421" s="411"/>
      <c r="F421" s="411"/>
      <c r="G421" s="411"/>
      <c r="H421" s="411"/>
      <c r="I421" s="411"/>
      <c r="J421" s="411"/>
      <c r="K421" s="411"/>
      <c r="L421" s="411"/>
      <c r="M421" s="411"/>
      <c r="N421" s="412"/>
    </row>
    <row r="422" spans="1:14">
      <c r="A422" s="33"/>
      <c r="B422" s="411"/>
      <c r="C422" s="411"/>
      <c r="D422" s="411"/>
      <c r="E422" s="411"/>
      <c r="F422" s="411"/>
      <c r="G422" s="411"/>
      <c r="H422" s="411"/>
      <c r="I422" s="411"/>
      <c r="J422" s="411"/>
      <c r="K422" s="411"/>
      <c r="L422" s="411"/>
      <c r="M422" s="411"/>
      <c r="N422" s="412"/>
    </row>
    <row r="423" spans="1:14">
      <c r="A423" s="33"/>
      <c r="B423" s="411"/>
      <c r="C423" s="411"/>
      <c r="D423" s="411"/>
      <c r="E423" s="411"/>
      <c r="F423" s="411"/>
      <c r="G423" s="411"/>
      <c r="H423" s="411"/>
      <c r="I423" s="411"/>
      <c r="J423" s="411"/>
      <c r="K423" s="411"/>
      <c r="L423" s="411"/>
      <c r="M423" s="411"/>
      <c r="N423" s="412"/>
    </row>
    <row r="424" spans="1:14">
      <c r="A424" s="33"/>
      <c r="B424" s="411"/>
      <c r="C424" s="411"/>
      <c r="D424" s="411"/>
      <c r="E424" s="411"/>
      <c r="F424" s="411"/>
      <c r="G424" s="411"/>
      <c r="H424" s="411"/>
      <c r="I424" s="411"/>
      <c r="J424" s="411"/>
      <c r="K424" s="411"/>
      <c r="L424" s="411"/>
      <c r="M424" s="411"/>
      <c r="N424" s="412"/>
    </row>
    <row r="425" spans="1:14">
      <c r="A425" s="33"/>
      <c r="B425" s="411"/>
      <c r="C425" s="411"/>
      <c r="D425" s="411"/>
      <c r="E425" s="411"/>
      <c r="F425" s="411"/>
      <c r="G425" s="411"/>
      <c r="H425" s="411"/>
      <c r="I425" s="411"/>
      <c r="J425" s="411"/>
      <c r="K425" s="411"/>
      <c r="L425" s="411"/>
      <c r="M425" s="411"/>
      <c r="N425" s="412"/>
    </row>
    <row r="426" spans="1:14">
      <c r="A426" s="33"/>
      <c r="B426" s="411"/>
      <c r="C426" s="411"/>
      <c r="D426" s="411"/>
      <c r="E426" s="411"/>
      <c r="F426" s="411"/>
      <c r="G426" s="411"/>
      <c r="H426" s="411"/>
      <c r="I426" s="411"/>
      <c r="J426" s="411"/>
      <c r="K426" s="411"/>
      <c r="L426" s="411"/>
      <c r="M426" s="411"/>
      <c r="N426" s="412"/>
    </row>
    <row r="427" spans="1:14">
      <c r="A427" s="33"/>
      <c r="B427" s="411"/>
      <c r="C427" s="411"/>
      <c r="D427" s="411"/>
      <c r="E427" s="411"/>
      <c r="F427" s="411"/>
      <c r="G427" s="411"/>
      <c r="H427" s="411"/>
      <c r="I427" s="411"/>
      <c r="J427" s="411"/>
      <c r="K427" s="411"/>
      <c r="L427" s="411"/>
      <c r="M427" s="411"/>
      <c r="N427" s="412"/>
    </row>
    <row r="428" spans="1:14">
      <c r="A428" s="33"/>
      <c r="B428" s="411"/>
      <c r="C428" s="411"/>
      <c r="D428" s="411"/>
      <c r="E428" s="411"/>
      <c r="F428" s="411"/>
      <c r="G428" s="411"/>
      <c r="H428" s="411"/>
      <c r="I428" s="411"/>
      <c r="J428" s="411"/>
      <c r="K428" s="411"/>
      <c r="L428" s="411"/>
      <c r="M428" s="411"/>
      <c r="N428" s="412"/>
    </row>
    <row r="429" spans="1:14">
      <c r="A429" s="33"/>
      <c r="B429" s="411"/>
      <c r="C429" s="411"/>
      <c r="D429" s="411"/>
      <c r="E429" s="411"/>
      <c r="F429" s="411"/>
      <c r="G429" s="411"/>
      <c r="H429" s="411"/>
      <c r="I429" s="411"/>
      <c r="J429" s="411"/>
      <c r="K429" s="411"/>
      <c r="L429" s="411"/>
      <c r="M429" s="411"/>
      <c r="N429" s="412"/>
    </row>
    <row r="430" spans="1:14">
      <c r="A430" s="33"/>
      <c r="B430" s="411"/>
      <c r="C430" s="411"/>
      <c r="D430" s="411"/>
      <c r="E430" s="411"/>
      <c r="F430" s="411"/>
      <c r="G430" s="411"/>
      <c r="H430" s="411"/>
      <c r="I430" s="411"/>
      <c r="J430" s="411"/>
      <c r="K430" s="411"/>
      <c r="L430" s="411"/>
      <c r="M430" s="411"/>
      <c r="N430" s="412"/>
    </row>
    <row r="431" spans="1:14">
      <c r="A431" s="33"/>
      <c r="B431" s="411"/>
      <c r="C431" s="411"/>
      <c r="D431" s="411"/>
      <c r="E431" s="411"/>
      <c r="F431" s="411"/>
      <c r="G431" s="411"/>
      <c r="H431" s="411"/>
      <c r="I431" s="411"/>
      <c r="J431" s="411"/>
      <c r="K431" s="411"/>
      <c r="L431" s="411"/>
      <c r="M431" s="411"/>
      <c r="N431" s="412"/>
    </row>
    <row r="432" spans="1:14">
      <c r="A432" s="33"/>
      <c r="B432" s="411"/>
      <c r="C432" s="411"/>
      <c r="D432" s="411"/>
      <c r="E432" s="411"/>
      <c r="F432" s="411"/>
      <c r="G432" s="411"/>
      <c r="H432" s="411"/>
      <c r="I432" s="411"/>
      <c r="J432" s="411"/>
      <c r="K432" s="411"/>
      <c r="L432" s="411"/>
      <c r="M432" s="411"/>
      <c r="N432" s="412"/>
    </row>
    <row r="433" spans="1:14">
      <c r="A433" s="33"/>
      <c r="B433" s="411"/>
      <c r="C433" s="411"/>
      <c r="D433" s="411"/>
      <c r="E433" s="411"/>
      <c r="F433" s="411"/>
      <c r="G433" s="411"/>
      <c r="H433" s="411"/>
      <c r="I433" s="411"/>
      <c r="J433" s="411"/>
      <c r="K433" s="411"/>
      <c r="L433" s="411"/>
      <c r="M433" s="411"/>
      <c r="N433" s="412"/>
    </row>
    <row r="434" spans="1:14">
      <c r="A434" s="33"/>
      <c r="B434" s="411"/>
      <c r="C434" s="411"/>
      <c r="D434" s="411"/>
      <c r="E434" s="411"/>
      <c r="F434" s="411"/>
      <c r="G434" s="411"/>
      <c r="H434" s="411"/>
      <c r="I434" s="411"/>
      <c r="J434" s="411"/>
      <c r="K434" s="411"/>
      <c r="L434" s="411"/>
      <c r="M434" s="411"/>
      <c r="N434" s="412"/>
    </row>
    <row r="435" spans="1:14">
      <c r="A435" s="33"/>
      <c r="B435" s="411"/>
      <c r="C435" s="411"/>
      <c r="D435" s="411"/>
      <c r="E435" s="411"/>
      <c r="F435" s="411"/>
      <c r="G435" s="411"/>
      <c r="H435" s="411"/>
      <c r="I435" s="411"/>
      <c r="J435" s="411"/>
      <c r="K435" s="411"/>
      <c r="L435" s="411"/>
      <c r="M435" s="411"/>
      <c r="N435" s="412"/>
    </row>
    <row r="436" spans="1:14">
      <c r="A436" s="33"/>
      <c r="B436" s="411"/>
      <c r="C436" s="411"/>
      <c r="D436" s="411"/>
      <c r="E436" s="411"/>
      <c r="F436" s="411"/>
      <c r="G436" s="411"/>
      <c r="H436" s="411"/>
      <c r="I436" s="411"/>
      <c r="J436" s="411"/>
      <c r="K436" s="411"/>
      <c r="L436" s="411"/>
      <c r="M436" s="411"/>
      <c r="N436" s="412"/>
    </row>
    <row r="437" spans="1:14">
      <c r="A437" s="33"/>
      <c r="B437" s="411"/>
      <c r="C437" s="411"/>
      <c r="D437" s="411"/>
      <c r="E437" s="411"/>
      <c r="F437" s="411"/>
      <c r="G437" s="411"/>
      <c r="H437" s="411"/>
      <c r="I437" s="411"/>
      <c r="J437" s="411"/>
      <c r="K437" s="411"/>
      <c r="L437" s="411"/>
      <c r="M437" s="411"/>
      <c r="N437" s="412"/>
    </row>
    <row r="438" spans="1:14">
      <c r="A438" s="33"/>
      <c r="B438" s="411"/>
      <c r="C438" s="411"/>
      <c r="D438" s="411"/>
      <c r="E438" s="411"/>
      <c r="F438" s="411"/>
      <c r="G438" s="411"/>
      <c r="H438" s="411"/>
      <c r="I438" s="411"/>
      <c r="J438" s="411"/>
      <c r="K438" s="411"/>
      <c r="L438" s="411"/>
      <c r="M438" s="411"/>
      <c r="N438" s="412"/>
    </row>
    <row r="439" spans="1:14">
      <c r="A439" s="33"/>
      <c r="B439" s="411"/>
      <c r="C439" s="411"/>
      <c r="D439" s="411"/>
      <c r="E439" s="411"/>
      <c r="F439" s="411"/>
      <c r="G439" s="411"/>
      <c r="H439" s="411"/>
      <c r="I439" s="411"/>
      <c r="J439" s="411"/>
      <c r="K439" s="411"/>
      <c r="L439" s="411"/>
      <c r="M439" s="411"/>
      <c r="N439" s="412"/>
    </row>
    <row r="440" spans="1:14">
      <c r="A440" s="33"/>
      <c r="B440" s="411"/>
      <c r="C440" s="411"/>
      <c r="D440" s="411"/>
      <c r="E440" s="411"/>
      <c r="F440" s="411"/>
      <c r="G440" s="411"/>
      <c r="H440" s="411"/>
      <c r="I440" s="411"/>
      <c r="J440" s="411"/>
      <c r="K440" s="411"/>
      <c r="L440" s="411"/>
      <c r="M440" s="411"/>
      <c r="N440" s="412"/>
    </row>
    <row r="441" spans="1:14">
      <c r="A441" s="33"/>
      <c r="B441" s="411"/>
      <c r="C441" s="411"/>
      <c r="D441" s="411"/>
      <c r="E441" s="411"/>
      <c r="F441" s="411"/>
      <c r="G441" s="411"/>
      <c r="H441" s="411"/>
      <c r="I441" s="411"/>
      <c r="J441" s="411"/>
      <c r="K441" s="411"/>
      <c r="L441" s="411"/>
      <c r="M441" s="411"/>
      <c r="N441" s="412"/>
    </row>
    <row r="442" spans="1:14">
      <c r="A442" s="33"/>
      <c r="B442" s="411"/>
      <c r="C442" s="411"/>
      <c r="D442" s="411"/>
      <c r="E442" s="411"/>
      <c r="F442" s="411"/>
      <c r="G442" s="411"/>
      <c r="H442" s="411"/>
      <c r="I442" s="411"/>
      <c r="J442" s="411"/>
      <c r="K442" s="411"/>
      <c r="L442" s="411"/>
      <c r="M442" s="411"/>
      <c r="N442" s="412"/>
    </row>
    <row r="443" spans="1:14">
      <c r="A443" s="33"/>
      <c r="B443" s="411"/>
      <c r="C443" s="411"/>
      <c r="D443" s="411"/>
      <c r="E443" s="411"/>
      <c r="F443" s="411"/>
      <c r="G443" s="411"/>
      <c r="H443" s="411"/>
      <c r="I443" s="411"/>
      <c r="J443" s="411"/>
      <c r="K443" s="411"/>
      <c r="L443" s="411"/>
      <c r="M443" s="411"/>
      <c r="N443" s="412"/>
    </row>
    <row r="444" spans="1:14">
      <c r="A444" s="33"/>
      <c r="B444" s="411"/>
      <c r="C444" s="411"/>
      <c r="D444" s="411"/>
      <c r="E444" s="411"/>
      <c r="F444" s="411"/>
      <c r="G444" s="411"/>
      <c r="H444" s="411"/>
      <c r="I444" s="411"/>
      <c r="J444" s="411"/>
      <c r="K444" s="411"/>
      <c r="L444" s="411"/>
      <c r="M444" s="411"/>
      <c r="N444" s="412"/>
    </row>
    <row r="445" spans="1:14">
      <c r="A445" s="33"/>
      <c r="B445" s="411"/>
      <c r="C445" s="411"/>
      <c r="D445" s="411"/>
      <c r="E445" s="411"/>
      <c r="F445" s="411"/>
      <c r="G445" s="411"/>
      <c r="H445" s="411"/>
      <c r="I445" s="411"/>
      <c r="J445" s="411"/>
      <c r="K445" s="411"/>
      <c r="L445" s="411"/>
      <c r="M445" s="411"/>
      <c r="N445" s="412"/>
    </row>
    <row r="446" spans="1:14">
      <c r="A446" s="33"/>
      <c r="B446" s="411"/>
      <c r="C446" s="411"/>
      <c r="D446" s="411"/>
      <c r="E446" s="411"/>
      <c r="F446" s="411"/>
      <c r="G446" s="411"/>
      <c r="H446" s="411"/>
      <c r="I446" s="411"/>
      <c r="J446" s="411"/>
      <c r="K446" s="411"/>
      <c r="L446" s="411"/>
      <c r="M446" s="411"/>
      <c r="N446" s="412"/>
    </row>
    <row r="447" spans="1:14">
      <c r="A447" s="33"/>
      <c r="B447" s="411"/>
      <c r="C447" s="411"/>
      <c r="D447" s="411"/>
      <c r="E447" s="411"/>
      <c r="F447" s="411"/>
      <c r="G447" s="411"/>
      <c r="H447" s="411"/>
      <c r="I447" s="411"/>
      <c r="J447" s="411"/>
      <c r="K447" s="411"/>
      <c r="L447" s="411"/>
      <c r="M447" s="411"/>
      <c r="N447" s="412"/>
    </row>
    <row r="448" spans="1:14">
      <c r="A448" s="33"/>
      <c r="B448" s="411"/>
      <c r="C448" s="411"/>
      <c r="D448" s="411"/>
      <c r="E448" s="411"/>
      <c r="F448" s="411"/>
      <c r="G448" s="411"/>
      <c r="H448" s="411"/>
      <c r="I448" s="411"/>
      <c r="J448" s="411"/>
      <c r="K448" s="411"/>
      <c r="L448" s="411"/>
      <c r="M448" s="411"/>
      <c r="N448" s="412"/>
    </row>
    <row r="449" spans="1:14">
      <c r="A449" s="33"/>
      <c r="B449" s="411"/>
      <c r="C449" s="411"/>
      <c r="D449" s="411"/>
      <c r="E449" s="411"/>
      <c r="F449" s="411"/>
      <c r="G449" s="411"/>
      <c r="H449" s="411"/>
      <c r="I449" s="411"/>
      <c r="J449" s="411"/>
      <c r="K449" s="411"/>
      <c r="L449" s="411"/>
      <c r="M449" s="411"/>
      <c r="N449" s="412"/>
    </row>
    <row r="450" spans="1:14">
      <c r="A450" s="33"/>
      <c r="B450" s="411"/>
      <c r="C450" s="411"/>
      <c r="D450" s="411"/>
      <c r="E450" s="411"/>
      <c r="F450" s="411"/>
      <c r="G450" s="411"/>
      <c r="H450" s="411"/>
      <c r="I450" s="411"/>
      <c r="J450" s="411"/>
      <c r="K450" s="411"/>
      <c r="L450" s="411"/>
      <c r="M450" s="411"/>
      <c r="N450" s="412"/>
    </row>
    <row r="451" spans="1:14">
      <c r="A451" s="33"/>
      <c r="B451" s="411"/>
      <c r="C451" s="411"/>
      <c r="D451" s="411"/>
      <c r="E451" s="411"/>
      <c r="F451" s="411"/>
      <c r="G451" s="411"/>
      <c r="H451" s="411"/>
      <c r="I451" s="411"/>
      <c r="J451" s="411"/>
      <c r="K451" s="411"/>
      <c r="L451" s="411"/>
      <c r="M451" s="411"/>
      <c r="N451" s="412"/>
    </row>
    <row r="452" spans="1:14">
      <c r="A452" s="33"/>
      <c r="B452" s="411"/>
      <c r="C452" s="411"/>
      <c r="D452" s="411"/>
      <c r="E452" s="411"/>
      <c r="F452" s="411"/>
      <c r="G452" s="411"/>
      <c r="H452" s="411"/>
      <c r="I452" s="411"/>
      <c r="J452" s="411"/>
      <c r="K452" s="411"/>
      <c r="L452" s="411"/>
      <c r="M452" s="411"/>
      <c r="N452" s="412"/>
    </row>
    <row r="453" spans="1:14">
      <c r="A453" s="33"/>
      <c r="B453" s="411"/>
      <c r="C453" s="411"/>
      <c r="D453" s="411"/>
      <c r="E453" s="411"/>
      <c r="F453" s="411"/>
      <c r="G453" s="411"/>
      <c r="H453" s="411"/>
      <c r="I453" s="411"/>
      <c r="J453" s="411"/>
      <c r="K453" s="411"/>
      <c r="L453" s="411"/>
      <c r="M453" s="411"/>
      <c r="N453" s="412"/>
    </row>
    <row r="454" spans="1:14">
      <c r="A454" s="33"/>
      <c r="B454" s="411"/>
      <c r="C454" s="411"/>
      <c r="D454" s="411"/>
      <c r="E454" s="411"/>
      <c r="F454" s="411"/>
      <c r="G454" s="411"/>
      <c r="H454" s="411"/>
      <c r="I454" s="411"/>
      <c r="J454" s="411"/>
      <c r="K454" s="411"/>
      <c r="L454" s="411"/>
      <c r="M454" s="411"/>
      <c r="N454" s="412"/>
    </row>
    <row r="455" spans="1:14">
      <c r="A455" s="33"/>
      <c r="B455" s="411"/>
      <c r="C455" s="411"/>
      <c r="D455" s="411"/>
      <c r="E455" s="411"/>
      <c r="F455" s="411"/>
      <c r="G455" s="411"/>
      <c r="H455" s="411"/>
      <c r="I455" s="411"/>
      <c r="J455" s="411"/>
      <c r="K455" s="411"/>
      <c r="L455" s="411"/>
      <c r="M455" s="411"/>
      <c r="N455" s="412"/>
    </row>
    <row r="456" spans="1:14">
      <c r="A456" s="33"/>
      <c r="B456" s="411"/>
      <c r="C456" s="411"/>
      <c r="D456" s="411"/>
      <c r="E456" s="411"/>
      <c r="F456" s="411"/>
      <c r="G456" s="411"/>
      <c r="H456" s="411"/>
      <c r="I456" s="411"/>
      <c r="J456" s="411"/>
      <c r="K456" s="411"/>
      <c r="L456" s="411"/>
      <c r="M456" s="411"/>
      <c r="N456" s="412"/>
    </row>
    <row r="457" spans="1:14">
      <c r="A457" s="33"/>
      <c r="B457" s="411"/>
      <c r="C457" s="411"/>
      <c r="D457" s="411"/>
      <c r="E457" s="411"/>
      <c r="F457" s="411"/>
      <c r="G457" s="411"/>
      <c r="H457" s="411"/>
      <c r="I457" s="411"/>
      <c r="J457" s="411"/>
      <c r="K457" s="411"/>
      <c r="L457" s="411"/>
      <c r="M457" s="411"/>
      <c r="N457" s="412"/>
    </row>
    <row r="458" spans="1:14">
      <c r="A458" s="33"/>
      <c r="B458" s="411"/>
      <c r="C458" s="411"/>
      <c r="D458" s="411"/>
      <c r="E458" s="411"/>
      <c r="F458" s="411"/>
      <c r="G458" s="411"/>
      <c r="H458" s="411"/>
      <c r="I458" s="411"/>
      <c r="J458" s="411"/>
      <c r="K458" s="411"/>
      <c r="L458" s="411"/>
      <c r="M458" s="411"/>
      <c r="N458" s="412"/>
    </row>
    <row r="459" spans="1:14">
      <c r="A459" s="33"/>
      <c r="B459" s="411"/>
      <c r="C459" s="411"/>
      <c r="D459" s="411"/>
      <c r="E459" s="411"/>
      <c r="F459" s="411"/>
      <c r="G459" s="411"/>
      <c r="H459" s="411"/>
      <c r="I459" s="411"/>
      <c r="J459" s="411"/>
      <c r="K459" s="411"/>
      <c r="L459" s="411"/>
      <c r="M459" s="411"/>
      <c r="N459" s="412"/>
    </row>
    <row r="460" spans="1:14">
      <c r="A460" s="33"/>
      <c r="B460" s="411"/>
      <c r="C460" s="411"/>
      <c r="D460" s="411"/>
      <c r="E460" s="411"/>
      <c r="F460" s="411"/>
      <c r="G460" s="411"/>
      <c r="H460" s="411"/>
      <c r="I460" s="411"/>
      <c r="J460" s="411"/>
      <c r="K460" s="411"/>
      <c r="L460" s="411"/>
      <c r="M460" s="411"/>
      <c r="N460" s="412"/>
    </row>
    <row r="461" spans="1:14">
      <c r="A461" s="33"/>
      <c r="B461" s="411"/>
      <c r="C461" s="411"/>
      <c r="D461" s="411"/>
      <c r="E461" s="411"/>
      <c r="F461" s="411"/>
      <c r="G461" s="411"/>
      <c r="H461" s="411"/>
      <c r="I461" s="411"/>
      <c r="J461" s="411"/>
      <c r="K461" s="411"/>
      <c r="L461" s="411"/>
      <c r="M461" s="411"/>
      <c r="N461" s="412"/>
    </row>
    <row r="462" spans="1:14">
      <c r="A462" s="33"/>
      <c r="B462" s="411"/>
      <c r="C462" s="411"/>
      <c r="D462" s="411"/>
      <c r="E462" s="411"/>
      <c r="F462" s="411"/>
      <c r="G462" s="411"/>
      <c r="H462" s="411"/>
      <c r="I462" s="411"/>
      <c r="J462" s="411"/>
      <c r="K462" s="411"/>
      <c r="L462" s="411"/>
      <c r="M462" s="411"/>
      <c r="N462" s="412"/>
    </row>
    <row r="463" spans="1:14">
      <c r="A463" s="33"/>
      <c r="B463" s="411"/>
      <c r="C463" s="411"/>
      <c r="D463" s="411"/>
      <c r="E463" s="411"/>
      <c r="F463" s="411"/>
      <c r="G463" s="411"/>
      <c r="H463" s="411"/>
      <c r="I463" s="411"/>
      <c r="J463" s="411"/>
      <c r="K463" s="411"/>
      <c r="L463" s="411"/>
      <c r="M463" s="411"/>
      <c r="N463" s="412"/>
    </row>
    <row r="464" spans="1:14">
      <c r="A464" s="33"/>
      <c r="B464" s="411"/>
      <c r="C464" s="411"/>
      <c r="D464" s="411"/>
      <c r="E464" s="411"/>
      <c r="F464" s="411"/>
      <c r="G464" s="411"/>
      <c r="H464" s="411"/>
      <c r="I464" s="411"/>
      <c r="J464" s="411"/>
      <c r="K464" s="411"/>
      <c r="L464" s="411"/>
      <c r="M464" s="411"/>
      <c r="N464" s="412"/>
    </row>
    <row r="465" spans="1:14">
      <c r="A465" s="33"/>
      <c r="B465" s="411"/>
      <c r="C465" s="411"/>
      <c r="D465" s="411"/>
      <c r="E465" s="411"/>
      <c r="F465" s="411"/>
      <c r="G465" s="411"/>
      <c r="H465" s="411"/>
      <c r="I465" s="411"/>
      <c r="J465" s="411"/>
      <c r="K465" s="411"/>
      <c r="L465" s="411"/>
      <c r="M465" s="411"/>
      <c r="N465" s="412"/>
    </row>
    <row r="466" spans="1:14">
      <c r="A466" s="33"/>
      <c r="B466" s="411"/>
      <c r="C466" s="411"/>
      <c r="D466" s="411"/>
      <c r="E466" s="411"/>
      <c r="F466" s="411"/>
      <c r="G466" s="411"/>
      <c r="H466" s="411"/>
      <c r="I466" s="411"/>
      <c r="J466" s="411"/>
      <c r="K466" s="411"/>
      <c r="L466" s="411"/>
      <c r="M466" s="411"/>
      <c r="N466" s="412"/>
    </row>
    <row r="467" spans="1:14">
      <c r="A467" s="33"/>
      <c r="B467" s="411"/>
      <c r="C467" s="411"/>
      <c r="D467" s="411"/>
      <c r="E467" s="411"/>
      <c r="F467" s="411"/>
      <c r="G467" s="411"/>
      <c r="H467" s="411"/>
      <c r="I467" s="411"/>
      <c r="J467" s="411"/>
      <c r="K467" s="411"/>
      <c r="L467" s="411"/>
      <c r="M467" s="411"/>
      <c r="N467" s="412"/>
    </row>
    <row r="468" spans="1:14">
      <c r="A468" s="33"/>
      <c r="B468" s="411"/>
      <c r="C468" s="411"/>
      <c r="D468" s="411"/>
      <c r="E468" s="411"/>
      <c r="F468" s="411"/>
      <c r="G468" s="411"/>
      <c r="H468" s="411"/>
      <c r="I468" s="411"/>
      <c r="J468" s="411"/>
      <c r="K468" s="411"/>
      <c r="L468" s="411"/>
      <c r="M468" s="411"/>
      <c r="N468" s="412"/>
    </row>
    <row r="469" spans="1:14">
      <c r="A469" s="33"/>
      <c r="B469" s="411"/>
      <c r="C469" s="411"/>
      <c r="D469" s="411"/>
      <c r="E469" s="411"/>
      <c r="F469" s="411"/>
      <c r="G469" s="411"/>
      <c r="H469" s="411"/>
      <c r="I469" s="411"/>
      <c r="J469" s="411"/>
      <c r="K469" s="411"/>
      <c r="L469" s="411"/>
      <c r="M469" s="411"/>
      <c r="N469" s="412"/>
    </row>
    <row r="470" spans="1:14">
      <c r="A470" s="33"/>
      <c r="B470" s="411"/>
      <c r="C470" s="411"/>
      <c r="D470" s="411"/>
      <c r="E470" s="411"/>
      <c r="F470" s="411"/>
      <c r="G470" s="411"/>
      <c r="H470" s="411"/>
      <c r="I470" s="411"/>
      <c r="J470" s="411"/>
      <c r="K470" s="411"/>
      <c r="L470" s="411"/>
      <c r="M470" s="411"/>
      <c r="N470" s="412"/>
    </row>
    <row r="471" spans="1:14">
      <c r="A471" s="33"/>
      <c r="B471" s="411"/>
      <c r="C471" s="411"/>
      <c r="D471" s="411"/>
      <c r="E471" s="411"/>
      <c r="F471" s="411"/>
      <c r="G471" s="411"/>
      <c r="H471" s="411"/>
      <c r="I471" s="411"/>
      <c r="J471" s="411"/>
      <c r="K471" s="411"/>
      <c r="L471" s="411"/>
      <c r="M471" s="411"/>
      <c r="N471" s="412"/>
    </row>
    <row r="472" spans="1:14">
      <c r="A472" s="33"/>
      <c r="B472" s="411"/>
      <c r="C472" s="411"/>
      <c r="D472" s="411"/>
      <c r="E472" s="411"/>
      <c r="F472" s="411"/>
      <c r="G472" s="411"/>
      <c r="H472" s="411"/>
      <c r="I472" s="411"/>
      <c r="J472" s="411"/>
      <c r="K472" s="411"/>
      <c r="L472" s="411"/>
      <c r="M472" s="411"/>
      <c r="N472" s="412"/>
    </row>
    <row r="473" spans="1:14">
      <c r="A473" s="33"/>
      <c r="B473" s="411"/>
      <c r="C473" s="411"/>
      <c r="D473" s="411"/>
      <c r="E473" s="411"/>
      <c r="F473" s="411"/>
      <c r="G473" s="411"/>
      <c r="H473" s="411"/>
      <c r="I473" s="411"/>
      <c r="J473" s="411"/>
      <c r="K473" s="411"/>
      <c r="L473" s="411"/>
      <c r="M473" s="411"/>
      <c r="N473" s="412"/>
    </row>
    <row r="474" spans="1:14">
      <c r="A474" s="33"/>
      <c r="B474" s="411"/>
      <c r="C474" s="411"/>
      <c r="D474" s="411"/>
      <c r="E474" s="411"/>
      <c r="F474" s="411"/>
      <c r="G474" s="411"/>
      <c r="H474" s="411"/>
      <c r="I474" s="411"/>
      <c r="J474" s="411"/>
      <c r="K474" s="411"/>
      <c r="L474" s="411"/>
      <c r="M474" s="411"/>
      <c r="N474" s="412"/>
    </row>
    <row r="475" spans="1:14">
      <c r="A475" s="33"/>
      <c r="B475" s="411"/>
      <c r="C475" s="411"/>
      <c r="D475" s="411"/>
      <c r="E475" s="411"/>
      <c r="F475" s="411"/>
      <c r="G475" s="411"/>
      <c r="H475" s="411"/>
      <c r="I475" s="411"/>
      <c r="J475" s="411"/>
      <c r="K475" s="411"/>
      <c r="L475" s="411"/>
      <c r="M475" s="411"/>
      <c r="N475" s="412"/>
    </row>
    <row r="476" spans="1:14">
      <c r="A476" s="33"/>
      <c r="B476" s="411"/>
      <c r="C476" s="411"/>
      <c r="D476" s="411"/>
      <c r="E476" s="411"/>
      <c r="F476" s="411"/>
      <c r="G476" s="411"/>
      <c r="H476" s="411"/>
      <c r="I476" s="411"/>
      <c r="J476" s="411"/>
      <c r="K476" s="411"/>
      <c r="L476" s="411"/>
      <c r="M476" s="411"/>
      <c r="N476" s="412"/>
    </row>
    <row r="477" spans="1:14">
      <c r="A477" s="33"/>
      <c r="B477" s="411"/>
      <c r="C477" s="411"/>
      <c r="D477" s="411"/>
      <c r="E477" s="411"/>
      <c r="F477" s="411"/>
      <c r="G477" s="411"/>
      <c r="H477" s="411"/>
      <c r="I477" s="411"/>
      <c r="J477" s="411"/>
      <c r="K477" s="411"/>
      <c r="L477" s="411"/>
      <c r="M477" s="411"/>
      <c r="N477" s="412"/>
    </row>
    <row r="478" spans="1:14">
      <c r="A478" s="33"/>
      <c r="B478" s="411"/>
      <c r="C478" s="411"/>
      <c r="D478" s="411"/>
      <c r="E478" s="411"/>
      <c r="F478" s="411"/>
      <c r="G478" s="411"/>
      <c r="H478" s="411"/>
      <c r="I478" s="411"/>
      <c r="J478" s="411"/>
      <c r="K478" s="411"/>
      <c r="L478" s="411"/>
      <c r="M478" s="411"/>
      <c r="N478" s="412"/>
    </row>
    <row r="479" spans="1:14">
      <c r="A479" s="33"/>
      <c r="B479" s="411"/>
      <c r="C479" s="411"/>
      <c r="D479" s="411"/>
      <c r="E479" s="411"/>
      <c r="F479" s="411"/>
      <c r="G479" s="411"/>
      <c r="H479" s="411"/>
      <c r="I479" s="411"/>
      <c r="J479" s="411"/>
      <c r="K479" s="411"/>
      <c r="L479" s="411"/>
      <c r="M479" s="411"/>
      <c r="N479" s="412"/>
    </row>
    <row r="480" spans="1:14">
      <c r="A480" s="33"/>
      <c r="B480" s="411"/>
      <c r="C480" s="411"/>
      <c r="D480" s="411"/>
      <c r="E480" s="411"/>
      <c r="F480" s="411"/>
      <c r="G480" s="411"/>
      <c r="H480" s="411"/>
      <c r="I480" s="411"/>
      <c r="J480" s="411"/>
      <c r="K480" s="411"/>
      <c r="L480" s="411"/>
      <c r="M480" s="411"/>
      <c r="N480" s="412"/>
    </row>
    <row r="481" spans="1:14">
      <c r="A481" s="33"/>
      <c r="B481" s="411"/>
      <c r="C481" s="411"/>
      <c r="D481" s="411"/>
      <c r="E481" s="411"/>
      <c r="F481" s="411"/>
      <c r="G481" s="411"/>
      <c r="H481" s="411"/>
      <c r="I481" s="411"/>
      <c r="J481" s="411"/>
      <c r="K481" s="411"/>
      <c r="L481" s="411"/>
      <c r="M481" s="411"/>
      <c r="N481" s="412"/>
    </row>
    <row r="482" spans="1:14">
      <c r="A482" s="33"/>
      <c r="B482" s="411"/>
      <c r="C482" s="411"/>
      <c r="D482" s="411"/>
      <c r="E482" s="411"/>
      <c r="F482" s="411"/>
      <c r="G482" s="411"/>
      <c r="H482" s="411"/>
      <c r="I482" s="411"/>
      <c r="J482" s="411"/>
      <c r="K482" s="411"/>
      <c r="L482" s="411"/>
      <c r="M482" s="411"/>
      <c r="N482" s="412"/>
    </row>
    <row r="483" spans="1:14">
      <c r="A483" s="33"/>
      <c r="B483" s="411"/>
      <c r="C483" s="411"/>
      <c r="D483" s="411"/>
      <c r="E483" s="411"/>
      <c r="F483" s="411"/>
      <c r="G483" s="411"/>
      <c r="H483" s="411"/>
      <c r="I483" s="411"/>
      <c r="J483" s="411"/>
      <c r="K483" s="411"/>
      <c r="L483" s="411"/>
      <c r="M483" s="411"/>
      <c r="N483" s="412"/>
    </row>
    <row r="484" spans="1:14">
      <c r="A484" s="33"/>
      <c r="B484" s="411"/>
      <c r="C484" s="411"/>
      <c r="D484" s="411"/>
      <c r="E484" s="411"/>
      <c r="F484" s="411"/>
      <c r="G484" s="411"/>
      <c r="H484" s="411"/>
      <c r="I484" s="411"/>
      <c r="J484" s="411"/>
      <c r="K484" s="411"/>
      <c r="L484" s="411"/>
      <c r="M484" s="411"/>
      <c r="N484" s="412"/>
    </row>
    <row r="485" spans="1:14">
      <c r="A485" s="33"/>
      <c r="B485" s="411"/>
      <c r="C485" s="411"/>
      <c r="D485" s="411"/>
      <c r="E485" s="411"/>
      <c r="F485" s="411"/>
      <c r="G485" s="411"/>
      <c r="H485" s="411"/>
      <c r="I485" s="411"/>
      <c r="J485" s="411"/>
      <c r="K485" s="411"/>
      <c r="L485" s="411"/>
      <c r="M485" s="411"/>
      <c r="N485" s="412"/>
    </row>
    <row r="486" spans="1:14">
      <c r="A486" s="33"/>
      <c r="B486" s="411"/>
      <c r="C486" s="411"/>
      <c r="D486" s="411"/>
      <c r="E486" s="411"/>
      <c r="F486" s="411"/>
      <c r="G486" s="411"/>
      <c r="H486" s="411"/>
      <c r="I486" s="411"/>
      <c r="J486" s="411"/>
      <c r="K486" s="411"/>
      <c r="L486" s="411"/>
      <c r="M486" s="411"/>
      <c r="N486" s="412"/>
    </row>
    <row r="487" spans="1:14">
      <c r="A487" s="33"/>
      <c r="B487" s="411"/>
      <c r="C487" s="411"/>
      <c r="D487" s="411"/>
      <c r="E487" s="411"/>
      <c r="F487" s="411"/>
      <c r="G487" s="411"/>
      <c r="H487" s="411"/>
      <c r="I487" s="411"/>
      <c r="J487" s="411"/>
      <c r="K487" s="411"/>
      <c r="L487" s="411"/>
      <c r="M487" s="411"/>
      <c r="N487" s="412"/>
    </row>
    <row r="488" spans="1:14">
      <c r="A488" s="33"/>
      <c r="B488" s="411"/>
      <c r="C488" s="411"/>
      <c r="D488" s="411"/>
      <c r="E488" s="411"/>
      <c r="F488" s="411"/>
      <c r="G488" s="411"/>
      <c r="H488" s="411"/>
      <c r="I488" s="411"/>
      <c r="J488" s="411"/>
      <c r="K488" s="411"/>
      <c r="L488" s="411"/>
      <c r="M488" s="411"/>
      <c r="N488" s="412"/>
    </row>
    <row r="489" spans="1:14">
      <c r="A489" s="33"/>
      <c r="B489" s="411"/>
      <c r="C489" s="411"/>
      <c r="D489" s="411"/>
      <c r="E489" s="411"/>
      <c r="F489" s="411"/>
      <c r="G489" s="411"/>
      <c r="H489" s="411"/>
      <c r="I489" s="411"/>
      <c r="J489" s="411"/>
      <c r="K489" s="411"/>
      <c r="L489" s="411"/>
      <c r="M489" s="411"/>
      <c r="N489" s="412"/>
    </row>
    <row r="490" spans="1:14">
      <c r="A490" s="33"/>
      <c r="B490" s="411"/>
      <c r="C490" s="411"/>
      <c r="D490" s="411"/>
      <c r="E490" s="411"/>
      <c r="F490" s="411"/>
      <c r="G490" s="411"/>
      <c r="H490" s="411"/>
      <c r="I490" s="411"/>
      <c r="J490" s="411"/>
      <c r="K490" s="411"/>
      <c r="L490" s="411"/>
      <c r="M490" s="411"/>
      <c r="N490" s="412"/>
    </row>
    <row r="491" spans="1:14">
      <c r="A491" s="33"/>
      <c r="B491" s="411"/>
      <c r="C491" s="411"/>
      <c r="D491" s="411"/>
      <c r="E491" s="411"/>
      <c r="F491" s="411"/>
      <c r="G491" s="411"/>
      <c r="H491" s="411"/>
      <c r="I491" s="411"/>
      <c r="J491" s="411"/>
      <c r="K491" s="411"/>
      <c r="L491" s="411"/>
      <c r="M491" s="411"/>
      <c r="N491" s="412"/>
    </row>
    <row r="492" spans="1:14">
      <c r="A492" s="33"/>
      <c r="B492" s="411"/>
      <c r="C492" s="411"/>
      <c r="D492" s="411"/>
      <c r="E492" s="411"/>
      <c r="F492" s="411"/>
      <c r="G492" s="411"/>
      <c r="H492" s="411"/>
      <c r="I492" s="411"/>
      <c r="J492" s="411"/>
      <c r="K492" s="411"/>
      <c r="L492" s="411"/>
      <c r="M492" s="411"/>
      <c r="N492" s="412"/>
    </row>
    <row r="493" spans="1:14">
      <c r="A493" s="33"/>
      <c r="B493" s="411"/>
      <c r="C493" s="411"/>
      <c r="D493" s="411"/>
      <c r="E493" s="411"/>
      <c r="F493" s="411"/>
      <c r="G493" s="411"/>
      <c r="H493" s="411"/>
      <c r="I493" s="411"/>
      <c r="J493" s="411"/>
      <c r="K493" s="411"/>
      <c r="L493" s="411"/>
      <c r="M493" s="411"/>
      <c r="N493" s="412"/>
    </row>
    <row r="494" spans="1:14">
      <c r="A494" s="33"/>
      <c r="B494" s="411"/>
      <c r="C494" s="411"/>
      <c r="D494" s="411"/>
      <c r="E494" s="411"/>
      <c r="F494" s="411"/>
      <c r="G494" s="411"/>
      <c r="H494" s="411"/>
      <c r="I494" s="411"/>
      <c r="J494" s="411"/>
      <c r="K494" s="411"/>
      <c r="L494" s="411"/>
      <c r="M494" s="411"/>
      <c r="N494" s="412"/>
    </row>
    <row r="495" spans="1:14">
      <c r="A495" s="33"/>
      <c r="B495" s="411"/>
      <c r="C495" s="411"/>
      <c r="D495" s="411"/>
      <c r="E495" s="411"/>
      <c r="F495" s="411"/>
      <c r="G495" s="411"/>
      <c r="H495" s="411"/>
      <c r="I495" s="411"/>
      <c r="J495" s="411"/>
      <c r="K495" s="411"/>
      <c r="L495" s="411"/>
      <c r="M495" s="411"/>
      <c r="N495" s="412"/>
    </row>
    <row r="496" spans="1:14">
      <c r="A496" s="33"/>
      <c r="B496" s="411"/>
      <c r="C496" s="411"/>
      <c r="D496" s="411"/>
      <c r="E496" s="411"/>
      <c r="F496" s="411"/>
      <c r="G496" s="411"/>
      <c r="H496" s="411"/>
      <c r="I496" s="411"/>
      <c r="J496" s="411"/>
      <c r="K496" s="411"/>
      <c r="L496" s="411"/>
      <c r="M496" s="411"/>
      <c r="N496" s="412"/>
    </row>
    <row r="497" spans="1:14">
      <c r="A497" s="33"/>
      <c r="B497" s="411"/>
      <c r="C497" s="411"/>
      <c r="D497" s="411"/>
      <c r="E497" s="411"/>
      <c r="F497" s="411"/>
      <c r="G497" s="411"/>
      <c r="H497" s="411"/>
      <c r="I497" s="411"/>
      <c r="J497" s="411"/>
      <c r="K497" s="411"/>
      <c r="L497" s="411"/>
      <c r="M497" s="411"/>
      <c r="N497" s="412"/>
    </row>
    <row r="498" spans="1:14">
      <c r="A498" s="33"/>
      <c r="B498" s="411"/>
      <c r="C498" s="411"/>
      <c r="D498" s="411"/>
      <c r="E498" s="411"/>
      <c r="F498" s="411"/>
      <c r="G498" s="411"/>
      <c r="H498" s="411"/>
      <c r="I498" s="411"/>
      <c r="J498" s="411"/>
      <c r="K498" s="411"/>
      <c r="L498" s="411"/>
      <c r="M498" s="411"/>
      <c r="N498" s="412"/>
    </row>
    <row r="499" spans="1:14">
      <c r="A499" s="33"/>
      <c r="B499" s="411"/>
      <c r="C499" s="411"/>
      <c r="D499" s="411"/>
      <c r="E499" s="411"/>
      <c r="F499" s="411"/>
      <c r="G499" s="411"/>
      <c r="H499" s="411"/>
      <c r="I499" s="411"/>
      <c r="J499" s="411"/>
      <c r="K499" s="411"/>
      <c r="L499" s="411"/>
      <c r="M499" s="411"/>
      <c r="N499" s="412"/>
    </row>
    <row r="500" spans="1:14">
      <c r="A500" s="33"/>
      <c r="B500" s="411"/>
      <c r="C500" s="411"/>
      <c r="D500" s="411"/>
      <c r="E500" s="411"/>
      <c r="F500" s="411"/>
      <c r="G500" s="411"/>
      <c r="H500" s="411"/>
      <c r="I500" s="411"/>
      <c r="J500" s="411"/>
      <c r="K500" s="411"/>
      <c r="L500" s="411"/>
      <c r="M500" s="411"/>
      <c r="N500" s="412"/>
    </row>
    <row r="501" spans="1:14">
      <c r="A501" s="33"/>
      <c r="B501" s="411"/>
      <c r="C501" s="411"/>
      <c r="D501" s="411"/>
      <c r="E501" s="411"/>
      <c r="F501" s="411"/>
      <c r="G501" s="411"/>
      <c r="H501" s="411"/>
      <c r="I501" s="411"/>
      <c r="J501" s="411"/>
      <c r="K501" s="411"/>
      <c r="L501" s="411"/>
      <c r="M501" s="411"/>
      <c r="N501" s="412"/>
    </row>
    <row r="502" spans="1:14">
      <c r="A502" s="33"/>
      <c r="B502" s="411"/>
      <c r="C502" s="411"/>
      <c r="D502" s="411"/>
      <c r="E502" s="411"/>
      <c r="F502" s="411"/>
      <c r="G502" s="411"/>
      <c r="H502" s="411"/>
      <c r="I502" s="411"/>
      <c r="J502" s="411"/>
      <c r="K502" s="411"/>
      <c r="L502" s="411"/>
      <c r="M502" s="411"/>
      <c r="N502" s="412"/>
    </row>
    <row r="503" spans="1:14">
      <c r="A503" s="33"/>
      <c r="B503" s="411"/>
      <c r="C503" s="411"/>
      <c r="D503" s="411"/>
      <c r="E503" s="411"/>
      <c r="F503" s="411"/>
      <c r="G503" s="411"/>
      <c r="H503" s="411"/>
      <c r="I503" s="411"/>
      <c r="J503" s="411"/>
      <c r="K503" s="411"/>
      <c r="L503" s="411"/>
      <c r="M503" s="411"/>
      <c r="N503" s="412"/>
    </row>
    <row r="504" spans="1:14">
      <c r="A504" s="33"/>
      <c r="B504" s="411"/>
      <c r="C504" s="411"/>
      <c r="D504" s="411"/>
      <c r="E504" s="411"/>
      <c r="F504" s="411"/>
      <c r="G504" s="411"/>
      <c r="H504" s="411"/>
      <c r="I504" s="411"/>
      <c r="J504" s="411"/>
      <c r="K504" s="411"/>
      <c r="L504" s="411"/>
      <c r="M504" s="411"/>
      <c r="N504" s="412"/>
    </row>
    <row r="505" spans="1:14">
      <c r="A505" s="33"/>
      <c r="B505" s="411"/>
      <c r="C505" s="411"/>
      <c r="D505" s="411"/>
      <c r="E505" s="411"/>
      <c r="F505" s="411"/>
      <c r="G505" s="411"/>
      <c r="H505" s="411"/>
      <c r="I505" s="411"/>
      <c r="J505" s="411"/>
      <c r="K505" s="411"/>
      <c r="L505" s="411"/>
      <c r="M505" s="411"/>
      <c r="N505" s="412"/>
    </row>
    <row r="506" spans="1:14">
      <c r="A506" s="33"/>
      <c r="B506" s="411"/>
      <c r="C506" s="411"/>
      <c r="D506" s="411"/>
      <c r="E506" s="411"/>
      <c r="F506" s="411"/>
      <c r="G506" s="411"/>
      <c r="H506" s="411"/>
      <c r="I506" s="411"/>
      <c r="J506" s="411"/>
      <c r="K506" s="411"/>
      <c r="L506" s="411"/>
      <c r="M506" s="411"/>
      <c r="N506" s="412"/>
    </row>
    <row r="507" spans="1:14">
      <c r="A507" s="33"/>
      <c r="B507" s="411"/>
      <c r="C507" s="411"/>
      <c r="D507" s="411"/>
      <c r="E507" s="411"/>
      <c r="F507" s="411"/>
      <c r="G507" s="411"/>
      <c r="H507" s="411"/>
      <c r="I507" s="411"/>
      <c r="J507" s="411"/>
      <c r="K507" s="411"/>
      <c r="L507" s="411"/>
      <c r="M507" s="411"/>
      <c r="N507" s="412"/>
    </row>
    <row r="508" spans="1:14">
      <c r="A508" s="33"/>
      <c r="B508" s="411"/>
      <c r="C508" s="411"/>
      <c r="D508" s="411"/>
      <c r="E508" s="411"/>
      <c r="F508" s="411"/>
      <c r="G508" s="411"/>
      <c r="H508" s="411"/>
      <c r="I508" s="411"/>
      <c r="J508" s="411"/>
      <c r="K508" s="411"/>
      <c r="L508" s="411"/>
      <c r="M508" s="411"/>
      <c r="N508" s="412"/>
    </row>
    <row r="509" spans="1:14">
      <c r="A509" s="33"/>
      <c r="B509" s="411"/>
      <c r="C509" s="411"/>
      <c r="D509" s="411"/>
      <c r="E509" s="411"/>
      <c r="F509" s="411"/>
      <c r="G509" s="411"/>
      <c r="H509" s="411"/>
      <c r="I509" s="411"/>
      <c r="J509" s="411"/>
      <c r="K509" s="411"/>
      <c r="L509" s="411"/>
      <c r="M509" s="411"/>
      <c r="N509" s="412"/>
    </row>
    <row r="510" spans="1:14">
      <c r="A510" s="33"/>
      <c r="B510" s="411"/>
      <c r="C510" s="411"/>
      <c r="D510" s="411"/>
      <c r="E510" s="411"/>
      <c r="F510" s="411"/>
      <c r="G510" s="411"/>
      <c r="H510" s="411"/>
      <c r="I510" s="411"/>
      <c r="J510" s="411"/>
      <c r="K510" s="411"/>
      <c r="L510" s="411"/>
      <c r="M510" s="411"/>
      <c r="N510" s="412"/>
    </row>
    <row r="511" spans="1:14">
      <c r="A511" s="33"/>
      <c r="B511" s="411"/>
      <c r="C511" s="411"/>
      <c r="D511" s="411"/>
      <c r="E511" s="411"/>
      <c r="F511" s="411"/>
      <c r="G511" s="411"/>
      <c r="H511" s="411"/>
      <c r="I511" s="411"/>
      <c r="J511" s="411"/>
      <c r="K511" s="411"/>
      <c r="L511" s="411"/>
      <c r="M511" s="411"/>
      <c r="N511" s="412"/>
    </row>
    <row r="512" spans="1:14">
      <c r="A512" s="33"/>
      <c r="B512" s="411"/>
      <c r="C512" s="411"/>
      <c r="D512" s="411"/>
      <c r="E512" s="411"/>
      <c r="F512" s="411"/>
      <c r="G512" s="411"/>
      <c r="H512" s="411"/>
      <c r="I512" s="411"/>
      <c r="J512" s="411"/>
      <c r="K512" s="411"/>
      <c r="L512" s="411"/>
      <c r="M512" s="411"/>
      <c r="N512" s="412"/>
    </row>
    <row r="513" spans="1:14">
      <c r="A513" s="33"/>
      <c r="B513" s="411"/>
      <c r="C513" s="411"/>
      <c r="D513" s="411"/>
      <c r="E513" s="411"/>
      <c r="F513" s="411"/>
      <c r="G513" s="411"/>
      <c r="H513" s="411"/>
      <c r="I513" s="411"/>
      <c r="J513" s="411"/>
      <c r="K513" s="411"/>
      <c r="L513" s="411"/>
      <c r="M513" s="411"/>
      <c r="N513" s="412"/>
    </row>
    <row r="514" spans="1:14">
      <c r="A514" s="33"/>
      <c r="B514" s="411"/>
      <c r="C514" s="411"/>
      <c r="D514" s="411"/>
      <c r="E514" s="411"/>
      <c r="F514" s="411"/>
      <c r="G514" s="411"/>
      <c r="H514" s="411"/>
      <c r="I514" s="411"/>
      <c r="J514" s="411"/>
      <c r="K514" s="411"/>
      <c r="L514" s="411"/>
      <c r="M514" s="411"/>
      <c r="N514" s="412"/>
    </row>
    <row r="515" spans="1:14">
      <c r="A515" s="33"/>
      <c r="B515" s="411"/>
      <c r="C515" s="411"/>
      <c r="D515" s="411"/>
      <c r="E515" s="411"/>
      <c r="F515" s="411"/>
      <c r="G515" s="411"/>
      <c r="H515" s="411"/>
      <c r="I515" s="411"/>
      <c r="J515" s="411"/>
      <c r="K515" s="411"/>
      <c r="L515" s="411"/>
      <c r="M515" s="411"/>
      <c r="N515" s="412"/>
    </row>
    <row r="516" spans="1:14">
      <c r="A516" s="33"/>
      <c r="B516" s="411"/>
      <c r="C516" s="411"/>
      <c r="D516" s="411"/>
      <c r="E516" s="411"/>
      <c r="F516" s="411"/>
      <c r="G516" s="411"/>
      <c r="H516" s="411"/>
      <c r="I516" s="411"/>
      <c r="J516" s="411"/>
      <c r="K516" s="411"/>
      <c r="L516" s="411"/>
      <c r="M516" s="411"/>
      <c r="N516" s="412"/>
    </row>
    <row r="517" spans="1:14">
      <c r="A517" s="33"/>
      <c r="B517" s="41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11"/>
      <c r="N517" s="412"/>
    </row>
    <row r="518" spans="1:14">
      <c r="A518" s="33"/>
      <c r="B518" s="41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11"/>
      <c r="N518" s="412"/>
    </row>
    <row r="519" spans="1:14">
      <c r="A519" s="33"/>
      <c r="B519" s="41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11"/>
      <c r="N519" s="412"/>
    </row>
    <row r="520" spans="1:14">
      <c r="A520" s="33"/>
      <c r="B520" s="41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11"/>
      <c r="N520" s="412"/>
    </row>
    <row r="521" spans="1:14">
      <c r="A521" s="33"/>
      <c r="B521" s="411"/>
      <c r="C521" s="411"/>
      <c r="D521" s="411"/>
      <c r="E521" s="411"/>
      <c r="F521" s="411"/>
      <c r="G521" s="411"/>
      <c r="H521" s="411"/>
      <c r="I521" s="411"/>
      <c r="J521" s="411"/>
      <c r="K521" s="411"/>
      <c r="L521" s="411"/>
      <c r="M521" s="411"/>
      <c r="N521" s="412"/>
    </row>
    <row r="522" spans="1:14">
      <c r="A522" s="33"/>
      <c r="B522" s="41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2"/>
    </row>
    <row r="523" spans="1:14">
      <c r="A523" s="33"/>
      <c r="B523" s="41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2"/>
    </row>
    <row r="524" spans="1:14">
      <c r="A524" s="33"/>
      <c r="B524" s="41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2"/>
    </row>
    <row r="525" spans="1:14">
      <c r="A525" s="33"/>
      <c r="B525" s="411"/>
      <c r="C525" s="411"/>
      <c r="D525" s="411"/>
      <c r="E525" s="411"/>
      <c r="F525" s="411"/>
      <c r="G525" s="411"/>
      <c r="H525" s="411"/>
      <c r="I525" s="411"/>
      <c r="J525" s="411"/>
      <c r="K525" s="411"/>
      <c r="L525" s="411"/>
      <c r="M525" s="411"/>
      <c r="N525" s="412"/>
    </row>
    <row r="526" spans="1:14">
      <c r="A526" s="33"/>
      <c r="B526" s="41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2"/>
    </row>
    <row r="527" spans="1:14">
      <c r="A527" s="33"/>
      <c r="B527" s="411"/>
      <c r="C527" s="411"/>
      <c r="D527" s="411"/>
      <c r="E527" s="411"/>
      <c r="F527" s="411"/>
      <c r="G527" s="411"/>
      <c r="H527" s="411"/>
      <c r="I527" s="411"/>
      <c r="J527" s="411"/>
      <c r="K527" s="411"/>
      <c r="L527" s="411"/>
      <c r="M527" s="411"/>
      <c r="N527" s="412"/>
    </row>
    <row r="528" spans="1:14">
      <c r="A528" s="33"/>
      <c r="B528" s="411"/>
      <c r="C528" s="411"/>
      <c r="D528" s="411"/>
      <c r="E528" s="411"/>
      <c r="F528" s="411"/>
      <c r="G528" s="411"/>
      <c r="H528" s="411"/>
      <c r="I528" s="411"/>
      <c r="J528" s="411"/>
      <c r="K528" s="411"/>
      <c r="L528" s="411"/>
      <c r="M528" s="411"/>
      <c r="N528" s="412"/>
    </row>
    <row r="529" spans="1:14">
      <c r="A529" s="33"/>
      <c r="B529" s="411"/>
      <c r="C529" s="411"/>
      <c r="D529" s="411"/>
      <c r="E529" s="411"/>
      <c r="F529" s="411"/>
      <c r="G529" s="411"/>
      <c r="H529" s="411"/>
      <c r="I529" s="411"/>
      <c r="J529" s="411"/>
      <c r="K529" s="411"/>
      <c r="L529" s="411"/>
      <c r="M529" s="411"/>
      <c r="N529" s="412"/>
    </row>
    <row r="530" spans="1:14">
      <c r="A530" s="33"/>
      <c r="B530" s="411"/>
      <c r="C530" s="411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2"/>
    </row>
    <row r="531" spans="1:14">
      <c r="A531" s="33"/>
      <c r="B531" s="41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2"/>
    </row>
    <row r="532" spans="1:14">
      <c r="A532" s="33"/>
      <c r="B532" s="411"/>
      <c r="C532" s="411"/>
      <c r="D532" s="411"/>
      <c r="E532" s="411"/>
      <c r="F532" s="411"/>
      <c r="G532" s="411"/>
      <c r="H532" s="411"/>
      <c r="I532" s="411"/>
      <c r="J532" s="411"/>
      <c r="K532" s="411"/>
      <c r="L532" s="411"/>
      <c r="M532" s="411"/>
      <c r="N532" s="412"/>
    </row>
    <row r="533" spans="1:14">
      <c r="A533" s="33"/>
      <c r="B533" s="411"/>
      <c r="C533" s="411"/>
      <c r="D533" s="411"/>
      <c r="E533" s="411"/>
      <c r="F533" s="411"/>
      <c r="G533" s="411"/>
      <c r="H533" s="411"/>
      <c r="I533" s="411"/>
      <c r="J533" s="411"/>
      <c r="K533" s="411"/>
      <c r="L533" s="411"/>
      <c r="M533" s="411"/>
      <c r="N533" s="412"/>
    </row>
    <row r="534" spans="1:14">
      <c r="A534" s="33"/>
      <c r="B534" s="411"/>
      <c r="C534" s="411"/>
      <c r="D534" s="411"/>
      <c r="E534" s="411"/>
      <c r="F534" s="411"/>
      <c r="G534" s="411"/>
      <c r="H534" s="411"/>
      <c r="I534" s="411"/>
      <c r="J534" s="411"/>
      <c r="K534" s="411"/>
      <c r="L534" s="411"/>
      <c r="M534" s="411"/>
      <c r="N534" s="412"/>
    </row>
    <row r="535" spans="1:14">
      <c r="A535" s="33"/>
      <c r="B535" s="411"/>
      <c r="C535" s="411"/>
      <c r="D535" s="411"/>
      <c r="E535" s="411"/>
      <c r="F535" s="411"/>
      <c r="G535" s="411"/>
      <c r="H535" s="411"/>
      <c r="I535" s="411"/>
      <c r="J535" s="411"/>
      <c r="K535" s="411"/>
      <c r="L535" s="411"/>
      <c r="M535" s="411"/>
      <c r="N535" s="412"/>
    </row>
    <row r="536" spans="1:14">
      <c r="A536" s="33"/>
      <c r="B536" s="411"/>
      <c r="C536" s="411"/>
      <c r="D536" s="411"/>
      <c r="E536" s="411"/>
      <c r="F536" s="411"/>
      <c r="G536" s="411"/>
      <c r="H536" s="411"/>
      <c r="I536" s="411"/>
      <c r="J536" s="411"/>
      <c r="K536" s="411"/>
      <c r="L536" s="411"/>
      <c r="M536" s="411"/>
      <c r="N536" s="412"/>
    </row>
    <row r="537" spans="1:14">
      <c r="A537" s="33"/>
      <c r="B537" s="411"/>
      <c r="C537" s="411"/>
      <c r="D537" s="411"/>
      <c r="E537" s="411"/>
      <c r="F537" s="411"/>
      <c r="G537" s="411"/>
      <c r="H537" s="411"/>
      <c r="I537" s="411"/>
      <c r="J537" s="411"/>
      <c r="K537" s="411"/>
      <c r="L537" s="411"/>
      <c r="M537" s="411"/>
      <c r="N537" s="412"/>
    </row>
    <row r="538" spans="1:14">
      <c r="A538" s="33"/>
      <c r="B538" s="411"/>
      <c r="C538" s="411"/>
      <c r="D538" s="411"/>
      <c r="E538" s="411"/>
      <c r="F538" s="411"/>
      <c r="G538" s="411"/>
      <c r="H538" s="411"/>
      <c r="I538" s="411"/>
      <c r="J538" s="411"/>
      <c r="K538" s="411"/>
      <c r="L538" s="411"/>
      <c r="M538" s="411"/>
      <c r="N538" s="412"/>
    </row>
    <row r="539" spans="1:14">
      <c r="A539" s="33"/>
      <c r="B539" s="411"/>
      <c r="C539" s="411"/>
      <c r="D539" s="411"/>
      <c r="E539" s="411"/>
      <c r="F539" s="411"/>
      <c r="G539" s="411"/>
      <c r="H539" s="411"/>
      <c r="I539" s="411"/>
      <c r="J539" s="411"/>
      <c r="K539" s="411"/>
      <c r="L539" s="411"/>
      <c r="M539" s="411"/>
      <c r="N539" s="412"/>
    </row>
    <row r="540" spans="1:14">
      <c r="A540" s="33"/>
      <c r="B540" s="411"/>
      <c r="C540" s="411"/>
      <c r="D540" s="411"/>
      <c r="E540" s="411"/>
      <c r="F540" s="411"/>
      <c r="G540" s="411"/>
      <c r="H540" s="411"/>
      <c r="I540" s="411"/>
      <c r="J540" s="411"/>
      <c r="K540" s="411"/>
      <c r="L540" s="411"/>
      <c r="M540" s="411"/>
      <c r="N540" s="412"/>
    </row>
    <row r="541" spans="1:14">
      <c r="A541" s="33"/>
      <c r="B541" s="411"/>
      <c r="C541" s="411"/>
      <c r="D541" s="411"/>
      <c r="E541" s="411"/>
      <c r="F541" s="411"/>
      <c r="G541" s="411"/>
      <c r="H541" s="411"/>
      <c r="I541" s="411"/>
      <c r="J541" s="411"/>
      <c r="K541" s="411"/>
      <c r="L541" s="411"/>
      <c r="M541" s="411"/>
      <c r="N541" s="412"/>
    </row>
    <row r="542" spans="1:14">
      <c r="A542" s="33"/>
      <c r="B542" s="411"/>
      <c r="C542" s="411"/>
      <c r="D542" s="411"/>
      <c r="E542" s="411"/>
      <c r="F542" s="411"/>
      <c r="G542" s="411"/>
      <c r="H542" s="411"/>
      <c r="I542" s="411"/>
      <c r="J542" s="411"/>
      <c r="K542" s="411"/>
      <c r="L542" s="411"/>
      <c r="M542" s="411"/>
      <c r="N542" s="412"/>
    </row>
    <row r="543" spans="1:14">
      <c r="A543" s="33"/>
      <c r="B543" s="41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2"/>
    </row>
    <row r="544" spans="1:14">
      <c r="A544" s="33"/>
      <c r="B544" s="411"/>
      <c r="C544" s="411"/>
      <c r="D544" s="411"/>
      <c r="E544" s="411"/>
      <c r="F544" s="411"/>
      <c r="G544" s="411"/>
      <c r="H544" s="411"/>
      <c r="I544" s="411"/>
      <c r="J544" s="411"/>
      <c r="K544" s="411"/>
      <c r="L544" s="411"/>
      <c r="M544" s="411"/>
      <c r="N544" s="412"/>
    </row>
    <row r="545" spans="1:14">
      <c r="A545" s="33"/>
      <c r="B545" s="411"/>
      <c r="C545" s="411"/>
      <c r="D545" s="411"/>
      <c r="E545" s="411"/>
      <c r="F545" s="411"/>
      <c r="G545" s="411"/>
      <c r="H545" s="411"/>
      <c r="I545" s="411"/>
      <c r="J545" s="411"/>
      <c r="K545" s="411"/>
      <c r="L545" s="411"/>
      <c r="M545" s="411"/>
      <c r="N545" s="412"/>
    </row>
    <row r="546" spans="1:14">
      <c r="A546" s="33"/>
      <c r="B546" s="411"/>
      <c r="C546" s="411"/>
      <c r="D546" s="411"/>
      <c r="E546" s="411"/>
      <c r="F546" s="411"/>
      <c r="G546" s="411"/>
      <c r="H546" s="411"/>
      <c r="I546" s="411"/>
      <c r="J546" s="411"/>
      <c r="K546" s="411"/>
      <c r="L546" s="411"/>
      <c r="M546" s="411"/>
      <c r="N546" s="412"/>
    </row>
    <row r="547" spans="1:14">
      <c r="A547" s="33"/>
      <c r="B547" s="411"/>
      <c r="C547" s="411"/>
      <c r="D547" s="411"/>
      <c r="E547" s="411"/>
      <c r="F547" s="411"/>
      <c r="G547" s="411"/>
      <c r="H547" s="411"/>
      <c r="I547" s="411"/>
      <c r="J547" s="411"/>
      <c r="K547" s="411"/>
      <c r="L547" s="411"/>
      <c r="M547" s="411"/>
      <c r="N547" s="412"/>
    </row>
    <row r="548" spans="1:14">
      <c r="A548" s="33"/>
      <c r="B548" s="411"/>
      <c r="C548" s="411"/>
      <c r="D548" s="411"/>
      <c r="E548" s="411"/>
      <c r="F548" s="411"/>
      <c r="G548" s="411"/>
      <c r="H548" s="411"/>
      <c r="I548" s="411"/>
      <c r="J548" s="411"/>
      <c r="K548" s="411"/>
      <c r="L548" s="411"/>
      <c r="M548" s="411"/>
      <c r="N548" s="412"/>
    </row>
    <row r="549" spans="1:14">
      <c r="A549" s="33"/>
      <c r="B549" s="41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2"/>
    </row>
    <row r="550" spans="1:14">
      <c r="A550" s="33"/>
      <c r="B550" s="411"/>
      <c r="C550" s="411"/>
      <c r="D550" s="411"/>
      <c r="E550" s="411"/>
      <c r="F550" s="411"/>
      <c r="G550" s="411"/>
      <c r="H550" s="411"/>
      <c r="I550" s="411"/>
      <c r="J550" s="411"/>
      <c r="K550" s="411"/>
      <c r="L550" s="411"/>
      <c r="M550" s="411"/>
      <c r="N550" s="412"/>
    </row>
    <row r="551" spans="1:14">
      <c r="A551" s="33"/>
      <c r="B551" s="411"/>
      <c r="C551" s="411"/>
      <c r="D551" s="411"/>
      <c r="E551" s="411"/>
      <c r="F551" s="411"/>
      <c r="G551" s="411"/>
      <c r="H551" s="411"/>
      <c r="I551" s="411"/>
      <c r="J551" s="411"/>
      <c r="K551" s="411"/>
      <c r="L551" s="411"/>
      <c r="M551" s="411"/>
      <c r="N551" s="412"/>
    </row>
    <row r="552" spans="1:14">
      <c r="A552" s="33"/>
      <c r="B552" s="411"/>
      <c r="C552" s="411"/>
      <c r="D552" s="411"/>
      <c r="E552" s="411"/>
      <c r="F552" s="411"/>
      <c r="G552" s="411"/>
      <c r="H552" s="411"/>
      <c r="I552" s="411"/>
      <c r="J552" s="411"/>
      <c r="K552" s="411"/>
      <c r="L552" s="411"/>
      <c r="M552" s="411"/>
      <c r="N552" s="412"/>
    </row>
    <row r="553" spans="1:14">
      <c r="A553" s="33"/>
      <c r="B553" s="41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2"/>
    </row>
    <row r="554" spans="1:14">
      <c r="A554" s="33"/>
      <c r="B554" s="41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2"/>
    </row>
    <row r="555" spans="1:14">
      <c r="A555" s="33"/>
      <c r="B555" s="41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2"/>
    </row>
    <row r="556" spans="1:14">
      <c r="A556" s="33"/>
      <c r="B556" s="41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2"/>
    </row>
    <row r="557" spans="1:14">
      <c r="A557" s="33"/>
      <c r="B557" s="41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2"/>
    </row>
    <row r="558" spans="1:14">
      <c r="A558" s="33"/>
      <c r="B558" s="41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2"/>
    </row>
    <row r="559" spans="1:14">
      <c r="A559" s="33"/>
      <c r="B559" s="41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2"/>
    </row>
    <row r="560" spans="1:14">
      <c r="A560" s="33"/>
      <c r="B560" s="41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2"/>
    </row>
    <row r="561" spans="1:14">
      <c r="A561" s="33"/>
      <c r="B561" s="411"/>
      <c r="C561" s="411"/>
      <c r="D561" s="411"/>
      <c r="E561" s="411"/>
      <c r="F561" s="411"/>
      <c r="G561" s="411"/>
      <c r="H561" s="411"/>
      <c r="I561" s="411"/>
      <c r="J561" s="411"/>
      <c r="K561" s="411"/>
      <c r="L561" s="411"/>
      <c r="M561" s="411"/>
      <c r="N561" s="412"/>
    </row>
    <row r="562" spans="1:14">
      <c r="A562" s="33"/>
      <c r="B562" s="41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2"/>
    </row>
    <row r="563" spans="1:14">
      <c r="A563" s="33"/>
      <c r="B563" s="41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2"/>
    </row>
    <row r="564" spans="1:14">
      <c r="A564" s="33"/>
      <c r="B564" s="41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2"/>
    </row>
    <row r="565" spans="1:14">
      <c r="A565" s="33"/>
      <c r="B565" s="411"/>
      <c r="C565" s="411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2"/>
    </row>
    <row r="566" spans="1:14">
      <c r="A566" s="33"/>
      <c r="B566" s="41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2"/>
    </row>
    <row r="567" spans="1:14">
      <c r="A567" s="33"/>
      <c r="B567" s="41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2"/>
    </row>
    <row r="568" spans="1:14">
      <c r="A568" s="33"/>
      <c r="B568" s="411"/>
      <c r="C568" s="411"/>
      <c r="D568" s="411"/>
      <c r="E568" s="411"/>
      <c r="F568" s="411"/>
      <c r="G568" s="411"/>
      <c r="H568" s="411"/>
      <c r="I568" s="411"/>
      <c r="J568" s="411"/>
      <c r="K568" s="411"/>
      <c r="L568" s="411"/>
      <c r="M568" s="411"/>
      <c r="N568" s="412"/>
    </row>
    <row r="569" spans="1:14">
      <c r="A569" s="33"/>
      <c r="B569" s="41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2"/>
    </row>
    <row r="570" spans="1:14">
      <c r="A570" s="33"/>
      <c r="B570" s="411"/>
      <c r="C570" s="411"/>
      <c r="D570" s="411"/>
      <c r="E570" s="411"/>
      <c r="F570" s="411"/>
      <c r="G570" s="411"/>
      <c r="H570" s="411"/>
      <c r="I570" s="411"/>
      <c r="J570" s="411"/>
      <c r="K570" s="411"/>
      <c r="L570" s="411"/>
      <c r="M570" s="411"/>
      <c r="N570" s="412"/>
    </row>
    <row r="571" spans="1:14">
      <c r="A571" s="33"/>
      <c r="B571" s="411"/>
      <c r="C571" s="411"/>
      <c r="D571" s="411"/>
      <c r="E571" s="411"/>
      <c r="F571" s="411"/>
      <c r="G571" s="411"/>
      <c r="H571" s="411"/>
      <c r="I571" s="411"/>
      <c r="J571" s="411"/>
      <c r="K571" s="411"/>
      <c r="L571" s="411"/>
      <c r="M571" s="411"/>
      <c r="N571" s="412"/>
    </row>
    <row r="572" spans="1:14">
      <c r="A572" s="33"/>
      <c r="B572" s="411"/>
      <c r="C572" s="411"/>
      <c r="D572" s="411"/>
      <c r="E572" s="411"/>
      <c r="F572" s="411"/>
      <c r="G572" s="411"/>
      <c r="H572" s="411"/>
      <c r="I572" s="411"/>
      <c r="J572" s="411"/>
      <c r="K572" s="411"/>
      <c r="L572" s="411"/>
      <c r="M572" s="411"/>
      <c r="N572" s="412"/>
    </row>
    <row r="573" spans="1:14">
      <c r="A573" s="33"/>
      <c r="B573" s="411"/>
      <c r="C573" s="411"/>
      <c r="D573" s="411"/>
      <c r="E573" s="411"/>
      <c r="F573" s="411"/>
      <c r="G573" s="411"/>
      <c r="H573" s="411"/>
      <c r="I573" s="411"/>
      <c r="J573" s="411"/>
      <c r="K573" s="411"/>
      <c r="L573" s="411"/>
      <c r="M573" s="411"/>
      <c r="N573" s="412"/>
    </row>
    <row r="574" spans="1:14">
      <c r="A574" s="33"/>
      <c r="B574" s="41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2"/>
    </row>
    <row r="575" spans="1:14">
      <c r="A575" s="33"/>
      <c r="B575" s="411"/>
      <c r="C575" s="411"/>
      <c r="D575" s="411"/>
      <c r="E575" s="411"/>
      <c r="F575" s="411"/>
      <c r="G575" s="411"/>
      <c r="H575" s="411"/>
      <c r="I575" s="411"/>
      <c r="J575" s="411"/>
      <c r="K575" s="411"/>
      <c r="L575" s="411"/>
      <c r="M575" s="411"/>
      <c r="N575" s="412"/>
    </row>
    <row r="576" spans="1:14">
      <c r="A576" s="33"/>
      <c r="B576" s="411"/>
      <c r="C576" s="411"/>
      <c r="D576" s="411"/>
      <c r="E576" s="411"/>
      <c r="F576" s="411"/>
      <c r="G576" s="411"/>
      <c r="H576" s="411"/>
      <c r="I576" s="411"/>
      <c r="J576" s="411"/>
      <c r="K576" s="411"/>
      <c r="L576" s="411"/>
      <c r="M576" s="411"/>
      <c r="N576" s="412"/>
    </row>
    <row r="577" spans="1:14">
      <c r="A577" s="33"/>
      <c r="B577" s="411"/>
      <c r="C577" s="411"/>
      <c r="D577" s="411"/>
      <c r="E577" s="411"/>
      <c r="F577" s="411"/>
      <c r="G577" s="411"/>
      <c r="H577" s="411"/>
      <c r="I577" s="411"/>
      <c r="J577" s="411"/>
      <c r="K577" s="411"/>
      <c r="L577" s="411"/>
      <c r="M577" s="411"/>
      <c r="N577" s="412"/>
    </row>
    <row r="578" spans="1:14">
      <c r="A578" s="33"/>
      <c r="B578" s="411"/>
      <c r="C578" s="411"/>
      <c r="D578" s="411"/>
      <c r="E578" s="411"/>
      <c r="F578" s="411"/>
      <c r="G578" s="411"/>
      <c r="H578" s="411"/>
      <c r="I578" s="411"/>
      <c r="J578" s="411"/>
      <c r="K578" s="411"/>
      <c r="L578" s="411"/>
      <c r="M578" s="411"/>
      <c r="N578" s="412"/>
    </row>
    <row r="579" spans="1:14">
      <c r="A579" s="33"/>
      <c r="B579" s="411"/>
      <c r="C579" s="411"/>
      <c r="D579" s="411"/>
      <c r="E579" s="411"/>
      <c r="F579" s="411"/>
      <c r="G579" s="411"/>
      <c r="H579" s="411"/>
      <c r="I579" s="411"/>
      <c r="J579" s="411"/>
      <c r="K579" s="411"/>
      <c r="L579" s="411"/>
      <c r="M579" s="411"/>
      <c r="N579" s="412"/>
    </row>
    <row r="580" spans="1:14">
      <c r="A580" s="33"/>
      <c r="B580" s="411"/>
      <c r="C580" s="411"/>
      <c r="D580" s="411"/>
      <c r="E580" s="411"/>
      <c r="F580" s="411"/>
      <c r="G580" s="411"/>
      <c r="H580" s="411"/>
      <c r="I580" s="411"/>
      <c r="J580" s="411"/>
      <c r="K580" s="411"/>
      <c r="L580" s="411"/>
      <c r="M580" s="411"/>
      <c r="N580" s="412"/>
    </row>
    <row r="581" spans="1:14">
      <c r="A581" s="33"/>
      <c r="B581" s="411"/>
      <c r="C581" s="411"/>
      <c r="D581" s="411"/>
      <c r="E581" s="411"/>
      <c r="F581" s="411"/>
      <c r="G581" s="411"/>
      <c r="H581" s="411"/>
      <c r="I581" s="411"/>
      <c r="J581" s="411"/>
      <c r="K581" s="411"/>
      <c r="L581" s="411"/>
      <c r="M581" s="411"/>
      <c r="N581" s="412"/>
    </row>
    <row r="582" spans="1:14">
      <c r="A582" s="33"/>
      <c r="B582" s="41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2"/>
    </row>
    <row r="583" spans="1:14">
      <c r="A583" s="33"/>
      <c r="B583" s="41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2"/>
    </row>
    <row r="584" spans="1:14">
      <c r="A584" s="33"/>
      <c r="B584" s="41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2"/>
    </row>
    <row r="585" spans="1:14">
      <c r="A585" s="33"/>
      <c r="B585" s="41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2"/>
    </row>
    <row r="586" spans="1:14">
      <c r="A586" s="33"/>
      <c r="B586" s="411"/>
      <c r="C586" s="411"/>
      <c r="D586" s="411"/>
      <c r="E586" s="411"/>
      <c r="F586" s="411"/>
      <c r="G586" s="411"/>
      <c r="H586" s="411"/>
      <c r="I586" s="411"/>
      <c r="J586" s="411"/>
      <c r="K586" s="411"/>
      <c r="L586" s="411"/>
      <c r="M586" s="411"/>
      <c r="N586" s="412"/>
    </row>
    <row r="587" spans="1:14">
      <c r="A587" s="33"/>
      <c r="B587" s="411"/>
      <c r="C587" s="411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2"/>
    </row>
    <row r="588" spans="1:14">
      <c r="A588" s="33"/>
      <c r="B588" s="411"/>
      <c r="C588" s="411"/>
      <c r="D588" s="411"/>
      <c r="E588" s="411"/>
      <c r="F588" s="411"/>
      <c r="G588" s="411"/>
      <c r="H588" s="411"/>
      <c r="I588" s="411"/>
      <c r="J588" s="411"/>
      <c r="K588" s="411"/>
      <c r="L588" s="411"/>
      <c r="M588" s="411"/>
      <c r="N588" s="412"/>
    </row>
    <row r="589" spans="1:14">
      <c r="A589" s="33"/>
      <c r="B589" s="411"/>
      <c r="C589" s="411"/>
      <c r="D589" s="411"/>
      <c r="E589" s="411"/>
      <c r="F589" s="411"/>
      <c r="G589" s="411"/>
      <c r="H589" s="411"/>
      <c r="I589" s="411"/>
      <c r="J589" s="411"/>
      <c r="K589" s="411"/>
      <c r="L589" s="411"/>
      <c r="M589" s="411"/>
      <c r="N589" s="412"/>
    </row>
    <row r="590" spans="1:14">
      <c r="A590" s="33"/>
      <c r="B590" s="411"/>
      <c r="C590" s="411"/>
      <c r="D590" s="411"/>
      <c r="E590" s="411"/>
      <c r="F590" s="411"/>
      <c r="G590" s="411"/>
      <c r="H590" s="411"/>
      <c r="I590" s="411"/>
      <c r="J590" s="411"/>
      <c r="K590" s="411"/>
      <c r="L590" s="411"/>
      <c r="M590" s="411"/>
      <c r="N590" s="412"/>
    </row>
    <row r="591" spans="1:14">
      <c r="A591" s="33"/>
      <c r="B591" s="411"/>
      <c r="C591" s="411"/>
      <c r="D591" s="411"/>
      <c r="E591" s="411"/>
      <c r="F591" s="411"/>
      <c r="G591" s="411"/>
      <c r="H591" s="411"/>
      <c r="I591" s="411"/>
      <c r="J591" s="411"/>
      <c r="K591" s="411"/>
      <c r="L591" s="411"/>
      <c r="M591" s="411"/>
      <c r="N591" s="412"/>
    </row>
    <row r="592" spans="1:14">
      <c r="A592" s="33"/>
      <c r="B592" s="411"/>
      <c r="C592" s="411"/>
      <c r="D592" s="411"/>
      <c r="E592" s="411"/>
      <c r="F592" s="411"/>
      <c r="G592" s="411"/>
      <c r="H592" s="411"/>
      <c r="I592" s="411"/>
      <c r="J592" s="411"/>
      <c r="K592" s="411"/>
      <c r="L592" s="411"/>
      <c r="M592" s="411"/>
      <c r="N592" s="412"/>
    </row>
    <row r="593" spans="1:14">
      <c r="A593" s="33"/>
      <c r="B593" s="411"/>
      <c r="C593" s="411"/>
      <c r="D593" s="411"/>
      <c r="E593" s="411"/>
      <c r="F593" s="411"/>
      <c r="G593" s="411"/>
      <c r="H593" s="411"/>
      <c r="I593" s="411"/>
      <c r="J593" s="411"/>
      <c r="K593" s="411"/>
      <c r="L593" s="411"/>
      <c r="M593" s="411"/>
      <c r="N593" s="412"/>
    </row>
    <row r="594" spans="1:14">
      <c r="A594" s="33"/>
      <c r="B594" s="411"/>
      <c r="C594" s="411"/>
      <c r="D594" s="411"/>
      <c r="E594" s="411"/>
      <c r="F594" s="411"/>
      <c r="G594" s="411"/>
      <c r="H594" s="411"/>
      <c r="I594" s="411"/>
      <c r="J594" s="411"/>
      <c r="K594" s="411"/>
      <c r="L594" s="411"/>
      <c r="M594" s="411"/>
      <c r="N594" s="412"/>
    </row>
    <row r="595" spans="1:14">
      <c r="A595" s="33"/>
      <c r="B595" s="41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2"/>
    </row>
    <row r="596" spans="1:14">
      <c r="A596" s="33"/>
      <c r="B596" s="411"/>
      <c r="C596" s="411"/>
      <c r="D596" s="411"/>
      <c r="E596" s="411"/>
      <c r="F596" s="411"/>
      <c r="G596" s="411"/>
      <c r="H596" s="411"/>
      <c r="I596" s="411"/>
      <c r="J596" s="411"/>
      <c r="K596" s="411"/>
      <c r="L596" s="411"/>
      <c r="M596" s="411"/>
      <c r="N596" s="412"/>
    </row>
    <row r="597" spans="1:14">
      <c r="A597" s="33"/>
      <c r="B597" s="411"/>
      <c r="C597" s="411"/>
      <c r="D597" s="411"/>
      <c r="E597" s="411"/>
      <c r="F597" s="411"/>
      <c r="G597" s="411"/>
      <c r="H597" s="411"/>
      <c r="I597" s="411"/>
      <c r="J597" s="411"/>
      <c r="K597" s="411"/>
      <c r="L597" s="411"/>
      <c r="M597" s="411"/>
      <c r="N597" s="412"/>
    </row>
    <row r="598" spans="1:14">
      <c r="A598" s="33"/>
      <c r="B598" s="411"/>
      <c r="C598" s="411"/>
      <c r="D598" s="411"/>
      <c r="E598" s="411"/>
      <c r="F598" s="411"/>
      <c r="G598" s="411"/>
      <c r="H598" s="411"/>
      <c r="I598" s="411"/>
      <c r="J598" s="411"/>
      <c r="K598" s="411"/>
      <c r="L598" s="411"/>
      <c r="M598" s="411"/>
      <c r="N598" s="412"/>
    </row>
    <row r="599" spans="1:14">
      <c r="A599" s="33"/>
      <c r="B599" s="411"/>
      <c r="C599" s="411"/>
      <c r="D599" s="411"/>
      <c r="E599" s="411"/>
      <c r="F599" s="411"/>
      <c r="G599" s="411"/>
      <c r="H599" s="411"/>
      <c r="I599" s="411"/>
      <c r="J599" s="411"/>
      <c r="K599" s="411"/>
      <c r="L599" s="411"/>
      <c r="M599" s="411"/>
      <c r="N599" s="412"/>
    </row>
    <row r="600" spans="1:14">
      <c r="A600" s="33"/>
      <c r="B600" s="411"/>
      <c r="C600" s="411"/>
      <c r="D600" s="411"/>
      <c r="E600" s="411"/>
      <c r="F600" s="411"/>
      <c r="G600" s="411"/>
      <c r="H600" s="411"/>
      <c r="I600" s="411"/>
      <c r="J600" s="411"/>
      <c r="K600" s="411"/>
      <c r="L600" s="411"/>
      <c r="M600" s="411"/>
      <c r="N600" s="412"/>
    </row>
    <row r="601" spans="1:14">
      <c r="A601" s="33"/>
      <c r="B601" s="411"/>
      <c r="C601" s="411"/>
      <c r="D601" s="411"/>
      <c r="E601" s="411"/>
      <c r="F601" s="411"/>
      <c r="G601" s="411"/>
      <c r="H601" s="411"/>
      <c r="I601" s="411"/>
      <c r="J601" s="411"/>
      <c r="K601" s="411"/>
      <c r="L601" s="411"/>
      <c r="M601" s="411"/>
      <c r="N601" s="412"/>
    </row>
    <row r="602" spans="1:14">
      <c r="A602" s="33"/>
      <c r="B602" s="411"/>
      <c r="C602" s="411"/>
      <c r="D602" s="411"/>
      <c r="E602" s="411"/>
      <c r="F602" s="411"/>
      <c r="G602" s="411"/>
      <c r="H602" s="411"/>
      <c r="I602" s="411"/>
      <c r="J602" s="411"/>
      <c r="K602" s="411"/>
      <c r="L602" s="411"/>
      <c r="M602" s="411"/>
      <c r="N602" s="412"/>
    </row>
    <row r="603" spans="1:14">
      <c r="A603" s="33"/>
      <c r="B603" s="411"/>
      <c r="C603" s="411"/>
      <c r="D603" s="411"/>
      <c r="E603" s="411"/>
      <c r="F603" s="411"/>
      <c r="G603" s="411"/>
      <c r="H603" s="411"/>
      <c r="I603" s="411"/>
      <c r="J603" s="411"/>
      <c r="K603" s="411"/>
      <c r="L603" s="411"/>
      <c r="M603" s="411"/>
      <c r="N603" s="412"/>
    </row>
    <row r="604" spans="1:14">
      <c r="A604" s="33"/>
      <c r="B604" s="411"/>
      <c r="C604" s="411"/>
      <c r="D604" s="411"/>
      <c r="E604" s="411"/>
      <c r="F604" s="411"/>
      <c r="G604" s="411"/>
      <c r="H604" s="411"/>
      <c r="I604" s="411"/>
      <c r="J604" s="411"/>
      <c r="K604" s="411"/>
      <c r="L604" s="411"/>
      <c r="M604" s="411"/>
      <c r="N604" s="412"/>
    </row>
    <row r="605" spans="1:14">
      <c r="A605" s="33"/>
      <c r="B605" s="411"/>
      <c r="C605" s="411"/>
      <c r="D605" s="411"/>
      <c r="E605" s="411"/>
      <c r="F605" s="411"/>
      <c r="G605" s="411"/>
      <c r="H605" s="411"/>
      <c r="I605" s="411"/>
      <c r="J605" s="411"/>
      <c r="K605" s="411"/>
      <c r="L605" s="411"/>
      <c r="M605" s="411"/>
      <c r="N605" s="412"/>
    </row>
    <row r="606" spans="1:14">
      <c r="A606" s="33"/>
      <c r="B606" s="411"/>
      <c r="C606" s="411"/>
      <c r="D606" s="411"/>
      <c r="E606" s="411"/>
      <c r="F606" s="411"/>
      <c r="G606" s="411"/>
      <c r="H606" s="411"/>
      <c r="I606" s="411"/>
      <c r="J606" s="411"/>
      <c r="K606" s="411"/>
      <c r="L606" s="411"/>
      <c r="M606" s="411"/>
      <c r="N606" s="412"/>
    </row>
    <row r="607" spans="1:14">
      <c r="A607" s="33"/>
      <c r="B607" s="411"/>
      <c r="C607" s="411"/>
      <c r="D607" s="411"/>
      <c r="E607" s="411"/>
      <c r="F607" s="411"/>
      <c r="G607" s="411"/>
      <c r="H607" s="411"/>
      <c r="I607" s="411"/>
      <c r="J607" s="411"/>
      <c r="K607" s="411"/>
      <c r="L607" s="411"/>
      <c r="M607" s="411"/>
      <c r="N607" s="412"/>
    </row>
    <row r="608" spans="1:14">
      <c r="A608" s="33"/>
      <c r="B608" s="411"/>
      <c r="C608" s="411"/>
      <c r="D608" s="411"/>
      <c r="E608" s="411"/>
      <c r="F608" s="411"/>
      <c r="G608" s="411"/>
      <c r="H608" s="411"/>
      <c r="I608" s="411"/>
      <c r="J608" s="411"/>
      <c r="K608" s="411"/>
      <c r="L608" s="411"/>
      <c r="M608" s="411"/>
      <c r="N608" s="412"/>
    </row>
    <row r="609" spans="1:14">
      <c r="A609" s="33"/>
      <c r="B609" s="411"/>
      <c r="C609" s="411"/>
      <c r="D609" s="411"/>
      <c r="E609" s="411"/>
      <c r="F609" s="411"/>
      <c r="G609" s="411"/>
      <c r="H609" s="411"/>
      <c r="I609" s="411"/>
      <c r="J609" s="411"/>
      <c r="K609" s="411"/>
      <c r="L609" s="411"/>
      <c r="M609" s="411"/>
      <c r="N609" s="412"/>
    </row>
    <row r="610" spans="1:14">
      <c r="A610" s="33"/>
      <c r="B610" s="411"/>
      <c r="C610" s="411"/>
      <c r="D610" s="411"/>
      <c r="E610" s="411"/>
      <c r="F610" s="411"/>
      <c r="G610" s="411"/>
      <c r="H610" s="411"/>
      <c r="I610" s="411"/>
      <c r="J610" s="411"/>
      <c r="K610" s="411"/>
      <c r="L610" s="411"/>
      <c r="M610" s="411"/>
      <c r="N610" s="412"/>
    </row>
    <row r="611" spans="1:14">
      <c r="A611" s="33"/>
      <c r="B611" s="411"/>
      <c r="C611" s="411"/>
      <c r="D611" s="411"/>
      <c r="E611" s="411"/>
      <c r="F611" s="411"/>
      <c r="G611" s="411"/>
      <c r="H611" s="411"/>
      <c r="I611" s="411"/>
      <c r="J611" s="411"/>
      <c r="K611" s="411"/>
      <c r="L611" s="411"/>
      <c r="M611" s="411"/>
      <c r="N611" s="412"/>
    </row>
    <row r="612" spans="1:14">
      <c r="A612" s="33"/>
      <c r="B612" s="411"/>
      <c r="C612" s="411"/>
      <c r="D612" s="411"/>
      <c r="E612" s="411"/>
      <c r="F612" s="411"/>
      <c r="G612" s="411"/>
      <c r="H612" s="411"/>
      <c r="I612" s="411"/>
      <c r="J612" s="411"/>
      <c r="K612" s="411"/>
      <c r="L612" s="411"/>
      <c r="M612" s="411"/>
      <c r="N612" s="412"/>
    </row>
    <row r="613" spans="1:14">
      <c r="A613" s="33"/>
      <c r="B613" s="411"/>
      <c r="C613" s="411"/>
      <c r="D613" s="411"/>
      <c r="E613" s="411"/>
      <c r="F613" s="411"/>
      <c r="G613" s="411"/>
      <c r="H613" s="411"/>
      <c r="I613" s="411"/>
      <c r="J613" s="411"/>
      <c r="K613" s="411"/>
      <c r="L613" s="411"/>
      <c r="M613" s="411"/>
      <c r="N613" s="412"/>
    </row>
    <row r="614" spans="1:14">
      <c r="A614" s="33"/>
      <c r="B614" s="411"/>
      <c r="C614" s="411"/>
      <c r="D614" s="411"/>
      <c r="E614" s="411"/>
      <c r="F614" s="411"/>
      <c r="G614" s="411"/>
      <c r="H614" s="411"/>
      <c r="I614" s="411"/>
      <c r="J614" s="411"/>
      <c r="K614" s="411"/>
      <c r="L614" s="411"/>
      <c r="M614" s="411"/>
      <c r="N614" s="412"/>
    </row>
    <row r="615" spans="1:14">
      <c r="A615" s="33"/>
      <c r="B615" s="411"/>
      <c r="C615" s="411"/>
      <c r="D615" s="411"/>
      <c r="E615" s="411"/>
      <c r="F615" s="411"/>
      <c r="G615" s="411"/>
      <c r="H615" s="411"/>
      <c r="I615" s="411"/>
      <c r="J615" s="411"/>
      <c r="K615" s="411"/>
      <c r="L615" s="411"/>
      <c r="M615" s="411"/>
      <c r="N615" s="412"/>
    </row>
    <row r="616" spans="1:14">
      <c r="A616" s="33"/>
      <c r="B616" s="411"/>
      <c r="C616" s="411"/>
      <c r="D616" s="411"/>
      <c r="E616" s="411"/>
      <c r="F616" s="411"/>
      <c r="G616" s="411"/>
      <c r="H616" s="411"/>
      <c r="I616" s="411"/>
      <c r="J616" s="411"/>
      <c r="K616" s="411"/>
      <c r="L616" s="411"/>
      <c r="M616" s="411"/>
      <c r="N616" s="412"/>
    </row>
    <row r="617" spans="1:14">
      <c r="A617" s="33"/>
      <c r="B617" s="411"/>
      <c r="C617" s="411"/>
      <c r="D617" s="411"/>
      <c r="E617" s="411"/>
      <c r="F617" s="411"/>
      <c r="G617" s="411"/>
      <c r="H617" s="411"/>
      <c r="I617" s="411"/>
      <c r="J617" s="411"/>
      <c r="K617" s="411"/>
      <c r="L617" s="411"/>
      <c r="M617" s="411"/>
      <c r="N617" s="412"/>
    </row>
    <row r="618" spans="1:14">
      <c r="A618" s="33"/>
      <c r="B618" s="411"/>
      <c r="C618" s="411"/>
      <c r="D618" s="411"/>
      <c r="E618" s="411"/>
      <c r="F618" s="411"/>
      <c r="G618" s="411"/>
      <c r="H618" s="411"/>
      <c r="I618" s="411"/>
      <c r="J618" s="411"/>
      <c r="K618" s="411"/>
      <c r="L618" s="411"/>
      <c r="M618" s="411"/>
      <c r="N618" s="412"/>
    </row>
    <row r="619" spans="1:14">
      <c r="A619" s="33"/>
      <c r="B619" s="411"/>
      <c r="C619" s="411"/>
      <c r="D619" s="411"/>
      <c r="E619" s="411"/>
      <c r="F619" s="411"/>
      <c r="G619" s="411"/>
      <c r="H619" s="411"/>
      <c r="I619" s="411"/>
      <c r="J619" s="411"/>
      <c r="K619" s="411"/>
      <c r="L619" s="411"/>
      <c r="M619" s="411"/>
      <c r="N619" s="412"/>
    </row>
    <row r="620" spans="1:14">
      <c r="A620" s="33"/>
      <c r="B620" s="411"/>
      <c r="C620" s="411"/>
      <c r="D620" s="411"/>
      <c r="E620" s="411"/>
      <c r="F620" s="411"/>
      <c r="G620" s="411"/>
      <c r="H620" s="411"/>
      <c r="I620" s="411"/>
      <c r="J620" s="411"/>
      <c r="K620" s="411"/>
      <c r="L620" s="411"/>
      <c r="M620" s="411"/>
      <c r="N620" s="412"/>
    </row>
    <row r="621" spans="1:14">
      <c r="A621" s="33"/>
      <c r="B621" s="411"/>
      <c r="C621" s="411"/>
      <c r="D621" s="411"/>
      <c r="E621" s="411"/>
      <c r="F621" s="411"/>
      <c r="G621" s="411"/>
      <c r="H621" s="411"/>
      <c r="I621" s="411"/>
      <c r="J621" s="411"/>
      <c r="K621" s="411"/>
      <c r="L621" s="411"/>
      <c r="M621" s="411"/>
      <c r="N621" s="412"/>
    </row>
    <row r="622" spans="1:14">
      <c r="A622" s="33"/>
      <c r="B622" s="411"/>
      <c r="C622" s="411"/>
      <c r="D622" s="411"/>
      <c r="E622" s="411"/>
      <c r="F622" s="411"/>
      <c r="G622" s="411"/>
      <c r="H622" s="411"/>
      <c r="I622" s="411"/>
      <c r="J622" s="411"/>
      <c r="K622" s="411"/>
      <c r="L622" s="411"/>
      <c r="M622" s="411"/>
      <c r="N622" s="412"/>
    </row>
    <row r="623" spans="1:14">
      <c r="A623" s="33"/>
      <c r="B623" s="411"/>
      <c r="C623" s="411"/>
      <c r="D623" s="411"/>
      <c r="E623" s="411"/>
      <c r="F623" s="411"/>
      <c r="G623" s="411"/>
      <c r="H623" s="411"/>
      <c r="I623" s="411"/>
      <c r="J623" s="411"/>
      <c r="K623" s="411"/>
      <c r="L623" s="411"/>
      <c r="M623" s="411"/>
      <c r="N623" s="412"/>
    </row>
    <row r="624" spans="1:14">
      <c r="A624" s="33"/>
      <c r="B624" s="411"/>
      <c r="C624" s="411"/>
      <c r="D624" s="411"/>
      <c r="E624" s="411"/>
      <c r="F624" s="411"/>
      <c r="G624" s="411"/>
      <c r="H624" s="411"/>
      <c r="I624" s="411"/>
      <c r="J624" s="411"/>
      <c r="K624" s="411"/>
      <c r="L624" s="411"/>
      <c r="M624" s="411"/>
      <c r="N624" s="412"/>
    </row>
    <row r="625" spans="1:14">
      <c r="A625" s="33"/>
      <c r="B625" s="411"/>
      <c r="C625" s="411"/>
      <c r="D625" s="411"/>
      <c r="E625" s="411"/>
      <c r="F625" s="411"/>
      <c r="G625" s="411"/>
      <c r="H625" s="411"/>
      <c r="I625" s="411"/>
      <c r="J625" s="411"/>
      <c r="K625" s="411"/>
      <c r="L625" s="411"/>
      <c r="M625" s="411"/>
      <c r="N625" s="412"/>
    </row>
    <row r="626" spans="1:14">
      <c r="A626" s="33"/>
      <c r="B626" s="411"/>
      <c r="C626" s="411"/>
      <c r="D626" s="411"/>
      <c r="E626" s="411"/>
      <c r="F626" s="411"/>
      <c r="G626" s="411"/>
      <c r="H626" s="411"/>
      <c r="I626" s="411"/>
      <c r="J626" s="411"/>
      <c r="K626" s="411"/>
      <c r="L626" s="411"/>
      <c r="M626" s="411"/>
      <c r="N626" s="412"/>
    </row>
    <row r="627" spans="1:14">
      <c r="A627" s="33"/>
      <c r="B627" s="411"/>
      <c r="C627" s="411"/>
      <c r="D627" s="411"/>
      <c r="E627" s="411"/>
      <c r="F627" s="411"/>
      <c r="G627" s="411"/>
      <c r="H627" s="411"/>
      <c r="I627" s="411"/>
      <c r="J627" s="411"/>
      <c r="K627" s="411"/>
      <c r="L627" s="411"/>
      <c r="M627" s="411"/>
      <c r="N627" s="412"/>
    </row>
    <row r="628" spans="1:14">
      <c r="A628" s="33"/>
      <c r="B628" s="411"/>
      <c r="C628" s="411"/>
      <c r="D628" s="411"/>
      <c r="E628" s="411"/>
      <c r="F628" s="411"/>
      <c r="G628" s="411"/>
      <c r="H628" s="411"/>
      <c r="I628" s="411"/>
      <c r="J628" s="411"/>
      <c r="K628" s="411"/>
      <c r="L628" s="411"/>
      <c r="M628" s="411"/>
      <c r="N628" s="412"/>
    </row>
    <row r="629" spans="1:14">
      <c r="A629" s="33"/>
      <c r="B629" s="411"/>
      <c r="C629" s="411"/>
      <c r="D629" s="411"/>
      <c r="E629" s="411"/>
      <c r="F629" s="411"/>
      <c r="G629" s="411"/>
      <c r="H629" s="411"/>
      <c r="I629" s="411"/>
      <c r="J629" s="411"/>
      <c r="K629" s="411"/>
      <c r="L629" s="411"/>
      <c r="M629" s="411"/>
      <c r="N629" s="412"/>
    </row>
    <row r="630" spans="1:14">
      <c r="A630" s="33"/>
      <c r="B630" s="411"/>
      <c r="C630" s="411"/>
      <c r="D630" s="411"/>
      <c r="E630" s="411"/>
      <c r="F630" s="411"/>
      <c r="G630" s="411"/>
      <c r="H630" s="411"/>
      <c r="I630" s="411"/>
      <c r="J630" s="411"/>
      <c r="K630" s="411"/>
      <c r="L630" s="411"/>
      <c r="M630" s="411"/>
      <c r="N630" s="412"/>
    </row>
    <row r="631" spans="1:14">
      <c r="A631" s="33"/>
      <c r="B631" s="411"/>
      <c r="C631" s="411"/>
      <c r="D631" s="411"/>
      <c r="E631" s="411"/>
      <c r="F631" s="411"/>
      <c r="G631" s="411"/>
      <c r="H631" s="411"/>
      <c r="I631" s="411"/>
      <c r="J631" s="411"/>
      <c r="K631" s="411"/>
      <c r="L631" s="411"/>
      <c r="M631" s="411"/>
      <c r="N631" s="412"/>
    </row>
    <row r="632" spans="1:14">
      <c r="A632" s="33"/>
      <c r="B632" s="411"/>
      <c r="C632" s="411"/>
      <c r="D632" s="411"/>
      <c r="E632" s="411"/>
      <c r="F632" s="411"/>
      <c r="G632" s="411"/>
      <c r="H632" s="411"/>
      <c r="I632" s="411"/>
      <c r="J632" s="411"/>
      <c r="K632" s="411"/>
      <c r="L632" s="411"/>
      <c r="M632" s="411"/>
      <c r="N632" s="412"/>
    </row>
    <row r="633" spans="1:14">
      <c r="A633" s="33"/>
      <c r="B633" s="411"/>
      <c r="C633" s="411"/>
      <c r="D633" s="411"/>
      <c r="E633" s="411"/>
      <c r="F633" s="411"/>
      <c r="G633" s="411"/>
      <c r="H633" s="411"/>
      <c r="I633" s="411"/>
      <c r="J633" s="411"/>
      <c r="K633" s="411"/>
      <c r="L633" s="411"/>
      <c r="M633" s="411"/>
      <c r="N633" s="412"/>
    </row>
    <row r="634" spans="1:14">
      <c r="A634" s="33"/>
      <c r="B634" s="411"/>
      <c r="C634" s="411"/>
      <c r="D634" s="411"/>
      <c r="E634" s="411"/>
      <c r="F634" s="411"/>
      <c r="G634" s="411"/>
      <c r="H634" s="411"/>
      <c r="I634" s="411"/>
      <c r="J634" s="411"/>
      <c r="K634" s="411"/>
      <c r="L634" s="411"/>
      <c r="M634" s="411"/>
      <c r="N634" s="412"/>
    </row>
    <row r="635" spans="1:14">
      <c r="A635" s="33"/>
      <c r="B635" s="411"/>
      <c r="C635" s="411"/>
      <c r="D635" s="411"/>
      <c r="E635" s="411"/>
      <c r="F635" s="411"/>
      <c r="G635" s="411"/>
      <c r="H635" s="411"/>
      <c r="I635" s="411"/>
      <c r="J635" s="411"/>
      <c r="K635" s="411"/>
      <c r="L635" s="411"/>
      <c r="M635" s="411"/>
      <c r="N635" s="412"/>
    </row>
    <row r="636" spans="1:14">
      <c r="A636" s="33"/>
      <c r="B636" s="411"/>
      <c r="C636" s="411"/>
      <c r="D636" s="411"/>
      <c r="E636" s="411"/>
      <c r="F636" s="411"/>
      <c r="G636" s="411"/>
      <c r="H636" s="411"/>
      <c r="I636" s="411"/>
      <c r="J636" s="411"/>
      <c r="K636" s="411"/>
      <c r="L636" s="411"/>
      <c r="M636" s="411"/>
      <c r="N636" s="412"/>
    </row>
    <row r="637" spans="1:14">
      <c r="A637" s="33"/>
      <c r="B637" s="411"/>
      <c r="C637" s="411"/>
      <c r="D637" s="411"/>
      <c r="E637" s="411"/>
      <c r="F637" s="411"/>
      <c r="G637" s="411"/>
      <c r="H637" s="411"/>
      <c r="I637" s="411"/>
      <c r="J637" s="411"/>
      <c r="K637" s="411"/>
      <c r="L637" s="411"/>
      <c r="M637" s="411"/>
      <c r="N637" s="412"/>
    </row>
    <row r="638" spans="1:14">
      <c r="A638" s="33"/>
      <c r="B638" s="411"/>
      <c r="C638" s="411"/>
      <c r="D638" s="411"/>
      <c r="E638" s="411"/>
      <c r="F638" s="411"/>
      <c r="G638" s="411"/>
      <c r="H638" s="411"/>
      <c r="I638" s="411"/>
      <c r="J638" s="411"/>
      <c r="K638" s="411"/>
      <c r="L638" s="411"/>
      <c r="M638" s="411"/>
      <c r="N638" s="412"/>
    </row>
    <row r="639" spans="1:14">
      <c r="A639" s="33"/>
      <c r="B639" s="411"/>
      <c r="C639" s="411"/>
      <c r="D639" s="411"/>
      <c r="E639" s="411"/>
      <c r="F639" s="411"/>
      <c r="G639" s="411"/>
      <c r="H639" s="411"/>
      <c r="I639" s="411"/>
      <c r="J639" s="411"/>
      <c r="K639" s="411"/>
      <c r="L639" s="411"/>
      <c r="M639" s="411"/>
      <c r="N639" s="412"/>
    </row>
    <row r="640" spans="1:14">
      <c r="A640" s="33"/>
      <c r="B640" s="411"/>
      <c r="C640" s="411"/>
      <c r="D640" s="411"/>
      <c r="E640" s="411"/>
      <c r="F640" s="411"/>
      <c r="G640" s="411"/>
      <c r="H640" s="411"/>
      <c r="I640" s="411"/>
      <c r="J640" s="411"/>
      <c r="K640" s="411"/>
      <c r="L640" s="411"/>
      <c r="M640" s="411"/>
      <c r="N640" s="412"/>
    </row>
    <row r="641" spans="1:14">
      <c r="A641" s="33"/>
      <c r="B641" s="411"/>
      <c r="C641" s="411"/>
      <c r="D641" s="411"/>
      <c r="E641" s="411"/>
      <c r="F641" s="411"/>
      <c r="G641" s="411"/>
      <c r="H641" s="411"/>
      <c r="I641" s="411"/>
      <c r="J641" s="411"/>
      <c r="K641" s="411"/>
      <c r="L641" s="411"/>
      <c r="M641" s="411"/>
      <c r="N641" s="412"/>
    </row>
    <row r="642" spans="1:14">
      <c r="A642" s="33"/>
      <c r="B642" s="411"/>
      <c r="C642" s="411"/>
      <c r="D642" s="411"/>
      <c r="E642" s="411"/>
      <c r="F642" s="411"/>
      <c r="G642" s="411"/>
      <c r="H642" s="411"/>
      <c r="I642" s="411"/>
      <c r="J642" s="411"/>
      <c r="K642" s="411"/>
      <c r="L642" s="411"/>
      <c r="M642" s="411"/>
      <c r="N642" s="412"/>
    </row>
    <row r="643" spans="1:14">
      <c r="A643" s="33"/>
      <c r="B643" s="411"/>
      <c r="C643" s="411"/>
      <c r="D643" s="411"/>
      <c r="E643" s="411"/>
      <c r="F643" s="411"/>
      <c r="G643" s="411"/>
      <c r="H643" s="411"/>
      <c r="I643" s="411"/>
      <c r="J643" s="411"/>
      <c r="K643" s="411"/>
      <c r="L643" s="411"/>
      <c r="M643" s="411"/>
      <c r="N643" s="412"/>
    </row>
    <row r="644" spans="1:14">
      <c r="A644" s="33"/>
      <c r="B644" s="411"/>
      <c r="C644" s="411"/>
      <c r="D644" s="411"/>
      <c r="E644" s="411"/>
      <c r="F644" s="411"/>
      <c r="G644" s="411"/>
      <c r="H644" s="411"/>
      <c r="I644" s="411"/>
      <c r="J644" s="411"/>
      <c r="K644" s="411"/>
      <c r="L644" s="411"/>
      <c r="M644" s="411"/>
      <c r="N644" s="412"/>
    </row>
    <row r="645" spans="1:14">
      <c r="A645" s="33"/>
      <c r="B645" s="411"/>
      <c r="C645" s="411"/>
      <c r="D645" s="411"/>
      <c r="E645" s="411"/>
      <c r="F645" s="411"/>
      <c r="G645" s="411"/>
      <c r="H645" s="411"/>
      <c r="I645" s="411"/>
      <c r="J645" s="411"/>
      <c r="K645" s="411"/>
      <c r="L645" s="411"/>
      <c r="M645" s="411"/>
      <c r="N645" s="412"/>
    </row>
    <row r="646" spans="1:14">
      <c r="A646" s="33"/>
      <c r="B646" s="411"/>
      <c r="C646" s="411"/>
      <c r="D646" s="411"/>
      <c r="E646" s="411"/>
      <c r="F646" s="411"/>
      <c r="G646" s="411"/>
      <c r="H646" s="411"/>
      <c r="I646" s="411"/>
      <c r="J646" s="411"/>
      <c r="K646" s="411"/>
      <c r="L646" s="411"/>
      <c r="M646" s="411"/>
      <c r="N646" s="412"/>
    </row>
    <row r="647" spans="1:14">
      <c r="A647" s="33"/>
      <c r="B647" s="411"/>
      <c r="C647" s="411"/>
      <c r="D647" s="411"/>
      <c r="E647" s="411"/>
      <c r="F647" s="411"/>
      <c r="G647" s="411"/>
      <c r="H647" s="411"/>
      <c r="I647" s="411"/>
      <c r="J647" s="411"/>
      <c r="K647" s="411"/>
      <c r="L647" s="411"/>
      <c r="M647" s="411"/>
      <c r="N647" s="412"/>
    </row>
    <row r="648" spans="1:14">
      <c r="A648" s="33"/>
      <c r="B648" s="411"/>
      <c r="C648" s="411"/>
      <c r="D648" s="411"/>
      <c r="E648" s="411"/>
      <c r="F648" s="411"/>
      <c r="G648" s="411"/>
      <c r="H648" s="411"/>
      <c r="I648" s="411"/>
      <c r="J648" s="411"/>
      <c r="K648" s="411"/>
      <c r="L648" s="411"/>
      <c r="M648" s="411"/>
      <c r="N648" s="412"/>
    </row>
    <row r="649" spans="1:14">
      <c r="A649" s="33"/>
      <c r="B649" s="411"/>
      <c r="C649" s="411"/>
      <c r="D649" s="411"/>
      <c r="E649" s="411"/>
      <c r="F649" s="411"/>
      <c r="G649" s="411"/>
      <c r="H649" s="411"/>
      <c r="I649" s="411"/>
      <c r="J649" s="411"/>
      <c r="K649" s="411"/>
      <c r="L649" s="411"/>
      <c r="M649" s="411"/>
      <c r="N649" s="412"/>
    </row>
    <row r="650" spans="1:14">
      <c r="A650" s="33"/>
      <c r="B650" s="411"/>
      <c r="C650" s="411"/>
      <c r="D650" s="411"/>
      <c r="E650" s="411"/>
      <c r="F650" s="411"/>
      <c r="G650" s="411"/>
      <c r="H650" s="411"/>
      <c r="I650" s="411"/>
      <c r="J650" s="411"/>
      <c r="K650" s="411"/>
      <c r="L650" s="411"/>
      <c r="M650" s="411"/>
      <c r="N650" s="412"/>
    </row>
    <row r="651" spans="1:14">
      <c r="A651" s="33"/>
      <c r="B651" s="411"/>
      <c r="C651" s="411"/>
      <c r="D651" s="411"/>
      <c r="E651" s="411"/>
      <c r="F651" s="411"/>
      <c r="G651" s="411"/>
      <c r="H651" s="411"/>
      <c r="I651" s="411"/>
      <c r="J651" s="411"/>
      <c r="K651" s="411"/>
      <c r="L651" s="411"/>
      <c r="M651" s="411"/>
      <c r="N651" s="412"/>
    </row>
    <row r="652" spans="1:14">
      <c r="A652" s="33"/>
      <c r="B652" s="411"/>
      <c r="C652" s="411"/>
      <c r="D652" s="411"/>
      <c r="E652" s="411"/>
      <c r="F652" s="411"/>
      <c r="G652" s="411"/>
      <c r="H652" s="411"/>
      <c r="I652" s="411"/>
      <c r="J652" s="411"/>
      <c r="K652" s="411"/>
      <c r="L652" s="411"/>
      <c r="M652" s="411"/>
      <c r="N652" s="412"/>
    </row>
    <row r="653" spans="1:14">
      <c r="A653" s="33"/>
      <c r="B653" s="411"/>
      <c r="C653" s="411"/>
      <c r="D653" s="411"/>
      <c r="E653" s="411"/>
      <c r="F653" s="411"/>
      <c r="G653" s="411"/>
      <c r="H653" s="411"/>
      <c r="I653" s="411"/>
      <c r="J653" s="411"/>
      <c r="K653" s="411"/>
      <c r="L653" s="411"/>
      <c r="M653" s="411"/>
      <c r="N653" s="412"/>
    </row>
    <row r="654" spans="1:14">
      <c r="A654" s="33"/>
      <c r="B654" s="411"/>
      <c r="C654" s="411"/>
      <c r="D654" s="411"/>
      <c r="E654" s="411"/>
      <c r="F654" s="411"/>
      <c r="G654" s="411"/>
      <c r="H654" s="411"/>
      <c r="I654" s="411"/>
      <c r="J654" s="411"/>
      <c r="K654" s="411"/>
      <c r="L654" s="411"/>
      <c r="M654" s="411"/>
      <c r="N654" s="412"/>
    </row>
    <row r="655" spans="1:14">
      <c r="A655" s="33"/>
      <c r="B655" s="411"/>
      <c r="C655" s="411"/>
      <c r="D655" s="411"/>
      <c r="E655" s="411"/>
      <c r="F655" s="411"/>
      <c r="G655" s="411"/>
      <c r="H655" s="411"/>
      <c r="I655" s="411"/>
      <c r="J655" s="411"/>
      <c r="K655" s="411"/>
      <c r="L655" s="411"/>
      <c r="M655" s="411"/>
      <c r="N655" s="412"/>
    </row>
    <row r="656" spans="1:14">
      <c r="A656" s="33"/>
      <c r="B656" s="411"/>
      <c r="C656" s="411"/>
      <c r="D656" s="411"/>
      <c r="E656" s="411"/>
      <c r="F656" s="411"/>
      <c r="G656" s="411"/>
      <c r="H656" s="411"/>
      <c r="I656" s="411"/>
      <c r="J656" s="411"/>
      <c r="K656" s="411"/>
      <c r="L656" s="411"/>
      <c r="M656" s="411"/>
      <c r="N656" s="412"/>
    </row>
    <row r="657" spans="1:14">
      <c r="A657" s="33"/>
      <c r="B657" s="411"/>
      <c r="C657" s="411"/>
      <c r="D657" s="411"/>
      <c r="E657" s="411"/>
      <c r="F657" s="411"/>
      <c r="G657" s="411"/>
      <c r="H657" s="411"/>
      <c r="I657" s="411"/>
      <c r="J657" s="411"/>
      <c r="K657" s="411"/>
      <c r="L657" s="411"/>
      <c r="M657" s="411"/>
      <c r="N657" s="412"/>
    </row>
    <row r="658" spans="1:14">
      <c r="A658" s="33"/>
      <c r="B658" s="411"/>
      <c r="C658" s="411"/>
      <c r="D658" s="411"/>
      <c r="E658" s="411"/>
      <c r="F658" s="411"/>
      <c r="G658" s="411"/>
      <c r="H658" s="411"/>
      <c r="I658" s="411"/>
      <c r="J658" s="411"/>
      <c r="K658" s="411"/>
      <c r="L658" s="411"/>
      <c r="M658" s="411"/>
      <c r="N658" s="412"/>
    </row>
    <row r="659" spans="1:14">
      <c r="A659" s="33"/>
      <c r="B659" s="411"/>
      <c r="C659" s="411"/>
      <c r="D659" s="411"/>
      <c r="E659" s="411"/>
      <c r="F659" s="411"/>
      <c r="G659" s="411"/>
      <c r="H659" s="411"/>
      <c r="I659" s="411"/>
      <c r="J659" s="411"/>
      <c r="K659" s="411"/>
      <c r="L659" s="411"/>
      <c r="M659" s="411"/>
      <c r="N659" s="412"/>
    </row>
    <row r="660" spans="1:14">
      <c r="A660" s="33"/>
      <c r="B660" s="411"/>
      <c r="C660" s="411"/>
      <c r="D660" s="411"/>
      <c r="E660" s="411"/>
      <c r="F660" s="411"/>
      <c r="G660" s="411"/>
      <c r="H660" s="411"/>
      <c r="I660" s="411"/>
      <c r="J660" s="411"/>
      <c r="K660" s="411"/>
      <c r="L660" s="411"/>
      <c r="M660" s="411"/>
      <c r="N660" s="412"/>
    </row>
    <row r="661" spans="1:14">
      <c r="A661" s="33"/>
      <c r="B661" s="411"/>
      <c r="C661" s="411"/>
      <c r="D661" s="411"/>
      <c r="E661" s="411"/>
      <c r="F661" s="411"/>
      <c r="G661" s="411"/>
      <c r="H661" s="411"/>
      <c r="I661" s="411"/>
      <c r="J661" s="411"/>
      <c r="K661" s="411"/>
      <c r="L661" s="411"/>
      <c r="M661" s="411"/>
      <c r="N661" s="412"/>
    </row>
    <row r="662" spans="1:14">
      <c r="A662" s="33"/>
      <c r="B662" s="411"/>
      <c r="C662" s="411"/>
      <c r="D662" s="411"/>
      <c r="E662" s="411"/>
      <c r="F662" s="411"/>
      <c r="G662" s="411"/>
      <c r="H662" s="411"/>
      <c r="I662" s="411"/>
      <c r="J662" s="411"/>
      <c r="K662" s="411"/>
      <c r="L662" s="411"/>
      <c r="M662" s="411"/>
      <c r="N662" s="412"/>
    </row>
    <row r="663" spans="1:14">
      <c r="A663" s="33"/>
      <c r="B663" s="411"/>
      <c r="C663" s="411"/>
      <c r="D663" s="411"/>
      <c r="E663" s="411"/>
      <c r="F663" s="411"/>
      <c r="G663" s="411"/>
      <c r="H663" s="411"/>
      <c r="I663" s="411"/>
      <c r="J663" s="411"/>
      <c r="K663" s="411"/>
      <c r="L663" s="411"/>
      <c r="M663" s="411"/>
      <c r="N663" s="412"/>
    </row>
    <row r="664" spans="1:14">
      <c r="A664" s="33"/>
      <c r="B664" s="411"/>
      <c r="C664" s="411"/>
      <c r="D664" s="411"/>
      <c r="E664" s="411"/>
      <c r="F664" s="411"/>
      <c r="G664" s="411"/>
      <c r="H664" s="411"/>
      <c r="I664" s="411"/>
      <c r="J664" s="411"/>
      <c r="K664" s="411"/>
      <c r="L664" s="411"/>
      <c r="M664" s="411"/>
      <c r="N664" s="412"/>
    </row>
    <row r="665" spans="1:14">
      <c r="A665" s="33"/>
      <c r="B665" s="411"/>
      <c r="C665" s="411"/>
      <c r="D665" s="411"/>
      <c r="E665" s="411"/>
      <c r="F665" s="411"/>
      <c r="G665" s="411"/>
      <c r="H665" s="411"/>
      <c r="I665" s="411"/>
      <c r="J665" s="411"/>
      <c r="K665" s="411"/>
      <c r="L665" s="411"/>
      <c r="M665" s="411"/>
      <c r="N665" s="412"/>
    </row>
    <row r="666" spans="1:14">
      <c r="A666" s="33"/>
      <c r="B666" s="411"/>
      <c r="C666" s="411"/>
      <c r="D666" s="411"/>
      <c r="E666" s="411"/>
      <c r="F666" s="411"/>
      <c r="G666" s="411"/>
      <c r="H666" s="411"/>
      <c r="I666" s="411"/>
      <c r="J666" s="411"/>
      <c r="K666" s="411"/>
      <c r="L666" s="411"/>
      <c r="M666" s="411"/>
      <c r="N666" s="412"/>
    </row>
    <row r="667" spans="1:14">
      <c r="A667" s="33"/>
      <c r="B667" s="411"/>
      <c r="C667" s="411"/>
      <c r="D667" s="411"/>
      <c r="E667" s="411"/>
      <c r="F667" s="411"/>
      <c r="G667" s="411"/>
      <c r="H667" s="411"/>
      <c r="I667" s="411"/>
      <c r="J667" s="411"/>
      <c r="K667" s="411"/>
      <c r="L667" s="411"/>
      <c r="M667" s="411"/>
      <c r="N667" s="412"/>
    </row>
    <row r="668" spans="1:14">
      <c r="A668" s="33"/>
      <c r="B668" s="411"/>
      <c r="C668" s="411"/>
      <c r="D668" s="411"/>
      <c r="E668" s="411"/>
      <c r="F668" s="411"/>
      <c r="G668" s="411"/>
      <c r="H668" s="411"/>
      <c r="I668" s="411"/>
      <c r="J668" s="411"/>
      <c r="K668" s="411"/>
      <c r="L668" s="411"/>
      <c r="M668" s="411"/>
      <c r="N668" s="412"/>
    </row>
    <row r="669" spans="1:14">
      <c r="A669" s="33"/>
      <c r="B669" s="411"/>
      <c r="C669" s="411"/>
      <c r="D669" s="411"/>
      <c r="E669" s="411"/>
      <c r="F669" s="411"/>
      <c r="G669" s="411"/>
      <c r="H669" s="411"/>
      <c r="I669" s="411"/>
      <c r="J669" s="411"/>
      <c r="K669" s="411"/>
      <c r="L669" s="411"/>
      <c r="M669" s="411"/>
      <c r="N669" s="412"/>
    </row>
    <row r="670" spans="1:14">
      <c r="A670" s="33"/>
      <c r="B670" s="411"/>
      <c r="C670" s="411"/>
      <c r="D670" s="411"/>
      <c r="E670" s="411"/>
      <c r="F670" s="411"/>
      <c r="G670" s="411"/>
      <c r="H670" s="411"/>
      <c r="I670" s="411"/>
      <c r="J670" s="411"/>
      <c r="K670" s="411"/>
      <c r="L670" s="411"/>
      <c r="M670" s="411"/>
      <c r="N670" s="412"/>
    </row>
    <row r="671" spans="1:14">
      <c r="A671" s="33"/>
      <c r="B671" s="411"/>
      <c r="C671" s="411"/>
      <c r="D671" s="411"/>
      <c r="E671" s="411"/>
      <c r="F671" s="411"/>
      <c r="G671" s="411"/>
      <c r="H671" s="411"/>
      <c r="I671" s="411"/>
      <c r="J671" s="411"/>
      <c r="K671" s="411"/>
      <c r="L671" s="411"/>
      <c r="M671" s="411"/>
      <c r="N671" s="412"/>
    </row>
    <row r="672" spans="1:14">
      <c r="A672" s="33"/>
      <c r="B672" s="411"/>
      <c r="C672" s="411"/>
      <c r="D672" s="411"/>
      <c r="E672" s="411"/>
      <c r="F672" s="411"/>
      <c r="G672" s="411"/>
      <c r="H672" s="411"/>
      <c r="I672" s="411"/>
      <c r="J672" s="411"/>
      <c r="K672" s="411"/>
      <c r="L672" s="411"/>
      <c r="M672" s="411"/>
      <c r="N672" s="412"/>
    </row>
    <row r="673" spans="1:14">
      <c r="A673" s="33"/>
      <c r="B673" s="411"/>
      <c r="C673" s="411"/>
      <c r="D673" s="411"/>
      <c r="E673" s="411"/>
      <c r="F673" s="411"/>
      <c r="G673" s="411"/>
      <c r="H673" s="411"/>
      <c r="I673" s="411"/>
      <c r="J673" s="411"/>
      <c r="K673" s="411"/>
      <c r="L673" s="411"/>
      <c r="M673" s="411"/>
      <c r="N673" s="412"/>
    </row>
    <row r="674" spans="1:14">
      <c r="A674" s="33"/>
      <c r="B674" s="411"/>
      <c r="C674" s="411"/>
      <c r="D674" s="411"/>
      <c r="E674" s="411"/>
      <c r="F674" s="411"/>
      <c r="G674" s="411"/>
      <c r="H674" s="411"/>
      <c r="I674" s="411"/>
      <c r="J674" s="411"/>
      <c r="K674" s="411"/>
      <c r="L674" s="411"/>
      <c r="M674" s="411"/>
      <c r="N674" s="412"/>
    </row>
    <row r="675" spans="1:14">
      <c r="A675" s="33"/>
      <c r="B675" s="411"/>
      <c r="C675" s="411"/>
      <c r="D675" s="411"/>
      <c r="E675" s="411"/>
      <c r="F675" s="411"/>
      <c r="G675" s="411"/>
      <c r="H675" s="411"/>
      <c r="I675" s="411"/>
      <c r="J675" s="411"/>
      <c r="K675" s="411"/>
      <c r="L675" s="411"/>
      <c r="M675" s="411"/>
      <c r="N675" s="412"/>
    </row>
    <row r="676" spans="1:14">
      <c r="A676" s="33"/>
      <c r="B676" s="411"/>
      <c r="C676" s="411"/>
      <c r="D676" s="411"/>
      <c r="E676" s="411"/>
      <c r="F676" s="411"/>
      <c r="G676" s="411"/>
      <c r="H676" s="411"/>
      <c r="I676" s="411"/>
      <c r="J676" s="411"/>
      <c r="K676" s="411"/>
      <c r="L676" s="411"/>
      <c r="M676" s="411"/>
      <c r="N676" s="412"/>
    </row>
    <row r="677" spans="1:14">
      <c r="A677" s="33"/>
      <c r="B677" s="411"/>
      <c r="C677" s="411"/>
      <c r="D677" s="411"/>
      <c r="E677" s="411"/>
      <c r="F677" s="411"/>
      <c r="G677" s="411"/>
      <c r="H677" s="411"/>
      <c r="I677" s="411"/>
      <c r="J677" s="411"/>
      <c r="K677" s="411"/>
      <c r="L677" s="411"/>
      <c r="M677" s="411"/>
      <c r="N677" s="412"/>
    </row>
    <row r="678" spans="1:14">
      <c r="A678" s="33"/>
      <c r="B678" s="411"/>
      <c r="C678" s="411"/>
      <c r="D678" s="411"/>
      <c r="E678" s="411"/>
      <c r="F678" s="411"/>
      <c r="G678" s="411"/>
      <c r="H678" s="411"/>
      <c r="I678" s="411"/>
      <c r="J678" s="411"/>
      <c r="K678" s="411"/>
      <c r="L678" s="411"/>
      <c r="M678" s="411"/>
      <c r="N678" s="412"/>
    </row>
    <row r="679" spans="1:14">
      <c r="A679" s="33"/>
      <c r="B679" s="411"/>
      <c r="C679" s="411"/>
      <c r="D679" s="411"/>
      <c r="E679" s="411"/>
      <c r="F679" s="411"/>
      <c r="G679" s="411"/>
      <c r="H679" s="411"/>
      <c r="I679" s="411"/>
      <c r="J679" s="411"/>
      <c r="K679" s="411"/>
      <c r="L679" s="411"/>
      <c r="M679" s="411"/>
      <c r="N679" s="412"/>
    </row>
    <row r="680" spans="1:14">
      <c r="A680" s="33"/>
      <c r="B680" s="411"/>
      <c r="C680" s="411"/>
      <c r="D680" s="411"/>
      <c r="E680" s="411"/>
      <c r="F680" s="411"/>
      <c r="G680" s="411"/>
      <c r="H680" s="411"/>
      <c r="I680" s="411"/>
      <c r="J680" s="411"/>
      <c r="K680" s="411"/>
      <c r="L680" s="411"/>
      <c r="M680" s="411"/>
      <c r="N680" s="412"/>
    </row>
    <row r="681" spans="1:14">
      <c r="A681" s="33"/>
      <c r="B681" s="411"/>
      <c r="C681" s="411"/>
      <c r="D681" s="411"/>
      <c r="E681" s="411"/>
      <c r="F681" s="411"/>
      <c r="G681" s="411"/>
      <c r="H681" s="411"/>
      <c r="I681" s="411"/>
      <c r="J681" s="411"/>
      <c r="K681" s="411"/>
      <c r="L681" s="411"/>
      <c r="M681" s="411"/>
      <c r="N681" s="412"/>
    </row>
    <row r="682" spans="1:14">
      <c r="A682" s="33"/>
      <c r="B682" s="411"/>
      <c r="C682" s="411"/>
      <c r="D682" s="411"/>
      <c r="E682" s="411"/>
      <c r="F682" s="411"/>
      <c r="G682" s="411"/>
      <c r="H682" s="411"/>
      <c r="I682" s="411"/>
      <c r="J682" s="411"/>
      <c r="K682" s="411"/>
      <c r="L682" s="411"/>
      <c r="M682" s="411"/>
      <c r="N682" s="412"/>
    </row>
    <row r="683" spans="1:14">
      <c r="A683" s="33"/>
      <c r="B683" s="411"/>
      <c r="C683" s="411"/>
      <c r="D683" s="411"/>
      <c r="E683" s="411"/>
      <c r="F683" s="411"/>
      <c r="G683" s="411"/>
      <c r="H683" s="411"/>
      <c r="I683" s="411"/>
      <c r="J683" s="411"/>
      <c r="K683" s="411"/>
      <c r="L683" s="411"/>
      <c r="M683" s="411"/>
      <c r="N683" s="412"/>
    </row>
    <row r="684" spans="1:14">
      <c r="A684" s="33"/>
      <c r="B684" s="411"/>
      <c r="C684" s="411"/>
      <c r="D684" s="411"/>
      <c r="E684" s="411"/>
      <c r="F684" s="411"/>
      <c r="G684" s="411"/>
      <c r="H684" s="411"/>
      <c r="I684" s="411"/>
      <c r="J684" s="411"/>
      <c r="K684" s="411"/>
      <c r="L684" s="411"/>
      <c r="M684" s="411"/>
      <c r="N684" s="412"/>
    </row>
    <row r="685" spans="1:14">
      <c r="A685" s="33"/>
      <c r="B685" s="411"/>
      <c r="C685" s="411"/>
      <c r="D685" s="411"/>
      <c r="E685" s="411"/>
      <c r="F685" s="411"/>
      <c r="G685" s="411"/>
      <c r="H685" s="411"/>
      <c r="I685" s="411"/>
      <c r="J685" s="411"/>
      <c r="K685" s="411"/>
      <c r="L685" s="411"/>
      <c r="M685" s="411"/>
      <c r="N685" s="412"/>
    </row>
    <row r="686" spans="1:14">
      <c r="A686" s="33"/>
      <c r="B686" s="411"/>
      <c r="C686" s="411"/>
      <c r="D686" s="411"/>
      <c r="E686" s="411"/>
      <c r="F686" s="411"/>
      <c r="G686" s="411"/>
      <c r="H686" s="411"/>
      <c r="I686" s="411"/>
      <c r="J686" s="411"/>
      <c r="K686" s="411"/>
      <c r="L686" s="411"/>
      <c r="M686" s="411"/>
      <c r="N686" s="412"/>
    </row>
    <row r="687" spans="1:14">
      <c r="A687" s="33"/>
      <c r="B687" s="411"/>
      <c r="C687" s="411"/>
      <c r="D687" s="411"/>
      <c r="E687" s="411"/>
      <c r="F687" s="411"/>
      <c r="G687" s="411"/>
      <c r="H687" s="411"/>
      <c r="I687" s="411"/>
      <c r="J687" s="411"/>
      <c r="K687" s="411"/>
      <c r="L687" s="411"/>
      <c r="M687" s="411"/>
      <c r="N687" s="412"/>
    </row>
    <row r="688" spans="1:14">
      <c r="A688" s="33"/>
      <c r="B688" s="411"/>
      <c r="C688" s="411"/>
      <c r="D688" s="411"/>
      <c r="E688" s="411"/>
      <c r="F688" s="411"/>
      <c r="G688" s="411"/>
      <c r="H688" s="411"/>
      <c r="I688" s="411"/>
      <c r="J688" s="411"/>
      <c r="K688" s="411"/>
      <c r="L688" s="411"/>
      <c r="M688" s="411"/>
      <c r="N688" s="412"/>
    </row>
    <row r="689" spans="1:14">
      <c r="A689" s="33"/>
      <c r="B689" s="411"/>
      <c r="C689" s="411"/>
      <c r="D689" s="411"/>
      <c r="E689" s="411"/>
      <c r="F689" s="411"/>
      <c r="G689" s="411"/>
      <c r="H689" s="411"/>
      <c r="I689" s="411"/>
      <c r="J689" s="411"/>
      <c r="K689" s="411"/>
      <c r="L689" s="411"/>
      <c r="M689" s="411"/>
      <c r="N689" s="412"/>
    </row>
    <row r="690" spans="1:14">
      <c r="A690" s="33"/>
      <c r="B690" s="411"/>
      <c r="C690" s="411"/>
      <c r="D690" s="411"/>
      <c r="E690" s="411"/>
      <c r="F690" s="411"/>
      <c r="G690" s="411"/>
      <c r="H690" s="411"/>
      <c r="I690" s="411"/>
      <c r="J690" s="411"/>
      <c r="K690" s="411"/>
      <c r="L690" s="411"/>
      <c r="M690" s="411"/>
      <c r="N690" s="412"/>
    </row>
    <row r="691" spans="1:14">
      <c r="A691" s="33"/>
      <c r="B691" s="411"/>
      <c r="C691" s="411"/>
      <c r="D691" s="411"/>
      <c r="E691" s="411"/>
      <c r="F691" s="411"/>
      <c r="G691" s="411"/>
      <c r="H691" s="411"/>
      <c r="I691" s="411"/>
      <c r="J691" s="411"/>
      <c r="K691" s="411"/>
      <c r="L691" s="411"/>
      <c r="M691" s="411"/>
      <c r="N691" s="412"/>
    </row>
    <row r="692" spans="1:14">
      <c r="A692" s="33"/>
      <c r="B692" s="411"/>
      <c r="C692" s="411"/>
      <c r="D692" s="411"/>
      <c r="E692" s="411"/>
      <c r="F692" s="411"/>
      <c r="G692" s="411"/>
      <c r="H692" s="411"/>
      <c r="I692" s="411"/>
      <c r="J692" s="411"/>
      <c r="K692" s="411"/>
      <c r="L692" s="411"/>
      <c r="M692" s="411"/>
      <c r="N692" s="412"/>
    </row>
    <row r="693" spans="1:14">
      <c r="A693" s="33"/>
      <c r="B693" s="411"/>
      <c r="C693" s="411"/>
      <c r="D693" s="411"/>
      <c r="E693" s="411"/>
      <c r="F693" s="411"/>
      <c r="G693" s="411"/>
      <c r="H693" s="411"/>
      <c r="I693" s="411"/>
      <c r="J693" s="411"/>
      <c r="K693" s="411"/>
      <c r="L693" s="411"/>
      <c r="M693" s="411"/>
      <c r="N693" s="412"/>
    </row>
    <row r="694" spans="1:14">
      <c r="A694" s="33"/>
      <c r="B694" s="411"/>
      <c r="C694" s="411"/>
      <c r="D694" s="411"/>
      <c r="E694" s="411"/>
      <c r="F694" s="411"/>
      <c r="G694" s="411"/>
      <c r="H694" s="411"/>
      <c r="I694" s="411"/>
      <c r="J694" s="411"/>
      <c r="K694" s="411"/>
      <c r="L694" s="411"/>
      <c r="M694" s="411"/>
      <c r="N694" s="412"/>
    </row>
    <row r="695" spans="1:14">
      <c r="A695" s="33"/>
      <c r="B695" s="411"/>
      <c r="C695" s="411"/>
      <c r="D695" s="411"/>
      <c r="E695" s="411"/>
      <c r="F695" s="411"/>
      <c r="G695" s="411"/>
      <c r="H695" s="411"/>
      <c r="I695" s="411"/>
      <c r="J695" s="411"/>
      <c r="K695" s="411"/>
      <c r="L695" s="411"/>
      <c r="M695" s="411"/>
      <c r="N695" s="412"/>
    </row>
    <row r="696" spans="1:14">
      <c r="A696" s="33"/>
      <c r="B696" s="411"/>
      <c r="C696" s="411"/>
      <c r="D696" s="411"/>
      <c r="E696" s="411"/>
      <c r="F696" s="411"/>
      <c r="G696" s="411"/>
      <c r="H696" s="411"/>
      <c r="I696" s="411"/>
      <c r="J696" s="411"/>
      <c r="K696" s="411"/>
      <c r="L696" s="411"/>
      <c r="M696" s="411"/>
      <c r="N696" s="412"/>
    </row>
    <row r="697" spans="1:14">
      <c r="A697" s="33"/>
      <c r="B697" s="411"/>
      <c r="C697" s="411"/>
      <c r="D697" s="411"/>
      <c r="E697" s="411"/>
      <c r="F697" s="411"/>
      <c r="G697" s="411"/>
      <c r="H697" s="411"/>
      <c r="I697" s="411"/>
      <c r="J697" s="411"/>
      <c r="K697" s="411"/>
      <c r="L697" s="411"/>
      <c r="M697" s="411"/>
      <c r="N697" s="412"/>
    </row>
    <row r="698" spans="1:14">
      <c r="A698" s="33"/>
      <c r="B698" s="411"/>
      <c r="C698" s="411"/>
      <c r="D698" s="411"/>
      <c r="E698" s="411"/>
      <c r="F698" s="411"/>
      <c r="G698" s="411"/>
      <c r="H698" s="411"/>
      <c r="I698" s="411"/>
      <c r="J698" s="411"/>
      <c r="K698" s="411"/>
      <c r="L698" s="411"/>
      <c r="M698" s="411"/>
      <c r="N698" s="412"/>
    </row>
    <row r="699" spans="1:14">
      <c r="A699" s="33"/>
      <c r="B699" s="411"/>
      <c r="C699" s="411"/>
      <c r="D699" s="411"/>
      <c r="E699" s="411"/>
      <c r="F699" s="411"/>
      <c r="G699" s="411"/>
      <c r="H699" s="411"/>
      <c r="I699" s="411"/>
      <c r="J699" s="411"/>
      <c r="K699" s="411"/>
      <c r="L699" s="411"/>
      <c r="M699" s="411"/>
      <c r="N699" s="412"/>
    </row>
    <row r="700" spans="1:14">
      <c r="A700" s="33"/>
      <c r="B700" s="411"/>
      <c r="C700" s="411"/>
      <c r="D700" s="411"/>
      <c r="E700" s="411"/>
      <c r="F700" s="411"/>
      <c r="G700" s="411"/>
      <c r="H700" s="411"/>
      <c r="I700" s="411"/>
      <c r="J700" s="411"/>
      <c r="K700" s="411"/>
      <c r="L700" s="411"/>
      <c r="M700" s="411"/>
      <c r="N700" s="412"/>
    </row>
    <row r="701" spans="1:14">
      <c r="A701" s="33"/>
      <c r="B701" s="411"/>
      <c r="C701" s="411"/>
      <c r="D701" s="411"/>
      <c r="E701" s="411"/>
      <c r="F701" s="411"/>
      <c r="G701" s="411"/>
      <c r="H701" s="411"/>
      <c r="I701" s="411"/>
      <c r="J701" s="411"/>
      <c r="K701" s="411"/>
      <c r="L701" s="411"/>
      <c r="M701" s="411"/>
      <c r="N701" s="412"/>
    </row>
    <row r="702" spans="1:14">
      <c r="A702" s="33"/>
      <c r="B702" s="411"/>
      <c r="C702" s="411"/>
      <c r="D702" s="411"/>
      <c r="E702" s="411"/>
      <c r="F702" s="411"/>
      <c r="G702" s="411"/>
      <c r="H702" s="411"/>
      <c r="I702" s="411"/>
      <c r="J702" s="411"/>
      <c r="K702" s="411"/>
      <c r="L702" s="411"/>
      <c r="M702" s="411"/>
      <c r="N702" s="412"/>
    </row>
    <row r="703" spans="1:14">
      <c r="A703" s="33"/>
      <c r="B703" s="411"/>
      <c r="C703" s="411"/>
      <c r="D703" s="411"/>
      <c r="E703" s="411"/>
      <c r="F703" s="411"/>
      <c r="G703" s="411"/>
      <c r="H703" s="411"/>
      <c r="I703" s="411"/>
      <c r="J703" s="411"/>
      <c r="K703" s="411"/>
      <c r="L703" s="411"/>
      <c r="M703" s="411"/>
      <c r="N703" s="412"/>
    </row>
    <row r="704" spans="1:14">
      <c r="A704" s="33"/>
      <c r="B704" s="411"/>
      <c r="C704" s="411"/>
      <c r="D704" s="411"/>
      <c r="E704" s="411"/>
      <c r="F704" s="411"/>
      <c r="G704" s="411"/>
      <c r="H704" s="411"/>
      <c r="I704" s="411"/>
      <c r="J704" s="411"/>
      <c r="K704" s="411"/>
      <c r="L704" s="411"/>
      <c r="M704" s="411"/>
      <c r="N704" s="412"/>
    </row>
    <row r="705" spans="1:14">
      <c r="A705" s="33"/>
      <c r="B705" s="411"/>
      <c r="C705" s="411"/>
      <c r="D705" s="411"/>
      <c r="E705" s="411"/>
      <c r="F705" s="411"/>
      <c r="G705" s="411"/>
      <c r="H705" s="411"/>
      <c r="I705" s="411"/>
      <c r="J705" s="411"/>
      <c r="K705" s="411"/>
      <c r="L705" s="411"/>
      <c r="M705" s="411"/>
      <c r="N705" s="412"/>
    </row>
    <row r="706" spans="1:14">
      <c r="A706" s="33"/>
      <c r="B706" s="411"/>
      <c r="C706" s="411"/>
      <c r="D706" s="411"/>
      <c r="E706" s="411"/>
      <c r="F706" s="411"/>
      <c r="G706" s="411"/>
      <c r="H706" s="411"/>
      <c r="I706" s="411"/>
      <c r="J706" s="411"/>
      <c r="K706" s="411"/>
      <c r="L706" s="411"/>
      <c r="M706" s="411"/>
      <c r="N706" s="412"/>
    </row>
    <row r="707" spans="1:14">
      <c r="A707" s="33"/>
      <c r="B707" s="411"/>
      <c r="C707" s="411"/>
      <c r="D707" s="411"/>
      <c r="E707" s="411"/>
      <c r="F707" s="411"/>
      <c r="G707" s="411"/>
      <c r="H707" s="411"/>
      <c r="I707" s="411"/>
      <c r="J707" s="411"/>
      <c r="K707" s="411"/>
      <c r="L707" s="411"/>
      <c r="M707" s="411"/>
      <c r="N707" s="412"/>
    </row>
    <row r="708" spans="1:14">
      <c r="A708" s="33"/>
      <c r="B708" s="411"/>
      <c r="C708" s="411"/>
      <c r="D708" s="411"/>
      <c r="E708" s="411"/>
      <c r="F708" s="411"/>
      <c r="G708" s="411"/>
      <c r="H708" s="411"/>
      <c r="I708" s="411"/>
      <c r="J708" s="411"/>
      <c r="K708" s="411"/>
      <c r="L708" s="411"/>
      <c r="M708" s="411"/>
      <c r="N708" s="412"/>
    </row>
    <row r="709" spans="1:14">
      <c r="A709" s="33"/>
      <c r="B709" s="411"/>
      <c r="C709" s="411"/>
      <c r="D709" s="411"/>
      <c r="E709" s="411"/>
      <c r="F709" s="411"/>
      <c r="G709" s="411"/>
      <c r="H709" s="411"/>
      <c r="I709" s="411"/>
      <c r="J709" s="411"/>
      <c r="K709" s="411"/>
      <c r="L709" s="411"/>
      <c r="M709" s="411"/>
      <c r="N709" s="412"/>
    </row>
    <row r="710" spans="1:14">
      <c r="A710" s="33"/>
      <c r="B710" s="411"/>
      <c r="C710" s="411"/>
      <c r="D710" s="411"/>
      <c r="E710" s="411"/>
      <c r="F710" s="411"/>
      <c r="G710" s="411"/>
      <c r="H710" s="411"/>
      <c r="I710" s="411"/>
      <c r="J710" s="411"/>
      <c r="K710" s="411"/>
      <c r="L710" s="411"/>
      <c r="M710" s="411"/>
      <c r="N710" s="412"/>
    </row>
    <row r="711" spans="1:14">
      <c r="A711" s="33"/>
      <c r="B711" s="411"/>
      <c r="C711" s="411"/>
      <c r="D711" s="411"/>
      <c r="E711" s="411"/>
      <c r="F711" s="411"/>
      <c r="G711" s="411"/>
      <c r="H711" s="411"/>
      <c r="I711" s="411"/>
      <c r="J711" s="411"/>
      <c r="K711" s="411"/>
      <c r="L711" s="411"/>
      <c r="M711" s="411"/>
      <c r="N711" s="412"/>
    </row>
    <row r="712" spans="1:14">
      <c r="A712" s="33"/>
      <c r="B712" s="411"/>
      <c r="C712" s="411"/>
      <c r="D712" s="411"/>
      <c r="E712" s="411"/>
      <c r="F712" s="411"/>
      <c r="G712" s="411"/>
      <c r="H712" s="411"/>
      <c r="I712" s="411"/>
      <c r="J712" s="411"/>
      <c r="K712" s="411"/>
      <c r="L712" s="411"/>
      <c r="M712" s="411"/>
      <c r="N712" s="412"/>
    </row>
    <row r="713" spans="1:14">
      <c r="A713" s="33"/>
      <c r="B713" s="411"/>
      <c r="C713" s="411"/>
      <c r="D713" s="411"/>
      <c r="E713" s="411"/>
      <c r="F713" s="411"/>
      <c r="G713" s="411"/>
      <c r="H713" s="411"/>
      <c r="I713" s="411"/>
      <c r="J713" s="411"/>
      <c r="K713" s="411"/>
      <c r="L713" s="411"/>
      <c r="M713" s="411"/>
      <c r="N713" s="412"/>
    </row>
    <row r="714" spans="1:14">
      <c r="A714" s="33"/>
      <c r="B714" s="411"/>
      <c r="C714" s="411"/>
      <c r="D714" s="411"/>
      <c r="E714" s="411"/>
      <c r="F714" s="411"/>
      <c r="G714" s="411"/>
      <c r="H714" s="411"/>
      <c r="I714" s="411"/>
      <c r="J714" s="411"/>
      <c r="K714" s="411"/>
      <c r="L714" s="411"/>
      <c r="M714" s="411"/>
      <c r="N714" s="412"/>
    </row>
    <row r="715" spans="1:14">
      <c r="A715" s="33"/>
      <c r="B715" s="411"/>
      <c r="C715" s="411"/>
      <c r="D715" s="411"/>
      <c r="E715" s="411"/>
      <c r="F715" s="411"/>
      <c r="G715" s="411"/>
      <c r="H715" s="411"/>
      <c r="I715" s="411"/>
      <c r="J715" s="411"/>
      <c r="K715" s="411"/>
      <c r="L715" s="411"/>
      <c r="M715" s="411"/>
      <c r="N715" s="412"/>
    </row>
    <row r="716" spans="1:14">
      <c r="A716" s="33"/>
      <c r="B716" s="411"/>
      <c r="C716" s="411"/>
      <c r="D716" s="411"/>
      <c r="E716" s="411"/>
      <c r="F716" s="411"/>
      <c r="G716" s="411"/>
      <c r="H716" s="411"/>
      <c r="I716" s="411"/>
      <c r="J716" s="411"/>
      <c r="K716" s="411"/>
      <c r="L716" s="411"/>
      <c r="M716" s="411"/>
      <c r="N716" s="412"/>
    </row>
    <row r="717" spans="1:14">
      <c r="A717" s="33"/>
      <c r="B717" s="411"/>
      <c r="C717" s="411"/>
      <c r="D717" s="411"/>
      <c r="E717" s="411"/>
      <c r="F717" s="411"/>
      <c r="G717" s="411"/>
      <c r="H717" s="411"/>
      <c r="I717" s="411"/>
      <c r="J717" s="411"/>
      <c r="K717" s="411"/>
      <c r="L717" s="411"/>
      <c r="M717" s="411"/>
      <c r="N717" s="412"/>
    </row>
    <row r="718" spans="1:14">
      <c r="A718" s="33"/>
      <c r="B718" s="411"/>
      <c r="C718" s="411"/>
      <c r="D718" s="411"/>
      <c r="E718" s="411"/>
      <c r="F718" s="411"/>
      <c r="G718" s="411"/>
      <c r="H718" s="411"/>
      <c r="I718" s="411"/>
      <c r="J718" s="411"/>
      <c r="K718" s="411"/>
      <c r="L718" s="411"/>
      <c r="M718" s="411"/>
      <c r="N718" s="412"/>
    </row>
    <row r="719" spans="1:14">
      <c r="A719" s="33"/>
      <c r="B719" s="411"/>
      <c r="C719" s="411"/>
      <c r="D719" s="411"/>
      <c r="E719" s="411"/>
      <c r="F719" s="411"/>
      <c r="G719" s="411"/>
      <c r="H719" s="411"/>
      <c r="I719" s="411"/>
      <c r="J719" s="411"/>
      <c r="K719" s="411"/>
      <c r="L719" s="411"/>
      <c r="M719" s="411"/>
      <c r="N719" s="412"/>
    </row>
    <row r="720" spans="1:14">
      <c r="A720" s="33"/>
      <c r="B720" s="411"/>
      <c r="C720" s="411"/>
      <c r="D720" s="411"/>
      <c r="E720" s="411"/>
      <c r="F720" s="411"/>
      <c r="G720" s="411"/>
      <c r="H720" s="411"/>
      <c r="I720" s="411"/>
      <c r="J720" s="411"/>
      <c r="K720" s="411"/>
      <c r="L720" s="411"/>
      <c r="M720" s="411"/>
      <c r="N720" s="412"/>
    </row>
    <row r="721" spans="1:14">
      <c r="A721" s="33"/>
      <c r="B721" s="411"/>
      <c r="C721" s="411"/>
      <c r="D721" s="411"/>
      <c r="E721" s="411"/>
      <c r="F721" s="411"/>
      <c r="G721" s="411"/>
      <c r="H721" s="411"/>
      <c r="I721" s="411"/>
      <c r="J721" s="411"/>
      <c r="K721" s="411"/>
      <c r="L721" s="411"/>
      <c r="M721" s="411"/>
      <c r="N721" s="412"/>
    </row>
    <row r="722" spans="1:14">
      <c r="A722" s="33"/>
      <c r="B722" s="411"/>
      <c r="C722" s="411"/>
      <c r="D722" s="411"/>
      <c r="E722" s="411"/>
      <c r="F722" s="411"/>
      <c r="G722" s="411"/>
      <c r="H722" s="411"/>
      <c r="I722" s="411"/>
      <c r="J722" s="411"/>
      <c r="K722" s="411"/>
      <c r="L722" s="411"/>
      <c r="M722" s="411"/>
      <c r="N722" s="412"/>
    </row>
    <row r="723" spans="1:14">
      <c r="A723" s="33"/>
      <c r="B723" s="411"/>
      <c r="C723" s="411"/>
      <c r="D723" s="411"/>
      <c r="E723" s="411"/>
      <c r="F723" s="411"/>
      <c r="G723" s="411"/>
      <c r="H723" s="411"/>
      <c r="I723" s="411"/>
      <c r="J723" s="411"/>
      <c r="K723" s="411"/>
      <c r="L723" s="411"/>
      <c r="M723" s="411"/>
      <c r="N723" s="412"/>
    </row>
    <row r="724" spans="1:14">
      <c r="A724" s="33"/>
      <c r="B724" s="411"/>
      <c r="C724" s="411"/>
      <c r="D724" s="411"/>
      <c r="E724" s="411"/>
      <c r="F724" s="411"/>
      <c r="G724" s="411"/>
      <c r="H724" s="411"/>
      <c r="I724" s="411"/>
      <c r="J724" s="411"/>
      <c r="K724" s="411"/>
      <c r="L724" s="411"/>
      <c r="M724" s="411"/>
      <c r="N724" s="412"/>
    </row>
    <row r="725" spans="1:14">
      <c r="A725" s="33"/>
      <c r="B725" s="411"/>
      <c r="C725" s="411"/>
      <c r="D725" s="411"/>
      <c r="E725" s="411"/>
      <c r="F725" s="411"/>
      <c r="G725" s="411"/>
      <c r="H725" s="411"/>
      <c r="I725" s="411"/>
      <c r="J725" s="411"/>
      <c r="K725" s="411"/>
      <c r="L725" s="411"/>
      <c r="M725" s="411"/>
      <c r="N725" s="412"/>
    </row>
    <row r="726" spans="1:14">
      <c r="A726" s="33"/>
      <c r="B726" s="411"/>
      <c r="C726" s="411"/>
      <c r="D726" s="411"/>
      <c r="E726" s="411"/>
      <c r="F726" s="411"/>
      <c r="G726" s="411"/>
      <c r="H726" s="411"/>
      <c r="I726" s="411"/>
      <c r="J726" s="411"/>
      <c r="K726" s="411"/>
      <c r="L726" s="411"/>
      <c r="M726" s="411"/>
      <c r="N726" s="412"/>
    </row>
    <row r="727" spans="1:14">
      <c r="A727" s="33"/>
      <c r="B727" s="411"/>
      <c r="C727" s="411"/>
      <c r="D727" s="411"/>
      <c r="E727" s="411"/>
      <c r="F727" s="411"/>
      <c r="G727" s="411"/>
      <c r="H727" s="411"/>
      <c r="I727" s="411"/>
      <c r="J727" s="411"/>
      <c r="K727" s="411"/>
      <c r="L727" s="411"/>
      <c r="M727" s="411"/>
      <c r="N727" s="412"/>
    </row>
    <row r="728" spans="1:14">
      <c r="A728" s="33"/>
      <c r="B728" s="411"/>
      <c r="C728" s="411"/>
      <c r="D728" s="411"/>
      <c r="E728" s="411"/>
      <c r="F728" s="411"/>
      <c r="G728" s="411"/>
      <c r="H728" s="411"/>
      <c r="I728" s="411"/>
      <c r="J728" s="411"/>
      <c r="K728" s="411"/>
      <c r="L728" s="411"/>
      <c r="M728" s="411"/>
      <c r="N728" s="412"/>
    </row>
    <row r="729" spans="1:14">
      <c r="A729" s="33"/>
      <c r="B729" s="411"/>
      <c r="C729" s="411"/>
      <c r="D729" s="411"/>
      <c r="E729" s="411"/>
      <c r="F729" s="411"/>
      <c r="G729" s="411"/>
      <c r="H729" s="411"/>
      <c r="I729" s="411"/>
      <c r="J729" s="411"/>
      <c r="K729" s="411"/>
      <c r="L729" s="411"/>
      <c r="M729" s="411"/>
      <c r="N729" s="412"/>
    </row>
    <row r="730" spans="1:14">
      <c r="A730" s="33"/>
      <c r="B730" s="411"/>
      <c r="C730" s="411"/>
      <c r="D730" s="411"/>
      <c r="E730" s="411"/>
      <c r="F730" s="411"/>
      <c r="G730" s="411"/>
      <c r="H730" s="411"/>
      <c r="I730" s="411"/>
      <c r="J730" s="411"/>
      <c r="K730" s="411"/>
      <c r="L730" s="411"/>
      <c r="M730" s="411"/>
      <c r="N730" s="412"/>
    </row>
    <row r="731" spans="1:14">
      <c r="A731" s="33"/>
      <c r="B731" s="411"/>
      <c r="C731" s="411"/>
      <c r="D731" s="411"/>
      <c r="E731" s="411"/>
      <c r="F731" s="411"/>
      <c r="G731" s="411"/>
      <c r="H731" s="411"/>
      <c r="I731" s="411"/>
      <c r="J731" s="411"/>
      <c r="K731" s="411"/>
      <c r="L731" s="411"/>
      <c r="M731" s="411"/>
      <c r="N731" s="412"/>
    </row>
    <row r="732" spans="1:14">
      <c r="A732" s="33"/>
      <c r="B732" s="411"/>
      <c r="C732" s="411"/>
      <c r="D732" s="411"/>
      <c r="E732" s="411"/>
      <c r="F732" s="411"/>
      <c r="G732" s="411"/>
      <c r="H732" s="411"/>
      <c r="I732" s="411"/>
      <c r="J732" s="411"/>
      <c r="K732" s="411"/>
      <c r="L732" s="411"/>
      <c r="M732" s="411"/>
      <c r="N732" s="412"/>
    </row>
    <row r="733" spans="1:14">
      <c r="A733" s="33"/>
      <c r="B733" s="411"/>
      <c r="C733" s="411"/>
      <c r="D733" s="411"/>
      <c r="E733" s="411"/>
      <c r="F733" s="411"/>
      <c r="G733" s="411"/>
      <c r="H733" s="411"/>
      <c r="I733" s="411"/>
      <c r="J733" s="411"/>
      <c r="K733" s="411"/>
      <c r="L733" s="411"/>
      <c r="M733" s="411"/>
      <c r="N733" s="412"/>
    </row>
    <row r="734" spans="1:14">
      <c r="A734" s="33"/>
      <c r="B734" s="411"/>
      <c r="C734" s="411"/>
      <c r="D734" s="411"/>
      <c r="E734" s="411"/>
      <c r="F734" s="411"/>
      <c r="G734" s="411"/>
      <c r="H734" s="411"/>
      <c r="I734" s="411"/>
      <c r="J734" s="411"/>
      <c r="K734" s="411"/>
      <c r="L734" s="411"/>
      <c r="M734" s="411"/>
      <c r="N734" s="412"/>
    </row>
    <row r="735" spans="1:14">
      <c r="A735" s="33"/>
      <c r="B735" s="411"/>
      <c r="C735" s="411"/>
      <c r="D735" s="411"/>
      <c r="E735" s="411"/>
      <c r="F735" s="411"/>
      <c r="G735" s="411"/>
      <c r="H735" s="411"/>
      <c r="I735" s="411"/>
      <c r="J735" s="411"/>
      <c r="K735" s="411"/>
      <c r="L735" s="411"/>
      <c r="M735" s="411"/>
      <c r="N735" s="412"/>
    </row>
    <row r="736" spans="1:14">
      <c r="A736" s="33"/>
      <c r="B736" s="411"/>
      <c r="C736" s="411"/>
      <c r="D736" s="411"/>
      <c r="E736" s="411"/>
      <c r="F736" s="411"/>
      <c r="G736" s="411"/>
      <c r="H736" s="411"/>
      <c r="I736" s="411"/>
      <c r="J736" s="411"/>
      <c r="K736" s="411"/>
      <c r="L736" s="411"/>
      <c r="M736" s="411"/>
      <c r="N736" s="412"/>
    </row>
    <row r="737" spans="1:14">
      <c r="A737" s="33"/>
      <c r="B737" s="411"/>
      <c r="C737" s="411"/>
      <c r="D737" s="411"/>
      <c r="E737" s="411"/>
      <c r="F737" s="411"/>
      <c r="G737" s="411"/>
      <c r="H737" s="411"/>
      <c r="I737" s="411"/>
      <c r="J737" s="411"/>
      <c r="K737" s="411"/>
      <c r="L737" s="411"/>
      <c r="M737" s="411"/>
      <c r="N737" s="412"/>
    </row>
    <row r="738" spans="1:14">
      <c r="A738" s="33"/>
      <c r="B738" s="411"/>
      <c r="C738" s="411"/>
      <c r="D738" s="411"/>
      <c r="E738" s="411"/>
      <c r="F738" s="411"/>
      <c r="G738" s="411"/>
      <c r="H738" s="411"/>
      <c r="I738" s="411"/>
      <c r="J738" s="411"/>
      <c r="K738" s="411"/>
      <c r="L738" s="411"/>
      <c r="M738" s="411"/>
      <c r="N738" s="412"/>
    </row>
    <row r="739" spans="1:14">
      <c r="A739" s="33"/>
      <c r="B739" s="411"/>
      <c r="C739" s="411"/>
      <c r="D739" s="411"/>
      <c r="E739" s="411"/>
      <c r="F739" s="411"/>
      <c r="G739" s="411"/>
      <c r="H739" s="411"/>
      <c r="I739" s="411"/>
      <c r="J739" s="411"/>
      <c r="K739" s="411"/>
      <c r="L739" s="411"/>
      <c r="M739" s="411"/>
      <c r="N739" s="412"/>
    </row>
    <row r="740" spans="1:14">
      <c r="A740" s="33"/>
      <c r="B740" s="411"/>
      <c r="C740" s="411"/>
      <c r="D740" s="411"/>
      <c r="E740" s="411"/>
      <c r="F740" s="411"/>
      <c r="G740" s="411"/>
      <c r="H740" s="411"/>
      <c r="I740" s="411"/>
      <c r="J740" s="411"/>
      <c r="K740" s="411"/>
      <c r="L740" s="411"/>
      <c r="M740" s="411"/>
      <c r="N740" s="412"/>
    </row>
    <row r="741" spans="1:14">
      <c r="A741" s="33"/>
      <c r="B741" s="411"/>
      <c r="C741" s="411"/>
      <c r="D741" s="411"/>
      <c r="E741" s="411"/>
      <c r="F741" s="411"/>
      <c r="G741" s="411"/>
      <c r="H741" s="411"/>
      <c r="I741" s="411"/>
      <c r="J741" s="411"/>
      <c r="K741" s="411"/>
      <c r="L741" s="411"/>
      <c r="M741" s="411"/>
      <c r="N741" s="412"/>
    </row>
    <row r="742" spans="1:14">
      <c r="A742" s="33"/>
      <c r="B742" s="411"/>
      <c r="C742" s="411"/>
      <c r="D742" s="411"/>
      <c r="E742" s="411"/>
      <c r="F742" s="411"/>
      <c r="G742" s="411"/>
      <c r="H742" s="411"/>
      <c r="I742" s="411"/>
      <c r="J742" s="411"/>
      <c r="K742" s="411"/>
      <c r="L742" s="411"/>
      <c r="M742" s="411"/>
      <c r="N742" s="412"/>
    </row>
    <row r="743" spans="1:14">
      <c r="A743" s="33"/>
      <c r="B743" s="411"/>
      <c r="C743" s="411"/>
      <c r="D743" s="411"/>
      <c r="E743" s="411"/>
      <c r="F743" s="411"/>
      <c r="G743" s="411"/>
      <c r="H743" s="411"/>
      <c r="I743" s="411"/>
      <c r="J743" s="411"/>
      <c r="K743" s="411"/>
      <c r="L743" s="411"/>
      <c r="M743" s="411"/>
      <c r="N743" s="412"/>
    </row>
    <row r="744" spans="1:14">
      <c r="A744" s="33"/>
      <c r="B744" s="411"/>
      <c r="C744" s="411"/>
      <c r="D744" s="411"/>
      <c r="E744" s="411"/>
      <c r="F744" s="411"/>
      <c r="G744" s="411"/>
      <c r="H744" s="411"/>
      <c r="I744" s="411"/>
      <c r="J744" s="411"/>
      <c r="K744" s="411"/>
      <c r="L744" s="411"/>
      <c r="M744" s="411"/>
      <c r="N744" s="412"/>
    </row>
    <row r="745" spans="1:14">
      <c r="A745" s="33"/>
      <c r="B745" s="411"/>
      <c r="C745" s="411"/>
      <c r="D745" s="411"/>
      <c r="E745" s="411"/>
      <c r="F745" s="411"/>
      <c r="G745" s="411"/>
      <c r="H745" s="411"/>
      <c r="I745" s="411"/>
      <c r="J745" s="411"/>
      <c r="K745" s="411"/>
      <c r="L745" s="411"/>
      <c r="M745" s="411"/>
      <c r="N745" s="412"/>
    </row>
    <row r="746" spans="1:14">
      <c r="A746" s="33"/>
      <c r="B746" s="411"/>
      <c r="C746" s="411"/>
      <c r="D746" s="411"/>
      <c r="E746" s="411"/>
      <c r="F746" s="411"/>
      <c r="G746" s="411"/>
      <c r="H746" s="411"/>
      <c r="I746" s="411"/>
      <c r="J746" s="411"/>
      <c r="K746" s="411"/>
      <c r="L746" s="411"/>
      <c r="M746" s="411"/>
      <c r="N746" s="412"/>
    </row>
    <row r="747" spans="1:14">
      <c r="A747" s="33"/>
      <c r="B747" s="411"/>
      <c r="C747" s="411"/>
      <c r="D747" s="411"/>
      <c r="E747" s="411"/>
      <c r="F747" s="411"/>
      <c r="G747" s="411"/>
      <c r="H747" s="411"/>
      <c r="I747" s="411"/>
      <c r="J747" s="411"/>
      <c r="K747" s="411"/>
      <c r="L747" s="411"/>
      <c r="M747" s="411"/>
      <c r="N747" s="412"/>
    </row>
    <row r="748" spans="1:14">
      <c r="A748" s="33"/>
      <c r="B748" s="411"/>
      <c r="C748" s="411"/>
      <c r="D748" s="411"/>
      <c r="E748" s="411"/>
      <c r="F748" s="411"/>
      <c r="G748" s="411"/>
      <c r="H748" s="411"/>
      <c r="I748" s="411"/>
      <c r="J748" s="411"/>
      <c r="K748" s="411"/>
      <c r="L748" s="411"/>
      <c r="M748" s="411"/>
      <c r="N748" s="412"/>
    </row>
    <row r="749" spans="1:14">
      <c r="A749" s="33"/>
      <c r="B749" s="411"/>
      <c r="C749" s="411"/>
      <c r="D749" s="411"/>
      <c r="E749" s="411"/>
      <c r="F749" s="411"/>
      <c r="G749" s="411"/>
      <c r="H749" s="411"/>
      <c r="I749" s="411"/>
      <c r="J749" s="411"/>
      <c r="K749" s="411"/>
      <c r="L749" s="411"/>
      <c r="M749" s="411"/>
      <c r="N749" s="412"/>
    </row>
    <row r="750" spans="1:14">
      <c r="A750" s="33"/>
      <c r="B750" s="411"/>
      <c r="C750" s="411"/>
      <c r="D750" s="411"/>
      <c r="E750" s="411"/>
      <c r="F750" s="411"/>
      <c r="G750" s="411"/>
      <c r="H750" s="411"/>
      <c r="I750" s="411"/>
      <c r="J750" s="411"/>
      <c r="K750" s="411"/>
      <c r="L750" s="411"/>
      <c r="M750" s="411"/>
      <c r="N750" s="412"/>
    </row>
    <row r="751" spans="1:14">
      <c r="A751" s="33"/>
      <c r="B751" s="411"/>
      <c r="C751" s="411"/>
      <c r="D751" s="411"/>
      <c r="E751" s="411"/>
      <c r="F751" s="411"/>
      <c r="G751" s="411"/>
      <c r="H751" s="411"/>
      <c r="I751" s="411"/>
      <c r="J751" s="411"/>
      <c r="K751" s="411"/>
      <c r="L751" s="411"/>
      <c r="M751" s="411"/>
      <c r="N751" s="412"/>
    </row>
    <row r="752" spans="1:14">
      <c r="A752" s="33"/>
      <c r="B752" s="411"/>
      <c r="C752" s="411"/>
      <c r="D752" s="411"/>
      <c r="E752" s="411"/>
      <c r="F752" s="411"/>
      <c r="G752" s="411"/>
      <c r="H752" s="411"/>
      <c r="I752" s="411"/>
      <c r="J752" s="411"/>
      <c r="K752" s="411"/>
      <c r="L752" s="411"/>
      <c r="M752" s="411"/>
      <c r="N752" s="412"/>
    </row>
    <row r="753" spans="1:14">
      <c r="A753" s="33"/>
      <c r="B753" s="411"/>
      <c r="C753" s="411"/>
      <c r="D753" s="411"/>
      <c r="E753" s="411"/>
      <c r="F753" s="411"/>
      <c r="G753" s="411"/>
      <c r="H753" s="411"/>
      <c r="I753" s="411"/>
      <c r="J753" s="411"/>
      <c r="K753" s="411"/>
      <c r="L753" s="411"/>
      <c r="M753" s="411"/>
      <c r="N753" s="412"/>
    </row>
    <row r="754" spans="1:14">
      <c r="A754" s="33"/>
      <c r="B754" s="411"/>
      <c r="C754" s="411"/>
      <c r="D754" s="411"/>
      <c r="E754" s="411"/>
      <c r="F754" s="411"/>
      <c r="G754" s="411"/>
      <c r="H754" s="411"/>
      <c r="I754" s="411"/>
      <c r="J754" s="411"/>
      <c r="K754" s="411"/>
      <c r="L754" s="411"/>
      <c r="M754" s="411"/>
      <c r="N754" s="412"/>
    </row>
    <row r="755" spans="1:14">
      <c r="A755" s="33"/>
      <c r="B755" s="411"/>
      <c r="C755" s="411"/>
      <c r="D755" s="411"/>
      <c r="E755" s="411"/>
      <c r="F755" s="411"/>
      <c r="G755" s="411"/>
      <c r="H755" s="411"/>
      <c r="I755" s="411"/>
      <c r="J755" s="411"/>
      <c r="K755" s="411"/>
      <c r="L755" s="411"/>
      <c r="M755" s="411"/>
      <c r="N755" s="412"/>
    </row>
    <row r="756" spans="1:14">
      <c r="A756" s="33"/>
      <c r="B756" s="411"/>
      <c r="C756" s="411"/>
      <c r="D756" s="411"/>
      <c r="E756" s="411"/>
      <c r="F756" s="411"/>
      <c r="G756" s="411"/>
      <c r="H756" s="411"/>
      <c r="I756" s="411"/>
      <c r="J756" s="411"/>
      <c r="K756" s="411"/>
      <c r="L756" s="411"/>
      <c r="M756" s="411"/>
      <c r="N756" s="412"/>
    </row>
    <row r="757" spans="1:14">
      <c r="A757" s="33"/>
      <c r="B757" s="411"/>
      <c r="C757" s="411"/>
      <c r="D757" s="411"/>
      <c r="E757" s="411"/>
      <c r="F757" s="411"/>
      <c r="G757" s="411"/>
      <c r="H757" s="411"/>
      <c r="I757" s="411"/>
      <c r="J757" s="411"/>
      <c r="K757" s="411"/>
      <c r="L757" s="411"/>
      <c r="M757" s="411"/>
      <c r="N757" s="412"/>
    </row>
    <row r="758" spans="1:14">
      <c r="A758" s="33"/>
      <c r="B758" s="411"/>
      <c r="C758" s="411"/>
      <c r="D758" s="411"/>
      <c r="E758" s="411"/>
      <c r="F758" s="411"/>
      <c r="G758" s="411"/>
      <c r="H758" s="411"/>
      <c r="I758" s="411"/>
      <c r="J758" s="411"/>
      <c r="K758" s="411"/>
      <c r="L758" s="411"/>
      <c r="M758" s="411"/>
      <c r="N758" s="412"/>
    </row>
    <row r="759" spans="1:14">
      <c r="A759" s="33"/>
      <c r="B759" s="411"/>
      <c r="C759" s="411"/>
      <c r="D759" s="411"/>
      <c r="E759" s="411"/>
      <c r="F759" s="411"/>
      <c r="G759" s="411"/>
      <c r="H759" s="411"/>
      <c r="I759" s="411"/>
      <c r="J759" s="411"/>
      <c r="K759" s="411"/>
      <c r="L759" s="411"/>
      <c r="M759" s="411"/>
      <c r="N759" s="412"/>
    </row>
    <row r="760" spans="1:14">
      <c r="A760" s="33"/>
      <c r="B760" s="411"/>
      <c r="C760" s="411"/>
      <c r="D760" s="411"/>
      <c r="E760" s="411"/>
      <c r="F760" s="411"/>
      <c r="G760" s="411"/>
      <c r="H760" s="411"/>
      <c r="I760" s="411"/>
      <c r="J760" s="411"/>
      <c r="K760" s="411"/>
      <c r="L760" s="411"/>
      <c r="M760" s="411"/>
      <c r="N760" s="412"/>
    </row>
    <row r="761" spans="1:14">
      <c r="A761" s="33"/>
      <c r="B761" s="411"/>
      <c r="C761" s="411"/>
      <c r="D761" s="411"/>
      <c r="E761" s="411"/>
      <c r="F761" s="411"/>
      <c r="G761" s="411"/>
      <c r="H761" s="411"/>
      <c r="I761" s="411"/>
      <c r="J761" s="411"/>
      <c r="K761" s="411"/>
      <c r="L761" s="411"/>
      <c r="M761" s="411"/>
      <c r="N761" s="412"/>
    </row>
    <row r="762" spans="1:14">
      <c r="A762" s="33"/>
      <c r="B762" s="411"/>
      <c r="C762" s="411"/>
      <c r="D762" s="411"/>
      <c r="E762" s="411"/>
      <c r="F762" s="411"/>
      <c r="G762" s="411"/>
      <c r="H762" s="411"/>
      <c r="I762" s="411"/>
      <c r="J762" s="411"/>
      <c r="K762" s="411"/>
      <c r="L762" s="411"/>
      <c r="M762" s="411"/>
      <c r="N762" s="412"/>
    </row>
    <row r="763" spans="1:14">
      <c r="A763" s="33"/>
      <c r="B763" s="411"/>
      <c r="C763" s="411"/>
      <c r="D763" s="411"/>
      <c r="E763" s="411"/>
      <c r="F763" s="411"/>
      <c r="G763" s="411"/>
      <c r="H763" s="411"/>
      <c r="I763" s="411"/>
      <c r="J763" s="411"/>
      <c r="K763" s="411"/>
      <c r="L763" s="411"/>
      <c r="M763" s="411"/>
      <c r="N763" s="412"/>
    </row>
    <row r="764" spans="1:14">
      <c r="A764" s="33"/>
      <c r="B764" s="411"/>
      <c r="C764" s="411"/>
      <c r="D764" s="411"/>
      <c r="E764" s="411"/>
      <c r="F764" s="411"/>
      <c r="G764" s="411"/>
      <c r="H764" s="411"/>
      <c r="I764" s="411"/>
      <c r="J764" s="411"/>
      <c r="K764" s="411"/>
      <c r="L764" s="411"/>
      <c r="M764" s="411"/>
      <c r="N764" s="412"/>
    </row>
    <row r="765" spans="1:14">
      <c r="A765" s="33"/>
      <c r="B765" s="411"/>
      <c r="C765" s="411"/>
      <c r="D765" s="411"/>
      <c r="E765" s="411"/>
      <c r="F765" s="411"/>
      <c r="G765" s="411"/>
      <c r="H765" s="411"/>
      <c r="I765" s="411"/>
      <c r="J765" s="411"/>
      <c r="K765" s="411"/>
      <c r="L765" s="411"/>
      <c r="M765" s="411"/>
      <c r="N765" s="412"/>
    </row>
    <row r="766" spans="1:14">
      <c r="A766" s="33"/>
      <c r="B766" s="411"/>
      <c r="C766" s="411"/>
      <c r="D766" s="411"/>
      <c r="E766" s="411"/>
      <c r="F766" s="411"/>
      <c r="G766" s="411"/>
      <c r="H766" s="411"/>
      <c r="I766" s="411"/>
      <c r="J766" s="411"/>
      <c r="K766" s="411"/>
      <c r="L766" s="411"/>
      <c r="M766" s="411"/>
      <c r="N766" s="412"/>
    </row>
    <row r="767" spans="1:14">
      <c r="A767" s="33"/>
      <c r="B767" s="411"/>
      <c r="C767" s="411"/>
      <c r="D767" s="411"/>
      <c r="E767" s="411"/>
      <c r="F767" s="411"/>
      <c r="G767" s="411"/>
      <c r="H767" s="411"/>
      <c r="I767" s="411"/>
      <c r="J767" s="411"/>
      <c r="K767" s="411"/>
      <c r="L767" s="411"/>
      <c r="M767" s="411"/>
      <c r="N767" s="412"/>
    </row>
    <row r="768" spans="1:14">
      <c r="A768" s="33"/>
      <c r="B768" s="411"/>
      <c r="C768" s="411"/>
      <c r="D768" s="411"/>
      <c r="E768" s="411"/>
      <c r="F768" s="411"/>
      <c r="G768" s="411"/>
      <c r="H768" s="411"/>
      <c r="I768" s="411"/>
      <c r="J768" s="411"/>
      <c r="K768" s="411"/>
      <c r="L768" s="411"/>
      <c r="M768" s="411"/>
      <c r="N768" s="412"/>
    </row>
    <row r="769" spans="1:14">
      <c r="A769" s="33"/>
      <c r="B769" s="411"/>
      <c r="C769" s="411"/>
      <c r="D769" s="411"/>
      <c r="E769" s="411"/>
      <c r="F769" s="411"/>
      <c r="G769" s="411"/>
      <c r="H769" s="411"/>
      <c r="I769" s="411"/>
      <c r="J769" s="411"/>
      <c r="K769" s="411"/>
      <c r="L769" s="411"/>
      <c r="M769" s="411"/>
      <c r="N769" s="412"/>
    </row>
    <row r="770" spans="1:14">
      <c r="A770" s="33"/>
      <c r="B770" s="411"/>
      <c r="C770" s="411"/>
      <c r="D770" s="411"/>
      <c r="E770" s="411"/>
      <c r="F770" s="411"/>
      <c r="G770" s="411"/>
      <c r="H770" s="411"/>
      <c r="I770" s="411"/>
      <c r="J770" s="411"/>
      <c r="K770" s="411"/>
      <c r="L770" s="411"/>
      <c r="M770" s="411"/>
      <c r="N770" s="412"/>
    </row>
    <row r="771" spans="1:14">
      <c r="A771" s="33"/>
      <c r="B771" s="411"/>
      <c r="C771" s="411"/>
      <c r="D771" s="411"/>
      <c r="E771" s="411"/>
      <c r="F771" s="411"/>
      <c r="G771" s="411"/>
      <c r="H771" s="411"/>
      <c r="I771" s="411"/>
      <c r="J771" s="411"/>
      <c r="K771" s="411"/>
      <c r="L771" s="411"/>
      <c r="M771" s="411"/>
      <c r="N771" s="412"/>
    </row>
    <row r="772" spans="1:14">
      <c r="A772" s="33"/>
      <c r="B772" s="411"/>
      <c r="C772" s="411"/>
      <c r="D772" s="411"/>
      <c r="E772" s="411"/>
      <c r="F772" s="411"/>
      <c r="G772" s="411"/>
      <c r="H772" s="411"/>
      <c r="I772" s="411"/>
      <c r="J772" s="411"/>
      <c r="K772" s="411"/>
      <c r="L772" s="411"/>
      <c r="M772" s="411"/>
      <c r="N772" s="412"/>
    </row>
    <row r="773" spans="1:14">
      <c r="A773" s="33"/>
      <c r="B773" s="411"/>
      <c r="C773" s="411"/>
      <c r="D773" s="411"/>
      <c r="E773" s="411"/>
      <c r="F773" s="411"/>
      <c r="G773" s="411"/>
      <c r="H773" s="411"/>
      <c r="I773" s="411"/>
      <c r="J773" s="411"/>
      <c r="K773" s="411"/>
      <c r="L773" s="411"/>
      <c r="M773" s="411"/>
      <c r="N773" s="412"/>
    </row>
    <row r="774" spans="1:14">
      <c r="A774" s="33"/>
      <c r="B774" s="411"/>
      <c r="C774" s="411"/>
      <c r="D774" s="411"/>
      <c r="E774" s="411"/>
      <c r="F774" s="411"/>
      <c r="G774" s="411"/>
      <c r="H774" s="411"/>
      <c r="I774" s="411"/>
      <c r="J774" s="411"/>
      <c r="K774" s="411"/>
      <c r="L774" s="411"/>
      <c r="M774" s="411"/>
      <c r="N774" s="412"/>
    </row>
    <row r="775" spans="1:14">
      <c r="A775" s="33"/>
      <c r="B775" s="411"/>
      <c r="C775" s="411"/>
      <c r="D775" s="411"/>
      <c r="E775" s="411"/>
      <c r="F775" s="411"/>
      <c r="G775" s="411"/>
      <c r="H775" s="411"/>
      <c r="I775" s="411"/>
      <c r="J775" s="411"/>
      <c r="K775" s="411"/>
      <c r="L775" s="411"/>
      <c r="M775" s="411"/>
      <c r="N775" s="412"/>
    </row>
    <row r="776" spans="1:14">
      <c r="A776" s="33"/>
      <c r="B776" s="411"/>
      <c r="C776" s="411"/>
      <c r="D776" s="411"/>
      <c r="E776" s="411"/>
      <c r="F776" s="411"/>
      <c r="G776" s="411"/>
      <c r="H776" s="411"/>
      <c r="I776" s="411"/>
      <c r="J776" s="411"/>
      <c r="K776" s="411"/>
      <c r="L776" s="411"/>
      <c r="M776" s="411"/>
      <c r="N776" s="412"/>
    </row>
    <row r="777" spans="1:14">
      <c r="A777" s="33"/>
      <c r="B777" s="411"/>
      <c r="C777" s="411"/>
      <c r="D777" s="411"/>
      <c r="E777" s="411"/>
      <c r="F777" s="411"/>
      <c r="G777" s="411"/>
      <c r="H777" s="411"/>
      <c r="I777" s="411"/>
      <c r="J777" s="411"/>
      <c r="K777" s="411"/>
      <c r="L777" s="411"/>
      <c r="M777" s="411"/>
      <c r="N777" s="412"/>
    </row>
    <row r="778" spans="1:14">
      <c r="A778" s="33"/>
      <c r="B778" s="411"/>
      <c r="C778" s="411"/>
      <c r="D778" s="411"/>
      <c r="E778" s="411"/>
      <c r="F778" s="411"/>
      <c r="G778" s="411"/>
      <c r="H778" s="411"/>
      <c r="I778" s="411"/>
      <c r="J778" s="411"/>
      <c r="K778" s="411"/>
      <c r="L778" s="411"/>
      <c r="M778" s="411"/>
      <c r="N778" s="412"/>
    </row>
    <row r="779" spans="1:14">
      <c r="A779" s="33"/>
      <c r="B779" s="411"/>
      <c r="C779" s="411"/>
      <c r="D779" s="411"/>
      <c r="E779" s="411"/>
      <c r="F779" s="411"/>
      <c r="G779" s="411"/>
      <c r="H779" s="411"/>
      <c r="I779" s="411"/>
      <c r="J779" s="411"/>
      <c r="K779" s="411"/>
      <c r="L779" s="411"/>
      <c r="M779" s="411"/>
      <c r="N779" s="412"/>
    </row>
    <row r="780" spans="1:14">
      <c r="A780" s="33"/>
      <c r="B780" s="411"/>
      <c r="C780" s="411"/>
      <c r="D780" s="411"/>
      <c r="E780" s="411"/>
      <c r="F780" s="411"/>
      <c r="G780" s="411"/>
      <c r="H780" s="411"/>
      <c r="I780" s="411"/>
      <c r="J780" s="411"/>
      <c r="K780" s="411"/>
      <c r="L780" s="411"/>
      <c r="M780" s="411"/>
      <c r="N780" s="412"/>
    </row>
    <row r="781" spans="1:14">
      <c r="A781" s="33"/>
      <c r="B781" s="411"/>
      <c r="C781" s="411"/>
      <c r="D781" s="411"/>
      <c r="E781" s="411"/>
      <c r="F781" s="411"/>
      <c r="G781" s="411"/>
      <c r="H781" s="411"/>
      <c r="I781" s="411"/>
      <c r="J781" s="411"/>
      <c r="K781" s="411"/>
      <c r="L781" s="411"/>
      <c r="M781" s="411"/>
      <c r="N781" s="412"/>
    </row>
    <row r="782" spans="1:14">
      <c r="A782" s="33"/>
      <c r="B782" s="411"/>
      <c r="C782" s="411"/>
      <c r="D782" s="411"/>
      <c r="E782" s="411"/>
      <c r="F782" s="411"/>
      <c r="G782" s="411"/>
      <c r="H782" s="411"/>
      <c r="I782" s="411"/>
      <c r="J782" s="411"/>
      <c r="K782" s="411"/>
      <c r="L782" s="411"/>
      <c r="M782" s="411"/>
      <c r="N782" s="412"/>
    </row>
    <row r="783" spans="1:14">
      <c r="A783" s="33"/>
      <c r="B783" s="411"/>
      <c r="C783" s="411"/>
      <c r="D783" s="411"/>
      <c r="E783" s="411"/>
      <c r="F783" s="411"/>
      <c r="G783" s="411"/>
      <c r="H783" s="411"/>
      <c r="I783" s="411"/>
      <c r="J783" s="411"/>
      <c r="K783" s="411"/>
      <c r="L783" s="411"/>
      <c r="M783" s="411"/>
      <c r="N783" s="412"/>
    </row>
    <row r="784" spans="1:14">
      <c r="A784" s="33"/>
      <c r="B784" s="411"/>
      <c r="C784" s="411"/>
      <c r="D784" s="411"/>
      <c r="E784" s="411"/>
      <c r="F784" s="411"/>
      <c r="G784" s="411"/>
      <c r="H784" s="411"/>
      <c r="I784" s="411"/>
      <c r="J784" s="411"/>
      <c r="K784" s="411"/>
      <c r="L784" s="411"/>
      <c r="M784" s="411"/>
      <c r="N784" s="412"/>
    </row>
    <row r="785" spans="1:14">
      <c r="A785" s="33"/>
      <c r="B785" s="411"/>
      <c r="C785" s="411"/>
      <c r="D785" s="411"/>
      <c r="E785" s="411"/>
      <c r="F785" s="411"/>
      <c r="G785" s="411"/>
      <c r="H785" s="411"/>
      <c r="I785" s="411"/>
      <c r="J785" s="411"/>
      <c r="K785" s="411"/>
      <c r="L785" s="411"/>
      <c r="M785" s="411"/>
      <c r="N785" s="412"/>
    </row>
    <row r="786" spans="1:14">
      <c r="A786" s="33"/>
      <c r="B786" s="411"/>
      <c r="C786" s="411"/>
      <c r="D786" s="411"/>
      <c r="E786" s="411"/>
      <c r="F786" s="411"/>
      <c r="G786" s="411"/>
      <c r="H786" s="411"/>
      <c r="I786" s="411"/>
      <c r="J786" s="411"/>
      <c r="K786" s="411"/>
      <c r="L786" s="411"/>
      <c r="M786" s="411"/>
      <c r="N786" s="412"/>
    </row>
    <row r="787" spans="1:14">
      <c r="A787" s="33"/>
      <c r="B787" s="411"/>
      <c r="C787" s="411"/>
      <c r="D787" s="411"/>
      <c r="E787" s="411"/>
      <c r="F787" s="411"/>
      <c r="G787" s="411"/>
      <c r="H787" s="411"/>
      <c r="I787" s="411"/>
      <c r="J787" s="411"/>
      <c r="K787" s="411"/>
      <c r="L787" s="411"/>
      <c r="M787" s="411"/>
      <c r="N787" s="412"/>
    </row>
    <row r="788" spans="1:14">
      <c r="A788" s="33"/>
      <c r="B788" s="411"/>
      <c r="C788" s="411"/>
      <c r="D788" s="411"/>
      <c r="E788" s="411"/>
      <c r="F788" s="411"/>
      <c r="G788" s="411"/>
      <c r="H788" s="411"/>
      <c r="I788" s="411"/>
      <c r="J788" s="411"/>
      <c r="K788" s="411"/>
      <c r="L788" s="411"/>
      <c r="M788" s="411"/>
      <c r="N788" s="412"/>
    </row>
    <row r="789" spans="1:14">
      <c r="A789" s="33"/>
      <c r="B789" s="411"/>
      <c r="C789" s="411"/>
      <c r="D789" s="411"/>
      <c r="E789" s="411"/>
      <c r="F789" s="411"/>
      <c r="G789" s="411"/>
      <c r="H789" s="411"/>
      <c r="I789" s="411"/>
      <c r="J789" s="411"/>
      <c r="K789" s="411"/>
      <c r="L789" s="411"/>
      <c r="M789" s="411"/>
      <c r="N789" s="412"/>
    </row>
    <row r="790" spans="1:14">
      <c r="A790" s="33"/>
      <c r="B790" s="411"/>
      <c r="C790" s="411"/>
      <c r="D790" s="411"/>
      <c r="E790" s="411"/>
      <c r="F790" s="411"/>
      <c r="G790" s="411"/>
      <c r="H790" s="411"/>
      <c r="I790" s="411"/>
      <c r="J790" s="411"/>
      <c r="K790" s="411"/>
      <c r="L790" s="411"/>
      <c r="M790" s="411"/>
      <c r="N790" s="412"/>
    </row>
    <row r="791" spans="1:14">
      <c r="A791" s="33"/>
      <c r="B791" s="411"/>
      <c r="C791" s="411"/>
      <c r="D791" s="411"/>
      <c r="E791" s="411"/>
      <c r="F791" s="411"/>
      <c r="G791" s="411"/>
      <c r="H791" s="411"/>
      <c r="I791" s="411"/>
      <c r="J791" s="411"/>
      <c r="K791" s="411"/>
      <c r="L791" s="411"/>
      <c r="M791" s="411"/>
      <c r="N791" s="412"/>
    </row>
    <row r="792" spans="1:14">
      <c r="A792" s="33"/>
      <c r="B792" s="411"/>
      <c r="C792" s="411"/>
      <c r="D792" s="411"/>
      <c r="E792" s="411"/>
      <c r="F792" s="411"/>
      <c r="G792" s="411"/>
      <c r="H792" s="411"/>
      <c r="I792" s="411"/>
      <c r="J792" s="411"/>
      <c r="K792" s="411"/>
      <c r="L792" s="411"/>
      <c r="M792" s="411"/>
      <c r="N792" s="412"/>
    </row>
    <row r="793" spans="1:14">
      <c r="A793" s="33"/>
      <c r="B793" s="411"/>
      <c r="C793" s="411"/>
      <c r="D793" s="411"/>
      <c r="E793" s="411"/>
      <c r="F793" s="411"/>
      <c r="G793" s="411"/>
      <c r="H793" s="411"/>
      <c r="I793" s="411"/>
      <c r="J793" s="411"/>
      <c r="K793" s="411"/>
      <c r="L793" s="411"/>
      <c r="M793" s="411"/>
      <c r="N793" s="412"/>
    </row>
    <row r="794" spans="1:14">
      <c r="A794" s="33"/>
      <c r="B794" s="411"/>
      <c r="C794" s="411"/>
      <c r="D794" s="411"/>
      <c r="E794" s="411"/>
      <c r="F794" s="411"/>
      <c r="G794" s="411"/>
      <c r="H794" s="411"/>
      <c r="I794" s="411"/>
      <c r="J794" s="411"/>
      <c r="K794" s="411"/>
      <c r="L794" s="411"/>
      <c r="M794" s="411"/>
      <c r="N794" s="412"/>
    </row>
    <row r="795" spans="1:14">
      <c r="A795" s="33"/>
      <c r="B795" s="411"/>
      <c r="C795" s="411"/>
      <c r="D795" s="411"/>
      <c r="E795" s="411"/>
      <c r="F795" s="411"/>
      <c r="G795" s="411"/>
      <c r="H795" s="411"/>
      <c r="I795" s="411"/>
      <c r="J795" s="411"/>
      <c r="K795" s="411"/>
      <c r="L795" s="411"/>
      <c r="M795" s="411"/>
      <c r="N795" s="412"/>
    </row>
    <row r="796" spans="1:14">
      <c r="A796" s="33"/>
      <c r="B796" s="411"/>
      <c r="C796" s="411"/>
      <c r="D796" s="411"/>
      <c r="E796" s="411"/>
      <c r="F796" s="411"/>
      <c r="G796" s="411"/>
      <c r="H796" s="411"/>
      <c r="I796" s="411"/>
      <c r="J796" s="411"/>
      <c r="K796" s="411"/>
      <c r="L796" s="411"/>
      <c r="M796" s="411"/>
      <c r="N796" s="412"/>
    </row>
    <row r="797" spans="1:14">
      <c r="A797" s="33"/>
      <c r="B797" s="411"/>
      <c r="C797" s="411"/>
      <c r="D797" s="411"/>
      <c r="E797" s="411"/>
      <c r="F797" s="411"/>
      <c r="G797" s="411"/>
      <c r="H797" s="411"/>
      <c r="I797" s="411"/>
      <c r="J797" s="411"/>
      <c r="K797" s="411"/>
      <c r="L797" s="411"/>
      <c r="M797" s="411"/>
      <c r="N797" s="412"/>
    </row>
    <row r="798" spans="1:14">
      <c r="A798" s="33"/>
      <c r="B798" s="411"/>
      <c r="C798" s="411"/>
      <c r="D798" s="411"/>
      <c r="E798" s="411"/>
      <c r="F798" s="411"/>
      <c r="G798" s="411"/>
      <c r="H798" s="411"/>
      <c r="I798" s="411"/>
      <c r="J798" s="411"/>
      <c r="K798" s="411"/>
      <c r="L798" s="411"/>
      <c r="M798" s="411"/>
      <c r="N798" s="412"/>
    </row>
    <row r="799" spans="1:14">
      <c r="A799" s="33"/>
      <c r="B799" s="411"/>
      <c r="C799" s="411"/>
      <c r="D799" s="411"/>
      <c r="E799" s="411"/>
      <c r="F799" s="411"/>
      <c r="G799" s="411"/>
      <c r="H799" s="411"/>
      <c r="I799" s="411"/>
      <c r="J799" s="411"/>
      <c r="K799" s="411"/>
      <c r="L799" s="411"/>
      <c r="M799" s="411"/>
      <c r="N799" s="412"/>
    </row>
    <row r="800" spans="1:14">
      <c r="A800" s="33"/>
      <c r="B800" s="411"/>
      <c r="C800" s="411"/>
      <c r="D800" s="411"/>
      <c r="E800" s="411"/>
      <c r="F800" s="411"/>
      <c r="G800" s="411"/>
      <c r="H800" s="411"/>
      <c r="I800" s="411"/>
      <c r="J800" s="411"/>
      <c r="K800" s="411"/>
      <c r="L800" s="411"/>
      <c r="M800" s="411"/>
      <c r="N800" s="412"/>
    </row>
    <row r="801" spans="1:14">
      <c r="A801" s="33"/>
      <c r="B801" s="411"/>
      <c r="C801" s="411"/>
      <c r="D801" s="411"/>
      <c r="E801" s="411"/>
      <c r="F801" s="411"/>
      <c r="G801" s="411"/>
      <c r="H801" s="411"/>
      <c r="I801" s="411"/>
      <c r="J801" s="411"/>
      <c r="K801" s="411"/>
      <c r="L801" s="411"/>
      <c r="M801" s="411"/>
      <c r="N801" s="412"/>
    </row>
    <row r="802" spans="1:14">
      <c r="A802" s="33"/>
      <c r="B802" s="411"/>
      <c r="C802" s="411"/>
      <c r="D802" s="411"/>
      <c r="E802" s="411"/>
      <c r="F802" s="411"/>
      <c r="G802" s="411"/>
      <c r="H802" s="411"/>
      <c r="I802" s="411"/>
      <c r="J802" s="411"/>
      <c r="K802" s="411"/>
      <c r="L802" s="411"/>
      <c r="M802" s="411"/>
      <c r="N802" s="412"/>
    </row>
    <row r="803" spans="1:14">
      <c r="A803" s="33"/>
      <c r="B803" s="411"/>
      <c r="C803" s="411"/>
      <c r="D803" s="411"/>
      <c r="E803" s="411"/>
      <c r="F803" s="411"/>
      <c r="G803" s="411"/>
      <c r="H803" s="411"/>
      <c r="I803" s="411"/>
      <c r="J803" s="411"/>
      <c r="K803" s="411"/>
      <c r="L803" s="411"/>
      <c r="M803" s="411"/>
      <c r="N803" s="412"/>
    </row>
    <row r="804" spans="1:14">
      <c r="A804" s="33"/>
      <c r="B804" s="411"/>
      <c r="C804" s="411"/>
      <c r="D804" s="411"/>
      <c r="E804" s="411"/>
      <c r="F804" s="411"/>
      <c r="G804" s="411"/>
      <c r="H804" s="411"/>
      <c r="I804" s="411"/>
      <c r="J804" s="411"/>
      <c r="K804" s="411"/>
      <c r="L804" s="411"/>
      <c r="M804" s="411"/>
      <c r="N804" s="412"/>
    </row>
    <row r="805" spans="1:14">
      <c r="A805" s="33"/>
      <c r="B805" s="411"/>
      <c r="C805" s="411"/>
      <c r="D805" s="411"/>
      <c r="E805" s="411"/>
      <c r="F805" s="411"/>
      <c r="G805" s="411"/>
      <c r="H805" s="411"/>
      <c r="I805" s="411"/>
      <c r="J805" s="411"/>
      <c r="K805" s="411"/>
      <c r="L805" s="411"/>
      <c r="M805" s="411"/>
      <c r="N805" s="412"/>
    </row>
    <row r="806" spans="1:14">
      <c r="A806" s="33"/>
      <c r="B806" s="411"/>
      <c r="C806" s="411"/>
      <c r="D806" s="411"/>
      <c r="E806" s="411"/>
      <c r="F806" s="411"/>
      <c r="G806" s="411"/>
      <c r="H806" s="411"/>
      <c r="I806" s="411"/>
      <c r="J806" s="411"/>
      <c r="K806" s="411"/>
      <c r="L806" s="411"/>
      <c r="M806" s="411"/>
      <c r="N806" s="412"/>
    </row>
    <row r="807" spans="1:14">
      <c r="A807" s="33"/>
      <c r="B807" s="411"/>
      <c r="C807" s="411"/>
      <c r="D807" s="411"/>
      <c r="E807" s="411"/>
      <c r="F807" s="411"/>
      <c r="G807" s="411"/>
      <c r="H807" s="411"/>
      <c r="I807" s="411"/>
      <c r="J807" s="411"/>
      <c r="K807" s="411"/>
      <c r="L807" s="411"/>
      <c r="M807" s="411"/>
      <c r="N807" s="412"/>
    </row>
    <row r="808" spans="1:14">
      <c r="A808" s="33"/>
      <c r="B808" s="411"/>
      <c r="C808" s="411"/>
      <c r="D808" s="411"/>
      <c r="E808" s="411"/>
      <c r="F808" s="411"/>
      <c r="G808" s="411"/>
      <c r="H808" s="411"/>
      <c r="I808" s="411"/>
      <c r="J808" s="411"/>
      <c r="K808" s="411"/>
      <c r="L808" s="411"/>
      <c r="M808" s="411"/>
      <c r="N808" s="412"/>
    </row>
    <row r="809" spans="1:14">
      <c r="A809" s="33"/>
      <c r="B809" s="411"/>
      <c r="C809" s="411"/>
      <c r="D809" s="411"/>
      <c r="E809" s="411"/>
      <c r="F809" s="411"/>
      <c r="G809" s="411"/>
      <c r="H809" s="411"/>
      <c r="I809" s="411"/>
      <c r="J809" s="411"/>
      <c r="K809" s="411"/>
      <c r="L809" s="411"/>
      <c r="M809" s="411"/>
      <c r="N809" s="412"/>
    </row>
    <row r="810" spans="1:14">
      <c r="A810" s="33"/>
      <c r="B810" s="411"/>
      <c r="C810" s="411"/>
      <c r="D810" s="411"/>
      <c r="E810" s="411"/>
      <c r="F810" s="411"/>
      <c r="G810" s="411"/>
      <c r="H810" s="411"/>
      <c r="I810" s="411"/>
      <c r="J810" s="411"/>
      <c r="K810" s="411"/>
      <c r="L810" s="411"/>
      <c r="M810" s="411"/>
      <c r="N810" s="412"/>
    </row>
    <row r="811" spans="1:14">
      <c r="A811" s="33"/>
      <c r="B811" s="411"/>
      <c r="C811" s="411"/>
      <c r="D811" s="411"/>
      <c r="E811" s="411"/>
      <c r="F811" s="411"/>
      <c r="G811" s="411"/>
      <c r="H811" s="411"/>
      <c r="I811" s="411"/>
      <c r="J811" s="411"/>
      <c r="K811" s="411"/>
      <c r="L811" s="411"/>
      <c r="M811" s="411"/>
      <c r="N811" s="412"/>
    </row>
    <row r="812" spans="1:14">
      <c r="A812" s="33"/>
      <c r="B812" s="411"/>
      <c r="C812" s="411"/>
      <c r="D812" s="411"/>
      <c r="E812" s="411"/>
      <c r="F812" s="411"/>
      <c r="G812" s="411"/>
      <c r="H812" s="411"/>
      <c r="I812" s="411"/>
      <c r="J812" s="411"/>
      <c r="K812" s="411"/>
      <c r="L812" s="411"/>
      <c r="M812" s="411"/>
      <c r="N812" s="412"/>
    </row>
    <row r="813" spans="1:14">
      <c r="A813" s="33"/>
      <c r="B813" s="411"/>
      <c r="C813" s="411"/>
      <c r="D813" s="411"/>
      <c r="E813" s="411"/>
      <c r="F813" s="411"/>
      <c r="G813" s="411"/>
      <c r="H813" s="411"/>
      <c r="I813" s="411"/>
      <c r="J813" s="411"/>
      <c r="K813" s="411"/>
      <c r="L813" s="411"/>
      <c r="M813" s="411"/>
      <c r="N813" s="412"/>
    </row>
    <row r="814" spans="1:14">
      <c r="A814" s="33"/>
      <c r="B814" s="411"/>
      <c r="C814" s="411"/>
      <c r="D814" s="411"/>
      <c r="E814" s="411"/>
      <c r="F814" s="411"/>
      <c r="G814" s="411"/>
      <c r="H814" s="411"/>
      <c r="I814" s="411"/>
      <c r="J814" s="411"/>
      <c r="K814" s="411"/>
      <c r="L814" s="411"/>
      <c r="M814" s="411"/>
      <c r="N814" s="412"/>
    </row>
    <row r="815" spans="1:14">
      <c r="A815" s="33"/>
      <c r="B815" s="411"/>
      <c r="C815" s="411"/>
      <c r="D815" s="411"/>
      <c r="E815" s="411"/>
      <c r="F815" s="411"/>
      <c r="G815" s="411"/>
      <c r="H815" s="411"/>
      <c r="I815" s="411"/>
      <c r="J815" s="411"/>
      <c r="K815" s="411"/>
      <c r="L815" s="411"/>
      <c r="M815" s="411"/>
      <c r="N815" s="412"/>
    </row>
    <row r="816" spans="1:14">
      <c r="A816" s="33"/>
      <c r="B816" s="411"/>
      <c r="C816" s="411"/>
      <c r="D816" s="411"/>
      <c r="E816" s="411"/>
      <c r="F816" s="411"/>
      <c r="G816" s="411"/>
      <c r="H816" s="411"/>
      <c r="I816" s="411"/>
      <c r="J816" s="411"/>
      <c r="K816" s="411"/>
      <c r="L816" s="411"/>
      <c r="M816" s="411"/>
      <c r="N816" s="412"/>
    </row>
    <row r="817" spans="1:14">
      <c r="A817" s="33"/>
      <c r="B817" s="411"/>
      <c r="C817" s="411"/>
      <c r="D817" s="411"/>
      <c r="E817" s="411"/>
      <c r="F817" s="411"/>
      <c r="G817" s="411"/>
      <c r="H817" s="411"/>
      <c r="I817" s="411"/>
      <c r="J817" s="411"/>
      <c r="K817" s="411"/>
      <c r="L817" s="411"/>
      <c r="M817" s="411"/>
      <c r="N817" s="412"/>
    </row>
    <row r="818" spans="1:14">
      <c r="A818" s="33"/>
      <c r="B818" s="411"/>
      <c r="C818" s="411"/>
      <c r="D818" s="411"/>
      <c r="E818" s="411"/>
      <c r="F818" s="411"/>
      <c r="G818" s="411"/>
      <c r="H818" s="411"/>
      <c r="I818" s="411"/>
      <c r="J818" s="411"/>
      <c r="K818" s="411"/>
      <c r="L818" s="411"/>
      <c r="M818" s="411"/>
      <c r="N818" s="412"/>
    </row>
    <row r="819" spans="1:14">
      <c r="A819" s="33"/>
      <c r="B819" s="411"/>
      <c r="C819" s="411"/>
      <c r="D819" s="411"/>
      <c r="E819" s="411"/>
      <c r="F819" s="411"/>
      <c r="G819" s="411"/>
      <c r="H819" s="411"/>
      <c r="I819" s="411"/>
      <c r="J819" s="411"/>
      <c r="K819" s="411"/>
      <c r="L819" s="411"/>
      <c r="M819" s="411"/>
      <c r="N819" s="412"/>
    </row>
    <row r="820" spans="1:14">
      <c r="A820" s="33"/>
      <c r="B820" s="411"/>
      <c r="C820" s="411"/>
      <c r="D820" s="411"/>
      <c r="E820" s="411"/>
      <c r="F820" s="411"/>
      <c r="G820" s="411"/>
      <c r="H820" s="411"/>
      <c r="I820" s="411"/>
      <c r="J820" s="411"/>
      <c r="K820" s="411"/>
      <c r="L820" s="411"/>
      <c r="M820" s="411"/>
      <c r="N820" s="412"/>
    </row>
    <row r="821" spans="1:14">
      <c r="A821" s="33"/>
      <c r="B821" s="411"/>
      <c r="C821" s="411"/>
      <c r="D821" s="411"/>
      <c r="E821" s="411"/>
      <c r="F821" s="411"/>
      <c r="G821" s="411"/>
      <c r="H821" s="411"/>
      <c r="I821" s="411"/>
      <c r="J821" s="411"/>
      <c r="K821" s="411"/>
      <c r="L821" s="411"/>
      <c r="M821" s="411"/>
      <c r="N821" s="412"/>
    </row>
    <row r="822" spans="1:14">
      <c r="A822" s="33"/>
      <c r="B822" s="411"/>
      <c r="C822" s="411"/>
      <c r="D822" s="411"/>
      <c r="E822" s="411"/>
      <c r="F822" s="411"/>
      <c r="G822" s="411"/>
      <c r="H822" s="411"/>
      <c r="I822" s="411"/>
      <c r="J822" s="411"/>
      <c r="K822" s="411"/>
      <c r="L822" s="411"/>
      <c r="M822" s="411"/>
      <c r="N822" s="412"/>
    </row>
    <row r="823" spans="1:14">
      <c r="A823" s="33"/>
      <c r="B823" s="411"/>
      <c r="C823" s="411"/>
      <c r="D823" s="411"/>
      <c r="E823" s="411"/>
      <c r="F823" s="411"/>
      <c r="G823" s="411"/>
      <c r="H823" s="411"/>
      <c r="I823" s="411"/>
      <c r="J823" s="411"/>
      <c r="K823" s="411"/>
      <c r="L823" s="411"/>
      <c r="M823" s="411"/>
      <c r="N823" s="412"/>
    </row>
    <row r="824" spans="1:14">
      <c r="A824" s="33"/>
      <c r="B824" s="411"/>
      <c r="C824" s="411"/>
      <c r="D824" s="411"/>
      <c r="E824" s="411"/>
      <c r="F824" s="411"/>
      <c r="G824" s="411"/>
      <c r="H824" s="411"/>
      <c r="I824" s="411"/>
      <c r="J824" s="411"/>
      <c r="K824" s="411"/>
      <c r="L824" s="411"/>
      <c r="M824" s="411"/>
      <c r="N824" s="412"/>
    </row>
    <row r="825" spans="1:14">
      <c r="A825" s="33"/>
      <c r="B825" s="411"/>
      <c r="C825" s="411"/>
      <c r="D825" s="411"/>
      <c r="E825" s="411"/>
      <c r="F825" s="411"/>
      <c r="G825" s="411"/>
      <c r="H825" s="411"/>
      <c r="I825" s="411"/>
      <c r="J825" s="411"/>
      <c r="K825" s="411"/>
      <c r="L825" s="411"/>
      <c r="M825" s="411"/>
      <c r="N825" s="412"/>
    </row>
    <row r="826" spans="1:14">
      <c r="A826" s="33"/>
      <c r="B826" s="411"/>
      <c r="C826" s="411"/>
      <c r="D826" s="411"/>
      <c r="E826" s="411"/>
      <c r="F826" s="411"/>
      <c r="G826" s="411"/>
      <c r="H826" s="411"/>
      <c r="I826" s="411"/>
      <c r="J826" s="411"/>
      <c r="K826" s="411"/>
      <c r="L826" s="411"/>
      <c r="M826" s="411"/>
      <c r="N826" s="412"/>
    </row>
    <row r="827" spans="1:14">
      <c r="A827" s="33"/>
      <c r="B827" s="411"/>
      <c r="C827" s="411"/>
      <c r="D827" s="411"/>
      <c r="E827" s="411"/>
      <c r="F827" s="411"/>
      <c r="G827" s="411"/>
      <c r="H827" s="411"/>
      <c r="I827" s="411"/>
      <c r="J827" s="411"/>
      <c r="K827" s="411"/>
      <c r="L827" s="411"/>
      <c r="M827" s="411"/>
      <c r="N827" s="412"/>
    </row>
    <row r="828" spans="1:14">
      <c r="A828" s="33"/>
      <c r="B828" s="411"/>
      <c r="C828" s="411"/>
      <c r="D828" s="411"/>
      <c r="E828" s="411"/>
      <c r="F828" s="411"/>
      <c r="G828" s="411"/>
      <c r="H828" s="411"/>
      <c r="I828" s="411"/>
      <c r="J828" s="411"/>
      <c r="K828" s="411"/>
      <c r="L828" s="411"/>
      <c r="M828" s="411"/>
      <c r="N828" s="412"/>
    </row>
    <row r="829" spans="1:14">
      <c r="A829" s="33"/>
      <c r="B829" s="411"/>
      <c r="C829" s="411"/>
      <c r="D829" s="411"/>
      <c r="E829" s="411"/>
      <c r="F829" s="411"/>
      <c r="G829" s="411"/>
      <c r="H829" s="411"/>
      <c r="I829" s="411"/>
      <c r="J829" s="411"/>
      <c r="K829" s="411"/>
      <c r="L829" s="411"/>
      <c r="M829" s="411"/>
      <c r="N829" s="412"/>
    </row>
    <row r="830" spans="1:14">
      <c r="A830" s="33"/>
      <c r="B830" s="411"/>
      <c r="C830" s="411"/>
      <c r="D830" s="411"/>
      <c r="E830" s="411"/>
      <c r="F830" s="411"/>
      <c r="G830" s="411"/>
      <c r="H830" s="411"/>
      <c r="I830" s="411"/>
      <c r="J830" s="411"/>
      <c r="K830" s="411"/>
      <c r="L830" s="411"/>
      <c r="M830" s="411"/>
      <c r="N830" s="412"/>
    </row>
    <row r="831" spans="1:14">
      <c r="A831" s="33"/>
      <c r="B831" s="411"/>
      <c r="C831" s="411"/>
      <c r="D831" s="411"/>
      <c r="E831" s="411"/>
      <c r="F831" s="411"/>
      <c r="G831" s="411"/>
      <c r="H831" s="411"/>
      <c r="I831" s="411"/>
      <c r="J831" s="411"/>
      <c r="K831" s="411"/>
      <c r="L831" s="411"/>
      <c r="M831" s="411"/>
      <c r="N831" s="412"/>
    </row>
    <row r="832" spans="1:14">
      <c r="A832" s="33"/>
      <c r="B832" s="411"/>
      <c r="C832" s="411"/>
      <c r="D832" s="411"/>
      <c r="E832" s="411"/>
      <c r="F832" s="411"/>
      <c r="G832" s="411"/>
      <c r="H832" s="411"/>
      <c r="I832" s="411"/>
      <c r="J832" s="411"/>
      <c r="K832" s="411"/>
      <c r="L832" s="411"/>
      <c r="M832" s="411"/>
      <c r="N832" s="412"/>
    </row>
    <row r="833" spans="1:14">
      <c r="A833" s="33"/>
      <c r="B833" s="411"/>
      <c r="C833" s="411"/>
      <c r="D833" s="411"/>
      <c r="E833" s="411"/>
      <c r="F833" s="411"/>
      <c r="G833" s="411"/>
      <c r="H833" s="411"/>
      <c r="I833" s="411"/>
      <c r="J833" s="411"/>
      <c r="K833" s="411"/>
      <c r="L833" s="411"/>
      <c r="M833" s="411"/>
      <c r="N833" s="412"/>
    </row>
    <row r="834" spans="1:14">
      <c r="A834" s="33"/>
      <c r="B834" s="411"/>
      <c r="C834" s="411"/>
      <c r="D834" s="411"/>
      <c r="E834" s="411"/>
      <c r="F834" s="411"/>
      <c r="G834" s="411"/>
      <c r="H834" s="411"/>
      <c r="I834" s="411"/>
      <c r="J834" s="411"/>
      <c r="K834" s="411"/>
      <c r="L834" s="411"/>
      <c r="M834" s="411"/>
      <c r="N834" s="412"/>
    </row>
    <row r="835" spans="1:14">
      <c r="A835" s="33"/>
      <c r="B835" s="411"/>
      <c r="C835" s="411"/>
      <c r="D835" s="411"/>
      <c r="E835" s="411"/>
      <c r="F835" s="411"/>
      <c r="G835" s="411"/>
      <c r="H835" s="411"/>
      <c r="I835" s="411"/>
      <c r="J835" s="411"/>
      <c r="K835" s="411"/>
      <c r="L835" s="411"/>
      <c r="M835" s="411"/>
      <c r="N835" s="412"/>
    </row>
    <row r="836" spans="1:14">
      <c r="A836" s="33"/>
      <c r="B836" s="411"/>
      <c r="C836" s="411"/>
      <c r="D836" s="411"/>
      <c r="E836" s="411"/>
      <c r="F836" s="411"/>
      <c r="G836" s="411"/>
      <c r="H836" s="411"/>
      <c r="I836" s="411"/>
      <c r="J836" s="411"/>
      <c r="K836" s="411"/>
      <c r="L836" s="411"/>
      <c r="M836" s="411"/>
      <c r="N836" s="412"/>
    </row>
    <row r="837" spans="1:14">
      <c r="A837" s="33"/>
      <c r="B837" s="411"/>
      <c r="C837" s="411"/>
      <c r="D837" s="411"/>
      <c r="E837" s="411"/>
      <c r="F837" s="411"/>
      <c r="G837" s="411"/>
      <c r="H837" s="411"/>
      <c r="I837" s="411"/>
      <c r="J837" s="411"/>
      <c r="K837" s="411"/>
      <c r="L837" s="411"/>
      <c r="M837" s="411"/>
      <c r="N837" s="412"/>
    </row>
    <row r="838" spans="1:14">
      <c r="A838" s="33"/>
      <c r="B838" s="411"/>
      <c r="C838" s="411"/>
      <c r="D838" s="411"/>
      <c r="E838" s="411"/>
      <c r="F838" s="411"/>
      <c r="G838" s="411"/>
      <c r="H838" s="411"/>
      <c r="I838" s="411"/>
      <c r="J838" s="411"/>
      <c r="K838" s="411"/>
      <c r="L838" s="411"/>
      <c r="M838" s="411"/>
      <c r="N838" s="412"/>
    </row>
    <row r="839" spans="1:14">
      <c r="A839" s="33"/>
      <c r="B839" s="411"/>
      <c r="C839" s="411"/>
      <c r="D839" s="411"/>
      <c r="E839" s="411"/>
      <c r="F839" s="411"/>
      <c r="G839" s="411"/>
      <c r="H839" s="411"/>
      <c r="I839" s="411"/>
      <c r="J839" s="411"/>
      <c r="K839" s="411"/>
      <c r="L839" s="411"/>
      <c r="M839" s="411"/>
      <c r="N839" s="412"/>
    </row>
    <row r="840" spans="1:14">
      <c r="A840" s="33"/>
      <c r="B840" s="411"/>
      <c r="C840" s="411"/>
      <c r="D840" s="411"/>
      <c r="E840" s="411"/>
      <c r="F840" s="411"/>
      <c r="G840" s="411"/>
      <c r="H840" s="411"/>
      <c r="I840" s="411"/>
      <c r="J840" s="411"/>
      <c r="K840" s="411"/>
      <c r="L840" s="411"/>
      <c r="M840" s="411"/>
      <c r="N840" s="412"/>
    </row>
    <row r="841" spans="1:14">
      <c r="A841" s="33"/>
      <c r="B841" s="411"/>
      <c r="C841" s="411"/>
      <c r="D841" s="411"/>
      <c r="E841" s="411"/>
      <c r="F841" s="411"/>
      <c r="G841" s="411"/>
      <c r="H841" s="411"/>
      <c r="I841" s="411"/>
      <c r="J841" s="411"/>
      <c r="K841" s="411"/>
      <c r="L841" s="411"/>
      <c r="M841" s="411"/>
      <c r="N841" s="412"/>
    </row>
    <row r="842" spans="1:14">
      <c r="A842" s="33"/>
      <c r="B842" s="411"/>
      <c r="C842" s="411"/>
      <c r="D842" s="411"/>
      <c r="E842" s="411"/>
      <c r="F842" s="411"/>
      <c r="G842" s="411"/>
      <c r="H842" s="411"/>
      <c r="I842" s="411"/>
      <c r="J842" s="411"/>
      <c r="K842" s="411"/>
      <c r="L842" s="411"/>
      <c r="M842" s="411"/>
      <c r="N842" s="412"/>
    </row>
    <row r="843" spans="1:14">
      <c r="A843" s="33"/>
      <c r="B843" s="411"/>
      <c r="C843" s="411"/>
      <c r="D843" s="411"/>
      <c r="E843" s="411"/>
      <c r="F843" s="411"/>
      <c r="G843" s="411"/>
      <c r="H843" s="411"/>
      <c r="I843" s="411"/>
      <c r="J843" s="411"/>
      <c r="K843" s="411"/>
      <c r="L843" s="411"/>
      <c r="M843" s="411"/>
      <c r="N843" s="412"/>
    </row>
    <row r="844" spans="1:14">
      <c r="A844" s="33"/>
      <c r="B844" s="411"/>
      <c r="C844" s="411"/>
      <c r="D844" s="411"/>
      <c r="E844" s="411"/>
      <c r="F844" s="411"/>
      <c r="G844" s="411"/>
      <c r="H844" s="411"/>
      <c r="I844" s="411"/>
      <c r="J844" s="411"/>
      <c r="K844" s="411"/>
      <c r="L844" s="411"/>
      <c r="M844" s="411"/>
      <c r="N844" s="412"/>
    </row>
    <row r="845" spans="1:14">
      <c r="A845" s="33"/>
      <c r="B845" s="411"/>
      <c r="C845" s="411"/>
      <c r="D845" s="411"/>
      <c r="E845" s="411"/>
      <c r="F845" s="411"/>
      <c r="G845" s="411"/>
      <c r="H845" s="411"/>
      <c r="I845" s="411"/>
      <c r="J845" s="411"/>
      <c r="K845" s="411"/>
      <c r="L845" s="411"/>
      <c r="M845" s="411"/>
      <c r="N845" s="412"/>
    </row>
    <row r="846" spans="1:14">
      <c r="A846" s="33"/>
      <c r="B846" s="411"/>
      <c r="C846" s="411"/>
      <c r="D846" s="411"/>
      <c r="E846" s="411"/>
      <c r="F846" s="411"/>
      <c r="G846" s="411"/>
      <c r="H846" s="411"/>
      <c r="I846" s="411"/>
      <c r="J846" s="411"/>
      <c r="K846" s="411"/>
      <c r="L846" s="411"/>
      <c r="M846" s="411"/>
      <c r="N846" s="412"/>
    </row>
    <row r="847" spans="1:14">
      <c r="A847" s="33"/>
      <c r="B847" s="411"/>
      <c r="C847" s="411"/>
      <c r="D847" s="411"/>
      <c r="E847" s="411"/>
      <c r="F847" s="411"/>
      <c r="G847" s="411"/>
      <c r="H847" s="411"/>
      <c r="I847" s="411"/>
      <c r="J847" s="411"/>
      <c r="K847" s="411"/>
      <c r="L847" s="411"/>
      <c r="M847" s="411"/>
      <c r="N847" s="412"/>
    </row>
    <row r="848" spans="1:14">
      <c r="A848" s="33"/>
      <c r="B848" s="411"/>
      <c r="C848" s="411"/>
      <c r="D848" s="411"/>
      <c r="E848" s="411"/>
      <c r="F848" s="411"/>
      <c r="G848" s="411"/>
      <c r="H848" s="411"/>
      <c r="I848" s="411"/>
      <c r="J848" s="411"/>
      <c r="K848" s="411"/>
      <c r="L848" s="411"/>
      <c r="M848" s="411"/>
      <c r="N848" s="412"/>
    </row>
    <row r="849" spans="1:14">
      <c r="A849" s="33"/>
      <c r="B849" s="411"/>
      <c r="C849" s="411"/>
      <c r="D849" s="411"/>
      <c r="E849" s="411"/>
      <c r="F849" s="411"/>
      <c r="G849" s="411"/>
      <c r="H849" s="411"/>
      <c r="I849" s="411"/>
      <c r="J849" s="411"/>
      <c r="K849" s="411"/>
      <c r="L849" s="411"/>
      <c r="M849" s="411"/>
      <c r="N849" s="412"/>
    </row>
    <row r="850" spans="1:14">
      <c r="A850" s="33"/>
      <c r="B850" s="411"/>
      <c r="C850" s="411"/>
      <c r="D850" s="411"/>
      <c r="E850" s="411"/>
      <c r="F850" s="411"/>
      <c r="G850" s="411"/>
      <c r="H850" s="411"/>
      <c r="I850" s="411"/>
      <c r="J850" s="411"/>
      <c r="K850" s="411"/>
      <c r="L850" s="411"/>
      <c r="M850" s="411"/>
      <c r="N850" s="412"/>
    </row>
    <row r="851" spans="1:14">
      <c r="A851" s="33"/>
      <c r="B851" s="411"/>
      <c r="C851" s="411"/>
      <c r="D851" s="411"/>
      <c r="E851" s="411"/>
      <c r="F851" s="411"/>
      <c r="G851" s="411"/>
      <c r="H851" s="411"/>
      <c r="I851" s="411"/>
      <c r="J851" s="411"/>
      <c r="K851" s="411"/>
      <c r="L851" s="411"/>
      <c r="M851" s="411"/>
      <c r="N851" s="412"/>
    </row>
    <row r="852" spans="1:14">
      <c r="A852" s="33"/>
      <c r="B852" s="411"/>
      <c r="C852" s="411"/>
      <c r="D852" s="411"/>
      <c r="E852" s="411"/>
      <c r="F852" s="411"/>
      <c r="G852" s="411"/>
      <c r="H852" s="411"/>
      <c r="I852" s="411"/>
      <c r="J852" s="411"/>
      <c r="K852" s="411"/>
      <c r="L852" s="411"/>
      <c r="M852" s="411"/>
      <c r="N852" s="412"/>
    </row>
    <row r="853" spans="1:14">
      <c r="A853" s="33"/>
      <c r="B853" s="411"/>
      <c r="C853" s="411"/>
      <c r="D853" s="411"/>
      <c r="E853" s="411"/>
      <c r="F853" s="411"/>
      <c r="G853" s="411"/>
      <c r="H853" s="411"/>
      <c r="I853" s="411"/>
      <c r="J853" s="411"/>
      <c r="K853" s="411"/>
      <c r="L853" s="411"/>
      <c r="M853" s="411"/>
      <c r="N853" s="412"/>
    </row>
    <row r="854" spans="1:14">
      <c r="A854" s="33"/>
      <c r="B854" s="411"/>
      <c r="C854" s="411"/>
      <c r="D854" s="411"/>
      <c r="E854" s="411"/>
      <c r="F854" s="411"/>
      <c r="G854" s="411"/>
      <c r="H854" s="411"/>
      <c r="I854" s="411"/>
      <c r="J854" s="411"/>
      <c r="K854" s="411"/>
      <c r="L854" s="411"/>
      <c r="M854" s="411"/>
      <c r="N854" s="412"/>
    </row>
    <row r="855" spans="1:14">
      <c r="A855" s="33"/>
      <c r="B855" s="411"/>
      <c r="C855" s="411"/>
      <c r="D855" s="411"/>
      <c r="E855" s="411"/>
      <c r="F855" s="411"/>
      <c r="G855" s="411"/>
      <c r="H855" s="411"/>
      <c r="I855" s="411"/>
      <c r="J855" s="411"/>
      <c r="K855" s="411"/>
      <c r="L855" s="411"/>
      <c r="M855" s="411"/>
      <c r="N855" s="412"/>
    </row>
    <row r="856" spans="1:14">
      <c r="A856" s="33"/>
      <c r="B856" s="411"/>
      <c r="C856" s="411"/>
      <c r="D856" s="411"/>
      <c r="E856" s="411"/>
      <c r="F856" s="411"/>
      <c r="G856" s="411"/>
      <c r="H856" s="411"/>
      <c r="I856" s="411"/>
      <c r="J856" s="411"/>
      <c r="K856" s="411"/>
      <c r="L856" s="411"/>
      <c r="M856" s="411"/>
      <c r="N856" s="412"/>
    </row>
    <row r="857" spans="1:14">
      <c r="A857" s="33"/>
      <c r="B857" s="411"/>
      <c r="C857" s="411"/>
      <c r="D857" s="411"/>
      <c r="E857" s="411"/>
      <c r="F857" s="411"/>
      <c r="G857" s="411"/>
      <c r="H857" s="411"/>
      <c r="I857" s="411"/>
      <c r="J857" s="411"/>
      <c r="K857" s="411"/>
      <c r="L857" s="411"/>
      <c r="M857" s="411"/>
      <c r="N857" s="412"/>
    </row>
    <row r="858" spans="1:14">
      <c r="A858" s="33"/>
      <c r="B858" s="411"/>
      <c r="C858" s="411"/>
      <c r="D858" s="411"/>
      <c r="E858" s="411"/>
      <c r="F858" s="411"/>
      <c r="G858" s="411"/>
      <c r="H858" s="411"/>
      <c r="I858" s="411"/>
      <c r="J858" s="411"/>
      <c r="K858" s="411"/>
      <c r="L858" s="411"/>
      <c r="M858" s="411"/>
      <c r="N858" s="412"/>
    </row>
    <row r="859" spans="1:14">
      <c r="A859" s="33"/>
      <c r="B859" s="411"/>
      <c r="C859" s="411"/>
      <c r="D859" s="411"/>
      <c r="E859" s="411"/>
      <c r="F859" s="411"/>
      <c r="G859" s="411"/>
      <c r="H859" s="411"/>
      <c r="I859" s="411"/>
      <c r="J859" s="411"/>
      <c r="K859" s="411"/>
      <c r="L859" s="411"/>
      <c r="M859" s="411"/>
      <c r="N859" s="412"/>
    </row>
    <row r="860" spans="1:14">
      <c r="A860" s="33"/>
      <c r="B860" s="411"/>
      <c r="C860" s="411"/>
      <c r="D860" s="411"/>
      <c r="E860" s="411"/>
      <c r="F860" s="411"/>
      <c r="G860" s="411"/>
      <c r="H860" s="411"/>
      <c r="I860" s="411"/>
      <c r="J860" s="411"/>
      <c r="K860" s="411"/>
      <c r="L860" s="411"/>
      <c r="M860" s="411"/>
      <c r="N860" s="412"/>
    </row>
    <row r="861" spans="1:14">
      <c r="A861" s="33"/>
      <c r="B861" s="411"/>
      <c r="C861" s="411"/>
      <c r="D861" s="411"/>
      <c r="E861" s="411"/>
      <c r="F861" s="411"/>
      <c r="G861" s="411"/>
      <c r="H861" s="411"/>
      <c r="I861" s="411"/>
      <c r="J861" s="411"/>
      <c r="K861" s="411"/>
      <c r="L861" s="411"/>
      <c r="M861" s="411"/>
      <c r="N861" s="412"/>
    </row>
    <row r="862" spans="1:14">
      <c r="A862" s="33"/>
      <c r="B862" s="411"/>
      <c r="C862" s="411"/>
      <c r="D862" s="411"/>
      <c r="E862" s="411"/>
      <c r="F862" s="411"/>
      <c r="G862" s="411"/>
      <c r="H862" s="411"/>
      <c r="I862" s="411"/>
      <c r="J862" s="411"/>
      <c r="K862" s="411"/>
      <c r="L862" s="411"/>
      <c r="M862" s="411"/>
      <c r="N862" s="412"/>
    </row>
    <row r="863" spans="1:14">
      <c r="A863" s="33"/>
      <c r="B863" s="411"/>
      <c r="C863" s="411"/>
      <c r="D863" s="411"/>
      <c r="E863" s="411"/>
      <c r="F863" s="411"/>
      <c r="G863" s="411"/>
      <c r="H863" s="411"/>
      <c r="I863" s="411"/>
      <c r="J863" s="411"/>
      <c r="K863" s="411"/>
      <c r="L863" s="411"/>
      <c r="M863" s="411"/>
      <c r="N863" s="412"/>
    </row>
    <row r="864" spans="1:14">
      <c r="A864" s="33"/>
      <c r="B864" s="411"/>
      <c r="C864" s="411"/>
      <c r="D864" s="411"/>
      <c r="E864" s="411"/>
      <c r="F864" s="411"/>
      <c r="G864" s="411"/>
      <c r="H864" s="411"/>
      <c r="I864" s="411"/>
      <c r="J864" s="411"/>
      <c r="K864" s="411"/>
      <c r="L864" s="411"/>
      <c r="M864" s="411"/>
      <c r="N864" s="412"/>
    </row>
    <row r="865" spans="1:14">
      <c r="A865" s="33"/>
      <c r="B865" s="411"/>
      <c r="C865" s="411"/>
      <c r="D865" s="411"/>
      <c r="E865" s="411"/>
      <c r="F865" s="411"/>
      <c r="G865" s="411"/>
      <c r="H865" s="411"/>
      <c r="I865" s="411"/>
      <c r="J865" s="411"/>
      <c r="K865" s="411"/>
      <c r="L865" s="411"/>
      <c r="M865" s="411"/>
      <c r="N865" s="412"/>
    </row>
    <row r="866" spans="1:14">
      <c r="A866" s="33"/>
      <c r="B866" s="411"/>
      <c r="C866" s="411"/>
      <c r="D866" s="411"/>
      <c r="E866" s="411"/>
      <c r="F866" s="411"/>
      <c r="G866" s="411"/>
      <c r="H866" s="411"/>
      <c r="I866" s="411"/>
      <c r="J866" s="411"/>
      <c r="K866" s="411"/>
      <c r="L866" s="411"/>
      <c r="M866" s="411"/>
      <c r="N866" s="412"/>
    </row>
    <row r="867" spans="1:14">
      <c r="A867" s="33"/>
      <c r="B867" s="411"/>
      <c r="C867" s="411"/>
      <c r="D867" s="411"/>
      <c r="E867" s="411"/>
      <c r="F867" s="411"/>
      <c r="G867" s="411"/>
      <c r="H867" s="411"/>
      <c r="I867" s="411"/>
      <c r="J867" s="411"/>
      <c r="K867" s="411"/>
      <c r="L867" s="411"/>
      <c r="M867" s="411"/>
      <c r="N867" s="412"/>
    </row>
    <row r="868" spans="1:14">
      <c r="A868" s="33"/>
      <c r="B868" s="411"/>
      <c r="C868" s="411"/>
      <c r="D868" s="411"/>
      <c r="E868" s="411"/>
      <c r="F868" s="411"/>
      <c r="G868" s="411"/>
      <c r="H868" s="411"/>
      <c r="I868" s="411"/>
      <c r="J868" s="411"/>
      <c r="K868" s="411"/>
      <c r="L868" s="411"/>
      <c r="M868" s="411"/>
      <c r="N868" s="412"/>
    </row>
    <row r="869" spans="1:14">
      <c r="A869" s="33"/>
      <c r="B869" s="411"/>
      <c r="C869" s="411"/>
      <c r="D869" s="411"/>
      <c r="E869" s="411"/>
      <c r="F869" s="411"/>
      <c r="G869" s="411"/>
      <c r="H869" s="411"/>
      <c r="I869" s="411"/>
      <c r="J869" s="411"/>
      <c r="K869" s="411"/>
      <c r="L869" s="411"/>
      <c r="M869" s="411"/>
      <c r="N869" s="412"/>
    </row>
    <row r="870" spans="1:14">
      <c r="A870" s="33"/>
      <c r="B870" s="411"/>
      <c r="C870" s="411"/>
      <c r="D870" s="411"/>
      <c r="E870" s="411"/>
      <c r="F870" s="411"/>
      <c r="G870" s="411"/>
      <c r="H870" s="411"/>
      <c r="I870" s="411"/>
      <c r="J870" s="411"/>
      <c r="K870" s="411"/>
      <c r="L870" s="411"/>
      <c r="M870" s="411"/>
      <c r="N870" s="412"/>
    </row>
    <row r="871" spans="1:14">
      <c r="A871" s="33"/>
      <c r="B871" s="411"/>
      <c r="C871" s="411"/>
      <c r="D871" s="411"/>
      <c r="E871" s="411"/>
      <c r="F871" s="411"/>
      <c r="G871" s="411"/>
      <c r="H871" s="411"/>
      <c r="I871" s="411"/>
      <c r="J871" s="411"/>
      <c r="K871" s="411"/>
      <c r="L871" s="411"/>
      <c r="M871" s="411"/>
      <c r="N871" s="412"/>
    </row>
    <row r="872" spans="1:14">
      <c r="A872" s="33"/>
      <c r="B872" s="411"/>
      <c r="C872" s="411"/>
      <c r="D872" s="411"/>
      <c r="E872" s="411"/>
      <c r="F872" s="411"/>
      <c r="G872" s="411"/>
      <c r="H872" s="411"/>
      <c r="I872" s="411"/>
      <c r="J872" s="411"/>
      <c r="K872" s="411"/>
      <c r="L872" s="411"/>
      <c r="M872" s="411"/>
      <c r="N872" s="412"/>
    </row>
    <row r="873" spans="1:14">
      <c r="A873" s="33"/>
      <c r="B873" s="411"/>
      <c r="C873" s="411"/>
      <c r="D873" s="411"/>
      <c r="E873" s="411"/>
      <c r="F873" s="411"/>
      <c r="G873" s="411"/>
      <c r="H873" s="411"/>
      <c r="I873" s="411"/>
      <c r="J873" s="411"/>
      <c r="K873" s="411"/>
      <c r="L873" s="411"/>
      <c r="M873" s="411"/>
      <c r="N873" s="412"/>
    </row>
    <row r="874" spans="1:14">
      <c r="A874" s="33"/>
      <c r="B874" s="411"/>
      <c r="C874" s="411"/>
      <c r="D874" s="411"/>
      <c r="E874" s="411"/>
      <c r="F874" s="411"/>
      <c r="G874" s="411"/>
      <c r="H874" s="411"/>
      <c r="I874" s="411"/>
      <c r="J874" s="411"/>
      <c r="K874" s="411"/>
      <c r="L874" s="411"/>
      <c r="M874" s="411"/>
      <c r="N874" s="412"/>
    </row>
    <row r="875" spans="1:14">
      <c r="A875" s="33"/>
      <c r="B875" s="411"/>
      <c r="C875" s="411"/>
      <c r="D875" s="411"/>
      <c r="E875" s="411"/>
      <c r="F875" s="411"/>
      <c r="G875" s="411"/>
      <c r="H875" s="411"/>
      <c r="I875" s="411"/>
      <c r="J875" s="411"/>
      <c r="K875" s="411"/>
      <c r="L875" s="411"/>
      <c r="M875" s="411"/>
      <c r="N875" s="412"/>
    </row>
    <row r="876" spans="1:14">
      <c r="A876" s="33"/>
      <c r="B876" s="411"/>
      <c r="C876" s="411"/>
      <c r="D876" s="411"/>
      <c r="E876" s="411"/>
      <c r="F876" s="411"/>
      <c r="G876" s="411"/>
      <c r="H876" s="411"/>
      <c r="I876" s="411"/>
      <c r="J876" s="411"/>
      <c r="K876" s="411"/>
      <c r="L876" s="411"/>
      <c r="M876" s="411"/>
      <c r="N876" s="412"/>
    </row>
    <row r="877" spans="1:14">
      <c r="A877" s="33"/>
      <c r="B877" s="411"/>
      <c r="C877" s="411"/>
      <c r="D877" s="411"/>
      <c r="E877" s="411"/>
      <c r="F877" s="411"/>
      <c r="G877" s="411"/>
      <c r="H877" s="411"/>
      <c r="I877" s="411"/>
      <c r="J877" s="411"/>
      <c r="K877" s="411"/>
      <c r="L877" s="411"/>
      <c r="M877" s="411"/>
      <c r="N877" s="412"/>
    </row>
    <row r="878" spans="1:14">
      <c r="A878" s="33"/>
      <c r="B878" s="411"/>
      <c r="C878" s="411"/>
      <c r="D878" s="411"/>
      <c r="E878" s="411"/>
      <c r="F878" s="411"/>
      <c r="G878" s="411"/>
      <c r="H878" s="411"/>
      <c r="I878" s="411"/>
      <c r="J878" s="411"/>
      <c r="K878" s="411"/>
      <c r="L878" s="411"/>
      <c r="M878" s="411"/>
      <c r="N878" s="412"/>
    </row>
    <row r="879" spans="1:14">
      <c r="A879" s="33"/>
      <c r="B879" s="411"/>
      <c r="C879" s="411"/>
      <c r="D879" s="411"/>
      <c r="E879" s="411"/>
      <c r="F879" s="411"/>
      <c r="G879" s="411"/>
      <c r="H879" s="411"/>
      <c r="I879" s="411"/>
      <c r="J879" s="411"/>
      <c r="K879" s="411"/>
      <c r="L879" s="411"/>
      <c r="M879" s="411"/>
      <c r="N879" s="412"/>
    </row>
    <row r="880" spans="1:14">
      <c r="A880" s="33"/>
      <c r="B880" s="411"/>
      <c r="C880" s="411"/>
      <c r="D880" s="411"/>
      <c r="E880" s="411"/>
      <c r="F880" s="411"/>
      <c r="G880" s="411"/>
      <c r="H880" s="411"/>
      <c r="I880" s="411"/>
      <c r="J880" s="411"/>
      <c r="K880" s="411"/>
      <c r="L880" s="411"/>
      <c r="M880" s="411"/>
      <c r="N880" s="412"/>
    </row>
    <row r="881" spans="1:14">
      <c r="A881" s="33"/>
      <c r="B881" s="411"/>
      <c r="C881" s="411"/>
      <c r="D881" s="411"/>
      <c r="E881" s="411"/>
      <c r="F881" s="411"/>
      <c r="G881" s="411"/>
      <c r="H881" s="411"/>
      <c r="I881" s="411"/>
      <c r="J881" s="411"/>
      <c r="K881" s="411"/>
      <c r="L881" s="411"/>
      <c r="M881" s="411"/>
      <c r="N881" s="412"/>
    </row>
    <row r="882" spans="1:14">
      <c r="A882" s="33"/>
      <c r="B882" s="411"/>
      <c r="C882" s="411"/>
      <c r="D882" s="411"/>
      <c r="E882" s="411"/>
      <c r="F882" s="411"/>
      <c r="G882" s="411"/>
      <c r="H882" s="411"/>
      <c r="I882" s="411"/>
      <c r="J882" s="411"/>
      <c r="K882" s="411"/>
      <c r="L882" s="411"/>
      <c r="M882" s="411"/>
      <c r="N882" s="412"/>
    </row>
    <row r="883" spans="1:14">
      <c r="A883" s="33"/>
      <c r="B883" s="411"/>
      <c r="C883" s="411"/>
      <c r="D883" s="411"/>
      <c r="E883" s="411"/>
      <c r="F883" s="411"/>
      <c r="G883" s="411"/>
      <c r="H883" s="411"/>
      <c r="I883" s="411"/>
      <c r="J883" s="411"/>
      <c r="K883" s="411"/>
      <c r="L883" s="411"/>
      <c r="M883" s="411"/>
      <c r="N883" s="412"/>
    </row>
    <row r="884" spans="1:14">
      <c r="A884" s="33"/>
      <c r="B884" s="411"/>
      <c r="C884" s="411"/>
      <c r="D884" s="411"/>
      <c r="E884" s="411"/>
      <c r="F884" s="411"/>
      <c r="G884" s="411"/>
      <c r="H884" s="411"/>
      <c r="I884" s="411"/>
      <c r="J884" s="411"/>
      <c r="K884" s="411"/>
      <c r="L884" s="411"/>
      <c r="M884" s="411"/>
      <c r="N884" s="412"/>
    </row>
    <row r="885" spans="1:14">
      <c r="A885" s="33"/>
      <c r="B885" s="411"/>
      <c r="C885" s="411"/>
      <c r="D885" s="411"/>
      <c r="E885" s="411"/>
      <c r="F885" s="411"/>
      <c r="G885" s="411"/>
      <c r="H885" s="411"/>
      <c r="I885" s="411"/>
      <c r="J885" s="411"/>
      <c r="K885" s="411"/>
      <c r="L885" s="411"/>
      <c r="M885" s="411"/>
      <c r="N885" s="412"/>
    </row>
    <row r="886" spans="1:14">
      <c r="A886" s="33"/>
      <c r="B886" s="411"/>
      <c r="C886" s="411"/>
      <c r="D886" s="411"/>
      <c r="E886" s="411"/>
      <c r="F886" s="411"/>
      <c r="G886" s="411"/>
      <c r="H886" s="411"/>
      <c r="I886" s="411"/>
      <c r="J886" s="411"/>
      <c r="K886" s="411"/>
      <c r="L886" s="411"/>
      <c r="M886" s="411"/>
      <c r="N886" s="412"/>
    </row>
    <row r="887" spans="1:14">
      <c r="A887" s="33"/>
      <c r="B887" s="411"/>
      <c r="C887" s="411"/>
      <c r="D887" s="411"/>
      <c r="E887" s="411"/>
      <c r="F887" s="411"/>
      <c r="G887" s="411"/>
      <c r="H887" s="411"/>
      <c r="I887" s="411"/>
      <c r="J887" s="411"/>
      <c r="K887" s="411"/>
      <c r="L887" s="411"/>
      <c r="M887" s="411"/>
      <c r="N887" s="412"/>
    </row>
    <row r="888" spans="1:14">
      <c r="A888" s="33"/>
      <c r="B888" s="411"/>
      <c r="C888" s="411"/>
      <c r="D888" s="411"/>
      <c r="E888" s="411"/>
      <c r="F888" s="411"/>
      <c r="G888" s="411"/>
      <c r="H888" s="411"/>
      <c r="I888" s="411"/>
      <c r="J888" s="411"/>
      <c r="K888" s="411"/>
      <c r="L888" s="411"/>
      <c r="M888" s="411"/>
      <c r="N888" s="412"/>
    </row>
    <row r="889" spans="1:14">
      <c r="A889" s="33"/>
      <c r="B889" s="411"/>
      <c r="C889" s="411"/>
      <c r="D889" s="411"/>
      <c r="E889" s="411"/>
      <c r="F889" s="411"/>
      <c r="G889" s="411"/>
      <c r="H889" s="411"/>
      <c r="I889" s="411"/>
      <c r="J889" s="411"/>
      <c r="K889" s="411"/>
      <c r="L889" s="411"/>
      <c r="M889" s="411"/>
      <c r="N889" s="412"/>
    </row>
    <row r="890" spans="1:14">
      <c r="A890" s="33"/>
      <c r="B890" s="411"/>
      <c r="C890" s="411"/>
      <c r="D890" s="411"/>
      <c r="E890" s="411"/>
      <c r="F890" s="411"/>
      <c r="G890" s="411"/>
      <c r="H890" s="411"/>
      <c r="I890" s="411"/>
      <c r="J890" s="411"/>
      <c r="K890" s="411"/>
      <c r="L890" s="411"/>
      <c r="M890" s="411"/>
      <c r="N890" s="412"/>
    </row>
    <row r="891" spans="1:14">
      <c r="A891" s="33"/>
      <c r="B891" s="411"/>
      <c r="C891" s="411"/>
      <c r="D891" s="411"/>
      <c r="E891" s="411"/>
      <c r="F891" s="411"/>
      <c r="G891" s="411"/>
      <c r="H891" s="411"/>
      <c r="I891" s="411"/>
      <c r="J891" s="411"/>
      <c r="K891" s="411"/>
      <c r="L891" s="411"/>
      <c r="M891" s="411"/>
      <c r="N891" s="412"/>
    </row>
    <row r="892" spans="1:14">
      <c r="A892" s="33"/>
      <c r="B892" s="411"/>
      <c r="C892" s="411"/>
      <c r="D892" s="411"/>
      <c r="E892" s="411"/>
      <c r="F892" s="411"/>
      <c r="G892" s="411"/>
      <c r="H892" s="411"/>
      <c r="I892" s="411"/>
      <c r="J892" s="411"/>
      <c r="K892" s="411"/>
      <c r="L892" s="411"/>
      <c r="M892" s="411"/>
      <c r="N892" s="412"/>
    </row>
    <row r="893" spans="1:14">
      <c r="A893" s="33"/>
      <c r="B893" s="411"/>
      <c r="C893" s="411"/>
      <c r="D893" s="411"/>
      <c r="E893" s="411"/>
      <c r="F893" s="411"/>
      <c r="G893" s="411"/>
      <c r="H893" s="411"/>
      <c r="I893" s="411"/>
      <c r="J893" s="411"/>
      <c r="K893" s="411"/>
      <c r="L893" s="411"/>
      <c r="M893" s="411"/>
      <c r="N893" s="412"/>
    </row>
    <row r="894" spans="1:14">
      <c r="A894" s="33"/>
      <c r="B894" s="411"/>
      <c r="C894" s="411"/>
      <c r="D894" s="411"/>
      <c r="E894" s="411"/>
      <c r="F894" s="411"/>
      <c r="G894" s="411"/>
      <c r="H894" s="411"/>
      <c r="I894" s="411"/>
      <c r="J894" s="411"/>
      <c r="K894" s="411"/>
      <c r="L894" s="411"/>
      <c r="M894" s="411"/>
      <c r="N894" s="412"/>
    </row>
    <row r="895" spans="1:14">
      <c r="A895" s="33"/>
      <c r="B895" s="411"/>
      <c r="C895" s="411"/>
      <c r="D895" s="411"/>
      <c r="E895" s="411"/>
      <c r="F895" s="411"/>
      <c r="G895" s="411"/>
      <c r="H895" s="411"/>
      <c r="I895" s="411"/>
      <c r="J895" s="411"/>
      <c r="K895" s="411"/>
      <c r="L895" s="411"/>
      <c r="M895" s="411"/>
      <c r="N895" s="412"/>
    </row>
    <row r="896" spans="1:14">
      <c r="A896" s="33"/>
      <c r="B896" s="411"/>
      <c r="C896" s="411"/>
      <c r="D896" s="411"/>
      <c r="E896" s="411"/>
      <c r="F896" s="411"/>
      <c r="G896" s="411"/>
      <c r="H896" s="411"/>
      <c r="I896" s="411"/>
      <c r="J896" s="411"/>
      <c r="K896" s="411"/>
      <c r="L896" s="411"/>
      <c r="M896" s="411"/>
      <c r="N896" s="412"/>
    </row>
    <row r="897" spans="1:14">
      <c r="A897" s="33"/>
      <c r="B897" s="411"/>
      <c r="C897" s="411"/>
      <c r="D897" s="411"/>
      <c r="E897" s="411"/>
      <c r="F897" s="411"/>
      <c r="G897" s="411"/>
      <c r="H897" s="411"/>
      <c r="I897" s="411"/>
      <c r="J897" s="411"/>
      <c r="K897" s="411"/>
      <c r="L897" s="411"/>
      <c r="M897" s="411"/>
      <c r="N897" s="412"/>
    </row>
    <row r="898" spans="1:14">
      <c r="A898" s="33"/>
      <c r="B898" s="411"/>
      <c r="C898" s="411"/>
      <c r="D898" s="411"/>
      <c r="E898" s="411"/>
      <c r="F898" s="411"/>
      <c r="G898" s="411"/>
      <c r="H898" s="411"/>
      <c r="I898" s="411"/>
      <c r="J898" s="411"/>
      <c r="K898" s="411"/>
      <c r="L898" s="411"/>
      <c r="M898" s="411"/>
      <c r="N898" s="412"/>
    </row>
    <row r="899" spans="1:14">
      <c r="A899" s="33"/>
      <c r="B899" s="411"/>
      <c r="C899" s="411"/>
      <c r="D899" s="411"/>
      <c r="E899" s="411"/>
      <c r="F899" s="411"/>
      <c r="G899" s="411"/>
      <c r="H899" s="411"/>
      <c r="I899" s="411"/>
      <c r="J899" s="411"/>
      <c r="K899" s="411"/>
      <c r="L899" s="411"/>
      <c r="M899" s="411"/>
      <c r="N899" s="412"/>
    </row>
    <row r="900" spans="1:14">
      <c r="A900" s="33"/>
      <c r="B900" s="411"/>
      <c r="C900" s="411"/>
      <c r="D900" s="411"/>
      <c r="E900" s="411"/>
      <c r="F900" s="411"/>
      <c r="G900" s="411"/>
      <c r="H900" s="411"/>
      <c r="I900" s="411"/>
      <c r="J900" s="411"/>
      <c r="K900" s="411"/>
      <c r="L900" s="411"/>
      <c r="M900" s="411"/>
      <c r="N900" s="412"/>
    </row>
    <row r="901" spans="1:14">
      <c r="A901" s="33"/>
      <c r="B901" s="411"/>
      <c r="C901" s="411"/>
      <c r="D901" s="411"/>
      <c r="E901" s="411"/>
      <c r="F901" s="411"/>
      <c r="G901" s="411"/>
      <c r="H901" s="411"/>
      <c r="I901" s="411"/>
      <c r="J901" s="411"/>
      <c r="K901" s="411"/>
      <c r="L901" s="411"/>
      <c r="M901" s="411"/>
      <c r="N901" s="412"/>
    </row>
    <row r="902" spans="1:14">
      <c r="A902" s="33"/>
      <c r="B902" s="411"/>
      <c r="C902" s="411"/>
      <c r="D902" s="411"/>
      <c r="E902" s="411"/>
      <c r="F902" s="411"/>
      <c r="G902" s="411"/>
      <c r="H902" s="411"/>
      <c r="I902" s="411"/>
      <c r="J902" s="411"/>
      <c r="K902" s="411"/>
      <c r="L902" s="411"/>
      <c r="M902" s="411"/>
      <c r="N902" s="412"/>
    </row>
    <row r="903" spans="1:14">
      <c r="A903" s="33"/>
      <c r="B903" s="411"/>
      <c r="C903" s="411"/>
      <c r="D903" s="411"/>
      <c r="E903" s="411"/>
      <c r="F903" s="411"/>
      <c r="G903" s="411"/>
      <c r="H903" s="411"/>
      <c r="I903" s="411"/>
      <c r="J903" s="411"/>
      <c r="K903" s="411"/>
      <c r="L903" s="411"/>
      <c r="M903" s="411"/>
      <c r="N903" s="412"/>
    </row>
    <row r="904" spans="1:14">
      <c r="A904" s="33"/>
      <c r="B904" s="411"/>
      <c r="C904" s="411"/>
      <c r="D904" s="411"/>
      <c r="E904" s="411"/>
      <c r="F904" s="411"/>
      <c r="G904" s="411"/>
      <c r="H904" s="411"/>
      <c r="I904" s="411"/>
      <c r="J904" s="411"/>
      <c r="K904" s="411"/>
      <c r="L904" s="411"/>
      <c r="M904" s="411"/>
      <c r="N904" s="412"/>
    </row>
    <row r="905" spans="1:14">
      <c r="A905" s="33"/>
      <c r="B905" s="411"/>
      <c r="C905" s="411"/>
      <c r="D905" s="411"/>
      <c r="E905" s="411"/>
      <c r="F905" s="411"/>
      <c r="G905" s="411"/>
      <c r="H905" s="411"/>
      <c r="I905" s="411"/>
      <c r="J905" s="411"/>
      <c r="K905" s="411"/>
      <c r="L905" s="411"/>
      <c r="M905" s="411"/>
      <c r="N905" s="412"/>
    </row>
    <row r="906" spans="1:14">
      <c r="A906" s="33"/>
      <c r="B906" s="411"/>
      <c r="C906" s="411"/>
      <c r="D906" s="411"/>
      <c r="E906" s="411"/>
      <c r="F906" s="411"/>
      <c r="G906" s="411"/>
      <c r="H906" s="411"/>
      <c r="I906" s="411"/>
      <c r="J906" s="411"/>
      <c r="K906" s="411"/>
      <c r="L906" s="411"/>
      <c r="M906" s="411"/>
      <c r="N906" s="412"/>
    </row>
    <row r="907" spans="1:14">
      <c r="A907" s="33"/>
      <c r="B907" s="411"/>
      <c r="C907" s="411"/>
      <c r="D907" s="411"/>
      <c r="E907" s="411"/>
      <c r="F907" s="411"/>
      <c r="G907" s="411"/>
      <c r="H907" s="411"/>
      <c r="I907" s="411"/>
      <c r="J907" s="411"/>
      <c r="K907" s="411"/>
      <c r="L907" s="411"/>
      <c r="M907" s="411"/>
      <c r="N907" s="412"/>
    </row>
    <row r="908" spans="1:14">
      <c r="A908" s="33"/>
      <c r="B908" s="411"/>
      <c r="C908" s="411"/>
      <c r="D908" s="411"/>
      <c r="E908" s="411"/>
      <c r="F908" s="411"/>
      <c r="G908" s="411"/>
      <c r="H908" s="411"/>
      <c r="I908" s="411"/>
      <c r="J908" s="411"/>
      <c r="K908" s="411"/>
      <c r="L908" s="411"/>
      <c r="M908" s="411"/>
      <c r="N908" s="412"/>
    </row>
    <row r="909" spans="1:14">
      <c r="A909" s="33"/>
      <c r="B909" s="411"/>
      <c r="C909" s="411"/>
      <c r="D909" s="411"/>
      <c r="E909" s="411"/>
      <c r="F909" s="411"/>
      <c r="G909" s="411"/>
      <c r="H909" s="411"/>
      <c r="I909" s="411"/>
      <c r="J909" s="411"/>
      <c r="K909" s="411"/>
      <c r="L909" s="411"/>
      <c r="M909" s="411"/>
      <c r="N909" s="412"/>
    </row>
    <row r="910" spans="1:14">
      <c r="A910" s="33"/>
      <c r="B910" s="411"/>
      <c r="C910" s="411"/>
      <c r="D910" s="411"/>
      <c r="E910" s="411"/>
      <c r="F910" s="411"/>
      <c r="G910" s="411"/>
      <c r="H910" s="411"/>
      <c r="I910" s="411"/>
      <c r="J910" s="411"/>
      <c r="K910" s="411"/>
      <c r="L910" s="411"/>
      <c r="M910" s="411"/>
      <c r="N910" s="412"/>
    </row>
    <row r="911" spans="1:14">
      <c r="A911" s="33"/>
      <c r="B911" s="411"/>
      <c r="C911" s="411"/>
      <c r="D911" s="411"/>
      <c r="E911" s="411"/>
      <c r="F911" s="411"/>
      <c r="G911" s="411"/>
      <c r="H911" s="411"/>
      <c r="I911" s="411"/>
      <c r="J911" s="411"/>
      <c r="K911" s="411"/>
      <c r="L911" s="411"/>
      <c r="M911" s="411"/>
      <c r="N911" s="412"/>
    </row>
    <row r="912" spans="1:14">
      <c r="A912" s="33"/>
      <c r="B912" s="411"/>
      <c r="C912" s="411"/>
      <c r="D912" s="411"/>
      <c r="E912" s="411"/>
      <c r="F912" s="411"/>
      <c r="G912" s="411"/>
      <c r="H912" s="411"/>
      <c r="I912" s="411"/>
      <c r="J912" s="411"/>
      <c r="K912" s="411"/>
      <c r="L912" s="411"/>
      <c r="M912" s="411"/>
      <c r="N912" s="412"/>
    </row>
    <row r="913" spans="1:14">
      <c r="A913" s="33"/>
      <c r="B913" s="411"/>
      <c r="C913" s="411"/>
      <c r="D913" s="411"/>
      <c r="E913" s="411"/>
      <c r="F913" s="411"/>
      <c r="G913" s="411"/>
      <c r="H913" s="411"/>
      <c r="I913" s="411"/>
      <c r="J913" s="411"/>
      <c r="K913" s="411"/>
      <c r="L913" s="411"/>
      <c r="M913" s="411"/>
      <c r="N913" s="412"/>
    </row>
    <row r="914" spans="1:14">
      <c r="A914" s="33"/>
      <c r="B914" s="411"/>
      <c r="C914" s="411"/>
      <c r="D914" s="411"/>
      <c r="E914" s="411"/>
      <c r="F914" s="411"/>
      <c r="G914" s="411"/>
      <c r="H914" s="411"/>
      <c r="I914" s="411"/>
      <c r="J914" s="411"/>
      <c r="K914" s="411"/>
      <c r="L914" s="411"/>
      <c r="M914" s="411"/>
      <c r="N914" s="412"/>
    </row>
    <row r="915" spans="1:14">
      <c r="A915" s="33"/>
      <c r="B915" s="411"/>
      <c r="C915" s="411"/>
      <c r="D915" s="411"/>
      <c r="E915" s="411"/>
      <c r="F915" s="411"/>
      <c r="G915" s="411"/>
      <c r="H915" s="411"/>
      <c r="I915" s="411"/>
      <c r="J915" s="411"/>
      <c r="K915" s="411"/>
      <c r="L915" s="411"/>
      <c r="M915" s="411"/>
      <c r="N915" s="412"/>
    </row>
    <row r="916" spans="1:14">
      <c r="A916" s="33"/>
      <c r="B916" s="411"/>
      <c r="C916" s="411"/>
      <c r="D916" s="411"/>
      <c r="E916" s="411"/>
      <c r="F916" s="411"/>
      <c r="G916" s="411"/>
      <c r="H916" s="411"/>
      <c r="I916" s="411"/>
      <c r="J916" s="411"/>
      <c r="K916" s="411"/>
      <c r="L916" s="411"/>
      <c r="M916" s="411"/>
      <c r="N916" s="412"/>
    </row>
    <row r="917" spans="1:14">
      <c r="A917" s="33"/>
      <c r="B917" s="411"/>
      <c r="C917" s="411"/>
      <c r="D917" s="411"/>
      <c r="E917" s="411"/>
      <c r="F917" s="411"/>
      <c r="G917" s="411"/>
      <c r="H917" s="411"/>
      <c r="I917" s="411"/>
      <c r="J917" s="411"/>
      <c r="K917" s="411"/>
      <c r="L917" s="411"/>
      <c r="M917" s="411"/>
      <c r="N917" s="412"/>
    </row>
    <row r="918" spans="1:14">
      <c r="A918" s="33"/>
      <c r="B918" s="411"/>
      <c r="C918" s="411"/>
      <c r="D918" s="411"/>
      <c r="E918" s="411"/>
      <c r="F918" s="411"/>
      <c r="G918" s="411"/>
      <c r="H918" s="411"/>
      <c r="I918" s="411"/>
      <c r="J918" s="411"/>
      <c r="K918" s="411"/>
      <c r="L918" s="411"/>
      <c r="M918" s="411"/>
      <c r="N918" s="412"/>
    </row>
    <row r="919" spans="1:14">
      <c r="A919" s="33"/>
      <c r="B919" s="411"/>
      <c r="C919" s="411"/>
      <c r="D919" s="411"/>
      <c r="E919" s="411"/>
      <c r="F919" s="411"/>
      <c r="G919" s="411"/>
      <c r="H919" s="411"/>
      <c r="I919" s="411"/>
      <c r="J919" s="411"/>
      <c r="K919" s="411"/>
      <c r="L919" s="411"/>
      <c r="M919" s="411"/>
      <c r="N919" s="412"/>
    </row>
    <row r="920" spans="1:14">
      <c r="A920" s="33"/>
      <c r="B920" s="411"/>
      <c r="C920" s="411"/>
      <c r="D920" s="411"/>
      <c r="E920" s="411"/>
      <c r="F920" s="411"/>
      <c r="G920" s="411"/>
      <c r="H920" s="411"/>
      <c r="I920" s="411"/>
      <c r="J920" s="411"/>
      <c r="K920" s="411"/>
      <c r="L920" s="411"/>
      <c r="M920" s="411"/>
      <c r="N920" s="412"/>
    </row>
    <row r="921" spans="1:14">
      <c r="A921" s="33"/>
      <c r="B921" s="411"/>
      <c r="C921" s="411"/>
      <c r="D921" s="411"/>
      <c r="E921" s="411"/>
      <c r="F921" s="411"/>
      <c r="G921" s="411"/>
      <c r="H921" s="411"/>
      <c r="I921" s="411"/>
      <c r="J921" s="411"/>
      <c r="K921" s="411"/>
      <c r="L921" s="411"/>
      <c r="M921" s="411"/>
      <c r="N921" s="412"/>
    </row>
    <row r="922" spans="1:14">
      <c r="A922" s="33"/>
      <c r="B922" s="411"/>
      <c r="C922" s="411"/>
      <c r="D922" s="411"/>
      <c r="E922" s="411"/>
      <c r="F922" s="411"/>
      <c r="G922" s="411"/>
      <c r="H922" s="411"/>
      <c r="I922" s="411"/>
      <c r="J922" s="411"/>
      <c r="K922" s="411"/>
      <c r="L922" s="411"/>
      <c r="M922" s="411"/>
      <c r="N922" s="412"/>
    </row>
    <row r="923" spans="1:14">
      <c r="A923" s="33"/>
      <c r="B923" s="411"/>
      <c r="C923" s="411"/>
      <c r="D923" s="411"/>
      <c r="E923" s="411"/>
      <c r="F923" s="411"/>
      <c r="G923" s="411"/>
      <c r="H923" s="411"/>
      <c r="I923" s="411"/>
      <c r="J923" s="411"/>
      <c r="K923" s="411"/>
      <c r="L923" s="411"/>
      <c r="M923" s="411"/>
      <c r="N923" s="412"/>
    </row>
    <row r="924" spans="1:14">
      <c r="A924" s="33"/>
      <c r="B924" s="411"/>
      <c r="C924" s="411"/>
      <c r="D924" s="411"/>
      <c r="E924" s="411"/>
      <c r="F924" s="411"/>
      <c r="G924" s="411"/>
      <c r="H924" s="411"/>
      <c r="I924" s="411"/>
      <c r="J924" s="411"/>
      <c r="K924" s="411"/>
      <c r="L924" s="411"/>
      <c r="M924" s="411"/>
      <c r="N924" s="412"/>
    </row>
    <row r="925" spans="1:14">
      <c r="A925" s="33"/>
      <c r="B925" s="411"/>
      <c r="C925" s="411"/>
      <c r="D925" s="411"/>
      <c r="E925" s="411"/>
      <c r="F925" s="411"/>
      <c r="G925" s="411"/>
      <c r="H925" s="411"/>
      <c r="I925" s="411"/>
      <c r="J925" s="411"/>
      <c r="K925" s="411"/>
      <c r="L925" s="411"/>
      <c r="M925" s="411"/>
      <c r="N925" s="412"/>
    </row>
    <row r="926" spans="1:14">
      <c r="A926" s="33"/>
      <c r="B926" s="411"/>
      <c r="C926" s="411"/>
      <c r="D926" s="411"/>
      <c r="E926" s="411"/>
      <c r="F926" s="411"/>
      <c r="G926" s="411"/>
      <c r="H926" s="411"/>
      <c r="I926" s="411"/>
      <c r="J926" s="411"/>
      <c r="K926" s="411"/>
      <c r="L926" s="411"/>
      <c r="M926" s="411"/>
      <c r="N926" s="412"/>
    </row>
    <row r="927" spans="1:14">
      <c r="A927" s="33"/>
      <c r="B927" s="411"/>
      <c r="C927" s="411"/>
      <c r="D927" s="411"/>
      <c r="E927" s="411"/>
      <c r="F927" s="411"/>
      <c r="G927" s="411"/>
      <c r="H927" s="411"/>
      <c r="I927" s="411"/>
      <c r="J927" s="411"/>
      <c r="K927" s="411"/>
      <c r="L927" s="411"/>
      <c r="M927" s="411"/>
      <c r="N927" s="412"/>
    </row>
    <row r="928" spans="1:14">
      <c r="A928" s="33"/>
      <c r="B928" s="411"/>
      <c r="C928" s="411"/>
      <c r="D928" s="411"/>
      <c r="E928" s="411"/>
      <c r="F928" s="411"/>
      <c r="G928" s="411"/>
      <c r="H928" s="411"/>
      <c r="I928" s="411"/>
      <c r="J928" s="411"/>
      <c r="K928" s="411"/>
      <c r="L928" s="411"/>
      <c r="M928" s="411"/>
      <c r="N928" s="412"/>
    </row>
    <row r="929" spans="1:14">
      <c r="A929" s="33"/>
      <c r="B929" s="411"/>
      <c r="C929" s="411"/>
      <c r="D929" s="411"/>
      <c r="E929" s="411"/>
      <c r="F929" s="411"/>
      <c r="G929" s="411"/>
      <c r="H929" s="411"/>
      <c r="I929" s="411"/>
      <c r="J929" s="411"/>
      <c r="K929" s="411"/>
      <c r="L929" s="411"/>
      <c r="M929" s="411"/>
      <c r="N929" s="412"/>
    </row>
    <row r="930" spans="1:14">
      <c r="A930" s="33"/>
      <c r="B930" s="411"/>
      <c r="C930" s="411"/>
      <c r="D930" s="411"/>
      <c r="E930" s="411"/>
      <c r="F930" s="411"/>
      <c r="G930" s="411"/>
      <c r="H930" s="411"/>
      <c r="I930" s="411"/>
      <c r="J930" s="411"/>
      <c r="K930" s="411"/>
      <c r="L930" s="411"/>
      <c r="M930" s="411"/>
      <c r="N930" s="412"/>
    </row>
    <row r="931" spans="1:14">
      <c r="A931" s="33"/>
      <c r="B931" s="411"/>
      <c r="C931" s="411"/>
      <c r="D931" s="411"/>
      <c r="E931" s="411"/>
      <c r="F931" s="411"/>
      <c r="G931" s="411"/>
      <c r="H931" s="411"/>
      <c r="I931" s="411"/>
      <c r="J931" s="411"/>
      <c r="K931" s="411"/>
      <c r="L931" s="411"/>
      <c r="M931" s="411"/>
      <c r="N931" s="412"/>
    </row>
    <row r="932" spans="1:14">
      <c r="A932" s="33"/>
      <c r="B932" s="411"/>
      <c r="C932" s="411"/>
      <c r="D932" s="411"/>
      <c r="E932" s="411"/>
      <c r="F932" s="411"/>
      <c r="G932" s="411"/>
      <c r="H932" s="411"/>
      <c r="I932" s="411"/>
      <c r="J932" s="411"/>
      <c r="K932" s="411"/>
      <c r="L932" s="411"/>
      <c r="M932" s="411"/>
      <c r="N932" s="412"/>
    </row>
    <row r="933" spans="1:14">
      <c r="A933" s="33"/>
      <c r="B933" s="411"/>
      <c r="C933" s="411"/>
      <c r="D933" s="411"/>
      <c r="E933" s="411"/>
      <c r="F933" s="411"/>
      <c r="G933" s="411"/>
      <c r="H933" s="411"/>
      <c r="I933" s="411"/>
      <c r="J933" s="411"/>
      <c r="K933" s="411"/>
      <c r="L933" s="411"/>
      <c r="M933" s="411"/>
      <c r="N933" s="412"/>
    </row>
    <row r="934" spans="1:14">
      <c r="A934" s="33"/>
      <c r="B934" s="411"/>
      <c r="C934" s="411"/>
      <c r="D934" s="411"/>
      <c r="E934" s="411"/>
      <c r="F934" s="411"/>
      <c r="G934" s="411"/>
      <c r="H934" s="411"/>
      <c r="I934" s="411"/>
      <c r="J934" s="411"/>
      <c r="K934" s="411"/>
      <c r="L934" s="411"/>
      <c r="M934" s="411"/>
      <c r="N934" s="412"/>
    </row>
    <row r="935" spans="1:14">
      <c r="A935" s="33"/>
      <c r="B935" s="411"/>
      <c r="C935" s="411"/>
      <c r="D935" s="411"/>
      <c r="E935" s="411"/>
      <c r="F935" s="411"/>
      <c r="G935" s="411"/>
      <c r="H935" s="411"/>
      <c r="I935" s="411"/>
      <c r="J935" s="411"/>
      <c r="K935" s="411"/>
      <c r="L935" s="411"/>
      <c r="M935" s="411"/>
      <c r="N935" s="412"/>
    </row>
    <row r="936" spans="1:14">
      <c r="A936" s="33"/>
      <c r="B936" s="411"/>
      <c r="C936" s="411"/>
      <c r="D936" s="411"/>
      <c r="E936" s="411"/>
      <c r="F936" s="411"/>
      <c r="G936" s="411"/>
      <c r="H936" s="411"/>
      <c r="I936" s="411"/>
      <c r="J936" s="411"/>
      <c r="K936" s="411"/>
      <c r="L936" s="411"/>
      <c r="M936" s="411"/>
      <c r="N936" s="412"/>
    </row>
    <row r="937" spans="1:14">
      <c r="A937" s="33"/>
      <c r="B937" s="411"/>
      <c r="C937" s="411"/>
      <c r="D937" s="411"/>
      <c r="E937" s="411"/>
      <c r="F937" s="411"/>
      <c r="G937" s="411"/>
      <c r="H937" s="411"/>
      <c r="I937" s="411"/>
      <c r="J937" s="411"/>
      <c r="K937" s="411"/>
      <c r="L937" s="411"/>
      <c r="M937" s="411"/>
      <c r="N937" s="412"/>
    </row>
    <row r="938" spans="1:14">
      <c r="A938" s="33"/>
      <c r="B938" s="411"/>
      <c r="C938" s="411"/>
      <c r="D938" s="411"/>
      <c r="E938" s="411"/>
      <c r="F938" s="411"/>
      <c r="G938" s="411"/>
      <c r="H938" s="411"/>
      <c r="I938" s="411"/>
      <c r="J938" s="411"/>
      <c r="K938" s="411"/>
      <c r="L938" s="411"/>
      <c r="M938" s="411"/>
      <c r="N938" s="412"/>
    </row>
    <row r="939" spans="1:14">
      <c r="A939" s="33"/>
      <c r="B939" s="411"/>
      <c r="C939" s="411"/>
      <c r="D939" s="411"/>
      <c r="E939" s="411"/>
      <c r="F939" s="411"/>
      <c r="G939" s="411"/>
      <c r="H939" s="411"/>
      <c r="I939" s="411"/>
      <c r="J939" s="411"/>
      <c r="K939" s="411"/>
      <c r="L939" s="411"/>
      <c r="M939" s="411"/>
      <c r="N939" s="412"/>
    </row>
    <row r="940" spans="1:14">
      <c r="A940" s="33"/>
      <c r="B940" s="411"/>
      <c r="C940" s="411"/>
      <c r="D940" s="411"/>
      <c r="E940" s="411"/>
      <c r="F940" s="411"/>
      <c r="G940" s="411"/>
      <c r="H940" s="411"/>
      <c r="I940" s="411"/>
      <c r="J940" s="411"/>
      <c r="K940" s="411"/>
      <c r="L940" s="411"/>
      <c r="M940" s="411"/>
      <c r="N940" s="412"/>
    </row>
    <row r="941" spans="1:14">
      <c r="A941" s="33"/>
      <c r="B941" s="411"/>
      <c r="C941" s="411"/>
      <c r="D941" s="411"/>
      <c r="E941" s="411"/>
      <c r="F941" s="411"/>
      <c r="G941" s="411"/>
      <c r="H941" s="411"/>
      <c r="I941" s="411"/>
      <c r="J941" s="411"/>
      <c r="K941" s="411"/>
      <c r="L941" s="411"/>
      <c r="M941" s="411"/>
      <c r="N941" s="412"/>
    </row>
    <row r="942" spans="1:14">
      <c r="A942" s="33"/>
      <c r="B942" s="411"/>
      <c r="C942" s="411"/>
      <c r="D942" s="411"/>
      <c r="E942" s="411"/>
      <c r="F942" s="411"/>
      <c r="G942" s="411"/>
      <c r="H942" s="411"/>
      <c r="I942" s="411"/>
      <c r="J942" s="411"/>
      <c r="K942" s="411"/>
      <c r="L942" s="411"/>
      <c r="M942" s="411"/>
      <c r="N942" s="412"/>
    </row>
    <row r="943" spans="1:14">
      <c r="A943" s="33"/>
      <c r="B943" s="411"/>
      <c r="C943" s="411"/>
      <c r="D943" s="411"/>
      <c r="E943" s="411"/>
      <c r="F943" s="411"/>
      <c r="G943" s="411"/>
      <c r="H943" s="411"/>
      <c r="I943" s="411"/>
      <c r="J943" s="411"/>
      <c r="K943" s="411"/>
      <c r="L943" s="411"/>
      <c r="M943" s="411"/>
      <c r="N943" s="412"/>
    </row>
    <row r="944" spans="1:14">
      <c r="A944" s="33"/>
      <c r="B944" s="411"/>
      <c r="C944" s="411"/>
      <c r="D944" s="411"/>
      <c r="E944" s="411"/>
      <c r="F944" s="411"/>
      <c r="G944" s="411"/>
      <c r="H944" s="411"/>
      <c r="I944" s="411"/>
      <c r="J944" s="411"/>
      <c r="K944" s="411"/>
      <c r="L944" s="411"/>
      <c r="M944" s="411"/>
      <c r="N944" s="412"/>
    </row>
    <row r="945" spans="1:14">
      <c r="A945" s="33"/>
      <c r="B945" s="411"/>
      <c r="C945" s="411"/>
      <c r="D945" s="411"/>
      <c r="E945" s="411"/>
      <c r="F945" s="411"/>
      <c r="G945" s="411"/>
      <c r="H945" s="411"/>
      <c r="I945" s="411"/>
      <c r="J945" s="411"/>
      <c r="K945" s="411"/>
      <c r="L945" s="411"/>
      <c r="M945" s="411"/>
      <c r="N945" s="412"/>
    </row>
    <row r="946" spans="1:14">
      <c r="A946" s="33"/>
      <c r="B946" s="411"/>
      <c r="C946" s="411"/>
      <c r="D946" s="411"/>
      <c r="E946" s="411"/>
      <c r="F946" s="411"/>
      <c r="G946" s="411"/>
      <c r="H946" s="411"/>
      <c r="I946" s="411"/>
      <c r="J946" s="411"/>
      <c r="K946" s="411"/>
      <c r="L946" s="411"/>
      <c r="M946" s="411"/>
      <c r="N946" s="412"/>
    </row>
    <row r="947" spans="1:14">
      <c r="A947" s="33"/>
      <c r="B947" s="411"/>
      <c r="C947" s="411"/>
      <c r="D947" s="411"/>
      <c r="E947" s="411"/>
      <c r="F947" s="411"/>
      <c r="G947" s="411"/>
      <c r="H947" s="411"/>
      <c r="I947" s="411"/>
      <c r="J947" s="411"/>
      <c r="K947" s="411"/>
      <c r="L947" s="411"/>
      <c r="M947" s="411"/>
      <c r="N947" s="412"/>
    </row>
    <row r="948" spans="1:14">
      <c r="A948" s="33"/>
      <c r="B948" s="411"/>
      <c r="C948" s="411"/>
      <c r="D948" s="411"/>
      <c r="E948" s="411"/>
      <c r="F948" s="411"/>
      <c r="G948" s="411"/>
      <c r="H948" s="411"/>
      <c r="I948" s="411"/>
      <c r="J948" s="411"/>
      <c r="K948" s="411"/>
      <c r="L948" s="411"/>
      <c r="M948" s="411"/>
      <c r="N948" s="412"/>
    </row>
    <row r="949" spans="1:14">
      <c r="A949" s="33"/>
      <c r="B949" s="411"/>
      <c r="C949" s="411"/>
      <c r="D949" s="411"/>
      <c r="E949" s="411"/>
      <c r="F949" s="411"/>
      <c r="G949" s="411"/>
      <c r="H949" s="411"/>
      <c r="I949" s="411"/>
      <c r="J949" s="411"/>
      <c r="K949" s="411"/>
      <c r="L949" s="411"/>
      <c r="M949" s="411"/>
      <c r="N949" s="412"/>
    </row>
    <row r="950" spans="1:14">
      <c r="A950" s="33"/>
      <c r="B950" s="411"/>
      <c r="C950" s="411"/>
      <c r="D950" s="411"/>
      <c r="E950" s="411"/>
      <c r="F950" s="411"/>
      <c r="G950" s="411"/>
      <c r="H950" s="411"/>
      <c r="I950" s="411"/>
      <c r="J950" s="411"/>
      <c r="K950" s="411"/>
      <c r="L950" s="411"/>
      <c r="M950" s="411"/>
      <c r="N950" s="412"/>
    </row>
    <row r="951" spans="1:14">
      <c r="A951" s="33"/>
      <c r="B951" s="411"/>
      <c r="C951" s="411"/>
      <c r="D951" s="411"/>
      <c r="E951" s="411"/>
      <c r="F951" s="411"/>
      <c r="G951" s="411"/>
      <c r="H951" s="411"/>
      <c r="I951" s="411"/>
      <c r="J951" s="411"/>
      <c r="K951" s="411"/>
      <c r="L951" s="411"/>
      <c r="M951" s="411"/>
      <c r="N951" s="412"/>
    </row>
    <row r="952" spans="1:14">
      <c r="A952" s="33"/>
      <c r="B952" s="411"/>
      <c r="C952" s="411"/>
      <c r="D952" s="411"/>
      <c r="E952" s="411"/>
      <c r="F952" s="411"/>
      <c r="G952" s="411"/>
      <c r="H952" s="411"/>
      <c r="I952" s="411"/>
      <c r="J952" s="411"/>
      <c r="K952" s="411"/>
      <c r="L952" s="411"/>
      <c r="M952" s="411"/>
      <c r="N952" s="412"/>
    </row>
    <row r="953" spans="1:14">
      <c r="A953" s="33"/>
      <c r="B953" s="411"/>
      <c r="C953" s="411"/>
      <c r="D953" s="411"/>
      <c r="E953" s="411"/>
      <c r="F953" s="411"/>
      <c r="G953" s="411"/>
      <c r="H953" s="411"/>
      <c r="I953" s="411"/>
      <c r="J953" s="411"/>
      <c r="K953" s="411"/>
      <c r="L953" s="411"/>
      <c r="M953" s="411"/>
      <c r="N953" s="412"/>
    </row>
    <row r="954" spans="1:14">
      <c r="A954" s="33"/>
      <c r="B954" s="411"/>
      <c r="C954" s="411"/>
      <c r="D954" s="411"/>
      <c r="E954" s="411"/>
      <c r="F954" s="411"/>
      <c r="G954" s="411"/>
      <c r="H954" s="411"/>
      <c r="I954" s="411"/>
      <c r="J954" s="411"/>
      <c r="K954" s="411"/>
      <c r="L954" s="411"/>
      <c r="M954" s="411"/>
      <c r="N954" s="412"/>
    </row>
    <row r="955" spans="1:14">
      <c r="A955" s="33"/>
      <c r="B955" s="411"/>
      <c r="C955" s="411"/>
      <c r="D955" s="411"/>
      <c r="E955" s="411"/>
      <c r="F955" s="411"/>
      <c r="G955" s="411"/>
      <c r="H955" s="411"/>
      <c r="I955" s="411"/>
      <c r="J955" s="411"/>
      <c r="K955" s="411"/>
      <c r="L955" s="411"/>
      <c r="M955" s="411"/>
      <c r="N955" s="412"/>
    </row>
    <row r="956" spans="1:14">
      <c r="A956" s="33"/>
      <c r="B956" s="411"/>
      <c r="C956" s="411"/>
      <c r="D956" s="411"/>
      <c r="E956" s="411"/>
      <c r="F956" s="411"/>
      <c r="G956" s="411"/>
      <c r="H956" s="411"/>
      <c r="I956" s="411"/>
      <c r="J956" s="411"/>
      <c r="K956" s="411"/>
      <c r="L956" s="411"/>
      <c r="M956" s="411"/>
      <c r="N956" s="412"/>
    </row>
    <row r="957" spans="1:14">
      <c r="A957" s="33"/>
      <c r="B957" s="411"/>
      <c r="C957" s="411"/>
      <c r="D957" s="411"/>
      <c r="E957" s="411"/>
      <c r="F957" s="411"/>
      <c r="G957" s="411"/>
      <c r="H957" s="411"/>
      <c r="I957" s="411"/>
      <c r="J957" s="411"/>
      <c r="K957" s="411"/>
      <c r="L957" s="411"/>
      <c r="M957" s="411"/>
      <c r="N957" s="412"/>
    </row>
    <row r="958" spans="1:14">
      <c r="A958" s="33"/>
      <c r="B958" s="411"/>
      <c r="C958" s="411"/>
      <c r="D958" s="411"/>
      <c r="E958" s="411"/>
      <c r="F958" s="411"/>
      <c r="G958" s="411"/>
      <c r="H958" s="411"/>
      <c r="I958" s="411"/>
      <c r="J958" s="411"/>
      <c r="K958" s="411"/>
      <c r="L958" s="411"/>
      <c r="M958" s="411"/>
      <c r="N958" s="412"/>
    </row>
    <row r="959" spans="1:14">
      <c r="A959" s="33"/>
      <c r="B959" s="411"/>
      <c r="C959" s="411"/>
      <c r="D959" s="411"/>
      <c r="E959" s="411"/>
      <c r="F959" s="411"/>
      <c r="G959" s="411"/>
      <c r="H959" s="411"/>
      <c r="I959" s="411"/>
      <c r="J959" s="411"/>
      <c r="K959" s="411"/>
      <c r="L959" s="411"/>
      <c r="M959" s="411"/>
      <c r="N959" s="412"/>
    </row>
    <row r="960" spans="1:14">
      <c r="A960" s="33"/>
      <c r="B960" s="411"/>
      <c r="C960" s="411"/>
      <c r="D960" s="411"/>
      <c r="E960" s="411"/>
      <c r="F960" s="411"/>
      <c r="G960" s="411"/>
      <c r="H960" s="411"/>
      <c r="I960" s="411"/>
      <c r="J960" s="411"/>
      <c r="K960" s="411"/>
      <c r="L960" s="411"/>
      <c r="M960" s="411"/>
      <c r="N960" s="412"/>
    </row>
    <row r="961" spans="1:14">
      <c r="A961" s="33"/>
      <c r="B961" s="411"/>
      <c r="C961" s="411"/>
      <c r="D961" s="411"/>
      <c r="E961" s="411"/>
      <c r="F961" s="411"/>
      <c r="G961" s="411"/>
      <c r="H961" s="411"/>
      <c r="I961" s="411"/>
      <c r="J961" s="411"/>
      <c r="K961" s="411"/>
      <c r="L961" s="411"/>
      <c r="M961" s="411"/>
      <c r="N961" s="412"/>
    </row>
    <row r="962" spans="1:14">
      <c r="A962" s="33"/>
      <c r="B962" s="411"/>
      <c r="C962" s="411"/>
      <c r="D962" s="411"/>
      <c r="E962" s="411"/>
      <c r="F962" s="411"/>
      <c r="G962" s="411"/>
      <c r="H962" s="411"/>
      <c r="I962" s="411"/>
      <c r="J962" s="411"/>
      <c r="K962" s="411"/>
      <c r="L962" s="411"/>
      <c r="M962" s="411"/>
      <c r="N962" s="412"/>
    </row>
    <row r="963" spans="1:14">
      <c r="A963" s="33"/>
      <c r="B963" s="411"/>
      <c r="C963" s="411"/>
      <c r="D963" s="411"/>
      <c r="E963" s="411"/>
      <c r="F963" s="411"/>
      <c r="G963" s="411"/>
      <c r="H963" s="411"/>
      <c r="I963" s="411"/>
      <c r="J963" s="411"/>
      <c r="K963" s="411"/>
      <c r="L963" s="411"/>
      <c r="M963" s="411"/>
      <c r="N963" s="412"/>
    </row>
    <row r="964" spans="1:14">
      <c r="A964" s="33"/>
      <c r="B964" s="411"/>
      <c r="C964" s="411"/>
      <c r="D964" s="411"/>
      <c r="E964" s="411"/>
      <c r="F964" s="411"/>
      <c r="G964" s="411"/>
      <c r="H964" s="411"/>
      <c r="I964" s="411"/>
      <c r="J964" s="411"/>
      <c r="K964" s="411"/>
      <c r="L964" s="411"/>
      <c r="M964" s="411"/>
      <c r="N964" s="412"/>
    </row>
    <row r="965" spans="1:14">
      <c r="A965" s="33"/>
      <c r="B965" s="411"/>
      <c r="C965" s="411"/>
      <c r="D965" s="411"/>
      <c r="E965" s="411"/>
      <c r="F965" s="411"/>
      <c r="G965" s="411"/>
      <c r="H965" s="411"/>
      <c r="I965" s="411"/>
      <c r="J965" s="411"/>
      <c r="K965" s="411"/>
      <c r="L965" s="411"/>
      <c r="M965" s="411"/>
      <c r="N965" s="412"/>
    </row>
    <row r="966" spans="1:14">
      <c r="A966" s="33"/>
      <c r="B966" s="411"/>
      <c r="C966" s="411"/>
      <c r="D966" s="411"/>
      <c r="E966" s="411"/>
      <c r="F966" s="411"/>
      <c r="G966" s="411"/>
      <c r="H966" s="411"/>
      <c r="I966" s="411"/>
      <c r="J966" s="411"/>
      <c r="K966" s="411"/>
      <c r="L966" s="411"/>
      <c r="M966" s="411"/>
      <c r="N966" s="412"/>
    </row>
    <row r="967" spans="1:14">
      <c r="A967" s="33"/>
      <c r="B967" s="411"/>
      <c r="C967" s="411"/>
      <c r="D967" s="411"/>
      <c r="E967" s="411"/>
      <c r="F967" s="411"/>
      <c r="G967" s="411"/>
      <c r="H967" s="411"/>
      <c r="I967" s="411"/>
      <c r="J967" s="411"/>
      <c r="K967" s="411"/>
      <c r="L967" s="411"/>
      <c r="M967" s="411"/>
      <c r="N967" s="412"/>
    </row>
    <row r="968" spans="1:14">
      <c r="A968" s="33"/>
      <c r="B968" s="411"/>
      <c r="C968" s="411"/>
      <c r="D968" s="411"/>
      <c r="E968" s="411"/>
      <c r="F968" s="411"/>
      <c r="G968" s="411"/>
      <c r="H968" s="411"/>
      <c r="I968" s="411"/>
      <c r="J968" s="411"/>
      <c r="K968" s="411"/>
      <c r="L968" s="411"/>
      <c r="M968" s="411"/>
      <c r="N968" s="412"/>
    </row>
    <row r="969" spans="1:14">
      <c r="A969" s="33"/>
      <c r="B969" s="411"/>
      <c r="C969" s="411"/>
      <c r="D969" s="411"/>
      <c r="E969" s="411"/>
      <c r="F969" s="411"/>
      <c r="G969" s="411"/>
      <c r="H969" s="411"/>
      <c r="I969" s="411"/>
      <c r="J969" s="411"/>
      <c r="K969" s="411"/>
      <c r="L969" s="411"/>
      <c r="M969" s="411"/>
      <c r="N969" s="412"/>
    </row>
    <row r="970" spans="1:14">
      <c r="A970" s="33"/>
      <c r="B970" s="411"/>
      <c r="C970" s="411"/>
      <c r="D970" s="411"/>
      <c r="E970" s="411"/>
      <c r="F970" s="411"/>
      <c r="G970" s="411"/>
      <c r="H970" s="411"/>
      <c r="I970" s="411"/>
      <c r="J970" s="411"/>
      <c r="K970" s="411"/>
      <c r="L970" s="411"/>
      <c r="M970" s="411"/>
      <c r="N970" s="412"/>
    </row>
    <row r="971" spans="1:14">
      <c r="A971" s="33"/>
      <c r="B971" s="411"/>
      <c r="C971" s="411"/>
      <c r="D971" s="411"/>
      <c r="E971" s="411"/>
      <c r="F971" s="411"/>
      <c r="G971" s="411"/>
      <c r="H971" s="411"/>
      <c r="I971" s="411"/>
      <c r="J971" s="411"/>
      <c r="K971" s="411"/>
      <c r="L971" s="411"/>
      <c r="M971" s="411"/>
      <c r="N971" s="412"/>
    </row>
    <row r="972" spans="1:14">
      <c r="A972" s="33"/>
      <c r="B972" s="411"/>
      <c r="C972" s="411"/>
      <c r="D972" s="411"/>
      <c r="E972" s="411"/>
      <c r="F972" s="411"/>
      <c r="G972" s="411"/>
      <c r="H972" s="411"/>
      <c r="I972" s="411"/>
      <c r="J972" s="411"/>
      <c r="K972" s="411"/>
      <c r="L972" s="411"/>
      <c r="M972" s="411"/>
      <c r="N972" s="412"/>
    </row>
    <row r="973" spans="1:14">
      <c r="A973" s="33"/>
      <c r="B973" s="411"/>
      <c r="C973" s="411"/>
      <c r="D973" s="411"/>
      <c r="E973" s="411"/>
      <c r="F973" s="411"/>
      <c r="G973" s="411"/>
      <c r="H973" s="411"/>
      <c r="I973" s="411"/>
      <c r="J973" s="411"/>
      <c r="K973" s="411"/>
      <c r="L973" s="411"/>
      <c r="M973" s="411"/>
      <c r="N973" s="412"/>
    </row>
    <row r="974" spans="1:14">
      <c r="A974" s="33"/>
      <c r="B974" s="411"/>
      <c r="C974" s="411"/>
      <c r="D974" s="411"/>
      <c r="E974" s="411"/>
      <c r="F974" s="411"/>
      <c r="G974" s="411"/>
      <c r="H974" s="411"/>
      <c r="I974" s="411"/>
      <c r="J974" s="411"/>
      <c r="K974" s="411"/>
      <c r="L974" s="411"/>
      <c r="M974" s="411"/>
      <c r="N974" s="412"/>
    </row>
    <row r="975" spans="1:14">
      <c r="A975" s="33"/>
      <c r="B975" s="411"/>
      <c r="C975" s="411"/>
      <c r="D975" s="411"/>
      <c r="E975" s="411"/>
      <c r="F975" s="411"/>
      <c r="G975" s="411"/>
      <c r="H975" s="411"/>
      <c r="I975" s="411"/>
      <c r="J975" s="411"/>
      <c r="K975" s="411"/>
      <c r="L975" s="411"/>
      <c r="M975" s="411"/>
      <c r="N975" s="412"/>
    </row>
    <row r="976" spans="1:14">
      <c r="A976" s="33"/>
      <c r="B976" s="411"/>
      <c r="C976" s="411"/>
      <c r="D976" s="411"/>
      <c r="E976" s="411"/>
      <c r="F976" s="411"/>
      <c r="G976" s="411"/>
      <c r="H976" s="411"/>
      <c r="I976" s="411"/>
      <c r="J976" s="411"/>
      <c r="K976" s="411"/>
      <c r="L976" s="411"/>
      <c r="M976" s="411"/>
      <c r="N976" s="412"/>
    </row>
    <row r="977" spans="1:14">
      <c r="A977" s="33"/>
      <c r="B977" s="411"/>
      <c r="C977" s="411"/>
      <c r="D977" s="411"/>
      <c r="E977" s="411"/>
      <c r="F977" s="411"/>
      <c r="G977" s="411"/>
      <c r="H977" s="411"/>
      <c r="I977" s="411"/>
      <c r="J977" s="411"/>
      <c r="K977" s="411"/>
      <c r="L977" s="411"/>
      <c r="M977" s="411"/>
      <c r="N977" s="412"/>
    </row>
    <row r="978" spans="1:14">
      <c r="A978" s="33"/>
      <c r="B978" s="411"/>
      <c r="C978" s="411"/>
      <c r="D978" s="411"/>
      <c r="E978" s="411"/>
      <c r="F978" s="411"/>
      <c r="G978" s="411"/>
      <c r="H978" s="411"/>
      <c r="I978" s="411"/>
      <c r="J978" s="411"/>
      <c r="K978" s="411"/>
      <c r="L978" s="411"/>
      <c r="M978" s="411"/>
      <c r="N978" s="412"/>
    </row>
    <row r="979" spans="1:14">
      <c r="A979" s="33"/>
      <c r="B979" s="411"/>
      <c r="C979" s="411"/>
      <c r="D979" s="411"/>
      <c r="E979" s="411"/>
      <c r="F979" s="411"/>
      <c r="G979" s="411"/>
      <c r="H979" s="411"/>
      <c r="I979" s="411"/>
      <c r="J979" s="411"/>
      <c r="K979" s="411"/>
      <c r="L979" s="411"/>
      <c r="M979" s="411"/>
      <c r="N979" s="412"/>
    </row>
    <row r="980" spans="1:14">
      <c r="A980" s="33"/>
      <c r="B980" s="411"/>
      <c r="C980" s="411"/>
      <c r="D980" s="411"/>
      <c r="E980" s="411"/>
      <c r="F980" s="411"/>
      <c r="G980" s="411"/>
      <c r="H980" s="411"/>
      <c r="I980" s="411"/>
      <c r="J980" s="411"/>
      <c r="K980" s="411"/>
      <c r="L980" s="411"/>
      <c r="M980" s="411"/>
      <c r="N980" s="412"/>
    </row>
    <row r="981" spans="1:14">
      <c r="A981" s="33"/>
      <c r="B981" s="411"/>
      <c r="C981" s="411"/>
      <c r="D981" s="411"/>
      <c r="E981" s="411"/>
      <c r="F981" s="411"/>
      <c r="G981" s="411"/>
      <c r="H981" s="411"/>
      <c r="I981" s="411"/>
      <c r="J981" s="411"/>
      <c r="K981" s="411"/>
      <c r="L981" s="411"/>
      <c r="M981" s="411"/>
      <c r="N981" s="412"/>
    </row>
    <row r="982" spans="1:14">
      <c r="A982" s="33"/>
      <c r="B982" s="411"/>
      <c r="C982" s="411"/>
      <c r="D982" s="411"/>
      <c r="E982" s="411"/>
      <c r="F982" s="411"/>
      <c r="G982" s="411"/>
      <c r="H982" s="411"/>
      <c r="I982" s="411"/>
      <c r="J982" s="411"/>
      <c r="K982" s="411"/>
      <c r="L982" s="411"/>
      <c r="M982" s="411"/>
      <c r="N982" s="412"/>
    </row>
    <row r="983" spans="1:14">
      <c r="A983" s="33"/>
      <c r="B983" s="411"/>
      <c r="C983" s="411"/>
      <c r="D983" s="411"/>
      <c r="E983" s="411"/>
      <c r="F983" s="411"/>
      <c r="G983" s="411"/>
      <c r="H983" s="411"/>
      <c r="I983" s="411"/>
      <c r="J983" s="411"/>
      <c r="K983" s="411"/>
      <c r="L983" s="411"/>
      <c r="M983" s="411"/>
      <c r="N983" s="412"/>
    </row>
    <row r="984" spans="1:14">
      <c r="A984" s="33"/>
      <c r="B984" s="411"/>
      <c r="C984" s="411"/>
      <c r="D984" s="411"/>
      <c r="E984" s="411"/>
      <c r="F984" s="411"/>
      <c r="G984" s="411"/>
      <c r="H984" s="411"/>
      <c r="I984" s="411"/>
      <c r="J984" s="411"/>
      <c r="K984" s="411"/>
      <c r="L984" s="411"/>
      <c r="M984" s="411"/>
      <c r="N984" s="412"/>
    </row>
    <row r="985" spans="1:14">
      <c r="A985" s="33"/>
      <c r="B985" s="411"/>
      <c r="C985" s="411"/>
      <c r="D985" s="411"/>
      <c r="E985" s="411"/>
      <c r="F985" s="411"/>
      <c r="G985" s="411"/>
      <c r="H985" s="411"/>
      <c r="I985" s="411"/>
      <c r="J985" s="411"/>
      <c r="K985" s="411"/>
      <c r="L985" s="411"/>
      <c r="M985" s="411"/>
      <c r="N985" s="412"/>
    </row>
    <row r="986" spans="1:14">
      <c r="A986" s="33"/>
      <c r="B986" s="411"/>
      <c r="C986" s="411"/>
      <c r="D986" s="411"/>
      <c r="E986" s="411"/>
      <c r="F986" s="411"/>
      <c r="G986" s="411"/>
      <c r="H986" s="411"/>
      <c r="I986" s="411"/>
      <c r="J986" s="411"/>
      <c r="K986" s="411"/>
      <c r="L986" s="411"/>
      <c r="M986" s="411"/>
      <c r="N986" s="412"/>
    </row>
    <row r="987" spans="1:14">
      <c r="A987" s="33"/>
      <c r="B987" s="411"/>
      <c r="C987" s="411"/>
      <c r="D987" s="411"/>
      <c r="E987" s="411"/>
      <c r="F987" s="411"/>
      <c r="G987" s="411"/>
      <c r="H987" s="411"/>
      <c r="I987" s="411"/>
      <c r="J987" s="411"/>
      <c r="K987" s="411"/>
      <c r="L987" s="411"/>
      <c r="M987" s="411"/>
      <c r="N987" s="412"/>
    </row>
    <row r="988" spans="1:14">
      <c r="A988" s="33"/>
      <c r="B988" s="411"/>
      <c r="C988" s="411"/>
      <c r="D988" s="411"/>
      <c r="E988" s="411"/>
      <c r="F988" s="411"/>
      <c r="G988" s="411"/>
      <c r="H988" s="411"/>
      <c r="I988" s="411"/>
      <c r="J988" s="411"/>
      <c r="K988" s="411"/>
      <c r="L988" s="411"/>
      <c r="M988" s="411"/>
      <c r="N988" s="412"/>
    </row>
    <row r="989" spans="1:14">
      <c r="A989" s="33"/>
      <c r="B989" s="411"/>
      <c r="C989" s="411"/>
      <c r="D989" s="411"/>
      <c r="E989" s="411"/>
      <c r="F989" s="411"/>
      <c r="G989" s="411"/>
      <c r="H989" s="411"/>
      <c r="I989" s="411"/>
      <c r="J989" s="411"/>
      <c r="K989" s="411"/>
      <c r="L989" s="411"/>
      <c r="M989" s="411"/>
      <c r="N989" s="412"/>
    </row>
    <row r="990" spans="1:14">
      <c r="A990" s="33"/>
      <c r="B990" s="411"/>
      <c r="C990" s="411"/>
      <c r="D990" s="411"/>
      <c r="E990" s="411"/>
      <c r="F990" s="411"/>
      <c r="G990" s="411"/>
      <c r="H990" s="411"/>
      <c r="I990" s="411"/>
      <c r="J990" s="411"/>
      <c r="K990" s="411"/>
      <c r="L990" s="411"/>
      <c r="M990" s="411"/>
      <c r="N990" s="412"/>
    </row>
    <row r="991" spans="1:14">
      <c r="A991" s="33"/>
      <c r="B991" s="411"/>
      <c r="C991" s="411"/>
      <c r="D991" s="411"/>
      <c r="E991" s="411"/>
      <c r="F991" s="411"/>
      <c r="G991" s="411"/>
      <c r="H991" s="411"/>
      <c r="I991" s="411"/>
      <c r="J991" s="411"/>
      <c r="K991" s="411"/>
      <c r="L991" s="411"/>
      <c r="M991" s="411"/>
      <c r="N991" s="412"/>
    </row>
    <row r="992" spans="1:14">
      <c r="A992" s="33"/>
      <c r="B992" s="411"/>
      <c r="C992" s="411"/>
      <c r="D992" s="411"/>
      <c r="E992" s="411"/>
      <c r="F992" s="411"/>
      <c r="G992" s="411"/>
      <c r="H992" s="411"/>
      <c r="I992" s="411"/>
      <c r="J992" s="411"/>
      <c r="K992" s="411"/>
      <c r="L992" s="411"/>
      <c r="M992" s="411"/>
      <c r="N992" s="412"/>
    </row>
    <row r="993" spans="1:14">
      <c r="A993" s="33"/>
      <c r="B993" s="411"/>
      <c r="C993" s="411"/>
      <c r="D993" s="411"/>
      <c r="E993" s="411"/>
      <c r="F993" s="411"/>
      <c r="G993" s="411"/>
      <c r="H993" s="411"/>
      <c r="I993" s="411"/>
      <c r="J993" s="411"/>
      <c r="K993" s="411"/>
      <c r="L993" s="411"/>
      <c r="M993" s="411"/>
      <c r="N993" s="412"/>
    </row>
    <row r="994" spans="1:14">
      <c r="A994" s="33"/>
      <c r="B994" s="411"/>
      <c r="C994" s="411"/>
      <c r="D994" s="411"/>
      <c r="E994" s="411"/>
      <c r="F994" s="411"/>
      <c r="G994" s="411"/>
      <c r="H994" s="411"/>
      <c r="I994" s="411"/>
      <c r="J994" s="411"/>
      <c r="K994" s="411"/>
      <c r="L994" s="411"/>
      <c r="M994" s="411"/>
      <c r="N994" s="412"/>
    </row>
    <row r="995" spans="1:14">
      <c r="A995" s="33"/>
      <c r="B995" s="411"/>
      <c r="C995" s="411"/>
      <c r="D995" s="411"/>
      <c r="E995" s="411"/>
      <c r="F995" s="411"/>
      <c r="G995" s="411"/>
      <c r="H995" s="411"/>
      <c r="I995" s="411"/>
      <c r="J995" s="411"/>
      <c r="K995" s="411"/>
      <c r="L995" s="411"/>
      <c r="M995" s="411"/>
      <c r="N995" s="412"/>
    </row>
    <row r="996" spans="1:14">
      <c r="A996" s="33"/>
      <c r="B996" s="411"/>
      <c r="C996" s="411"/>
      <c r="D996" s="411"/>
      <c r="E996" s="411"/>
      <c r="F996" s="411"/>
      <c r="G996" s="411"/>
      <c r="H996" s="411"/>
      <c r="I996" s="411"/>
      <c r="J996" s="411"/>
      <c r="K996" s="411"/>
      <c r="L996" s="411"/>
      <c r="M996" s="411"/>
      <c r="N996" s="412"/>
    </row>
    <row r="997" spans="1:14">
      <c r="A997" s="33"/>
      <c r="B997" s="411"/>
      <c r="C997" s="411"/>
      <c r="D997" s="411"/>
      <c r="E997" s="411"/>
      <c r="F997" s="411"/>
      <c r="G997" s="411"/>
      <c r="H997" s="411"/>
      <c r="I997" s="411"/>
      <c r="J997" s="411"/>
      <c r="K997" s="411"/>
      <c r="L997" s="411"/>
      <c r="M997" s="411"/>
      <c r="N997" s="412"/>
    </row>
    <row r="998" spans="1:14">
      <c r="A998" s="33"/>
      <c r="B998" s="411"/>
      <c r="C998" s="411"/>
      <c r="D998" s="411"/>
      <c r="E998" s="411"/>
      <c r="F998" s="411"/>
      <c r="G998" s="411"/>
      <c r="H998" s="411"/>
      <c r="I998" s="411"/>
      <c r="J998" s="411"/>
      <c r="K998" s="411"/>
      <c r="L998" s="411"/>
      <c r="M998" s="411"/>
      <c r="N998" s="412"/>
    </row>
    <row r="999" spans="1:14">
      <c r="A999" s="33"/>
      <c r="B999" s="411"/>
      <c r="C999" s="411"/>
      <c r="D999" s="411"/>
      <c r="E999" s="411"/>
      <c r="F999" s="411"/>
      <c r="G999" s="411"/>
      <c r="H999" s="411"/>
      <c r="I999" s="411"/>
      <c r="J999" s="411"/>
      <c r="K999" s="411"/>
      <c r="L999" s="411"/>
      <c r="M999" s="411"/>
      <c r="N999" s="412"/>
    </row>
    <row r="1000" spans="1:14">
      <c r="A1000" s="33"/>
      <c r="B1000" s="411"/>
      <c r="C1000" s="411"/>
      <c r="D1000" s="411"/>
      <c r="E1000" s="411"/>
      <c r="F1000" s="411"/>
      <c r="G1000" s="411"/>
      <c r="H1000" s="411"/>
      <c r="I1000" s="411"/>
      <c r="J1000" s="411"/>
      <c r="K1000" s="411"/>
      <c r="L1000" s="411"/>
      <c r="M1000" s="411"/>
      <c r="N1000" s="412"/>
    </row>
    <row r="1001" spans="1:14">
      <c r="A1001" s="33"/>
      <c r="B1001" s="411"/>
      <c r="C1001" s="411"/>
      <c r="D1001" s="411"/>
      <c r="E1001" s="411"/>
      <c r="F1001" s="411"/>
      <c r="G1001" s="411"/>
      <c r="H1001" s="411"/>
      <c r="I1001" s="411"/>
      <c r="J1001" s="411"/>
      <c r="K1001" s="411"/>
      <c r="L1001" s="411"/>
      <c r="M1001" s="411"/>
      <c r="N1001" s="412"/>
    </row>
    <row r="1002" spans="1:14">
      <c r="A1002" s="33"/>
      <c r="B1002" s="411"/>
      <c r="C1002" s="411"/>
      <c r="D1002" s="411"/>
      <c r="E1002" s="411"/>
      <c r="F1002" s="411"/>
      <c r="G1002" s="411"/>
      <c r="H1002" s="411"/>
      <c r="I1002" s="411"/>
      <c r="J1002" s="411"/>
      <c r="K1002" s="411"/>
      <c r="L1002" s="411"/>
      <c r="M1002" s="411"/>
      <c r="N1002" s="412"/>
    </row>
    <row r="1003" spans="1:14">
      <c r="A1003" s="33"/>
      <c r="B1003" s="411"/>
      <c r="C1003" s="411"/>
      <c r="D1003" s="411"/>
      <c r="E1003" s="411"/>
      <c r="F1003" s="411"/>
      <c r="G1003" s="411"/>
      <c r="H1003" s="411"/>
      <c r="I1003" s="411"/>
      <c r="J1003" s="411"/>
      <c r="K1003" s="411"/>
      <c r="L1003" s="411"/>
      <c r="M1003" s="411"/>
      <c r="N1003" s="412"/>
    </row>
    <row r="1004" spans="1:14">
      <c r="A1004" s="33"/>
      <c r="B1004" s="411"/>
      <c r="C1004" s="411"/>
      <c r="D1004" s="411"/>
      <c r="E1004" s="411"/>
      <c r="F1004" s="411"/>
      <c r="G1004" s="411"/>
      <c r="H1004" s="411"/>
      <c r="I1004" s="411"/>
      <c r="J1004" s="411"/>
      <c r="K1004" s="411"/>
      <c r="L1004" s="411"/>
      <c r="M1004" s="411"/>
      <c r="N1004" s="412"/>
    </row>
    <row r="1005" spans="1:14">
      <c r="A1005" s="33"/>
      <c r="B1005" s="411"/>
      <c r="C1005" s="411"/>
      <c r="D1005" s="411"/>
      <c r="E1005" s="411"/>
      <c r="F1005" s="411"/>
      <c r="G1005" s="411"/>
      <c r="H1005" s="411"/>
      <c r="I1005" s="411"/>
      <c r="J1005" s="411"/>
      <c r="K1005" s="411"/>
      <c r="L1005" s="411"/>
      <c r="M1005" s="411"/>
      <c r="N1005" s="412"/>
    </row>
    <row r="1006" spans="1:14">
      <c r="A1006" s="33"/>
      <c r="B1006" s="411"/>
      <c r="C1006" s="411"/>
      <c r="D1006" s="411"/>
      <c r="E1006" s="411"/>
      <c r="F1006" s="411"/>
      <c r="G1006" s="411"/>
      <c r="H1006" s="411"/>
      <c r="I1006" s="411"/>
      <c r="J1006" s="411"/>
      <c r="K1006" s="411"/>
      <c r="L1006" s="411"/>
      <c r="M1006" s="411"/>
      <c r="N1006" s="412"/>
    </row>
    <row r="1007" spans="1:14">
      <c r="A1007" s="33"/>
      <c r="B1007" s="411"/>
      <c r="C1007" s="411"/>
      <c r="D1007" s="411"/>
      <c r="E1007" s="411"/>
      <c r="F1007" s="411"/>
      <c r="G1007" s="411"/>
      <c r="H1007" s="411"/>
      <c r="I1007" s="411"/>
      <c r="J1007" s="411"/>
      <c r="K1007" s="411"/>
      <c r="L1007" s="411"/>
      <c r="M1007" s="411"/>
      <c r="N1007" s="412"/>
    </row>
    <row r="1008" spans="1:14">
      <c r="A1008" s="33"/>
      <c r="B1008" s="411"/>
      <c r="C1008" s="411"/>
      <c r="D1008" s="411"/>
      <c r="E1008" s="411"/>
      <c r="F1008" s="411"/>
      <c r="G1008" s="411"/>
      <c r="H1008" s="411"/>
      <c r="I1008" s="411"/>
      <c r="J1008" s="411"/>
      <c r="K1008" s="411"/>
      <c r="L1008" s="411"/>
      <c r="M1008" s="411"/>
      <c r="N1008" s="412"/>
    </row>
    <row r="1009" spans="1:14">
      <c r="A1009" s="33"/>
      <c r="B1009" s="411"/>
      <c r="C1009" s="411"/>
      <c r="D1009" s="411"/>
      <c r="E1009" s="411"/>
      <c r="F1009" s="411"/>
      <c r="G1009" s="411"/>
      <c r="H1009" s="411"/>
      <c r="I1009" s="411"/>
      <c r="J1009" s="411"/>
      <c r="K1009" s="411"/>
      <c r="L1009" s="411"/>
      <c r="M1009" s="411"/>
      <c r="N1009" s="412"/>
    </row>
    <row r="1010" spans="1:14">
      <c r="A1010" s="33"/>
      <c r="B1010" s="411"/>
      <c r="C1010" s="411"/>
      <c r="D1010" s="411"/>
      <c r="E1010" s="411"/>
      <c r="F1010" s="411"/>
      <c r="G1010" s="411"/>
      <c r="H1010" s="411"/>
      <c r="I1010" s="411"/>
      <c r="J1010" s="411"/>
      <c r="K1010" s="411"/>
      <c r="L1010" s="411"/>
      <c r="M1010" s="411"/>
      <c r="N1010" s="412"/>
    </row>
    <row r="1011" spans="1:14">
      <c r="A1011" s="33"/>
      <c r="B1011" s="411"/>
      <c r="C1011" s="411"/>
      <c r="D1011" s="411"/>
      <c r="E1011" s="411"/>
      <c r="F1011" s="411"/>
      <c r="G1011" s="411"/>
      <c r="H1011" s="411"/>
      <c r="I1011" s="411"/>
      <c r="J1011" s="411"/>
      <c r="K1011" s="411"/>
      <c r="L1011" s="411"/>
      <c r="M1011" s="411"/>
      <c r="N1011" s="412"/>
    </row>
    <row r="1012" spans="1:14">
      <c r="A1012" s="33"/>
      <c r="B1012" s="411"/>
      <c r="C1012" s="411"/>
      <c r="D1012" s="411"/>
      <c r="E1012" s="411"/>
      <c r="F1012" s="411"/>
      <c r="G1012" s="411"/>
      <c r="H1012" s="411"/>
      <c r="I1012" s="411"/>
      <c r="J1012" s="411"/>
      <c r="K1012" s="411"/>
      <c r="L1012" s="411"/>
      <c r="M1012" s="411"/>
      <c r="N1012" s="412"/>
    </row>
    <row r="1013" spans="1:14">
      <c r="A1013" s="33"/>
      <c r="B1013" s="411"/>
      <c r="C1013" s="411"/>
      <c r="D1013" s="411"/>
      <c r="E1013" s="411"/>
      <c r="F1013" s="411"/>
      <c r="G1013" s="411"/>
      <c r="H1013" s="411"/>
      <c r="I1013" s="411"/>
      <c r="J1013" s="411"/>
      <c r="K1013" s="411"/>
      <c r="L1013" s="411"/>
      <c r="M1013" s="411"/>
      <c r="N1013" s="412"/>
    </row>
    <row r="1014" spans="1:14">
      <c r="A1014" s="33"/>
      <c r="B1014" s="411"/>
      <c r="C1014" s="411"/>
      <c r="D1014" s="411"/>
      <c r="E1014" s="411"/>
      <c r="F1014" s="411"/>
      <c r="G1014" s="411"/>
      <c r="H1014" s="411"/>
      <c r="I1014" s="411"/>
      <c r="J1014" s="411"/>
      <c r="K1014" s="411"/>
      <c r="L1014" s="411"/>
      <c r="M1014" s="411"/>
      <c r="N1014" s="412"/>
    </row>
    <row r="1015" spans="1:14">
      <c r="A1015" s="33"/>
      <c r="B1015" s="411"/>
      <c r="C1015" s="411"/>
      <c r="D1015" s="411"/>
      <c r="E1015" s="411"/>
      <c r="F1015" s="411"/>
      <c r="G1015" s="411"/>
      <c r="H1015" s="411"/>
      <c r="I1015" s="411"/>
      <c r="J1015" s="411"/>
      <c r="K1015" s="411"/>
      <c r="L1015" s="411"/>
      <c r="M1015" s="411"/>
      <c r="N1015" s="412"/>
    </row>
    <row r="1016" spans="1:14">
      <c r="A1016" s="33"/>
      <c r="B1016" s="411"/>
      <c r="C1016" s="411"/>
      <c r="D1016" s="411"/>
      <c r="E1016" s="411"/>
      <c r="F1016" s="411"/>
      <c r="G1016" s="411"/>
      <c r="H1016" s="411"/>
      <c r="I1016" s="411"/>
      <c r="J1016" s="411"/>
      <c r="K1016" s="411"/>
      <c r="L1016" s="411"/>
      <c r="M1016" s="411"/>
      <c r="N1016" s="412"/>
    </row>
    <row r="1017" spans="1:14">
      <c r="A1017" s="33"/>
      <c r="B1017" s="411"/>
      <c r="C1017" s="411"/>
      <c r="D1017" s="411"/>
      <c r="E1017" s="411"/>
      <c r="F1017" s="411"/>
      <c r="G1017" s="411"/>
      <c r="H1017" s="411"/>
      <c r="I1017" s="411"/>
      <c r="J1017" s="411"/>
      <c r="K1017" s="411"/>
      <c r="L1017" s="411"/>
      <c r="M1017" s="411"/>
      <c r="N1017" s="412"/>
    </row>
    <row r="1018" spans="1:14">
      <c r="A1018" s="33"/>
      <c r="B1018" s="411"/>
      <c r="C1018" s="411"/>
      <c r="D1018" s="411"/>
      <c r="E1018" s="411"/>
      <c r="F1018" s="411"/>
      <c r="G1018" s="411"/>
      <c r="H1018" s="411"/>
      <c r="I1018" s="411"/>
      <c r="J1018" s="411"/>
      <c r="K1018" s="411"/>
      <c r="L1018" s="411"/>
      <c r="M1018" s="411"/>
      <c r="N1018" s="412"/>
    </row>
    <row r="1019" spans="1:14">
      <c r="A1019" s="33"/>
      <c r="B1019" s="411"/>
      <c r="C1019" s="411"/>
      <c r="D1019" s="411"/>
      <c r="E1019" s="411"/>
      <c r="F1019" s="411"/>
      <c r="G1019" s="411"/>
      <c r="H1019" s="411"/>
      <c r="I1019" s="411"/>
      <c r="J1019" s="411"/>
      <c r="K1019" s="411"/>
      <c r="L1019" s="411"/>
      <c r="M1019" s="411"/>
      <c r="N1019" s="412"/>
    </row>
    <row r="1020" spans="1:14">
      <c r="A1020" s="33"/>
      <c r="B1020" s="411"/>
      <c r="C1020" s="411"/>
      <c r="D1020" s="411"/>
      <c r="E1020" s="411"/>
      <c r="F1020" s="411"/>
      <c r="G1020" s="411"/>
      <c r="H1020" s="411"/>
      <c r="I1020" s="411"/>
      <c r="J1020" s="411"/>
      <c r="K1020" s="411"/>
      <c r="L1020" s="411"/>
      <c r="M1020" s="411"/>
      <c r="N1020" s="412"/>
    </row>
    <row r="1021" spans="1:14">
      <c r="A1021" s="33"/>
      <c r="B1021" s="411"/>
      <c r="C1021" s="411"/>
      <c r="D1021" s="411"/>
      <c r="E1021" s="411"/>
      <c r="F1021" s="411"/>
      <c r="G1021" s="411"/>
      <c r="H1021" s="411"/>
      <c r="I1021" s="411"/>
      <c r="J1021" s="411"/>
      <c r="K1021" s="411"/>
      <c r="L1021" s="411"/>
      <c r="M1021" s="411"/>
      <c r="N1021" s="412"/>
    </row>
    <row r="1022" spans="1:14">
      <c r="A1022" s="33"/>
      <c r="B1022" s="411"/>
      <c r="C1022" s="411"/>
      <c r="D1022" s="411"/>
      <c r="E1022" s="411"/>
      <c r="F1022" s="411"/>
      <c r="G1022" s="411"/>
      <c r="H1022" s="411"/>
      <c r="I1022" s="411"/>
      <c r="J1022" s="411"/>
      <c r="K1022" s="411"/>
      <c r="L1022" s="411"/>
      <c r="M1022" s="411"/>
      <c r="N1022" s="412"/>
    </row>
    <row r="1023" spans="1:14">
      <c r="A1023" s="33"/>
      <c r="B1023" s="411"/>
      <c r="C1023" s="411"/>
      <c r="D1023" s="411"/>
      <c r="E1023" s="411"/>
      <c r="F1023" s="411"/>
      <c r="G1023" s="411"/>
      <c r="H1023" s="411"/>
      <c r="I1023" s="411"/>
      <c r="J1023" s="411"/>
      <c r="K1023" s="411"/>
      <c r="L1023" s="411"/>
      <c r="M1023" s="411"/>
      <c r="N1023" s="412"/>
    </row>
    <row r="1024" spans="1:14">
      <c r="A1024" s="33"/>
      <c r="B1024" s="411"/>
      <c r="C1024" s="411"/>
      <c r="D1024" s="411"/>
      <c r="E1024" s="411"/>
      <c r="F1024" s="411"/>
      <c r="G1024" s="411"/>
      <c r="H1024" s="411"/>
      <c r="I1024" s="411"/>
      <c r="J1024" s="411"/>
      <c r="K1024" s="411"/>
      <c r="L1024" s="411"/>
      <c r="M1024" s="411"/>
      <c r="N1024" s="412"/>
    </row>
    <row r="1025" spans="1:14">
      <c r="A1025" s="33"/>
      <c r="B1025" s="411"/>
      <c r="C1025" s="411"/>
      <c r="D1025" s="411"/>
      <c r="E1025" s="411"/>
      <c r="F1025" s="411"/>
      <c r="G1025" s="411"/>
      <c r="H1025" s="411"/>
      <c r="I1025" s="411"/>
      <c r="J1025" s="411"/>
      <c r="K1025" s="411"/>
      <c r="L1025" s="411"/>
      <c r="M1025" s="411"/>
      <c r="N1025" s="412"/>
    </row>
    <row r="1026" spans="1:14">
      <c r="A1026" s="33"/>
      <c r="B1026" s="411"/>
      <c r="C1026" s="411"/>
      <c r="D1026" s="411"/>
      <c r="E1026" s="411"/>
      <c r="F1026" s="411"/>
      <c r="G1026" s="411"/>
      <c r="H1026" s="411"/>
      <c r="I1026" s="411"/>
      <c r="J1026" s="411"/>
      <c r="K1026" s="411"/>
      <c r="L1026" s="411"/>
      <c r="M1026" s="411"/>
      <c r="N1026" s="412"/>
    </row>
    <row r="1027" spans="1:14">
      <c r="A1027" s="33"/>
      <c r="B1027" s="411"/>
      <c r="C1027" s="411"/>
      <c r="D1027" s="411"/>
      <c r="E1027" s="411"/>
      <c r="F1027" s="411"/>
      <c r="G1027" s="411"/>
      <c r="H1027" s="411"/>
      <c r="I1027" s="411"/>
      <c r="J1027" s="411"/>
      <c r="K1027" s="411"/>
      <c r="L1027" s="411"/>
      <c r="M1027" s="411"/>
      <c r="N1027" s="412"/>
    </row>
    <row r="1028" spans="1:14">
      <c r="A1028" s="33"/>
      <c r="B1028" s="411"/>
      <c r="C1028" s="411"/>
      <c r="D1028" s="411"/>
      <c r="E1028" s="411"/>
      <c r="F1028" s="411"/>
      <c r="G1028" s="411"/>
      <c r="H1028" s="411"/>
      <c r="I1028" s="411"/>
      <c r="J1028" s="411"/>
      <c r="K1028" s="411"/>
      <c r="L1028" s="411"/>
      <c r="M1028" s="411"/>
      <c r="N1028" s="412"/>
    </row>
    <row r="1029" spans="1:14">
      <c r="A1029" s="33"/>
      <c r="B1029" s="411"/>
      <c r="C1029" s="411"/>
      <c r="D1029" s="411"/>
      <c r="E1029" s="411"/>
      <c r="F1029" s="411"/>
      <c r="G1029" s="411"/>
      <c r="H1029" s="411"/>
      <c r="I1029" s="411"/>
      <c r="J1029" s="411"/>
      <c r="K1029" s="411"/>
      <c r="L1029" s="411"/>
      <c r="M1029" s="411"/>
      <c r="N1029" s="412"/>
    </row>
    <row r="1030" spans="1:14">
      <c r="A1030" s="33"/>
      <c r="B1030" s="411"/>
      <c r="C1030" s="411"/>
      <c r="D1030" s="411"/>
      <c r="E1030" s="411"/>
      <c r="F1030" s="411"/>
      <c r="G1030" s="411"/>
      <c r="H1030" s="411"/>
      <c r="I1030" s="411"/>
      <c r="J1030" s="411"/>
      <c r="K1030" s="411"/>
      <c r="L1030" s="411"/>
      <c r="M1030" s="411"/>
      <c r="N1030" s="412"/>
    </row>
    <row r="1031" spans="1:14">
      <c r="A1031" s="33"/>
      <c r="B1031" s="411"/>
      <c r="C1031" s="411"/>
      <c r="D1031" s="411"/>
      <c r="E1031" s="411"/>
      <c r="F1031" s="411"/>
      <c r="G1031" s="411"/>
      <c r="H1031" s="411"/>
      <c r="I1031" s="411"/>
      <c r="J1031" s="411"/>
      <c r="K1031" s="411"/>
      <c r="L1031" s="411"/>
      <c r="M1031" s="411"/>
      <c r="N1031" s="412"/>
    </row>
    <row r="1032" spans="1:14">
      <c r="A1032" s="33"/>
      <c r="B1032" s="411"/>
      <c r="C1032" s="411"/>
      <c r="D1032" s="411"/>
      <c r="E1032" s="411"/>
      <c r="F1032" s="411"/>
      <c r="G1032" s="411"/>
      <c r="H1032" s="411"/>
      <c r="I1032" s="411"/>
      <c r="J1032" s="411"/>
      <c r="K1032" s="411"/>
      <c r="L1032" s="411"/>
      <c r="M1032" s="411"/>
      <c r="N1032" s="412"/>
    </row>
    <row r="1033" spans="1:14">
      <c r="A1033" s="33"/>
      <c r="B1033" s="411"/>
      <c r="C1033" s="411"/>
      <c r="D1033" s="411"/>
      <c r="E1033" s="411"/>
      <c r="F1033" s="411"/>
      <c r="G1033" s="411"/>
      <c r="H1033" s="411"/>
      <c r="I1033" s="411"/>
      <c r="J1033" s="411"/>
      <c r="K1033" s="411"/>
      <c r="L1033" s="411"/>
      <c r="M1033" s="411"/>
      <c r="N1033" s="412"/>
    </row>
    <row r="1034" spans="1:14">
      <c r="A1034" s="33"/>
      <c r="B1034" s="411"/>
      <c r="C1034" s="411"/>
      <c r="D1034" s="411"/>
      <c r="E1034" s="411"/>
      <c r="F1034" s="411"/>
      <c r="G1034" s="411"/>
      <c r="H1034" s="411"/>
      <c r="I1034" s="411"/>
      <c r="J1034" s="411"/>
      <c r="K1034" s="411"/>
      <c r="L1034" s="411"/>
      <c r="M1034" s="411"/>
      <c r="N1034" s="412"/>
    </row>
    <row r="1035" spans="1:14">
      <c r="A1035" s="33"/>
      <c r="B1035" s="411"/>
      <c r="C1035" s="411"/>
      <c r="D1035" s="411"/>
      <c r="E1035" s="411"/>
      <c r="F1035" s="411"/>
      <c r="G1035" s="411"/>
      <c r="H1035" s="411"/>
      <c r="I1035" s="411"/>
      <c r="J1035" s="411"/>
      <c r="K1035" s="411"/>
      <c r="L1035" s="411"/>
      <c r="M1035" s="411"/>
      <c r="N1035" s="412"/>
    </row>
    <row r="1036" spans="1:14">
      <c r="A1036" s="33"/>
      <c r="B1036" s="411"/>
      <c r="C1036" s="411"/>
      <c r="D1036" s="411"/>
      <c r="E1036" s="411"/>
      <c r="F1036" s="411"/>
      <c r="G1036" s="411"/>
      <c r="H1036" s="411"/>
      <c r="I1036" s="411"/>
      <c r="J1036" s="411"/>
      <c r="K1036" s="411"/>
      <c r="L1036" s="411"/>
      <c r="M1036" s="411"/>
      <c r="N1036" s="412"/>
    </row>
    <row r="1037" spans="1:14">
      <c r="A1037" s="33"/>
      <c r="B1037" s="411"/>
      <c r="C1037" s="411"/>
      <c r="D1037" s="411"/>
      <c r="E1037" s="411"/>
      <c r="F1037" s="411"/>
      <c r="G1037" s="411"/>
      <c r="H1037" s="411"/>
      <c r="I1037" s="411"/>
      <c r="J1037" s="411"/>
      <c r="K1037" s="411"/>
      <c r="L1037" s="411"/>
      <c r="M1037" s="411"/>
      <c r="N1037" s="412"/>
    </row>
    <row r="1038" spans="1:14">
      <c r="A1038" s="33"/>
      <c r="B1038" s="411"/>
      <c r="C1038" s="411"/>
      <c r="D1038" s="411"/>
      <c r="E1038" s="411"/>
      <c r="F1038" s="411"/>
      <c r="G1038" s="411"/>
      <c r="H1038" s="411"/>
      <c r="I1038" s="411"/>
      <c r="J1038" s="411"/>
      <c r="K1038" s="411"/>
      <c r="L1038" s="411"/>
      <c r="M1038" s="411"/>
      <c r="N1038" s="412"/>
    </row>
    <row r="1039" spans="1:14">
      <c r="A1039" s="33"/>
      <c r="B1039" s="411"/>
      <c r="C1039" s="411"/>
      <c r="D1039" s="411"/>
      <c r="E1039" s="411"/>
      <c r="F1039" s="411"/>
      <c r="G1039" s="411"/>
      <c r="H1039" s="411"/>
      <c r="I1039" s="411"/>
      <c r="J1039" s="411"/>
      <c r="K1039" s="411"/>
      <c r="L1039" s="411"/>
      <c r="M1039" s="411"/>
      <c r="N1039" s="412"/>
    </row>
    <row r="1040" spans="1:14">
      <c r="A1040" s="33"/>
      <c r="B1040" s="411"/>
      <c r="C1040" s="411"/>
      <c r="D1040" s="411"/>
      <c r="E1040" s="411"/>
      <c r="F1040" s="411"/>
      <c r="G1040" s="411"/>
      <c r="H1040" s="411"/>
      <c r="I1040" s="411"/>
      <c r="J1040" s="411"/>
      <c r="K1040" s="411"/>
      <c r="L1040" s="411"/>
      <c r="M1040" s="411"/>
      <c r="N1040" s="412"/>
    </row>
    <row r="1041" spans="1:14">
      <c r="A1041" s="33"/>
      <c r="B1041" s="411"/>
      <c r="C1041" s="411"/>
      <c r="D1041" s="411"/>
      <c r="E1041" s="411"/>
      <c r="F1041" s="411"/>
      <c r="G1041" s="411"/>
      <c r="H1041" s="411"/>
      <c r="I1041" s="411"/>
      <c r="J1041" s="411"/>
      <c r="K1041" s="411"/>
      <c r="L1041" s="411"/>
      <c r="M1041" s="411"/>
      <c r="N1041" s="412"/>
    </row>
    <row r="1042" spans="1:14">
      <c r="A1042" s="33"/>
      <c r="B1042" s="411"/>
      <c r="C1042" s="411"/>
      <c r="D1042" s="411"/>
      <c r="E1042" s="411"/>
      <c r="F1042" s="411"/>
      <c r="G1042" s="411"/>
      <c r="H1042" s="411"/>
      <c r="I1042" s="411"/>
      <c r="J1042" s="411"/>
      <c r="K1042" s="411"/>
      <c r="L1042" s="411"/>
      <c r="M1042" s="411"/>
      <c r="N1042" s="412"/>
    </row>
    <row r="1043" spans="1:14">
      <c r="A1043" s="33"/>
      <c r="B1043" s="411"/>
      <c r="C1043" s="411"/>
      <c r="D1043" s="411"/>
      <c r="E1043" s="411"/>
      <c r="F1043" s="411"/>
      <c r="G1043" s="411"/>
      <c r="H1043" s="411"/>
      <c r="I1043" s="411"/>
      <c r="J1043" s="411"/>
      <c r="K1043" s="411"/>
      <c r="L1043" s="411"/>
      <c r="M1043" s="411"/>
      <c r="N1043" s="412"/>
    </row>
    <row r="1044" spans="1:14">
      <c r="A1044" s="33"/>
      <c r="B1044" s="411"/>
      <c r="C1044" s="411"/>
      <c r="D1044" s="411"/>
      <c r="E1044" s="411"/>
      <c r="F1044" s="411"/>
      <c r="G1044" s="411"/>
      <c r="H1044" s="411"/>
      <c r="I1044" s="411"/>
      <c r="J1044" s="411"/>
      <c r="K1044" s="411"/>
      <c r="L1044" s="411"/>
      <c r="M1044" s="411"/>
      <c r="N1044" s="412"/>
    </row>
  </sheetData>
  <mergeCells count="21">
    <mergeCell ref="N55:Q55"/>
    <mergeCell ref="N56:Q56"/>
    <mergeCell ref="N57:Q57"/>
    <mergeCell ref="N58:Q58"/>
    <mergeCell ref="N59:Q59"/>
    <mergeCell ref="N60:Q60"/>
    <mergeCell ref="N61:Q61"/>
    <mergeCell ref="N74:P74"/>
    <mergeCell ref="N75:P75"/>
    <mergeCell ref="N76:P76"/>
    <mergeCell ref="N77:P77"/>
    <mergeCell ref="N78:P78"/>
    <mergeCell ref="N79:P79"/>
    <mergeCell ref="N80:P80"/>
    <mergeCell ref="N67:P67"/>
    <mergeCell ref="N68:P68"/>
    <mergeCell ref="N69:P69"/>
    <mergeCell ref="N70:P70"/>
    <mergeCell ref="N71:P71"/>
    <mergeCell ref="N72:P72"/>
    <mergeCell ref="N73:P7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0"/>
  <sheetViews>
    <sheetView workbookViewId="0"/>
  </sheetViews>
  <sheetFormatPr defaultColWidth="11.125" defaultRowHeight="15" customHeight="1"/>
  <cols>
    <col min="1" max="1" width="11.625" customWidth="1"/>
  </cols>
  <sheetData>
    <row r="1" spans="1:6">
      <c r="A1" s="413" t="s">
        <v>1053</v>
      </c>
      <c r="B1" s="413" t="s">
        <v>1054</v>
      </c>
      <c r="C1" s="414" t="s">
        <v>1055</v>
      </c>
      <c r="D1" s="414" t="s">
        <v>1056</v>
      </c>
      <c r="E1" s="415"/>
      <c r="F1" s="415"/>
    </row>
    <row r="2" spans="1:6">
      <c r="A2" s="416">
        <v>45209</v>
      </c>
      <c r="B2" s="414">
        <v>69</v>
      </c>
      <c r="C2" s="414">
        <v>4.1000000000000002E-2</v>
      </c>
      <c r="D2" s="414">
        <v>8.9999999999999993E-3</v>
      </c>
      <c r="E2" s="415"/>
      <c r="F2" s="415"/>
    </row>
    <row r="3" spans="1:6">
      <c r="A3" s="416">
        <v>45209</v>
      </c>
      <c r="B3" s="414">
        <v>70</v>
      </c>
      <c r="C3" s="414">
        <v>4.0000000000000001E-3</v>
      </c>
      <c r="D3" s="414">
        <v>3.2000000000000001E-2</v>
      </c>
      <c r="E3" s="415"/>
      <c r="F3" s="415"/>
    </row>
    <row r="4" spans="1:6">
      <c r="A4" s="416">
        <v>45209</v>
      </c>
      <c r="B4" s="414">
        <v>71</v>
      </c>
      <c r="C4" s="414">
        <v>5.0000000000000001E-3</v>
      </c>
      <c r="D4" s="414">
        <v>7.0000000000000001E-3</v>
      </c>
      <c r="E4" s="417"/>
      <c r="F4" s="415"/>
    </row>
    <row r="5" spans="1:6">
      <c r="A5" s="416">
        <v>45209</v>
      </c>
      <c r="B5" s="414">
        <v>72</v>
      </c>
      <c r="C5" s="414">
        <v>1.6E-2</v>
      </c>
      <c r="D5" s="414">
        <v>2.1000000000000001E-2</v>
      </c>
      <c r="E5" s="417"/>
      <c r="F5" s="415"/>
    </row>
    <row r="6" spans="1:6">
      <c r="A6" s="416">
        <v>45209</v>
      </c>
      <c r="B6" s="414">
        <v>73</v>
      </c>
      <c r="C6" s="414">
        <v>0.01</v>
      </c>
      <c r="D6" s="414">
        <v>4.2000000000000003E-2</v>
      </c>
      <c r="E6" s="417"/>
      <c r="F6" s="417"/>
    </row>
    <row r="7" spans="1:6">
      <c r="A7" s="416">
        <v>45209</v>
      </c>
      <c r="B7" s="414">
        <v>74</v>
      </c>
      <c r="C7" s="414">
        <v>6.0000000000000001E-3</v>
      </c>
      <c r="D7" s="414">
        <v>1.4999999999999999E-2</v>
      </c>
      <c r="E7" s="417"/>
      <c r="F7" s="415"/>
    </row>
    <row r="8" spans="1:6">
      <c r="A8" s="416">
        <v>45209</v>
      </c>
      <c r="B8" s="414">
        <v>75</v>
      </c>
      <c r="C8" s="414">
        <v>4.0000000000000001E-3</v>
      </c>
      <c r="D8" s="414">
        <v>7.0000000000000001E-3</v>
      </c>
      <c r="E8" s="417"/>
      <c r="F8" s="417"/>
    </row>
    <row r="9" spans="1:6">
      <c r="A9" s="416">
        <v>45209</v>
      </c>
      <c r="B9" s="414">
        <v>76</v>
      </c>
      <c r="C9" s="414">
        <v>1E-3</v>
      </c>
      <c r="D9" s="414">
        <v>5.0000000000000001E-3</v>
      </c>
      <c r="E9" s="417"/>
      <c r="F9" s="417"/>
    </row>
    <row r="10" spans="1:6">
      <c r="A10" s="416">
        <v>45209</v>
      </c>
      <c r="B10" s="414">
        <v>77</v>
      </c>
      <c r="C10" s="414" t="s">
        <v>1057</v>
      </c>
      <c r="D10" s="414">
        <v>1.2E-2</v>
      </c>
      <c r="E10" s="417"/>
      <c r="F10" s="417"/>
    </row>
    <row r="11" spans="1:6">
      <c r="A11" s="416">
        <v>45209</v>
      </c>
      <c r="B11" s="414">
        <v>78</v>
      </c>
      <c r="C11" s="414">
        <v>1E-3</v>
      </c>
      <c r="D11" s="414">
        <v>1.4E-2</v>
      </c>
      <c r="E11" s="417"/>
      <c r="F11" s="417"/>
    </row>
    <row r="12" spans="1:6">
      <c r="A12" s="416">
        <v>45209</v>
      </c>
      <c r="B12" s="414">
        <v>81</v>
      </c>
      <c r="C12" s="414">
        <v>1E-3</v>
      </c>
      <c r="D12" s="414">
        <v>1.6E-2</v>
      </c>
      <c r="E12" s="417"/>
      <c r="F12" s="417"/>
    </row>
    <row r="13" spans="1:6">
      <c r="A13" s="416">
        <v>45239</v>
      </c>
      <c r="B13" s="414">
        <v>243</v>
      </c>
      <c r="C13" s="414">
        <v>4.0000000000000001E-3</v>
      </c>
      <c r="D13" s="414">
        <v>2E-3</v>
      </c>
      <c r="E13" s="417"/>
      <c r="F13" s="417"/>
    </row>
    <row r="14" spans="1:6">
      <c r="A14" s="416">
        <v>45239</v>
      </c>
      <c r="B14" s="414">
        <v>254</v>
      </c>
      <c r="C14" s="414">
        <v>6.0000000000000001E-3</v>
      </c>
      <c r="D14" s="414">
        <v>2E-3</v>
      </c>
      <c r="E14" s="417"/>
      <c r="F14" s="417"/>
    </row>
    <row r="15" spans="1:6">
      <c r="A15" s="416">
        <v>45239</v>
      </c>
      <c r="B15" s="414">
        <v>265</v>
      </c>
      <c r="C15" s="414">
        <v>7.0000000000000001E-3</v>
      </c>
      <c r="D15" s="414">
        <v>3.0000000000000001E-3</v>
      </c>
      <c r="E15" s="417"/>
      <c r="F15" s="415"/>
    </row>
    <row r="16" spans="1:6">
      <c r="A16" s="416">
        <v>45239</v>
      </c>
      <c r="B16" s="414">
        <v>276</v>
      </c>
      <c r="C16" s="414">
        <v>7.0000000000000001E-3</v>
      </c>
      <c r="D16" s="414">
        <v>2E-3</v>
      </c>
      <c r="E16" s="417"/>
      <c r="F16" s="415"/>
    </row>
    <row r="17" spans="1:6">
      <c r="A17" s="416">
        <v>45239</v>
      </c>
      <c r="B17" s="414">
        <v>287</v>
      </c>
      <c r="C17" s="414">
        <v>1.2E-2</v>
      </c>
      <c r="D17" s="414">
        <v>2E-3</v>
      </c>
      <c r="E17" s="417"/>
      <c r="F17" s="417"/>
    </row>
    <row r="18" spans="1:6">
      <c r="A18" s="416">
        <v>45239</v>
      </c>
      <c r="B18" s="414">
        <v>298</v>
      </c>
      <c r="C18" s="414">
        <v>1.4E-2</v>
      </c>
      <c r="D18" s="414">
        <v>3.0000000000000001E-3</v>
      </c>
      <c r="E18" s="417"/>
      <c r="F18" s="417"/>
    </row>
    <row r="19" spans="1:6">
      <c r="A19" s="416">
        <v>45239</v>
      </c>
      <c r="B19" s="414">
        <v>309</v>
      </c>
      <c r="C19" s="414">
        <v>5.0000000000000001E-3</v>
      </c>
      <c r="D19" s="414">
        <v>1E-3</v>
      </c>
      <c r="E19" s="417"/>
      <c r="F19" s="417"/>
    </row>
    <row r="20" spans="1:6">
      <c r="A20" s="416">
        <v>45239</v>
      </c>
      <c r="B20" s="414">
        <v>221</v>
      </c>
      <c r="C20" s="414">
        <v>2E-3</v>
      </c>
      <c r="D20" s="414">
        <v>1.1220000000000001</v>
      </c>
      <c r="E20" s="417"/>
      <c r="F20" s="415"/>
    </row>
    <row r="21" spans="1:6">
      <c r="A21" s="416">
        <v>45239</v>
      </c>
      <c r="B21" s="414">
        <v>232</v>
      </c>
      <c r="C21" s="414" t="s">
        <v>1057</v>
      </c>
      <c r="D21" s="414" t="s">
        <v>1057</v>
      </c>
      <c r="E21" s="417"/>
      <c r="F21" s="415"/>
    </row>
    <row r="22" spans="1:6">
      <c r="A22" s="416">
        <v>45239</v>
      </c>
      <c r="B22" s="414">
        <v>210</v>
      </c>
      <c r="C22" s="414">
        <v>2E-3</v>
      </c>
      <c r="D22" s="414">
        <v>1E-3</v>
      </c>
      <c r="E22" s="417"/>
      <c r="F22" s="415"/>
    </row>
    <row r="23" spans="1:6">
      <c r="A23" s="416">
        <v>45239</v>
      </c>
      <c r="B23" s="414">
        <v>331</v>
      </c>
      <c r="C23" s="414">
        <v>4.0000000000000001E-3</v>
      </c>
      <c r="D23" s="414">
        <v>1E-3</v>
      </c>
      <c r="E23" s="417"/>
      <c r="F23" s="417"/>
    </row>
    <row r="24" spans="1:6">
      <c r="A24" s="416">
        <v>45239</v>
      </c>
      <c r="B24" s="414">
        <v>342</v>
      </c>
      <c r="C24" s="414">
        <v>5.0000000000000001E-3</v>
      </c>
      <c r="D24" s="414">
        <v>1E-3</v>
      </c>
      <c r="E24" s="417"/>
      <c r="F24" s="415"/>
    </row>
    <row r="25" spans="1:6">
      <c r="A25" s="416">
        <v>45239</v>
      </c>
      <c r="B25" s="414">
        <v>397</v>
      </c>
      <c r="C25" s="414">
        <v>1E-3</v>
      </c>
      <c r="D25" s="414">
        <v>1E-3</v>
      </c>
      <c r="E25" s="417"/>
      <c r="F25" s="415"/>
    </row>
    <row r="26" spans="1:6">
      <c r="A26" s="416">
        <v>45239</v>
      </c>
      <c r="B26" s="414">
        <v>320</v>
      </c>
      <c r="C26" s="414">
        <v>3.0000000000000001E-3</v>
      </c>
      <c r="D26" s="414">
        <v>1E-3</v>
      </c>
      <c r="E26" s="417"/>
      <c r="F26" s="415"/>
    </row>
    <row r="27" spans="1:6">
      <c r="A27" s="416">
        <v>45239</v>
      </c>
      <c r="B27" s="414">
        <v>364</v>
      </c>
      <c r="C27" s="414">
        <v>1E-3</v>
      </c>
      <c r="D27" s="414" t="s">
        <v>1057</v>
      </c>
      <c r="E27" s="417"/>
      <c r="F27" s="415"/>
    </row>
    <row r="28" spans="1:6">
      <c r="A28" s="416">
        <v>45239</v>
      </c>
      <c r="B28" s="414">
        <v>386</v>
      </c>
      <c r="C28" s="414">
        <v>3.0000000000000001E-3</v>
      </c>
      <c r="D28" s="414" t="s">
        <v>1057</v>
      </c>
      <c r="E28" s="417"/>
      <c r="F28" s="415"/>
    </row>
    <row r="29" spans="1:6">
      <c r="A29" s="416">
        <v>45239</v>
      </c>
      <c r="B29" s="414">
        <v>463</v>
      </c>
      <c r="C29" s="414">
        <v>6.0000000000000001E-3</v>
      </c>
      <c r="D29" s="414">
        <v>1E-3</v>
      </c>
      <c r="E29" s="417"/>
      <c r="F29" s="415"/>
    </row>
    <row r="30" spans="1:6">
      <c r="A30" s="416">
        <v>45239</v>
      </c>
      <c r="B30" s="414">
        <v>353</v>
      </c>
      <c r="C30" s="414" t="s">
        <v>1057</v>
      </c>
      <c r="D30" s="414" t="s">
        <v>1057</v>
      </c>
      <c r="E30" s="417"/>
      <c r="F30" s="415"/>
    </row>
    <row r="31" spans="1:6">
      <c r="A31" s="416">
        <v>45239</v>
      </c>
      <c r="B31" s="414">
        <v>452</v>
      </c>
      <c r="C31" s="414">
        <v>5.0000000000000001E-3</v>
      </c>
      <c r="D31" s="414">
        <v>2E-3</v>
      </c>
      <c r="E31" s="417"/>
      <c r="F31" s="415"/>
    </row>
    <row r="32" spans="1:6">
      <c r="A32" s="416">
        <v>45239</v>
      </c>
      <c r="B32" s="414">
        <v>408</v>
      </c>
      <c r="C32" s="414" t="s">
        <v>1057</v>
      </c>
      <c r="D32" s="414">
        <v>1E-3</v>
      </c>
      <c r="E32" s="417"/>
      <c r="F32" s="415"/>
    </row>
    <row r="33" spans="1:6">
      <c r="A33" s="416">
        <v>45239</v>
      </c>
      <c r="B33" s="414">
        <v>419</v>
      </c>
      <c r="C33" s="414" t="s">
        <v>1057</v>
      </c>
      <c r="D33" s="414">
        <v>1E-3</v>
      </c>
      <c r="E33" s="417"/>
      <c r="F33" s="415"/>
    </row>
    <row r="34" spans="1:6">
      <c r="A34" s="416">
        <v>45239</v>
      </c>
      <c r="B34" s="414">
        <v>430</v>
      </c>
      <c r="C34" s="414" t="s">
        <v>1057</v>
      </c>
      <c r="D34" s="414" t="s">
        <v>1057</v>
      </c>
      <c r="E34" s="417"/>
      <c r="F34" s="415"/>
    </row>
    <row r="35" spans="1:6">
      <c r="A35" s="416">
        <v>45239</v>
      </c>
      <c r="B35" s="414">
        <v>441</v>
      </c>
      <c r="C35" s="414" t="s">
        <v>1057</v>
      </c>
      <c r="D35" s="414">
        <v>1E-3</v>
      </c>
      <c r="E35" s="417"/>
      <c r="F35" s="415"/>
    </row>
    <row r="36" spans="1:6">
      <c r="A36" s="416">
        <v>45239</v>
      </c>
      <c r="B36" s="414">
        <v>474</v>
      </c>
      <c r="C36" s="414">
        <v>1E-3</v>
      </c>
      <c r="D36" s="414">
        <v>5.1999999999999998E-2</v>
      </c>
      <c r="E36" s="417"/>
      <c r="F36" s="417"/>
    </row>
    <row r="37" spans="1:6">
      <c r="A37" s="416">
        <v>45239</v>
      </c>
      <c r="B37" s="414">
        <v>518</v>
      </c>
      <c r="C37" s="414">
        <v>1E-3</v>
      </c>
      <c r="D37" s="414">
        <v>1E-3</v>
      </c>
      <c r="E37" s="417"/>
      <c r="F37" s="415"/>
    </row>
    <row r="38" spans="1:6">
      <c r="A38" s="416">
        <v>45239</v>
      </c>
      <c r="B38" s="414">
        <v>529</v>
      </c>
      <c r="C38" s="414">
        <v>1E-3</v>
      </c>
      <c r="D38" s="414">
        <v>1E-3</v>
      </c>
      <c r="E38" s="417"/>
      <c r="F38" s="417"/>
    </row>
    <row r="39" spans="1:6">
      <c r="A39" s="416">
        <v>45239</v>
      </c>
      <c r="B39" s="414">
        <v>540</v>
      </c>
      <c r="C39" s="414">
        <v>1E-3</v>
      </c>
      <c r="D39" s="414">
        <v>3.0000000000000001E-3</v>
      </c>
      <c r="E39" s="417"/>
      <c r="F39" s="415"/>
    </row>
    <row r="40" spans="1:6">
      <c r="A40" s="416">
        <v>45239</v>
      </c>
      <c r="B40" s="414">
        <v>507</v>
      </c>
      <c r="C40" s="414" t="s">
        <v>1057</v>
      </c>
      <c r="D40" s="414">
        <v>1E-3</v>
      </c>
      <c r="E40" s="417"/>
      <c r="F40" s="415"/>
    </row>
    <row r="41" spans="1:6">
      <c r="A41" s="416">
        <v>45239</v>
      </c>
      <c r="B41" s="414">
        <v>562</v>
      </c>
      <c r="C41" s="414">
        <v>2E-3</v>
      </c>
      <c r="D41" s="414" t="s">
        <v>1057</v>
      </c>
      <c r="E41" s="417"/>
      <c r="F41" s="415"/>
    </row>
    <row r="42" spans="1:6">
      <c r="A42" s="416">
        <v>45239</v>
      </c>
      <c r="B42" s="414">
        <v>551</v>
      </c>
      <c r="C42" s="414">
        <v>2E-3</v>
      </c>
      <c r="D42" s="414">
        <v>1E-3</v>
      </c>
      <c r="E42" s="417"/>
      <c r="F42" s="415"/>
    </row>
    <row r="43" spans="1:6">
      <c r="A43" s="416">
        <v>45239</v>
      </c>
      <c r="B43" s="414">
        <v>573</v>
      </c>
      <c r="C43" s="414" t="s">
        <v>1057</v>
      </c>
      <c r="D43" s="414" t="s">
        <v>1057</v>
      </c>
      <c r="E43" s="417"/>
      <c r="F43" s="415"/>
    </row>
    <row r="44" spans="1:6">
      <c r="A44" s="416">
        <v>45239</v>
      </c>
      <c r="B44" s="414">
        <v>584</v>
      </c>
      <c r="C44" s="414">
        <v>2E-3</v>
      </c>
      <c r="D44" s="414">
        <v>1E-3</v>
      </c>
      <c r="E44" s="417"/>
      <c r="F44" s="415"/>
    </row>
    <row r="45" spans="1:6">
      <c r="A45" s="416">
        <v>45239</v>
      </c>
      <c r="B45" s="414">
        <v>485</v>
      </c>
      <c r="C45" s="414">
        <v>2E-3</v>
      </c>
      <c r="D45" s="414">
        <v>1E-3</v>
      </c>
      <c r="E45" s="417"/>
      <c r="F45" s="415"/>
    </row>
    <row r="46" spans="1:6">
      <c r="A46" s="416">
        <v>45239</v>
      </c>
      <c r="B46" s="414">
        <v>617</v>
      </c>
      <c r="C46" s="414">
        <v>1E-3</v>
      </c>
      <c r="D46" s="414">
        <v>1E-3</v>
      </c>
      <c r="E46" s="417"/>
      <c r="F46" s="415"/>
    </row>
    <row r="47" spans="1:6">
      <c r="A47" s="416">
        <v>45239</v>
      </c>
      <c r="B47" s="414">
        <v>375</v>
      </c>
      <c r="C47" s="414">
        <v>3.0000000000000001E-3</v>
      </c>
      <c r="D47" s="414">
        <v>2E-3</v>
      </c>
      <c r="E47" s="417"/>
      <c r="F47" s="415"/>
    </row>
    <row r="48" spans="1:6">
      <c r="A48" s="416">
        <v>45239</v>
      </c>
      <c r="B48" s="414">
        <v>595</v>
      </c>
      <c r="C48" s="414">
        <v>1E-3</v>
      </c>
      <c r="D48" s="414">
        <v>1E-3</v>
      </c>
      <c r="E48" s="417"/>
      <c r="F48" s="415"/>
    </row>
    <row r="49" spans="1:6">
      <c r="A49" s="413"/>
      <c r="B49" s="413"/>
      <c r="C49" s="413"/>
      <c r="D49" s="413"/>
      <c r="E49" s="417"/>
      <c r="F49" s="415"/>
    </row>
    <row r="50" spans="1:6">
      <c r="A50" s="413"/>
      <c r="B50" s="413"/>
      <c r="C50" s="413"/>
      <c r="D50" s="413"/>
      <c r="E50" s="417"/>
      <c r="F50" s="415"/>
    </row>
    <row r="51" spans="1:6">
      <c r="A51" s="413"/>
      <c r="B51" s="413"/>
      <c r="C51" s="413"/>
      <c r="D51" s="413"/>
      <c r="E51" s="417"/>
      <c r="F51" s="417"/>
    </row>
    <row r="52" spans="1:6">
      <c r="A52" s="413"/>
      <c r="B52" s="413"/>
      <c r="C52" s="413"/>
      <c r="D52" s="413"/>
      <c r="E52" s="417"/>
      <c r="F52" s="415"/>
    </row>
    <row r="53" spans="1:6">
      <c r="A53" s="413"/>
      <c r="B53" s="413"/>
      <c r="C53" s="413"/>
      <c r="D53" s="413"/>
      <c r="E53" s="417"/>
      <c r="F53" s="417"/>
    </row>
    <row r="54" spans="1:6">
      <c r="A54" s="413"/>
      <c r="B54" s="413"/>
      <c r="C54" s="413"/>
      <c r="D54" s="413"/>
      <c r="E54" s="417"/>
      <c r="F54" s="415"/>
    </row>
    <row r="55" spans="1:6">
      <c r="A55" s="413"/>
      <c r="B55" s="413"/>
      <c r="C55" s="413"/>
      <c r="D55" s="413"/>
      <c r="E55" s="417"/>
      <c r="F55" s="415"/>
    </row>
    <row r="56" spans="1:6">
      <c r="A56" s="413"/>
      <c r="B56" s="413"/>
      <c r="C56" s="413"/>
      <c r="D56" s="413"/>
      <c r="E56" s="417"/>
      <c r="F56" s="415"/>
    </row>
    <row r="57" spans="1:6">
      <c r="A57" s="413"/>
      <c r="B57" s="413"/>
      <c r="C57" s="413"/>
      <c r="D57" s="413"/>
      <c r="E57" s="417"/>
      <c r="F57" s="415"/>
    </row>
    <row r="58" spans="1:6">
      <c r="A58" s="413"/>
      <c r="B58" s="413"/>
      <c r="C58" s="413"/>
      <c r="D58" s="413"/>
      <c r="E58" s="417"/>
      <c r="F58" s="415"/>
    </row>
    <row r="59" spans="1:6">
      <c r="A59" s="413"/>
      <c r="B59" s="413"/>
      <c r="C59" s="413"/>
      <c r="D59" s="413"/>
      <c r="E59" s="417"/>
      <c r="F59" s="415"/>
    </row>
    <row r="60" spans="1:6">
      <c r="A60" s="413"/>
      <c r="B60" s="413"/>
      <c r="C60" s="413"/>
      <c r="D60" s="413"/>
      <c r="E60" s="417"/>
      <c r="F60" s="415"/>
    </row>
    <row r="61" spans="1:6">
      <c r="A61" s="413"/>
      <c r="B61" s="413"/>
      <c r="C61" s="413"/>
      <c r="D61" s="413"/>
      <c r="E61" s="417"/>
      <c r="F61" s="415"/>
    </row>
    <row r="62" spans="1:6">
      <c r="A62" s="413"/>
      <c r="B62" s="413"/>
      <c r="C62" s="413"/>
      <c r="D62" s="413"/>
      <c r="E62" s="417"/>
      <c r="F62" s="415"/>
    </row>
    <row r="63" spans="1:6">
      <c r="A63" s="413"/>
      <c r="B63" s="413"/>
      <c r="C63" s="413"/>
      <c r="D63" s="413"/>
      <c r="E63" s="417"/>
      <c r="F63" s="415"/>
    </row>
    <row r="64" spans="1:6">
      <c r="A64" s="413"/>
      <c r="B64" s="413"/>
      <c r="C64" s="413"/>
      <c r="D64" s="413"/>
      <c r="E64" s="417"/>
      <c r="F64" s="415"/>
    </row>
    <row r="65" spans="1:6">
      <c r="A65" s="413"/>
      <c r="B65" s="413"/>
      <c r="C65" s="413"/>
      <c r="D65" s="413"/>
      <c r="E65" s="417"/>
      <c r="F65" s="415"/>
    </row>
    <row r="66" spans="1:6">
      <c r="A66" s="413"/>
      <c r="B66" s="413"/>
      <c r="C66" s="413"/>
      <c r="D66" s="413"/>
      <c r="E66" s="417"/>
      <c r="F66" s="417"/>
    </row>
    <row r="67" spans="1:6">
      <c r="A67" s="413"/>
      <c r="B67" s="413"/>
      <c r="C67" s="413"/>
      <c r="D67" s="413"/>
      <c r="E67" s="417"/>
      <c r="F67" s="415"/>
    </row>
    <row r="68" spans="1:6">
      <c r="A68" s="413"/>
      <c r="B68" s="413"/>
      <c r="C68" s="413"/>
      <c r="D68" s="413"/>
      <c r="E68" s="417"/>
      <c r="F68" s="417"/>
    </row>
    <row r="69" spans="1:6">
      <c r="A69" s="413"/>
      <c r="B69" s="413"/>
      <c r="C69" s="413"/>
      <c r="D69" s="413"/>
      <c r="E69" s="417"/>
      <c r="F69" s="415"/>
    </row>
    <row r="70" spans="1:6">
      <c r="A70" s="413"/>
      <c r="B70" s="413"/>
      <c r="C70" s="413"/>
      <c r="D70" s="413"/>
      <c r="E70" s="417"/>
      <c r="F70" s="415"/>
    </row>
    <row r="71" spans="1:6">
      <c r="A71" s="413"/>
      <c r="B71" s="413"/>
      <c r="C71" s="413"/>
      <c r="D71" s="413"/>
      <c r="E71" s="417"/>
      <c r="F71" s="415"/>
    </row>
    <row r="72" spans="1:6">
      <c r="A72" s="413"/>
      <c r="B72" s="413"/>
      <c r="C72" s="413"/>
      <c r="D72" s="413"/>
      <c r="E72" s="417"/>
      <c r="F72" s="415"/>
    </row>
    <row r="73" spans="1:6">
      <c r="A73" s="413"/>
      <c r="B73" s="413"/>
      <c r="C73" s="413"/>
      <c r="D73" s="413"/>
      <c r="E73" s="417"/>
      <c r="F73" s="415"/>
    </row>
    <row r="74" spans="1:6">
      <c r="A74" s="413"/>
      <c r="B74" s="413"/>
      <c r="C74" s="413"/>
      <c r="D74" s="413"/>
      <c r="E74" s="417"/>
      <c r="F74" s="415"/>
    </row>
    <row r="75" spans="1:6">
      <c r="A75" s="413"/>
      <c r="B75" s="413"/>
      <c r="C75" s="413"/>
      <c r="D75" s="413"/>
      <c r="E75" s="417"/>
      <c r="F75" s="415"/>
    </row>
    <row r="76" spans="1:6">
      <c r="A76" s="413"/>
      <c r="B76" s="413"/>
      <c r="C76" s="413"/>
      <c r="D76" s="413"/>
      <c r="E76" s="417"/>
      <c r="F76" s="415"/>
    </row>
    <row r="77" spans="1:6">
      <c r="A77" s="413"/>
      <c r="B77" s="413"/>
      <c r="C77" s="413"/>
      <c r="D77" s="413"/>
      <c r="E77" s="417"/>
      <c r="F77" s="415"/>
    </row>
    <row r="78" spans="1:6">
      <c r="A78" s="413"/>
      <c r="B78" s="413"/>
      <c r="C78" s="413"/>
      <c r="D78" s="413"/>
      <c r="E78" s="417"/>
      <c r="F78" s="415"/>
    </row>
    <row r="79" spans="1:6">
      <c r="A79" s="413"/>
      <c r="B79" s="413"/>
      <c r="C79" s="413"/>
      <c r="D79" s="413"/>
      <c r="E79" s="417"/>
      <c r="F79" s="417"/>
    </row>
    <row r="80" spans="1:6">
      <c r="A80" s="413"/>
      <c r="B80" s="413"/>
      <c r="C80" s="413"/>
      <c r="D80" s="413"/>
      <c r="E80" s="417"/>
      <c r="F80" s="415"/>
    </row>
    <row r="81" spans="1:6">
      <c r="A81" s="413"/>
      <c r="B81" s="413"/>
      <c r="C81" s="413"/>
      <c r="D81" s="413"/>
      <c r="E81" s="417"/>
      <c r="F81" s="415"/>
    </row>
    <row r="82" spans="1:6">
      <c r="A82" s="413"/>
      <c r="B82" s="413"/>
      <c r="C82" s="413"/>
      <c r="D82" s="413"/>
      <c r="E82" s="417"/>
      <c r="F82" s="415"/>
    </row>
    <row r="83" spans="1:6">
      <c r="A83" s="413"/>
      <c r="B83" s="413"/>
      <c r="C83" s="413"/>
      <c r="D83" s="413"/>
      <c r="E83" s="417"/>
      <c r="F83" s="417"/>
    </row>
    <row r="84" spans="1:6">
      <c r="A84" s="413"/>
      <c r="B84" s="413"/>
      <c r="C84" s="413"/>
      <c r="D84" s="413"/>
      <c r="E84" s="417"/>
      <c r="F84" s="415"/>
    </row>
    <row r="85" spans="1:6">
      <c r="A85" s="413"/>
      <c r="B85" s="413"/>
      <c r="C85" s="413"/>
      <c r="D85" s="413"/>
      <c r="E85" s="417"/>
      <c r="F85" s="415"/>
    </row>
    <row r="86" spans="1:6">
      <c r="A86" s="413"/>
      <c r="B86" s="413"/>
      <c r="C86" s="413"/>
      <c r="D86" s="413"/>
      <c r="E86" s="417"/>
      <c r="F86" s="415"/>
    </row>
    <row r="87" spans="1:6">
      <c r="A87" s="413"/>
      <c r="B87" s="413"/>
      <c r="C87" s="413"/>
      <c r="D87" s="413"/>
      <c r="E87" s="417"/>
      <c r="F87" s="415"/>
    </row>
    <row r="88" spans="1:6">
      <c r="A88" s="413"/>
      <c r="B88" s="413"/>
      <c r="C88" s="413"/>
      <c r="D88" s="413"/>
      <c r="E88" s="417"/>
      <c r="F88" s="415"/>
    </row>
    <row r="89" spans="1:6">
      <c r="A89" s="413"/>
      <c r="B89" s="413"/>
      <c r="C89" s="413"/>
      <c r="D89" s="413"/>
      <c r="E89" s="417"/>
      <c r="F89" s="415"/>
    </row>
    <row r="90" spans="1:6">
      <c r="A90" s="413"/>
      <c r="B90" s="413"/>
      <c r="C90" s="413"/>
      <c r="D90" s="413"/>
      <c r="E90" s="417"/>
      <c r="F90" s="415"/>
    </row>
    <row r="91" spans="1:6">
      <c r="A91" s="413"/>
      <c r="B91" s="413"/>
      <c r="C91" s="413"/>
      <c r="D91" s="413"/>
      <c r="E91" s="417"/>
      <c r="F91" s="417"/>
    </row>
    <row r="92" spans="1:6">
      <c r="A92" s="413"/>
      <c r="B92" s="413"/>
      <c r="C92" s="413"/>
      <c r="D92" s="413"/>
      <c r="E92" s="417"/>
      <c r="F92" s="415"/>
    </row>
    <row r="93" spans="1:6">
      <c r="A93" s="413"/>
      <c r="B93" s="413"/>
      <c r="C93" s="413"/>
      <c r="D93" s="413"/>
      <c r="E93" s="417"/>
      <c r="F93" s="415"/>
    </row>
    <row r="94" spans="1:6">
      <c r="A94" s="413"/>
      <c r="B94" s="413"/>
      <c r="C94" s="413"/>
      <c r="D94" s="413"/>
      <c r="E94" s="417"/>
      <c r="F94" s="415"/>
    </row>
    <row r="95" spans="1:6">
      <c r="A95" s="413"/>
      <c r="B95" s="413"/>
      <c r="C95" s="413"/>
      <c r="D95" s="413"/>
      <c r="E95" s="417"/>
      <c r="F95" s="417"/>
    </row>
    <row r="96" spans="1:6">
      <c r="A96" s="413"/>
      <c r="B96" s="413"/>
      <c r="C96" s="413"/>
      <c r="D96" s="413"/>
      <c r="E96" s="417"/>
      <c r="F96" s="415"/>
    </row>
    <row r="97" spans="1:6">
      <c r="A97" s="418"/>
      <c r="B97" s="418"/>
      <c r="C97" s="418"/>
      <c r="D97" s="418"/>
      <c r="E97" s="419"/>
      <c r="F97" s="419"/>
    </row>
    <row r="98" spans="1:6">
      <c r="A98" s="418"/>
      <c r="B98" s="418"/>
      <c r="C98" s="418"/>
      <c r="D98" s="418"/>
      <c r="E98" s="419"/>
      <c r="F98" s="419"/>
    </row>
    <row r="99" spans="1:6">
      <c r="A99" s="418"/>
      <c r="B99" s="418"/>
      <c r="C99" s="418"/>
      <c r="D99" s="418"/>
      <c r="E99" s="419"/>
      <c r="F99" s="419"/>
    </row>
    <row r="100" spans="1:6">
      <c r="A100" s="33"/>
      <c r="B100" s="33"/>
      <c r="C100" s="33"/>
      <c r="D100" s="33"/>
    </row>
    <row r="101" spans="1:6">
      <c r="A101" s="33"/>
      <c r="B101" s="33"/>
      <c r="C101" s="33"/>
      <c r="D101" s="33"/>
    </row>
    <row r="102" spans="1:6">
      <c r="A102" s="33"/>
      <c r="B102" s="33"/>
      <c r="C102" s="33"/>
      <c r="D102" s="33"/>
    </row>
    <row r="103" spans="1:6">
      <c r="A103" s="33"/>
      <c r="B103" s="33"/>
      <c r="C103" s="33"/>
      <c r="D103" s="33"/>
    </row>
    <row r="104" spans="1:6">
      <c r="A104" s="33"/>
      <c r="B104" s="33"/>
      <c r="C104" s="33"/>
      <c r="D104" s="33"/>
    </row>
    <row r="105" spans="1:6">
      <c r="A105" s="33"/>
      <c r="B105" s="33"/>
      <c r="C105" s="33"/>
      <c r="D105" s="33"/>
    </row>
    <row r="106" spans="1:6">
      <c r="A106" s="33"/>
      <c r="B106" s="33"/>
      <c r="C106" s="33"/>
      <c r="D106" s="33"/>
    </row>
    <row r="107" spans="1:6">
      <c r="A107" s="33"/>
      <c r="B107" s="33"/>
      <c r="C107" s="33"/>
      <c r="D107" s="33"/>
    </row>
    <row r="108" spans="1:6">
      <c r="A108" s="33"/>
      <c r="B108" s="33"/>
      <c r="C108" s="33"/>
      <c r="D108" s="33"/>
    </row>
    <row r="109" spans="1:6">
      <c r="A109" s="33"/>
      <c r="B109" s="33"/>
      <c r="C109" s="33"/>
      <c r="D109" s="33"/>
    </row>
    <row r="110" spans="1:6">
      <c r="A110" s="33"/>
      <c r="B110" s="33"/>
      <c r="C110" s="33"/>
      <c r="D110" s="33"/>
    </row>
    <row r="111" spans="1:6">
      <c r="A111" s="33"/>
      <c r="B111" s="33"/>
      <c r="C111" s="33"/>
      <c r="D111" s="33"/>
    </row>
    <row r="112" spans="1:6">
      <c r="A112" s="33"/>
      <c r="B112" s="33"/>
      <c r="C112" s="33"/>
      <c r="D112" s="33"/>
    </row>
    <row r="113" spans="1:4">
      <c r="A113" s="33"/>
      <c r="B113" s="33"/>
      <c r="C113" s="33"/>
      <c r="D113" s="33"/>
    </row>
    <row r="114" spans="1:4">
      <c r="A114" s="33"/>
      <c r="B114" s="33"/>
      <c r="C114" s="33"/>
      <c r="D114" s="33"/>
    </row>
    <row r="115" spans="1:4">
      <c r="A115" s="33"/>
      <c r="B115" s="33"/>
      <c r="C115" s="33"/>
      <c r="D115" s="33"/>
    </row>
    <row r="116" spans="1:4">
      <c r="A116" s="33"/>
      <c r="B116" s="33"/>
      <c r="C116" s="33"/>
      <c r="D116" s="33"/>
    </row>
    <row r="117" spans="1:4">
      <c r="A117" s="33"/>
      <c r="B117" s="33"/>
      <c r="C117" s="33"/>
      <c r="D117" s="33"/>
    </row>
    <row r="118" spans="1:4">
      <c r="A118" s="33"/>
      <c r="B118" s="33"/>
      <c r="C118" s="33"/>
      <c r="D118" s="33"/>
    </row>
    <row r="119" spans="1:4">
      <c r="A119" s="33"/>
      <c r="B119" s="33"/>
      <c r="C119" s="33"/>
      <c r="D119" s="33"/>
    </row>
    <row r="120" spans="1:4">
      <c r="A120" s="33"/>
      <c r="B120" s="33"/>
      <c r="C120" s="33"/>
      <c r="D120" s="33"/>
    </row>
    <row r="121" spans="1:4">
      <c r="A121" s="33"/>
      <c r="B121" s="33"/>
      <c r="C121" s="33"/>
      <c r="D121" s="33"/>
    </row>
    <row r="122" spans="1:4">
      <c r="A122" s="33"/>
      <c r="B122" s="33"/>
      <c r="C122" s="33"/>
      <c r="D122" s="33"/>
    </row>
    <row r="123" spans="1:4">
      <c r="A123" s="33"/>
      <c r="B123" s="33"/>
      <c r="C123" s="33"/>
      <c r="D123" s="33"/>
    </row>
    <row r="124" spans="1:4">
      <c r="A124" s="33"/>
      <c r="B124" s="33"/>
      <c r="C124" s="33"/>
      <c r="D124" s="33"/>
    </row>
    <row r="125" spans="1:4">
      <c r="A125" s="33"/>
      <c r="B125" s="33"/>
      <c r="C125" s="33"/>
      <c r="D125" s="33"/>
    </row>
    <row r="126" spans="1:4">
      <c r="A126" s="33"/>
      <c r="B126" s="33"/>
      <c r="C126" s="33"/>
      <c r="D126" s="33"/>
    </row>
    <row r="127" spans="1:4">
      <c r="A127" s="33"/>
      <c r="B127" s="33"/>
      <c r="C127" s="33"/>
      <c r="D127" s="33"/>
    </row>
    <row r="128" spans="1:4">
      <c r="A128" s="33"/>
      <c r="B128" s="33"/>
      <c r="C128" s="33"/>
      <c r="D128" s="33"/>
    </row>
    <row r="129" spans="1:4">
      <c r="A129" s="33"/>
      <c r="B129" s="33"/>
      <c r="C129" s="33"/>
      <c r="D129" s="33"/>
    </row>
    <row r="130" spans="1:4">
      <c r="A130" s="33"/>
      <c r="B130" s="33"/>
      <c r="C130" s="33"/>
      <c r="D130" s="33"/>
    </row>
    <row r="131" spans="1:4">
      <c r="A131" s="33"/>
      <c r="B131" s="33"/>
      <c r="C131" s="33"/>
      <c r="D131" s="33"/>
    </row>
    <row r="132" spans="1:4">
      <c r="A132" s="33"/>
      <c r="B132" s="33"/>
      <c r="C132" s="33"/>
      <c r="D132" s="33"/>
    </row>
    <row r="133" spans="1:4">
      <c r="A133" s="33"/>
      <c r="B133" s="33"/>
      <c r="C133" s="33"/>
      <c r="D133" s="33"/>
    </row>
    <row r="134" spans="1:4">
      <c r="A134" s="33"/>
      <c r="B134" s="33"/>
      <c r="C134" s="33"/>
      <c r="D134" s="33"/>
    </row>
    <row r="135" spans="1:4">
      <c r="A135" s="33"/>
      <c r="B135" s="33"/>
      <c r="C135" s="33"/>
      <c r="D135" s="33"/>
    </row>
    <row r="136" spans="1:4">
      <c r="A136" s="33"/>
      <c r="B136" s="33"/>
      <c r="C136" s="33"/>
      <c r="D136" s="33"/>
    </row>
    <row r="137" spans="1:4">
      <c r="A137" s="33"/>
      <c r="B137" s="33"/>
      <c r="C137" s="33"/>
      <c r="D137" s="33"/>
    </row>
    <row r="138" spans="1:4">
      <c r="A138" s="33"/>
      <c r="B138" s="33"/>
      <c r="C138" s="33"/>
      <c r="D138" s="33"/>
    </row>
    <row r="139" spans="1:4">
      <c r="A139" s="33"/>
      <c r="B139" s="33"/>
      <c r="C139" s="33"/>
      <c r="D139" s="33"/>
    </row>
    <row r="140" spans="1:4">
      <c r="A140" s="33"/>
      <c r="B140" s="33"/>
      <c r="C140" s="33"/>
      <c r="D140" s="33"/>
    </row>
    <row r="141" spans="1:4">
      <c r="A141" s="33"/>
      <c r="B141" s="33"/>
      <c r="C141" s="33"/>
      <c r="D141" s="33"/>
    </row>
    <row r="142" spans="1:4">
      <c r="A142" s="33"/>
      <c r="B142" s="33"/>
      <c r="C142" s="33"/>
      <c r="D142" s="33"/>
    </row>
    <row r="143" spans="1:4">
      <c r="A143" s="33"/>
      <c r="B143" s="33"/>
      <c r="C143" s="33"/>
      <c r="D143" s="33"/>
    </row>
    <row r="144" spans="1:4">
      <c r="A144" s="33"/>
      <c r="B144" s="33"/>
      <c r="C144" s="33"/>
      <c r="D144" s="33"/>
    </row>
    <row r="145" spans="1:4">
      <c r="A145" s="33"/>
      <c r="B145" s="33"/>
      <c r="C145" s="33"/>
      <c r="D145" s="33"/>
    </row>
    <row r="146" spans="1:4">
      <c r="A146" s="33"/>
      <c r="B146" s="33"/>
      <c r="C146" s="33"/>
      <c r="D146" s="33"/>
    </row>
    <row r="147" spans="1:4">
      <c r="A147" s="33"/>
      <c r="B147" s="33"/>
      <c r="C147" s="33"/>
      <c r="D147" s="33"/>
    </row>
    <row r="148" spans="1:4">
      <c r="A148" s="33"/>
      <c r="B148" s="33"/>
      <c r="C148" s="33"/>
      <c r="D148" s="33"/>
    </row>
    <row r="149" spans="1:4">
      <c r="A149" s="33"/>
      <c r="B149" s="33"/>
      <c r="C149" s="33"/>
      <c r="D149" s="33"/>
    </row>
    <row r="150" spans="1:4">
      <c r="A150" s="33"/>
      <c r="B150" s="33"/>
      <c r="C150" s="33"/>
      <c r="D150" s="33"/>
    </row>
    <row r="151" spans="1:4">
      <c r="A151" s="33"/>
      <c r="B151" s="33"/>
      <c r="C151" s="33"/>
      <c r="D151" s="33"/>
    </row>
    <row r="152" spans="1:4">
      <c r="A152" s="33"/>
      <c r="B152" s="33"/>
      <c r="C152" s="33"/>
      <c r="D152" s="33"/>
    </row>
    <row r="153" spans="1:4">
      <c r="A153" s="33"/>
      <c r="B153" s="33"/>
      <c r="C153" s="33"/>
      <c r="D153" s="33"/>
    </row>
    <row r="154" spans="1:4">
      <c r="A154" s="33"/>
      <c r="B154" s="33"/>
      <c r="C154" s="33"/>
      <c r="D154" s="33"/>
    </row>
    <row r="155" spans="1:4">
      <c r="A155" s="33"/>
      <c r="B155" s="33"/>
      <c r="C155" s="33"/>
      <c r="D155" s="33"/>
    </row>
    <row r="156" spans="1:4">
      <c r="A156" s="33"/>
      <c r="B156" s="33"/>
      <c r="C156" s="33"/>
      <c r="D156" s="33"/>
    </row>
    <row r="157" spans="1:4">
      <c r="A157" s="33"/>
      <c r="B157" s="33"/>
      <c r="C157" s="33"/>
      <c r="D157" s="33"/>
    </row>
    <row r="158" spans="1:4">
      <c r="A158" s="33"/>
      <c r="B158" s="33"/>
      <c r="C158" s="33"/>
      <c r="D158" s="33"/>
    </row>
    <row r="159" spans="1:4">
      <c r="A159" s="33"/>
      <c r="B159" s="33"/>
      <c r="C159" s="33"/>
      <c r="D159" s="33"/>
    </row>
    <row r="160" spans="1:4">
      <c r="A160" s="33"/>
      <c r="B160" s="33"/>
      <c r="C160" s="33"/>
      <c r="D160" s="33"/>
    </row>
    <row r="161" spans="1:4">
      <c r="A161" s="33"/>
      <c r="B161" s="33"/>
      <c r="C161" s="33"/>
      <c r="D161" s="33"/>
    </row>
    <row r="162" spans="1:4">
      <c r="A162" s="33"/>
      <c r="B162" s="33"/>
      <c r="C162" s="33"/>
      <c r="D162" s="33"/>
    </row>
    <row r="163" spans="1:4">
      <c r="A163" s="33"/>
      <c r="B163" s="33"/>
      <c r="C163" s="33"/>
      <c r="D163" s="33"/>
    </row>
    <row r="164" spans="1:4">
      <c r="A164" s="33"/>
      <c r="B164" s="33"/>
      <c r="C164" s="33"/>
      <c r="D164" s="33"/>
    </row>
    <row r="165" spans="1:4">
      <c r="A165" s="33"/>
      <c r="B165" s="33"/>
      <c r="C165" s="33"/>
      <c r="D165" s="33"/>
    </row>
    <row r="166" spans="1:4">
      <c r="A166" s="33"/>
      <c r="B166" s="33"/>
      <c r="C166" s="33"/>
      <c r="D166" s="33"/>
    </row>
    <row r="167" spans="1:4">
      <c r="A167" s="33"/>
      <c r="B167" s="33"/>
      <c r="C167" s="33"/>
      <c r="D167" s="33"/>
    </row>
    <row r="168" spans="1:4">
      <c r="A168" s="33"/>
      <c r="B168" s="33"/>
      <c r="C168" s="33"/>
      <c r="D168" s="33"/>
    </row>
    <row r="169" spans="1:4">
      <c r="A169" s="33"/>
      <c r="B169" s="33"/>
      <c r="C169" s="33"/>
      <c r="D169" s="33"/>
    </row>
    <row r="170" spans="1:4">
      <c r="A170" s="33"/>
      <c r="B170" s="33"/>
      <c r="C170" s="33"/>
      <c r="D170" s="33"/>
    </row>
    <row r="171" spans="1:4">
      <c r="A171" s="33"/>
      <c r="B171" s="33"/>
      <c r="C171" s="33"/>
      <c r="D171" s="33"/>
    </row>
    <row r="172" spans="1:4">
      <c r="A172" s="33"/>
      <c r="B172" s="33"/>
      <c r="C172" s="33"/>
      <c r="D172" s="33"/>
    </row>
    <row r="173" spans="1:4">
      <c r="A173" s="33"/>
      <c r="B173" s="33"/>
      <c r="C173" s="33"/>
      <c r="D173" s="33"/>
    </row>
    <row r="174" spans="1:4">
      <c r="A174" s="33"/>
      <c r="B174" s="33"/>
      <c r="C174" s="33"/>
      <c r="D174" s="33"/>
    </row>
    <row r="175" spans="1:4">
      <c r="A175" s="33"/>
      <c r="B175" s="33"/>
      <c r="C175" s="33"/>
      <c r="D175" s="33"/>
    </row>
    <row r="176" spans="1:4">
      <c r="A176" s="33"/>
      <c r="B176" s="33"/>
      <c r="C176" s="33"/>
      <c r="D176" s="33"/>
    </row>
    <row r="177" spans="1:4">
      <c r="A177" s="33"/>
      <c r="B177" s="33"/>
      <c r="C177" s="33"/>
      <c r="D177" s="33"/>
    </row>
    <row r="178" spans="1:4">
      <c r="A178" s="33"/>
      <c r="B178" s="33"/>
      <c r="C178" s="33"/>
      <c r="D178" s="33"/>
    </row>
    <row r="179" spans="1:4">
      <c r="A179" s="33"/>
      <c r="B179" s="33"/>
      <c r="C179" s="33"/>
      <c r="D179" s="33"/>
    </row>
    <row r="180" spans="1:4">
      <c r="A180" s="33"/>
      <c r="B180" s="33"/>
      <c r="C180" s="33"/>
      <c r="D180" s="33"/>
    </row>
    <row r="181" spans="1:4">
      <c r="A181" s="33"/>
      <c r="B181" s="33"/>
      <c r="C181" s="33"/>
      <c r="D181" s="33"/>
    </row>
    <row r="182" spans="1:4">
      <c r="A182" s="33"/>
      <c r="B182" s="33"/>
      <c r="C182" s="33"/>
      <c r="D182" s="33"/>
    </row>
    <row r="183" spans="1:4">
      <c r="A183" s="33"/>
      <c r="B183" s="33"/>
      <c r="C183" s="33"/>
      <c r="D183" s="33"/>
    </row>
    <row r="184" spans="1:4">
      <c r="A184" s="33"/>
      <c r="B184" s="33"/>
      <c r="C184" s="33"/>
      <c r="D184" s="33"/>
    </row>
    <row r="185" spans="1:4">
      <c r="A185" s="33"/>
      <c r="B185" s="33"/>
      <c r="C185" s="33"/>
      <c r="D185" s="33"/>
    </row>
    <row r="186" spans="1:4">
      <c r="A186" s="33"/>
      <c r="B186" s="33"/>
      <c r="C186" s="33"/>
      <c r="D186" s="33"/>
    </row>
    <row r="187" spans="1:4">
      <c r="A187" s="33"/>
      <c r="B187" s="33"/>
      <c r="C187" s="33"/>
      <c r="D187" s="33"/>
    </row>
    <row r="188" spans="1:4">
      <c r="A188" s="33"/>
      <c r="B188" s="33"/>
      <c r="C188" s="33"/>
      <c r="D188" s="33"/>
    </row>
    <row r="189" spans="1:4">
      <c r="A189" s="33"/>
      <c r="B189" s="33"/>
      <c r="C189" s="33"/>
      <c r="D189" s="33"/>
    </row>
    <row r="190" spans="1:4">
      <c r="A190" s="33"/>
      <c r="B190" s="33"/>
      <c r="C190" s="33"/>
      <c r="D190" s="33"/>
    </row>
    <row r="191" spans="1:4">
      <c r="A191" s="33"/>
      <c r="B191" s="33"/>
      <c r="C191" s="33"/>
      <c r="D191" s="33"/>
    </row>
    <row r="192" spans="1:4">
      <c r="A192" s="33"/>
      <c r="B192" s="33"/>
      <c r="C192" s="33"/>
      <c r="D192" s="33"/>
    </row>
    <row r="193" spans="1:4">
      <c r="A193" s="33"/>
      <c r="B193" s="33"/>
      <c r="C193" s="33"/>
      <c r="D193" s="33"/>
    </row>
    <row r="194" spans="1:4">
      <c r="A194" s="33"/>
      <c r="B194" s="33"/>
      <c r="C194" s="33"/>
      <c r="D194" s="33"/>
    </row>
    <row r="195" spans="1:4">
      <c r="A195" s="33"/>
      <c r="B195" s="33"/>
      <c r="C195" s="33"/>
      <c r="D195" s="33"/>
    </row>
    <row r="196" spans="1:4">
      <c r="A196" s="33"/>
      <c r="B196" s="33"/>
      <c r="C196" s="33"/>
      <c r="D196" s="33"/>
    </row>
    <row r="197" spans="1:4">
      <c r="A197" s="33"/>
      <c r="B197" s="33"/>
      <c r="C197" s="33"/>
      <c r="D197" s="33"/>
    </row>
    <row r="198" spans="1:4">
      <c r="A198" s="33"/>
      <c r="B198" s="33"/>
      <c r="C198" s="33"/>
      <c r="D198" s="33"/>
    </row>
    <row r="199" spans="1:4">
      <c r="A199" s="33"/>
      <c r="B199" s="33"/>
      <c r="C199" s="33"/>
      <c r="D199" s="33"/>
    </row>
    <row r="200" spans="1:4">
      <c r="A200" s="33"/>
      <c r="B200" s="33"/>
      <c r="C200" s="33"/>
      <c r="D200" s="33"/>
    </row>
    <row r="201" spans="1:4">
      <c r="A201" s="33"/>
      <c r="B201" s="33"/>
      <c r="C201" s="33"/>
      <c r="D201" s="33"/>
    </row>
    <row r="202" spans="1:4">
      <c r="A202" s="33"/>
      <c r="B202" s="33"/>
      <c r="C202" s="33"/>
      <c r="D202" s="33"/>
    </row>
    <row r="203" spans="1:4">
      <c r="A203" s="33"/>
      <c r="B203" s="33"/>
      <c r="C203" s="33"/>
      <c r="D203" s="33"/>
    </row>
    <row r="204" spans="1:4">
      <c r="A204" s="33"/>
      <c r="B204" s="33"/>
      <c r="C204" s="33"/>
      <c r="D204" s="33"/>
    </row>
    <row r="205" spans="1:4">
      <c r="A205" s="33"/>
      <c r="B205" s="33"/>
      <c r="C205" s="33"/>
      <c r="D205" s="33"/>
    </row>
    <row r="206" spans="1:4">
      <c r="A206" s="33"/>
      <c r="B206" s="33"/>
      <c r="C206" s="33"/>
      <c r="D206" s="33"/>
    </row>
    <row r="207" spans="1:4">
      <c r="A207" s="33"/>
      <c r="B207" s="33"/>
      <c r="C207" s="33"/>
      <c r="D207" s="33"/>
    </row>
    <row r="208" spans="1:4">
      <c r="A208" s="33"/>
      <c r="B208" s="33"/>
      <c r="C208" s="33"/>
      <c r="D208" s="33"/>
    </row>
    <row r="209" spans="1:4">
      <c r="A209" s="33"/>
      <c r="B209" s="33"/>
      <c r="C209" s="33"/>
      <c r="D209" s="33"/>
    </row>
    <row r="210" spans="1:4">
      <c r="A210" s="33"/>
      <c r="B210" s="33"/>
      <c r="C210" s="33"/>
      <c r="D210" s="33"/>
    </row>
    <row r="211" spans="1:4">
      <c r="A211" s="33"/>
      <c r="B211" s="33"/>
      <c r="C211" s="33"/>
      <c r="D211" s="33"/>
    </row>
    <row r="212" spans="1:4">
      <c r="A212" s="33"/>
      <c r="B212" s="33"/>
      <c r="C212" s="33"/>
      <c r="D212" s="33"/>
    </row>
    <row r="213" spans="1:4">
      <c r="A213" s="33"/>
      <c r="B213" s="33"/>
      <c r="C213" s="33"/>
      <c r="D213" s="33"/>
    </row>
    <row r="214" spans="1:4">
      <c r="A214" s="33"/>
      <c r="B214" s="33"/>
      <c r="C214" s="33"/>
      <c r="D214" s="33"/>
    </row>
    <row r="215" spans="1:4">
      <c r="A215" s="33"/>
      <c r="B215" s="33"/>
      <c r="C215" s="33"/>
      <c r="D215" s="33"/>
    </row>
    <row r="216" spans="1:4">
      <c r="A216" s="33"/>
      <c r="B216" s="33"/>
      <c r="C216" s="33"/>
      <c r="D216" s="33"/>
    </row>
    <row r="217" spans="1:4">
      <c r="A217" s="33"/>
      <c r="B217" s="33"/>
      <c r="C217" s="33"/>
      <c r="D217" s="33"/>
    </row>
    <row r="218" spans="1:4">
      <c r="A218" s="33"/>
      <c r="B218" s="33"/>
      <c r="C218" s="33"/>
      <c r="D218" s="33"/>
    </row>
    <row r="219" spans="1:4">
      <c r="A219" s="33"/>
      <c r="B219" s="33"/>
      <c r="C219" s="33"/>
      <c r="D219" s="33"/>
    </row>
    <row r="220" spans="1:4">
      <c r="A220" s="33"/>
      <c r="B220" s="33"/>
      <c r="C220" s="33"/>
      <c r="D220" s="33"/>
    </row>
    <row r="221" spans="1:4">
      <c r="A221" s="33"/>
      <c r="B221" s="33"/>
      <c r="C221" s="33"/>
      <c r="D221" s="33"/>
    </row>
    <row r="222" spans="1:4">
      <c r="A222" s="33"/>
      <c r="B222" s="33"/>
      <c r="C222" s="33"/>
      <c r="D222" s="33"/>
    </row>
    <row r="223" spans="1:4">
      <c r="A223" s="33"/>
      <c r="B223" s="33"/>
      <c r="C223" s="33"/>
      <c r="D223" s="33"/>
    </row>
    <row r="224" spans="1:4">
      <c r="A224" s="33"/>
      <c r="B224" s="33"/>
      <c r="C224" s="33"/>
      <c r="D224" s="33"/>
    </row>
    <row r="225" spans="1:4">
      <c r="A225" s="33"/>
      <c r="B225" s="33"/>
      <c r="C225" s="33"/>
      <c r="D225" s="33"/>
    </row>
    <row r="226" spans="1:4">
      <c r="A226" s="33"/>
      <c r="B226" s="33"/>
      <c r="C226" s="33"/>
      <c r="D226" s="33"/>
    </row>
    <row r="227" spans="1:4">
      <c r="A227" s="33"/>
      <c r="B227" s="33"/>
      <c r="C227" s="33"/>
      <c r="D227" s="33"/>
    </row>
    <row r="228" spans="1:4">
      <c r="A228" s="33"/>
      <c r="B228" s="33"/>
      <c r="C228" s="33"/>
      <c r="D228" s="33"/>
    </row>
    <row r="229" spans="1:4">
      <c r="A229" s="33"/>
      <c r="B229" s="33"/>
      <c r="C229" s="33"/>
      <c r="D229" s="33"/>
    </row>
    <row r="230" spans="1:4">
      <c r="A230" s="33"/>
      <c r="B230" s="33"/>
      <c r="C230" s="33"/>
      <c r="D230" s="33"/>
    </row>
    <row r="231" spans="1:4">
      <c r="A231" s="33"/>
      <c r="B231" s="33"/>
      <c r="C231" s="33"/>
      <c r="D231" s="33"/>
    </row>
    <row r="232" spans="1:4">
      <c r="A232" s="33"/>
      <c r="B232" s="33"/>
      <c r="C232" s="33"/>
      <c r="D232" s="33"/>
    </row>
    <row r="233" spans="1:4">
      <c r="A233" s="33"/>
      <c r="B233" s="33"/>
      <c r="C233" s="33"/>
      <c r="D233" s="33"/>
    </row>
    <row r="234" spans="1:4">
      <c r="A234" s="33"/>
      <c r="B234" s="33"/>
      <c r="C234" s="33"/>
      <c r="D234" s="33"/>
    </row>
    <row r="235" spans="1:4">
      <c r="A235" s="33"/>
      <c r="B235" s="33"/>
      <c r="C235" s="33"/>
      <c r="D235" s="33"/>
    </row>
    <row r="236" spans="1:4">
      <c r="A236" s="33"/>
      <c r="B236" s="33"/>
      <c r="C236" s="33"/>
      <c r="D236" s="33"/>
    </row>
    <row r="237" spans="1:4">
      <c r="A237" s="33"/>
      <c r="B237" s="33"/>
      <c r="C237" s="33"/>
      <c r="D237" s="33"/>
    </row>
    <row r="238" spans="1:4">
      <c r="A238" s="33"/>
      <c r="B238" s="33"/>
      <c r="C238" s="33"/>
      <c r="D238" s="33"/>
    </row>
    <row r="239" spans="1:4">
      <c r="A239" s="33"/>
      <c r="B239" s="33"/>
      <c r="C239" s="33"/>
      <c r="D239" s="33"/>
    </row>
    <row r="240" spans="1:4">
      <c r="A240" s="33"/>
      <c r="B240" s="33"/>
      <c r="C240" s="33"/>
      <c r="D240" s="33"/>
    </row>
    <row r="241" spans="1:4">
      <c r="A241" s="33"/>
      <c r="B241" s="33"/>
      <c r="C241" s="33"/>
      <c r="D241" s="33"/>
    </row>
    <row r="242" spans="1:4">
      <c r="A242" s="33"/>
      <c r="B242" s="33"/>
      <c r="C242" s="33"/>
      <c r="D242" s="33"/>
    </row>
    <row r="243" spans="1:4">
      <c r="A243" s="33"/>
      <c r="B243" s="33"/>
      <c r="C243" s="33"/>
      <c r="D243" s="33"/>
    </row>
    <row r="244" spans="1:4">
      <c r="A244" s="33"/>
      <c r="B244" s="33"/>
      <c r="C244" s="33"/>
      <c r="D244" s="33"/>
    </row>
    <row r="245" spans="1:4">
      <c r="A245" s="33"/>
      <c r="B245" s="33"/>
      <c r="C245" s="33"/>
      <c r="D245" s="33"/>
    </row>
    <row r="246" spans="1:4">
      <c r="A246" s="33"/>
      <c r="B246" s="33"/>
      <c r="C246" s="33"/>
      <c r="D246" s="33"/>
    </row>
    <row r="247" spans="1:4">
      <c r="A247" s="33"/>
      <c r="B247" s="33"/>
      <c r="C247" s="33"/>
      <c r="D247" s="33"/>
    </row>
    <row r="248" spans="1:4">
      <c r="A248" s="33"/>
      <c r="B248" s="33"/>
      <c r="C248" s="33"/>
      <c r="D248" s="33"/>
    </row>
    <row r="249" spans="1:4">
      <c r="A249" s="33"/>
      <c r="B249" s="33"/>
      <c r="C249" s="33"/>
      <c r="D249" s="33"/>
    </row>
    <row r="250" spans="1:4">
      <c r="A250" s="33"/>
      <c r="B250" s="33"/>
      <c r="C250" s="33"/>
      <c r="D250" s="33"/>
    </row>
    <row r="251" spans="1:4">
      <c r="A251" s="33"/>
      <c r="B251" s="33"/>
      <c r="C251" s="33"/>
      <c r="D251" s="33"/>
    </row>
    <row r="252" spans="1:4">
      <c r="A252" s="33"/>
      <c r="B252" s="33"/>
      <c r="C252" s="33"/>
      <c r="D252" s="33"/>
    </row>
    <row r="253" spans="1:4">
      <c r="A253" s="33"/>
      <c r="B253" s="33"/>
      <c r="C253" s="33"/>
      <c r="D253" s="33"/>
    </row>
    <row r="254" spans="1:4">
      <c r="A254" s="33"/>
      <c r="B254" s="33"/>
      <c r="C254" s="33"/>
      <c r="D254" s="33"/>
    </row>
    <row r="255" spans="1:4">
      <c r="A255" s="33"/>
      <c r="B255" s="33"/>
      <c r="C255" s="33"/>
      <c r="D255" s="33"/>
    </row>
    <row r="256" spans="1:4">
      <c r="A256" s="33"/>
      <c r="B256" s="33"/>
      <c r="C256" s="33"/>
      <c r="D256" s="33"/>
    </row>
    <row r="257" spans="1:4">
      <c r="A257" s="33"/>
      <c r="B257" s="33"/>
      <c r="C257" s="33"/>
      <c r="D257" s="33"/>
    </row>
    <row r="258" spans="1:4">
      <c r="A258" s="33"/>
      <c r="B258" s="33"/>
      <c r="C258" s="33"/>
      <c r="D258" s="33"/>
    </row>
    <row r="259" spans="1:4">
      <c r="A259" s="33"/>
      <c r="B259" s="33"/>
      <c r="C259" s="33"/>
      <c r="D259" s="33"/>
    </row>
    <row r="260" spans="1:4">
      <c r="A260" s="33"/>
      <c r="B260" s="33"/>
      <c r="C260" s="33"/>
      <c r="D260" s="33"/>
    </row>
    <row r="261" spans="1:4">
      <c r="A261" s="33"/>
      <c r="B261" s="33"/>
      <c r="C261" s="33"/>
      <c r="D261" s="33"/>
    </row>
    <row r="262" spans="1:4">
      <c r="A262" s="33"/>
      <c r="B262" s="33"/>
      <c r="C262" s="33"/>
      <c r="D262" s="33"/>
    </row>
    <row r="263" spans="1:4">
      <c r="A263" s="33"/>
      <c r="B263" s="33"/>
      <c r="C263" s="33"/>
      <c r="D263" s="33"/>
    </row>
    <row r="264" spans="1:4">
      <c r="A264" s="33"/>
      <c r="B264" s="33"/>
      <c r="C264" s="33"/>
      <c r="D264" s="33"/>
    </row>
    <row r="265" spans="1:4">
      <c r="A265" s="33"/>
      <c r="B265" s="33"/>
      <c r="C265" s="33"/>
      <c r="D265" s="33"/>
    </row>
    <row r="266" spans="1:4">
      <c r="A266" s="33"/>
      <c r="B266" s="33"/>
      <c r="C266" s="33"/>
      <c r="D266" s="33"/>
    </row>
    <row r="267" spans="1:4">
      <c r="A267" s="33"/>
      <c r="B267" s="33"/>
      <c r="C267" s="33"/>
      <c r="D267" s="33"/>
    </row>
    <row r="268" spans="1:4">
      <c r="A268" s="33"/>
      <c r="B268" s="33"/>
      <c r="C268" s="33"/>
      <c r="D268" s="33"/>
    </row>
    <row r="269" spans="1:4">
      <c r="A269" s="33"/>
      <c r="B269" s="33"/>
      <c r="C269" s="33"/>
      <c r="D269" s="33"/>
    </row>
    <row r="270" spans="1:4">
      <c r="A270" s="33"/>
      <c r="B270" s="33"/>
      <c r="C270" s="33"/>
      <c r="D270" s="33"/>
    </row>
    <row r="271" spans="1:4">
      <c r="A271" s="33"/>
      <c r="B271" s="33"/>
      <c r="C271" s="33"/>
      <c r="D271" s="33"/>
    </row>
    <row r="272" spans="1:4">
      <c r="A272" s="33"/>
      <c r="B272" s="33"/>
      <c r="C272" s="33"/>
      <c r="D272" s="33"/>
    </row>
    <row r="273" spans="1:4">
      <c r="A273" s="33"/>
      <c r="B273" s="33"/>
      <c r="C273" s="33"/>
      <c r="D273" s="33"/>
    </row>
    <row r="274" spans="1:4">
      <c r="A274" s="33"/>
      <c r="B274" s="33"/>
      <c r="C274" s="33"/>
      <c r="D274" s="33"/>
    </row>
    <row r="275" spans="1:4">
      <c r="A275" s="33"/>
      <c r="B275" s="33"/>
      <c r="C275" s="33"/>
      <c r="D275" s="33"/>
    </row>
    <row r="276" spans="1:4">
      <c r="A276" s="33"/>
      <c r="B276" s="33"/>
      <c r="C276" s="33"/>
      <c r="D276" s="33"/>
    </row>
    <row r="277" spans="1:4">
      <c r="A277" s="33"/>
      <c r="B277" s="33"/>
      <c r="C277" s="33"/>
      <c r="D277" s="33"/>
    </row>
    <row r="278" spans="1:4">
      <c r="A278" s="33"/>
      <c r="B278" s="33"/>
      <c r="C278" s="33"/>
      <c r="D278" s="33"/>
    </row>
    <row r="279" spans="1:4">
      <c r="A279" s="33"/>
      <c r="B279" s="33"/>
      <c r="C279" s="33"/>
      <c r="D279" s="33"/>
    </row>
    <row r="280" spans="1:4">
      <c r="A280" s="33"/>
      <c r="B280" s="33"/>
      <c r="C280" s="33"/>
      <c r="D280" s="33"/>
    </row>
    <row r="281" spans="1:4">
      <c r="A281" s="33"/>
      <c r="B281" s="33"/>
      <c r="C281" s="33"/>
      <c r="D281" s="33"/>
    </row>
    <row r="282" spans="1:4">
      <c r="A282" s="33"/>
      <c r="B282" s="33"/>
      <c r="C282" s="33"/>
      <c r="D282" s="33"/>
    </row>
    <row r="283" spans="1:4">
      <c r="A283" s="33"/>
      <c r="B283" s="33"/>
      <c r="C283" s="33"/>
      <c r="D283" s="33"/>
    </row>
    <row r="284" spans="1:4">
      <c r="A284" s="33"/>
      <c r="B284" s="33"/>
      <c r="C284" s="33"/>
      <c r="D284" s="33"/>
    </row>
    <row r="285" spans="1:4">
      <c r="A285" s="33"/>
      <c r="B285" s="33"/>
      <c r="C285" s="33"/>
      <c r="D285" s="33"/>
    </row>
    <row r="286" spans="1:4">
      <c r="A286" s="33"/>
      <c r="B286" s="33"/>
      <c r="C286" s="33"/>
      <c r="D286" s="33"/>
    </row>
    <row r="287" spans="1:4">
      <c r="A287" s="33"/>
      <c r="B287" s="33"/>
      <c r="C287" s="33"/>
      <c r="D287" s="33"/>
    </row>
    <row r="288" spans="1:4">
      <c r="A288" s="33"/>
      <c r="B288" s="33"/>
      <c r="C288" s="33"/>
      <c r="D288" s="33"/>
    </row>
    <row r="289" spans="1:4">
      <c r="A289" s="33"/>
      <c r="B289" s="33"/>
      <c r="C289" s="33"/>
      <c r="D289" s="33"/>
    </row>
    <row r="290" spans="1:4">
      <c r="A290" s="33"/>
      <c r="B290" s="33"/>
      <c r="C290" s="33"/>
      <c r="D290" s="33"/>
    </row>
    <row r="291" spans="1:4">
      <c r="A291" s="33"/>
      <c r="B291" s="33"/>
      <c r="C291" s="33"/>
      <c r="D291" s="33"/>
    </row>
    <row r="292" spans="1:4">
      <c r="A292" s="33"/>
      <c r="B292" s="33"/>
      <c r="C292" s="33"/>
      <c r="D292" s="33"/>
    </row>
    <row r="293" spans="1:4">
      <c r="A293" s="33"/>
      <c r="B293" s="33"/>
      <c r="C293" s="33"/>
      <c r="D293" s="33"/>
    </row>
    <row r="294" spans="1:4">
      <c r="A294" s="33"/>
      <c r="B294" s="33"/>
      <c r="C294" s="33"/>
      <c r="D294" s="33"/>
    </row>
    <row r="295" spans="1:4">
      <c r="A295" s="33"/>
      <c r="B295" s="33"/>
      <c r="C295" s="33"/>
      <c r="D295" s="33"/>
    </row>
    <row r="296" spans="1:4">
      <c r="A296" s="33"/>
      <c r="B296" s="33"/>
      <c r="C296" s="33"/>
      <c r="D296" s="33"/>
    </row>
    <row r="297" spans="1:4">
      <c r="A297" s="33"/>
      <c r="B297" s="33"/>
      <c r="C297" s="33"/>
      <c r="D297" s="33"/>
    </row>
    <row r="298" spans="1:4">
      <c r="A298" s="33"/>
      <c r="B298" s="33"/>
      <c r="C298" s="33"/>
      <c r="D298" s="33"/>
    </row>
    <row r="299" spans="1:4">
      <c r="A299" s="33"/>
      <c r="B299" s="33"/>
      <c r="C299" s="33"/>
      <c r="D299" s="33"/>
    </row>
    <row r="300" spans="1:4">
      <c r="A300" s="33"/>
      <c r="B300" s="33"/>
      <c r="C300" s="33"/>
      <c r="D300" s="33"/>
    </row>
    <row r="301" spans="1:4">
      <c r="A301" s="33"/>
      <c r="B301" s="33"/>
      <c r="C301" s="33"/>
      <c r="D301" s="33"/>
    </row>
    <row r="302" spans="1:4">
      <c r="A302" s="33"/>
      <c r="B302" s="33"/>
      <c r="C302" s="33"/>
      <c r="D302" s="33"/>
    </row>
    <row r="303" spans="1:4">
      <c r="A303" s="33"/>
      <c r="B303" s="33"/>
      <c r="C303" s="33"/>
      <c r="D303" s="33"/>
    </row>
    <row r="304" spans="1:4">
      <c r="A304" s="33"/>
      <c r="B304" s="33"/>
      <c r="C304" s="33"/>
      <c r="D304" s="33"/>
    </row>
    <row r="305" spans="1:4">
      <c r="A305" s="33"/>
      <c r="B305" s="33"/>
      <c r="C305" s="33"/>
      <c r="D305" s="33"/>
    </row>
    <row r="306" spans="1:4">
      <c r="A306" s="33"/>
      <c r="B306" s="33"/>
      <c r="C306" s="33"/>
      <c r="D306" s="33"/>
    </row>
    <row r="307" spans="1:4">
      <c r="A307" s="33"/>
      <c r="B307" s="33"/>
      <c r="C307" s="33"/>
      <c r="D307" s="33"/>
    </row>
    <row r="308" spans="1:4">
      <c r="A308" s="33"/>
      <c r="B308" s="33"/>
      <c r="C308" s="33"/>
      <c r="D308" s="33"/>
    </row>
    <row r="309" spans="1:4">
      <c r="A309" s="33"/>
      <c r="B309" s="33"/>
      <c r="C309" s="33"/>
      <c r="D309" s="33"/>
    </row>
    <row r="310" spans="1:4">
      <c r="A310" s="33"/>
      <c r="B310" s="33"/>
      <c r="C310" s="33"/>
      <c r="D310" s="33"/>
    </row>
    <row r="311" spans="1:4">
      <c r="A311" s="33"/>
      <c r="B311" s="33"/>
      <c r="C311" s="33"/>
      <c r="D311" s="33"/>
    </row>
    <row r="312" spans="1:4">
      <c r="A312" s="33"/>
      <c r="B312" s="33"/>
      <c r="C312" s="33"/>
      <c r="D312" s="33"/>
    </row>
    <row r="313" spans="1:4">
      <c r="A313" s="33"/>
      <c r="B313" s="33"/>
      <c r="C313" s="33"/>
      <c r="D313" s="33"/>
    </row>
    <row r="314" spans="1:4">
      <c r="A314" s="33"/>
      <c r="B314" s="33"/>
      <c r="C314" s="33"/>
      <c r="D314" s="33"/>
    </row>
    <row r="315" spans="1:4">
      <c r="A315" s="33"/>
      <c r="B315" s="33"/>
      <c r="C315" s="33"/>
      <c r="D315" s="33"/>
    </row>
    <row r="316" spans="1:4">
      <c r="A316" s="33"/>
      <c r="B316" s="33"/>
      <c r="C316" s="33"/>
      <c r="D316" s="33"/>
    </row>
    <row r="317" spans="1:4">
      <c r="A317" s="33"/>
      <c r="B317" s="33"/>
      <c r="C317" s="33"/>
      <c r="D317" s="33"/>
    </row>
    <row r="318" spans="1:4">
      <c r="A318" s="33"/>
      <c r="B318" s="33"/>
      <c r="C318" s="33"/>
      <c r="D318" s="33"/>
    </row>
    <row r="319" spans="1:4">
      <c r="A319" s="33"/>
      <c r="B319" s="33"/>
      <c r="C319" s="33"/>
      <c r="D319" s="33"/>
    </row>
    <row r="320" spans="1:4">
      <c r="A320" s="33"/>
      <c r="B320" s="33"/>
      <c r="C320" s="33"/>
      <c r="D320" s="33"/>
    </row>
    <row r="321" spans="1:4">
      <c r="A321" s="33"/>
      <c r="B321" s="33"/>
      <c r="C321" s="33"/>
      <c r="D321" s="33"/>
    </row>
    <row r="322" spans="1:4">
      <c r="A322" s="33"/>
      <c r="B322" s="33"/>
      <c r="C322" s="33"/>
      <c r="D322" s="33"/>
    </row>
    <row r="323" spans="1:4">
      <c r="A323" s="33"/>
      <c r="B323" s="33"/>
      <c r="C323" s="33"/>
      <c r="D323" s="33"/>
    </row>
    <row r="324" spans="1:4">
      <c r="A324" s="33"/>
      <c r="B324" s="33"/>
      <c r="C324" s="33"/>
      <c r="D324" s="33"/>
    </row>
    <row r="325" spans="1:4">
      <c r="A325" s="33"/>
      <c r="B325" s="33"/>
      <c r="C325" s="33"/>
      <c r="D325" s="33"/>
    </row>
    <row r="326" spans="1:4">
      <c r="A326" s="33"/>
      <c r="B326" s="33"/>
      <c r="C326" s="33"/>
      <c r="D326" s="33"/>
    </row>
    <row r="327" spans="1:4">
      <c r="A327" s="33"/>
      <c r="B327" s="33"/>
      <c r="C327" s="33"/>
      <c r="D327" s="33"/>
    </row>
    <row r="328" spans="1:4">
      <c r="A328" s="33"/>
      <c r="B328" s="33"/>
      <c r="C328" s="33"/>
      <c r="D328" s="33"/>
    </row>
    <row r="329" spans="1:4">
      <c r="A329" s="33"/>
      <c r="B329" s="33"/>
      <c r="C329" s="33"/>
      <c r="D329" s="33"/>
    </row>
    <row r="330" spans="1:4">
      <c r="A330" s="33"/>
      <c r="B330" s="33"/>
      <c r="C330" s="33"/>
      <c r="D330" s="33"/>
    </row>
    <row r="331" spans="1:4">
      <c r="A331" s="33"/>
      <c r="B331" s="33"/>
      <c r="C331" s="33"/>
      <c r="D331" s="33"/>
    </row>
    <row r="332" spans="1:4">
      <c r="A332" s="33"/>
      <c r="B332" s="33"/>
      <c r="C332" s="33"/>
      <c r="D332" s="33"/>
    </row>
    <row r="333" spans="1:4">
      <c r="A333" s="33"/>
      <c r="B333" s="33"/>
      <c r="C333" s="33"/>
      <c r="D333" s="33"/>
    </row>
    <row r="334" spans="1:4">
      <c r="A334" s="33"/>
      <c r="B334" s="33"/>
      <c r="C334" s="33"/>
      <c r="D334" s="33"/>
    </row>
    <row r="335" spans="1:4">
      <c r="A335" s="33"/>
      <c r="B335" s="33"/>
      <c r="C335" s="33"/>
      <c r="D335" s="33"/>
    </row>
    <row r="336" spans="1:4">
      <c r="A336" s="33"/>
      <c r="B336" s="33"/>
      <c r="C336" s="33"/>
      <c r="D336" s="33"/>
    </row>
    <row r="337" spans="1:4">
      <c r="A337" s="33"/>
      <c r="B337" s="33"/>
      <c r="C337" s="33"/>
      <c r="D337" s="33"/>
    </row>
    <row r="338" spans="1:4">
      <c r="A338" s="33"/>
      <c r="B338" s="33"/>
      <c r="C338" s="33"/>
      <c r="D338" s="33"/>
    </row>
    <row r="339" spans="1:4">
      <c r="A339" s="33"/>
      <c r="B339" s="33"/>
      <c r="C339" s="33"/>
      <c r="D339" s="33"/>
    </row>
    <row r="340" spans="1:4">
      <c r="A340" s="33"/>
      <c r="B340" s="33"/>
      <c r="C340" s="33"/>
      <c r="D340" s="33"/>
    </row>
    <row r="341" spans="1:4">
      <c r="A341" s="33"/>
      <c r="B341" s="33"/>
      <c r="C341" s="33"/>
      <c r="D341" s="33"/>
    </row>
    <row r="342" spans="1:4">
      <c r="A342" s="33"/>
      <c r="B342" s="33"/>
      <c r="C342" s="33"/>
      <c r="D342" s="33"/>
    </row>
    <row r="343" spans="1:4">
      <c r="A343" s="33"/>
      <c r="B343" s="33"/>
      <c r="C343" s="33"/>
      <c r="D343" s="33"/>
    </row>
    <row r="344" spans="1:4">
      <c r="A344" s="33"/>
      <c r="B344" s="33"/>
      <c r="C344" s="33"/>
      <c r="D344" s="33"/>
    </row>
    <row r="345" spans="1:4">
      <c r="A345" s="33"/>
      <c r="B345" s="33"/>
      <c r="C345" s="33"/>
      <c r="D345" s="33"/>
    </row>
    <row r="346" spans="1:4">
      <c r="A346" s="33"/>
      <c r="B346" s="33"/>
      <c r="C346" s="33"/>
      <c r="D346" s="33"/>
    </row>
    <row r="347" spans="1:4">
      <c r="A347" s="33"/>
      <c r="B347" s="33"/>
      <c r="C347" s="33"/>
      <c r="D347" s="33"/>
    </row>
    <row r="348" spans="1:4">
      <c r="A348" s="33"/>
      <c r="B348" s="33"/>
      <c r="C348" s="33"/>
      <c r="D348" s="33"/>
    </row>
    <row r="349" spans="1:4">
      <c r="A349" s="33"/>
      <c r="B349" s="33"/>
      <c r="C349" s="33"/>
      <c r="D349" s="33"/>
    </row>
    <row r="350" spans="1:4">
      <c r="A350" s="33"/>
      <c r="B350" s="33"/>
      <c r="C350" s="33"/>
      <c r="D350" s="33"/>
    </row>
    <row r="351" spans="1:4">
      <c r="A351" s="33"/>
      <c r="B351" s="33"/>
      <c r="C351" s="33"/>
      <c r="D351" s="33"/>
    </row>
    <row r="352" spans="1:4">
      <c r="A352" s="33"/>
      <c r="B352" s="33"/>
      <c r="C352" s="33"/>
      <c r="D352" s="33"/>
    </row>
    <row r="353" spans="1:4">
      <c r="A353" s="33"/>
      <c r="B353" s="33"/>
      <c r="C353" s="33"/>
      <c r="D353" s="33"/>
    </row>
    <row r="354" spans="1:4">
      <c r="A354" s="33"/>
      <c r="B354" s="33"/>
      <c r="C354" s="33"/>
      <c r="D354" s="33"/>
    </row>
    <row r="355" spans="1:4">
      <c r="A355" s="33"/>
      <c r="B355" s="33"/>
      <c r="C355" s="33"/>
      <c r="D355" s="33"/>
    </row>
    <row r="356" spans="1:4">
      <c r="A356" s="33"/>
      <c r="B356" s="33"/>
      <c r="C356" s="33"/>
      <c r="D356" s="33"/>
    </row>
    <row r="357" spans="1:4">
      <c r="A357" s="33"/>
      <c r="B357" s="33"/>
      <c r="C357" s="33"/>
      <c r="D357" s="33"/>
    </row>
    <row r="358" spans="1:4">
      <c r="A358" s="33"/>
      <c r="B358" s="33"/>
      <c r="C358" s="33"/>
      <c r="D358" s="33"/>
    </row>
    <row r="359" spans="1:4">
      <c r="A359" s="33"/>
      <c r="B359" s="33"/>
      <c r="C359" s="33"/>
      <c r="D359" s="33"/>
    </row>
    <row r="360" spans="1:4">
      <c r="A360" s="33"/>
      <c r="B360" s="33"/>
      <c r="C360" s="33"/>
      <c r="D360" s="33"/>
    </row>
    <row r="361" spans="1:4">
      <c r="A361" s="33"/>
      <c r="B361" s="33"/>
      <c r="C361" s="33"/>
      <c r="D361" s="33"/>
    </row>
    <row r="362" spans="1:4">
      <c r="A362" s="33"/>
      <c r="B362" s="33"/>
      <c r="C362" s="33"/>
      <c r="D362" s="33"/>
    </row>
    <row r="363" spans="1:4">
      <c r="A363" s="33"/>
      <c r="B363" s="33"/>
      <c r="C363" s="33"/>
      <c r="D363" s="33"/>
    </row>
    <row r="364" spans="1:4">
      <c r="A364" s="33"/>
      <c r="B364" s="33"/>
      <c r="C364" s="33"/>
      <c r="D364" s="33"/>
    </row>
    <row r="365" spans="1:4">
      <c r="A365" s="33"/>
      <c r="B365" s="33"/>
      <c r="C365" s="33"/>
      <c r="D365" s="33"/>
    </row>
    <row r="366" spans="1:4">
      <c r="A366" s="33"/>
      <c r="B366" s="33"/>
      <c r="C366" s="33"/>
      <c r="D366" s="33"/>
    </row>
    <row r="367" spans="1:4">
      <c r="A367" s="33"/>
      <c r="B367" s="33"/>
      <c r="C367" s="33"/>
      <c r="D367" s="33"/>
    </row>
    <row r="368" spans="1:4">
      <c r="A368" s="33"/>
      <c r="B368" s="33"/>
      <c r="C368" s="33"/>
      <c r="D368" s="33"/>
    </row>
    <row r="369" spans="1:4">
      <c r="A369" s="33"/>
      <c r="B369" s="33"/>
      <c r="C369" s="33"/>
      <c r="D369" s="33"/>
    </row>
    <row r="370" spans="1:4">
      <c r="A370" s="33"/>
      <c r="B370" s="33"/>
      <c r="C370" s="33"/>
      <c r="D370" s="33"/>
    </row>
    <row r="371" spans="1:4">
      <c r="A371" s="33"/>
      <c r="B371" s="33"/>
      <c r="C371" s="33"/>
      <c r="D371" s="33"/>
    </row>
    <row r="372" spans="1:4">
      <c r="A372" s="33"/>
      <c r="B372" s="33"/>
      <c r="C372" s="33"/>
      <c r="D372" s="33"/>
    </row>
    <row r="373" spans="1:4">
      <c r="A373" s="33"/>
      <c r="B373" s="33"/>
      <c r="C373" s="33"/>
      <c r="D373" s="33"/>
    </row>
    <row r="374" spans="1:4">
      <c r="A374" s="33"/>
      <c r="B374" s="33"/>
      <c r="C374" s="33"/>
      <c r="D374" s="33"/>
    </row>
    <row r="375" spans="1:4">
      <c r="A375" s="33"/>
      <c r="B375" s="33"/>
      <c r="C375" s="33"/>
      <c r="D375" s="33"/>
    </row>
    <row r="376" spans="1:4">
      <c r="A376" s="33"/>
      <c r="B376" s="33"/>
      <c r="C376" s="33"/>
      <c r="D376" s="33"/>
    </row>
    <row r="377" spans="1:4">
      <c r="A377" s="33"/>
      <c r="B377" s="33"/>
      <c r="C377" s="33"/>
      <c r="D377" s="33"/>
    </row>
    <row r="378" spans="1:4">
      <c r="A378" s="33"/>
      <c r="B378" s="33"/>
      <c r="C378" s="33"/>
      <c r="D378" s="33"/>
    </row>
    <row r="379" spans="1:4">
      <c r="A379" s="33"/>
      <c r="B379" s="33"/>
      <c r="C379" s="33"/>
      <c r="D379" s="33"/>
    </row>
    <row r="380" spans="1:4">
      <c r="A380" s="33"/>
      <c r="B380" s="33"/>
      <c r="C380" s="33"/>
      <c r="D380" s="33"/>
    </row>
    <row r="381" spans="1:4">
      <c r="A381" s="33"/>
      <c r="B381" s="33"/>
      <c r="C381" s="33"/>
      <c r="D381" s="33"/>
    </row>
    <row r="382" spans="1:4">
      <c r="A382" s="33"/>
      <c r="B382" s="33"/>
      <c r="C382" s="33"/>
      <c r="D382" s="33"/>
    </row>
    <row r="383" spans="1:4">
      <c r="A383" s="33"/>
      <c r="B383" s="33"/>
      <c r="C383" s="33"/>
      <c r="D383" s="33"/>
    </row>
    <row r="384" spans="1:4">
      <c r="A384" s="33"/>
      <c r="B384" s="33"/>
      <c r="C384" s="33"/>
      <c r="D384" s="33"/>
    </row>
    <row r="385" spans="1:4">
      <c r="A385" s="33"/>
      <c r="B385" s="33"/>
      <c r="C385" s="33"/>
      <c r="D385" s="33"/>
    </row>
    <row r="386" spans="1:4">
      <c r="A386" s="33"/>
      <c r="B386" s="33"/>
      <c r="C386" s="33"/>
      <c r="D386" s="33"/>
    </row>
    <row r="387" spans="1:4">
      <c r="A387" s="33"/>
      <c r="B387" s="33"/>
      <c r="C387" s="33"/>
      <c r="D387" s="33"/>
    </row>
    <row r="388" spans="1:4">
      <c r="A388" s="33"/>
      <c r="B388" s="33"/>
      <c r="C388" s="33"/>
      <c r="D388" s="33"/>
    </row>
    <row r="389" spans="1:4">
      <c r="A389" s="33"/>
      <c r="B389" s="33"/>
      <c r="C389" s="33"/>
      <c r="D389" s="33"/>
    </row>
    <row r="390" spans="1:4">
      <c r="A390" s="33"/>
      <c r="B390" s="33"/>
      <c r="C390" s="33"/>
      <c r="D390" s="33"/>
    </row>
    <row r="391" spans="1:4">
      <c r="A391" s="33"/>
      <c r="B391" s="33"/>
      <c r="C391" s="33"/>
      <c r="D391" s="33"/>
    </row>
    <row r="392" spans="1:4">
      <c r="A392" s="33"/>
      <c r="B392" s="33"/>
      <c r="C392" s="33"/>
      <c r="D392" s="33"/>
    </row>
    <row r="393" spans="1:4">
      <c r="A393" s="33"/>
      <c r="B393" s="33"/>
      <c r="C393" s="33"/>
      <c r="D393" s="33"/>
    </row>
    <row r="394" spans="1:4">
      <c r="A394" s="33"/>
      <c r="B394" s="33"/>
      <c r="C394" s="33"/>
      <c r="D394" s="33"/>
    </row>
    <row r="395" spans="1:4">
      <c r="A395" s="33"/>
      <c r="B395" s="33"/>
      <c r="C395" s="33"/>
      <c r="D395" s="33"/>
    </row>
    <row r="396" spans="1:4">
      <c r="A396" s="33"/>
      <c r="B396" s="33"/>
      <c r="C396" s="33"/>
      <c r="D396" s="33"/>
    </row>
    <row r="397" spans="1:4">
      <c r="A397" s="33"/>
      <c r="B397" s="33"/>
      <c r="C397" s="33"/>
      <c r="D397" s="33"/>
    </row>
    <row r="398" spans="1:4">
      <c r="A398" s="33"/>
      <c r="B398" s="33"/>
      <c r="C398" s="33"/>
      <c r="D398" s="33"/>
    </row>
    <row r="399" spans="1:4">
      <c r="A399" s="33"/>
      <c r="B399" s="33"/>
      <c r="C399" s="33"/>
      <c r="D399" s="33"/>
    </row>
    <row r="400" spans="1:4">
      <c r="A400" s="33"/>
      <c r="B400" s="33"/>
      <c r="C400" s="33"/>
      <c r="D400" s="33"/>
    </row>
    <row r="401" spans="1:4">
      <c r="A401" s="33"/>
      <c r="B401" s="33"/>
      <c r="C401" s="33"/>
      <c r="D401" s="33"/>
    </row>
    <row r="402" spans="1:4">
      <c r="A402" s="33"/>
      <c r="B402" s="33"/>
      <c r="C402" s="33"/>
      <c r="D402" s="33"/>
    </row>
    <row r="403" spans="1:4">
      <c r="A403" s="33"/>
      <c r="B403" s="33"/>
      <c r="C403" s="33"/>
      <c r="D403" s="33"/>
    </row>
    <row r="404" spans="1:4">
      <c r="A404" s="33"/>
      <c r="B404" s="33"/>
      <c r="C404" s="33"/>
      <c r="D404" s="33"/>
    </row>
    <row r="405" spans="1:4">
      <c r="A405" s="33"/>
      <c r="B405" s="33"/>
      <c r="C405" s="33"/>
      <c r="D405" s="33"/>
    </row>
    <row r="406" spans="1:4">
      <c r="A406" s="33"/>
      <c r="B406" s="33"/>
      <c r="C406" s="33"/>
      <c r="D406" s="33"/>
    </row>
    <row r="407" spans="1:4">
      <c r="A407" s="33"/>
      <c r="B407" s="33"/>
      <c r="C407" s="33"/>
      <c r="D407" s="33"/>
    </row>
    <row r="408" spans="1:4">
      <c r="A408" s="33"/>
      <c r="B408" s="33"/>
      <c r="C408" s="33"/>
      <c r="D408" s="33"/>
    </row>
    <row r="409" spans="1:4">
      <c r="A409" s="33"/>
      <c r="B409" s="33"/>
      <c r="C409" s="33"/>
      <c r="D409" s="33"/>
    </row>
    <row r="410" spans="1:4">
      <c r="A410" s="33"/>
      <c r="B410" s="33"/>
      <c r="C410" s="33"/>
      <c r="D410" s="33"/>
    </row>
    <row r="411" spans="1:4">
      <c r="A411" s="33"/>
      <c r="B411" s="33"/>
      <c r="C411" s="33"/>
      <c r="D411" s="33"/>
    </row>
    <row r="412" spans="1:4">
      <c r="A412" s="33"/>
      <c r="B412" s="33"/>
      <c r="C412" s="33"/>
      <c r="D412" s="33"/>
    </row>
    <row r="413" spans="1:4">
      <c r="A413" s="33"/>
      <c r="B413" s="33"/>
      <c r="C413" s="33"/>
      <c r="D413" s="33"/>
    </row>
    <row r="414" spans="1:4">
      <c r="A414" s="33"/>
      <c r="B414" s="33"/>
      <c r="C414" s="33"/>
      <c r="D414" s="33"/>
    </row>
    <row r="415" spans="1:4">
      <c r="A415" s="33"/>
      <c r="B415" s="33"/>
      <c r="C415" s="33"/>
      <c r="D415" s="33"/>
    </row>
    <row r="416" spans="1:4">
      <c r="A416" s="33"/>
      <c r="B416" s="33"/>
      <c r="C416" s="33"/>
      <c r="D416" s="33"/>
    </row>
    <row r="417" spans="1:4">
      <c r="A417" s="33"/>
      <c r="B417" s="33"/>
      <c r="C417" s="33"/>
      <c r="D417" s="33"/>
    </row>
    <row r="418" spans="1:4">
      <c r="A418" s="33"/>
      <c r="B418" s="33"/>
      <c r="C418" s="33"/>
      <c r="D418" s="33"/>
    </row>
    <row r="419" spans="1:4">
      <c r="A419" s="33"/>
      <c r="B419" s="33"/>
      <c r="C419" s="33"/>
      <c r="D419" s="33"/>
    </row>
    <row r="420" spans="1:4">
      <c r="A420" s="33"/>
      <c r="B420" s="33"/>
      <c r="C420" s="33"/>
      <c r="D420" s="33"/>
    </row>
    <row r="421" spans="1:4">
      <c r="A421" s="33"/>
      <c r="B421" s="33"/>
      <c r="C421" s="33"/>
      <c r="D421" s="33"/>
    </row>
    <row r="422" spans="1:4">
      <c r="A422" s="33"/>
      <c r="B422" s="33"/>
      <c r="C422" s="33"/>
      <c r="D422" s="33"/>
    </row>
    <row r="423" spans="1:4">
      <c r="A423" s="33"/>
      <c r="B423" s="33"/>
      <c r="C423" s="33"/>
      <c r="D423" s="33"/>
    </row>
    <row r="424" spans="1:4">
      <c r="A424" s="33"/>
      <c r="B424" s="33"/>
      <c r="C424" s="33"/>
      <c r="D424" s="33"/>
    </row>
    <row r="425" spans="1:4">
      <c r="A425" s="33"/>
      <c r="B425" s="33"/>
      <c r="C425" s="33"/>
      <c r="D425" s="33"/>
    </row>
    <row r="426" spans="1:4">
      <c r="A426" s="33"/>
      <c r="B426" s="33"/>
      <c r="C426" s="33"/>
      <c r="D426" s="33"/>
    </row>
    <row r="427" spans="1:4">
      <c r="A427" s="33"/>
      <c r="B427" s="33"/>
      <c r="C427" s="33"/>
      <c r="D427" s="33"/>
    </row>
    <row r="428" spans="1:4">
      <c r="A428" s="33"/>
      <c r="B428" s="33"/>
      <c r="C428" s="33"/>
      <c r="D428" s="33"/>
    </row>
    <row r="429" spans="1:4">
      <c r="A429" s="33"/>
      <c r="B429" s="33"/>
      <c r="C429" s="33"/>
      <c r="D429" s="33"/>
    </row>
    <row r="430" spans="1:4">
      <c r="A430" s="33"/>
      <c r="B430" s="33"/>
      <c r="C430" s="33"/>
      <c r="D430" s="33"/>
    </row>
    <row r="431" spans="1:4">
      <c r="A431" s="33"/>
      <c r="B431" s="33"/>
      <c r="C431" s="33"/>
      <c r="D431" s="33"/>
    </row>
    <row r="432" spans="1:4">
      <c r="A432" s="33"/>
      <c r="B432" s="33"/>
      <c r="C432" s="33"/>
      <c r="D432" s="33"/>
    </row>
    <row r="433" spans="1:4">
      <c r="A433" s="33"/>
      <c r="B433" s="33"/>
      <c r="C433" s="33"/>
      <c r="D433" s="33"/>
    </row>
    <row r="434" spans="1:4">
      <c r="A434" s="33"/>
      <c r="B434" s="33"/>
      <c r="C434" s="33"/>
      <c r="D434" s="33"/>
    </row>
    <row r="435" spans="1:4">
      <c r="A435" s="33"/>
      <c r="B435" s="33"/>
      <c r="C435" s="33"/>
      <c r="D435" s="33"/>
    </row>
    <row r="436" spans="1:4">
      <c r="A436" s="33"/>
      <c r="B436" s="33"/>
      <c r="C436" s="33"/>
      <c r="D436" s="33"/>
    </row>
    <row r="437" spans="1:4">
      <c r="A437" s="33"/>
      <c r="B437" s="33"/>
      <c r="C437" s="33"/>
      <c r="D437" s="33"/>
    </row>
    <row r="438" spans="1:4">
      <c r="A438" s="33"/>
      <c r="B438" s="33"/>
      <c r="C438" s="33"/>
      <c r="D438" s="33"/>
    </row>
    <row r="439" spans="1:4">
      <c r="A439" s="33"/>
      <c r="B439" s="33"/>
      <c r="C439" s="33"/>
      <c r="D439" s="33"/>
    </row>
    <row r="440" spans="1:4">
      <c r="A440" s="33"/>
      <c r="B440" s="33"/>
      <c r="C440" s="33"/>
      <c r="D440" s="33"/>
    </row>
    <row r="441" spans="1:4">
      <c r="A441" s="33"/>
      <c r="B441" s="33"/>
      <c r="C441" s="33"/>
      <c r="D441" s="33"/>
    </row>
    <row r="442" spans="1:4">
      <c r="A442" s="33"/>
      <c r="B442" s="33"/>
      <c r="C442" s="33"/>
      <c r="D442" s="33"/>
    </row>
    <row r="443" spans="1:4">
      <c r="A443" s="33"/>
      <c r="B443" s="33"/>
      <c r="C443" s="33"/>
      <c r="D443" s="33"/>
    </row>
    <row r="444" spans="1:4">
      <c r="A444" s="33"/>
      <c r="B444" s="33"/>
      <c r="C444" s="33"/>
      <c r="D444" s="33"/>
    </row>
    <row r="445" spans="1:4">
      <c r="A445" s="33"/>
      <c r="B445" s="33"/>
      <c r="C445" s="33"/>
      <c r="D445" s="33"/>
    </row>
    <row r="446" spans="1:4">
      <c r="A446" s="33"/>
      <c r="B446" s="33"/>
      <c r="C446" s="33"/>
      <c r="D446" s="33"/>
    </row>
    <row r="447" spans="1:4">
      <c r="A447" s="33"/>
      <c r="B447" s="33"/>
      <c r="C447" s="33"/>
      <c r="D447" s="33"/>
    </row>
    <row r="448" spans="1:4">
      <c r="A448" s="33"/>
      <c r="B448" s="33"/>
      <c r="C448" s="33"/>
      <c r="D448" s="33"/>
    </row>
    <row r="449" spans="1:4">
      <c r="A449" s="33"/>
      <c r="B449" s="33"/>
      <c r="C449" s="33"/>
      <c r="D449" s="33"/>
    </row>
    <row r="450" spans="1:4">
      <c r="A450" s="33"/>
      <c r="B450" s="33"/>
      <c r="C450" s="33"/>
      <c r="D450" s="33"/>
    </row>
    <row r="451" spans="1:4">
      <c r="A451" s="33"/>
      <c r="B451" s="33"/>
      <c r="C451" s="33"/>
      <c r="D451" s="33"/>
    </row>
    <row r="452" spans="1:4">
      <c r="A452" s="33"/>
      <c r="B452" s="33"/>
      <c r="C452" s="33"/>
      <c r="D452" s="33"/>
    </row>
    <row r="453" spans="1:4">
      <c r="A453" s="33"/>
      <c r="B453" s="33"/>
      <c r="C453" s="33"/>
      <c r="D453" s="33"/>
    </row>
    <row r="454" spans="1:4">
      <c r="A454" s="33"/>
      <c r="B454" s="33"/>
      <c r="C454" s="33"/>
      <c r="D454" s="33"/>
    </row>
    <row r="455" spans="1:4">
      <c r="A455" s="33"/>
      <c r="B455" s="33"/>
      <c r="C455" s="33"/>
      <c r="D455" s="33"/>
    </row>
    <row r="456" spans="1:4">
      <c r="A456" s="33"/>
      <c r="B456" s="33"/>
      <c r="C456" s="33"/>
      <c r="D456" s="33"/>
    </row>
    <row r="457" spans="1:4">
      <c r="A457" s="33"/>
      <c r="B457" s="33"/>
      <c r="C457" s="33"/>
      <c r="D457" s="33"/>
    </row>
    <row r="458" spans="1:4">
      <c r="A458" s="33"/>
      <c r="B458" s="33"/>
      <c r="C458" s="33"/>
      <c r="D458" s="33"/>
    </row>
    <row r="459" spans="1:4">
      <c r="A459" s="33"/>
      <c r="B459" s="33"/>
      <c r="C459" s="33"/>
      <c r="D459" s="33"/>
    </row>
    <row r="460" spans="1:4">
      <c r="A460" s="33"/>
      <c r="B460" s="33"/>
      <c r="C460" s="33"/>
      <c r="D460" s="33"/>
    </row>
    <row r="461" spans="1:4">
      <c r="A461" s="33"/>
      <c r="B461" s="33"/>
      <c r="C461" s="33"/>
      <c r="D461" s="33"/>
    </row>
    <row r="462" spans="1:4">
      <c r="A462" s="33"/>
      <c r="B462" s="33"/>
      <c r="C462" s="33"/>
      <c r="D462" s="33"/>
    </row>
    <row r="463" spans="1:4">
      <c r="A463" s="33"/>
      <c r="B463" s="33"/>
      <c r="C463" s="33"/>
      <c r="D463" s="33"/>
    </row>
    <row r="464" spans="1:4">
      <c r="A464" s="33"/>
      <c r="B464" s="33"/>
      <c r="C464" s="33"/>
      <c r="D464" s="33"/>
    </row>
    <row r="465" spans="1:4">
      <c r="A465" s="33"/>
      <c r="B465" s="33"/>
      <c r="C465" s="33"/>
      <c r="D465" s="33"/>
    </row>
    <row r="466" spans="1:4">
      <c r="A466" s="33"/>
      <c r="B466" s="33"/>
      <c r="C466" s="33"/>
      <c r="D466" s="33"/>
    </row>
    <row r="467" spans="1:4">
      <c r="A467" s="33"/>
      <c r="B467" s="33"/>
      <c r="C467" s="33"/>
      <c r="D467" s="33"/>
    </row>
    <row r="468" spans="1:4">
      <c r="A468" s="33"/>
      <c r="B468" s="33"/>
      <c r="C468" s="33"/>
      <c r="D468" s="33"/>
    </row>
    <row r="469" spans="1:4">
      <c r="A469" s="33"/>
      <c r="B469" s="33"/>
      <c r="C469" s="33"/>
      <c r="D469" s="33"/>
    </row>
    <row r="470" spans="1:4">
      <c r="A470" s="33"/>
      <c r="B470" s="33"/>
      <c r="C470" s="33"/>
      <c r="D470" s="33"/>
    </row>
    <row r="471" spans="1:4">
      <c r="A471" s="33"/>
      <c r="B471" s="33"/>
      <c r="C471" s="33"/>
      <c r="D471" s="33"/>
    </row>
    <row r="472" spans="1:4">
      <c r="A472" s="33"/>
      <c r="B472" s="33"/>
      <c r="C472" s="33"/>
      <c r="D472" s="33"/>
    </row>
    <row r="473" spans="1:4">
      <c r="A473" s="33"/>
      <c r="B473" s="33"/>
      <c r="C473" s="33"/>
      <c r="D473" s="33"/>
    </row>
    <row r="474" spans="1:4">
      <c r="A474" s="33"/>
      <c r="B474" s="33"/>
      <c r="C474" s="33"/>
      <c r="D474" s="33"/>
    </row>
    <row r="475" spans="1:4">
      <c r="A475" s="33"/>
      <c r="B475" s="33"/>
      <c r="C475" s="33"/>
      <c r="D475" s="33"/>
    </row>
    <row r="476" spans="1:4">
      <c r="A476" s="33"/>
      <c r="B476" s="33"/>
      <c r="C476" s="33"/>
      <c r="D476" s="33"/>
    </row>
    <row r="477" spans="1:4">
      <c r="A477" s="33"/>
      <c r="B477" s="33"/>
      <c r="C477" s="33"/>
      <c r="D477" s="33"/>
    </row>
    <row r="478" spans="1:4">
      <c r="A478" s="33"/>
      <c r="B478" s="33"/>
      <c r="C478" s="33"/>
      <c r="D478" s="33"/>
    </row>
    <row r="479" spans="1:4">
      <c r="A479" s="33"/>
      <c r="B479" s="33"/>
      <c r="C479" s="33"/>
      <c r="D479" s="33"/>
    </row>
    <row r="480" spans="1:4">
      <c r="A480" s="33"/>
      <c r="B480" s="33"/>
      <c r="C480" s="33"/>
      <c r="D480" s="33"/>
    </row>
    <row r="481" spans="1:4">
      <c r="A481" s="33"/>
      <c r="B481" s="33"/>
      <c r="C481" s="33"/>
      <c r="D481" s="33"/>
    </row>
    <row r="482" spans="1:4">
      <c r="A482" s="33"/>
      <c r="B482" s="33"/>
      <c r="C482" s="33"/>
      <c r="D482" s="33"/>
    </row>
    <row r="483" spans="1:4">
      <c r="A483" s="33"/>
      <c r="B483" s="33"/>
      <c r="C483" s="33"/>
      <c r="D483" s="33"/>
    </row>
    <row r="484" spans="1:4">
      <c r="A484" s="33"/>
      <c r="B484" s="33"/>
      <c r="C484" s="33"/>
      <c r="D484" s="33"/>
    </row>
    <row r="485" spans="1:4">
      <c r="A485" s="33"/>
      <c r="B485" s="33"/>
      <c r="C485" s="33"/>
      <c r="D485" s="33"/>
    </row>
    <row r="486" spans="1:4">
      <c r="A486" s="33"/>
      <c r="B486" s="33"/>
      <c r="C486" s="33"/>
      <c r="D486" s="33"/>
    </row>
    <row r="487" spans="1:4">
      <c r="A487" s="33"/>
      <c r="B487" s="33"/>
      <c r="C487" s="33"/>
      <c r="D487" s="33"/>
    </row>
    <row r="488" spans="1:4">
      <c r="A488" s="33"/>
      <c r="B488" s="33"/>
      <c r="C488" s="33"/>
      <c r="D488" s="33"/>
    </row>
    <row r="489" spans="1:4">
      <c r="A489" s="33"/>
      <c r="B489" s="33"/>
      <c r="C489" s="33"/>
      <c r="D489" s="33"/>
    </row>
    <row r="490" spans="1:4">
      <c r="A490" s="33"/>
      <c r="B490" s="33"/>
      <c r="C490" s="33"/>
      <c r="D490" s="33"/>
    </row>
    <row r="491" spans="1:4">
      <c r="A491" s="33"/>
      <c r="B491" s="33"/>
      <c r="C491" s="33"/>
      <c r="D491" s="33"/>
    </row>
    <row r="492" spans="1:4">
      <c r="A492" s="33"/>
      <c r="B492" s="33"/>
      <c r="C492" s="33"/>
      <c r="D492" s="33"/>
    </row>
    <row r="493" spans="1:4">
      <c r="A493" s="33"/>
      <c r="B493" s="33"/>
      <c r="C493" s="33"/>
      <c r="D493" s="33"/>
    </row>
    <row r="494" spans="1:4">
      <c r="A494" s="33"/>
      <c r="B494" s="33"/>
      <c r="C494" s="33"/>
      <c r="D494" s="33"/>
    </row>
    <row r="495" spans="1:4">
      <c r="A495" s="33"/>
      <c r="B495" s="33"/>
      <c r="C495" s="33"/>
      <c r="D495" s="33"/>
    </row>
    <row r="496" spans="1:4">
      <c r="A496" s="33"/>
      <c r="B496" s="33"/>
      <c r="C496" s="33"/>
      <c r="D496" s="33"/>
    </row>
    <row r="497" spans="1:4">
      <c r="A497" s="33"/>
      <c r="B497" s="33"/>
      <c r="C497" s="33"/>
      <c r="D497" s="33"/>
    </row>
    <row r="498" spans="1:4">
      <c r="A498" s="33"/>
      <c r="B498" s="33"/>
      <c r="C498" s="33"/>
      <c r="D498" s="33"/>
    </row>
    <row r="499" spans="1:4">
      <c r="A499" s="33"/>
      <c r="B499" s="33"/>
      <c r="C499" s="33"/>
      <c r="D499" s="33"/>
    </row>
    <row r="500" spans="1:4">
      <c r="A500" s="33"/>
      <c r="B500" s="33"/>
      <c r="C500" s="33"/>
      <c r="D500" s="33"/>
    </row>
    <row r="501" spans="1:4">
      <c r="A501" s="33"/>
      <c r="B501" s="33"/>
      <c r="C501" s="33"/>
      <c r="D501" s="33"/>
    </row>
    <row r="502" spans="1:4">
      <c r="A502" s="33"/>
      <c r="B502" s="33"/>
      <c r="C502" s="33"/>
      <c r="D502" s="33"/>
    </row>
    <row r="503" spans="1:4">
      <c r="A503" s="33"/>
      <c r="B503" s="33"/>
      <c r="C503" s="33"/>
      <c r="D503" s="33"/>
    </row>
    <row r="504" spans="1:4">
      <c r="A504" s="33"/>
      <c r="B504" s="33"/>
      <c r="C504" s="33"/>
      <c r="D504" s="33"/>
    </row>
    <row r="505" spans="1:4">
      <c r="A505" s="33"/>
      <c r="B505" s="33"/>
      <c r="C505" s="33"/>
      <c r="D505" s="33"/>
    </row>
    <row r="506" spans="1:4">
      <c r="A506" s="33"/>
      <c r="B506" s="33"/>
      <c r="C506" s="33"/>
      <c r="D506" s="33"/>
    </row>
    <row r="507" spans="1:4">
      <c r="A507" s="33"/>
      <c r="B507" s="33"/>
      <c r="C507" s="33"/>
      <c r="D507" s="33"/>
    </row>
    <row r="508" spans="1:4">
      <c r="A508" s="33"/>
      <c r="B508" s="33"/>
      <c r="C508" s="33"/>
      <c r="D508" s="33"/>
    </row>
    <row r="509" spans="1:4">
      <c r="A509" s="33"/>
      <c r="B509" s="33"/>
      <c r="C509" s="33"/>
      <c r="D509" s="33"/>
    </row>
    <row r="510" spans="1:4">
      <c r="A510" s="33"/>
      <c r="B510" s="33"/>
      <c r="C510" s="33"/>
      <c r="D510" s="33"/>
    </row>
    <row r="511" spans="1:4">
      <c r="A511" s="33"/>
      <c r="B511" s="33"/>
      <c r="C511" s="33"/>
      <c r="D511" s="33"/>
    </row>
    <row r="512" spans="1:4">
      <c r="A512" s="33"/>
      <c r="B512" s="33"/>
      <c r="C512" s="33"/>
      <c r="D512" s="33"/>
    </row>
    <row r="513" spans="1:4">
      <c r="A513" s="33"/>
      <c r="B513" s="33"/>
      <c r="C513" s="33"/>
      <c r="D513" s="33"/>
    </row>
    <row r="514" spans="1:4">
      <c r="A514" s="33"/>
      <c r="B514" s="33"/>
      <c r="C514" s="33"/>
      <c r="D514" s="33"/>
    </row>
    <row r="515" spans="1:4">
      <c r="A515" s="33"/>
      <c r="B515" s="33"/>
      <c r="C515" s="33"/>
      <c r="D515" s="33"/>
    </row>
    <row r="516" spans="1:4">
      <c r="A516" s="33"/>
      <c r="B516" s="33"/>
      <c r="C516" s="33"/>
      <c r="D516" s="33"/>
    </row>
    <row r="517" spans="1:4">
      <c r="A517" s="33"/>
      <c r="B517" s="33"/>
      <c r="C517" s="33"/>
      <c r="D517" s="33"/>
    </row>
    <row r="518" spans="1:4">
      <c r="A518" s="33"/>
      <c r="B518" s="33"/>
      <c r="C518" s="33"/>
      <c r="D518" s="33"/>
    </row>
    <row r="519" spans="1:4">
      <c r="A519" s="33"/>
      <c r="B519" s="33"/>
      <c r="C519" s="33"/>
      <c r="D519" s="33"/>
    </row>
    <row r="520" spans="1:4">
      <c r="A520" s="33"/>
      <c r="B520" s="33"/>
      <c r="C520" s="33"/>
      <c r="D520" s="33"/>
    </row>
    <row r="521" spans="1:4">
      <c r="A521" s="33"/>
      <c r="B521" s="33"/>
      <c r="C521" s="33"/>
      <c r="D521" s="33"/>
    </row>
    <row r="522" spans="1:4">
      <c r="A522" s="33"/>
      <c r="B522" s="33"/>
      <c r="C522" s="33"/>
      <c r="D522" s="33"/>
    </row>
    <row r="523" spans="1:4">
      <c r="A523" s="33"/>
      <c r="B523" s="33"/>
      <c r="C523" s="33"/>
      <c r="D523" s="33"/>
    </row>
    <row r="524" spans="1:4">
      <c r="A524" s="33"/>
      <c r="B524" s="33"/>
      <c r="C524" s="33"/>
      <c r="D524" s="33"/>
    </row>
    <row r="525" spans="1:4">
      <c r="A525" s="33"/>
      <c r="B525" s="33"/>
      <c r="C525" s="33"/>
      <c r="D525" s="33"/>
    </row>
    <row r="526" spans="1:4">
      <c r="A526" s="33"/>
      <c r="B526" s="33"/>
      <c r="C526" s="33"/>
      <c r="D526" s="33"/>
    </row>
    <row r="527" spans="1:4">
      <c r="A527" s="33"/>
      <c r="B527" s="33"/>
      <c r="C527" s="33"/>
      <c r="D527" s="33"/>
    </row>
    <row r="528" spans="1:4">
      <c r="A528" s="33"/>
      <c r="B528" s="33"/>
      <c r="C528" s="33"/>
      <c r="D528" s="33"/>
    </row>
    <row r="529" spans="1:4">
      <c r="A529" s="33"/>
      <c r="B529" s="33"/>
      <c r="C529" s="33"/>
      <c r="D529" s="33"/>
    </row>
    <row r="530" spans="1:4">
      <c r="A530" s="33"/>
      <c r="B530" s="33"/>
      <c r="C530" s="33"/>
      <c r="D530" s="33"/>
    </row>
    <row r="531" spans="1:4">
      <c r="A531" s="33"/>
      <c r="B531" s="33"/>
      <c r="C531" s="33"/>
      <c r="D531" s="33"/>
    </row>
    <row r="532" spans="1:4">
      <c r="A532" s="33"/>
      <c r="B532" s="33"/>
      <c r="C532" s="33"/>
      <c r="D532" s="33"/>
    </row>
    <row r="533" spans="1:4">
      <c r="A533" s="33"/>
      <c r="B533" s="33"/>
      <c r="C533" s="33"/>
      <c r="D533" s="33"/>
    </row>
    <row r="534" spans="1:4">
      <c r="A534" s="33"/>
      <c r="B534" s="33"/>
      <c r="C534" s="33"/>
      <c r="D534" s="33"/>
    </row>
    <row r="535" spans="1:4">
      <c r="A535" s="33"/>
      <c r="B535" s="33"/>
      <c r="C535" s="33"/>
      <c r="D535" s="33"/>
    </row>
    <row r="536" spans="1:4">
      <c r="A536" s="33"/>
      <c r="B536" s="33"/>
      <c r="C536" s="33"/>
      <c r="D536" s="33"/>
    </row>
    <row r="537" spans="1:4">
      <c r="A537" s="33"/>
      <c r="B537" s="33"/>
      <c r="C537" s="33"/>
      <c r="D537" s="33"/>
    </row>
    <row r="538" spans="1:4">
      <c r="A538" s="33"/>
      <c r="B538" s="33"/>
      <c r="C538" s="33"/>
      <c r="D538" s="33"/>
    </row>
    <row r="539" spans="1:4">
      <c r="A539" s="33"/>
      <c r="B539" s="33"/>
      <c r="C539" s="33"/>
      <c r="D539" s="33"/>
    </row>
    <row r="540" spans="1:4">
      <c r="A540" s="33"/>
      <c r="B540" s="33"/>
      <c r="C540" s="33"/>
      <c r="D540" s="33"/>
    </row>
    <row r="541" spans="1:4">
      <c r="A541" s="33"/>
      <c r="B541" s="33"/>
      <c r="C541" s="33"/>
      <c r="D541" s="33"/>
    </row>
    <row r="542" spans="1:4">
      <c r="A542" s="33"/>
      <c r="B542" s="33"/>
      <c r="C542" s="33"/>
      <c r="D542" s="33"/>
    </row>
    <row r="543" spans="1:4">
      <c r="A543" s="33"/>
      <c r="B543" s="33"/>
      <c r="C543" s="33"/>
      <c r="D543" s="33"/>
    </row>
    <row r="544" spans="1:4">
      <c r="A544" s="33"/>
      <c r="B544" s="33"/>
      <c r="C544" s="33"/>
      <c r="D544" s="33"/>
    </row>
    <row r="545" spans="1:4">
      <c r="A545" s="33"/>
      <c r="B545" s="33"/>
      <c r="C545" s="33"/>
      <c r="D545" s="33"/>
    </row>
    <row r="546" spans="1:4">
      <c r="A546" s="33"/>
      <c r="B546" s="33"/>
      <c r="C546" s="33"/>
      <c r="D546" s="33"/>
    </row>
    <row r="547" spans="1:4">
      <c r="A547" s="33"/>
      <c r="B547" s="33"/>
      <c r="C547" s="33"/>
      <c r="D547" s="33"/>
    </row>
    <row r="548" spans="1:4">
      <c r="A548" s="33"/>
      <c r="B548" s="33"/>
      <c r="C548" s="33"/>
      <c r="D548" s="33"/>
    </row>
    <row r="549" spans="1:4">
      <c r="A549" s="33"/>
      <c r="B549" s="33"/>
      <c r="C549" s="33"/>
      <c r="D549" s="33"/>
    </row>
    <row r="550" spans="1:4">
      <c r="A550" s="33"/>
      <c r="B550" s="33"/>
      <c r="C550" s="33"/>
      <c r="D550" s="33"/>
    </row>
    <row r="551" spans="1:4">
      <c r="A551" s="33"/>
      <c r="B551" s="33"/>
      <c r="C551" s="33"/>
      <c r="D551" s="33"/>
    </row>
    <row r="552" spans="1:4">
      <c r="A552" s="33"/>
      <c r="B552" s="33"/>
      <c r="C552" s="33"/>
      <c r="D552" s="33"/>
    </row>
    <row r="553" spans="1:4">
      <c r="A553" s="33"/>
      <c r="B553" s="33"/>
      <c r="C553" s="33"/>
      <c r="D553" s="33"/>
    </row>
    <row r="554" spans="1:4">
      <c r="A554" s="33"/>
      <c r="B554" s="33"/>
      <c r="C554" s="33"/>
      <c r="D554" s="33"/>
    </row>
    <row r="555" spans="1:4">
      <c r="A555" s="33"/>
      <c r="B555" s="33"/>
      <c r="C555" s="33"/>
      <c r="D555" s="33"/>
    </row>
    <row r="556" spans="1:4">
      <c r="A556" s="33"/>
      <c r="B556" s="33"/>
      <c r="C556" s="33"/>
      <c r="D556" s="33"/>
    </row>
    <row r="557" spans="1:4">
      <c r="A557" s="33"/>
      <c r="B557" s="33"/>
      <c r="C557" s="33"/>
      <c r="D557" s="33"/>
    </row>
    <row r="558" spans="1:4">
      <c r="A558" s="33"/>
      <c r="B558" s="33"/>
      <c r="C558" s="33"/>
      <c r="D558" s="33"/>
    </row>
    <row r="559" spans="1:4">
      <c r="A559" s="33"/>
      <c r="B559" s="33"/>
      <c r="C559" s="33"/>
      <c r="D559" s="33"/>
    </row>
    <row r="560" spans="1:4">
      <c r="A560" s="33"/>
      <c r="B560" s="33"/>
      <c r="C560" s="33"/>
      <c r="D560" s="33"/>
    </row>
    <row r="561" spans="1:4">
      <c r="A561" s="33"/>
      <c r="B561" s="33"/>
      <c r="C561" s="33"/>
      <c r="D561" s="33"/>
    </row>
    <row r="562" spans="1:4">
      <c r="A562" s="33"/>
      <c r="B562" s="33"/>
      <c r="C562" s="33"/>
      <c r="D562" s="33"/>
    </row>
    <row r="563" spans="1:4">
      <c r="A563" s="33"/>
      <c r="B563" s="33"/>
      <c r="C563" s="33"/>
      <c r="D563" s="33"/>
    </row>
    <row r="564" spans="1:4">
      <c r="A564" s="33"/>
      <c r="B564" s="33"/>
      <c r="C564" s="33"/>
      <c r="D564" s="33"/>
    </row>
    <row r="565" spans="1:4">
      <c r="A565" s="33"/>
      <c r="B565" s="33"/>
      <c r="C565" s="33"/>
      <c r="D565" s="33"/>
    </row>
    <row r="566" spans="1:4">
      <c r="A566" s="33"/>
      <c r="B566" s="33"/>
      <c r="C566" s="33"/>
      <c r="D566" s="33"/>
    </row>
    <row r="567" spans="1:4">
      <c r="A567" s="33"/>
      <c r="B567" s="33"/>
      <c r="C567" s="33"/>
      <c r="D567" s="33"/>
    </row>
    <row r="568" spans="1:4">
      <c r="A568" s="33"/>
      <c r="B568" s="33"/>
      <c r="C568" s="33"/>
      <c r="D568" s="33"/>
    </row>
    <row r="569" spans="1:4">
      <c r="A569" s="33"/>
      <c r="B569" s="33"/>
      <c r="C569" s="33"/>
      <c r="D569" s="33"/>
    </row>
    <row r="570" spans="1:4">
      <c r="A570" s="33"/>
      <c r="B570" s="33"/>
      <c r="C570" s="33"/>
      <c r="D570" s="33"/>
    </row>
    <row r="571" spans="1:4">
      <c r="A571" s="33"/>
      <c r="B571" s="33"/>
      <c r="C571" s="33"/>
      <c r="D571" s="33"/>
    </row>
    <row r="572" spans="1:4">
      <c r="A572" s="33"/>
      <c r="B572" s="33"/>
      <c r="C572" s="33"/>
      <c r="D572" s="33"/>
    </row>
    <row r="573" spans="1:4">
      <c r="A573" s="33"/>
      <c r="B573" s="33"/>
      <c r="C573" s="33"/>
      <c r="D573" s="33"/>
    </row>
    <row r="574" spans="1:4">
      <c r="A574" s="33"/>
      <c r="B574" s="33"/>
      <c r="C574" s="33"/>
      <c r="D574" s="33"/>
    </row>
    <row r="575" spans="1:4">
      <c r="A575" s="33"/>
      <c r="B575" s="33"/>
      <c r="C575" s="33"/>
      <c r="D575" s="33"/>
    </row>
    <row r="576" spans="1:4">
      <c r="A576" s="33"/>
      <c r="B576" s="33"/>
      <c r="C576" s="33"/>
      <c r="D576" s="33"/>
    </row>
    <row r="577" spans="1:4">
      <c r="A577" s="33"/>
      <c r="B577" s="33"/>
      <c r="C577" s="33"/>
      <c r="D577" s="33"/>
    </row>
    <row r="578" spans="1:4">
      <c r="A578" s="33"/>
      <c r="B578" s="33"/>
      <c r="C578" s="33"/>
      <c r="D578" s="33"/>
    </row>
    <row r="579" spans="1:4">
      <c r="A579" s="33"/>
      <c r="B579" s="33"/>
      <c r="C579" s="33"/>
      <c r="D579" s="33"/>
    </row>
    <row r="580" spans="1:4">
      <c r="A580" s="33"/>
      <c r="B580" s="33"/>
      <c r="C580" s="33"/>
      <c r="D580" s="33"/>
    </row>
    <row r="581" spans="1:4">
      <c r="A581" s="33"/>
      <c r="B581" s="33"/>
      <c r="C581" s="33"/>
      <c r="D581" s="33"/>
    </row>
    <row r="582" spans="1:4">
      <c r="A582" s="33"/>
      <c r="B582" s="33"/>
      <c r="C582" s="33"/>
      <c r="D582" s="33"/>
    </row>
    <row r="583" spans="1:4">
      <c r="A583" s="33"/>
      <c r="B583" s="33"/>
      <c r="C583" s="33"/>
      <c r="D583" s="33"/>
    </row>
    <row r="584" spans="1:4">
      <c r="A584" s="33"/>
      <c r="B584" s="33"/>
      <c r="C584" s="33"/>
      <c r="D584" s="33"/>
    </row>
    <row r="585" spans="1:4">
      <c r="A585" s="33"/>
      <c r="B585" s="33"/>
      <c r="C585" s="33"/>
      <c r="D585" s="33"/>
    </row>
    <row r="586" spans="1:4">
      <c r="A586" s="33"/>
      <c r="B586" s="33"/>
      <c r="C586" s="33"/>
      <c r="D586" s="33"/>
    </row>
    <row r="587" spans="1:4">
      <c r="A587" s="33"/>
      <c r="B587" s="33"/>
      <c r="C587" s="33"/>
      <c r="D587" s="33"/>
    </row>
    <row r="588" spans="1:4">
      <c r="A588" s="33"/>
      <c r="B588" s="33"/>
      <c r="C588" s="33"/>
      <c r="D588" s="33"/>
    </row>
    <row r="589" spans="1:4">
      <c r="A589" s="33"/>
      <c r="B589" s="33"/>
      <c r="C589" s="33"/>
      <c r="D589" s="33"/>
    </row>
    <row r="590" spans="1:4">
      <c r="A590" s="33"/>
      <c r="B590" s="33"/>
      <c r="C590" s="33"/>
      <c r="D590" s="33"/>
    </row>
    <row r="591" spans="1:4">
      <c r="A591" s="33"/>
      <c r="B591" s="33"/>
      <c r="C591" s="33"/>
      <c r="D591" s="33"/>
    </row>
    <row r="592" spans="1:4">
      <c r="A592" s="33"/>
      <c r="B592" s="33"/>
      <c r="C592" s="33"/>
      <c r="D592" s="33"/>
    </row>
    <row r="593" spans="1:4">
      <c r="A593" s="33"/>
      <c r="B593" s="33"/>
      <c r="C593" s="33"/>
      <c r="D593" s="33"/>
    </row>
    <row r="594" spans="1:4">
      <c r="A594" s="33"/>
      <c r="B594" s="33"/>
      <c r="C594" s="33"/>
      <c r="D594" s="33"/>
    </row>
    <row r="595" spans="1:4">
      <c r="A595" s="33"/>
      <c r="B595" s="33"/>
      <c r="C595" s="33"/>
      <c r="D595" s="33"/>
    </row>
    <row r="596" spans="1:4">
      <c r="A596" s="33"/>
      <c r="B596" s="33"/>
      <c r="C596" s="33"/>
      <c r="D596" s="33"/>
    </row>
    <row r="597" spans="1:4">
      <c r="A597" s="33"/>
      <c r="B597" s="33"/>
      <c r="C597" s="33"/>
      <c r="D597" s="33"/>
    </row>
    <row r="598" spans="1:4">
      <c r="A598" s="33"/>
      <c r="B598" s="33"/>
      <c r="C598" s="33"/>
      <c r="D598" s="33"/>
    </row>
    <row r="599" spans="1:4">
      <c r="A599" s="33"/>
      <c r="B599" s="33"/>
      <c r="C599" s="33"/>
      <c r="D599" s="33"/>
    </row>
    <row r="600" spans="1:4">
      <c r="A600" s="33"/>
      <c r="B600" s="33"/>
      <c r="C600" s="33"/>
      <c r="D600" s="33"/>
    </row>
    <row r="601" spans="1:4">
      <c r="A601" s="33"/>
      <c r="B601" s="33"/>
      <c r="C601" s="33"/>
      <c r="D601" s="33"/>
    </row>
    <row r="602" spans="1:4">
      <c r="A602" s="33"/>
      <c r="B602" s="33"/>
      <c r="C602" s="33"/>
      <c r="D602" s="33"/>
    </row>
    <row r="603" spans="1:4">
      <c r="A603" s="33"/>
      <c r="B603" s="33"/>
      <c r="C603" s="33"/>
      <c r="D603" s="33"/>
    </row>
    <row r="604" spans="1:4">
      <c r="A604" s="33"/>
      <c r="B604" s="33"/>
      <c r="C604" s="33"/>
      <c r="D604" s="33"/>
    </row>
    <row r="605" spans="1:4">
      <c r="A605" s="33"/>
      <c r="B605" s="33"/>
      <c r="C605" s="33"/>
      <c r="D605" s="33"/>
    </row>
    <row r="606" spans="1:4">
      <c r="A606" s="33"/>
      <c r="B606" s="33"/>
      <c r="C606" s="33"/>
      <c r="D606" s="33"/>
    </row>
    <row r="607" spans="1:4">
      <c r="A607" s="33"/>
      <c r="B607" s="33"/>
      <c r="C607" s="33"/>
      <c r="D607" s="33"/>
    </row>
    <row r="608" spans="1:4">
      <c r="A608" s="33"/>
      <c r="B608" s="33"/>
      <c r="C608" s="33"/>
      <c r="D608" s="33"/>
    </row>
    <row r="609" spans="1:4">
      <c r="A609" s="33"/>
      <c r="B609" s="33"/>
      <c r="C609" s="33"/>
      <c r="D609" s="33"/>
    </row>
    <row r="610" spans="1:4">
      <c r="A610" s="33"/>
      <c r="B610" s="33"/>
      <c r="C610" s="33"/>
      <c r="D610" s="33"/>
    </row>
    <row r="611" spans="1:4">
      <c r="A611" s="33"/>
      <c r="B611" s="33"/>
      <c r="C611" s="33"/>
      <c r="D611" s="33"/>
    </row>
    <row r="612" spans="1:4">
      <c r="A612" s="33"/>
      <c r="B612" s="33"/>
      <c r="C612" s="33"/>
      <c r="D612" s="33"/>
    </row>
    <row r="613" spans="1:4">
      <c r="A613" s="33"/>
      <c r="B613" s="33"/>
      <c r="C613" s="33"/>
      <c r="D613" s="33"/>
    </row>
    <row r="614" spans="1:4">
      <c r="A614" s="33"/>
      <c r="B614" s="33"/>
      <c r="C614" s="33"/>
      <c r="D614" s="33"/>
    </row>
    <row r="615" spans="1:4">
      <c r="A615" s="33"/>
      <c r="B615" s="33"/>
      <c r="C615" s="33"/>
      <c r="D615" s="33"/>
    </row>
    <row r="616" spans="1:4">
      <c r="A616" s="33"/>
      <c r="B616" s="33"/>
      <c r="C616" s="33"/>
      <c r="D616" s="33"/>
    </row>
    <row r="617" spans="1:4">
      <c r="A617" s="33"/>
      <c r="B617" s="33"/>
      <c r="C617" s="33"/>
      <c r="D617" s="33"/>
    </row>
    <row r="618" spans="1:4">
      <c r="A618" s="33"/>
      <c r="B618" s="33"/>
      <c r="C618" s="33"/>
      <c r="D618" s="33"/>
    </row>
    <row r="619" spans="1:4">
      <c r="A619" s="33"/>
      <c r="B619" s="33"/>
      <c r="C619" s="33"/>
      <c r="D619" s="33"/>
    </row>
    <row r="620" spans="1:4">
      <c r="A620" s="33"/>
      <c r="B620" s="33"/>
      <c r="C620" s="33"/>
      <c r="D620" s="33"/>
    </row>
    <row r="621" spans="1:4">
      <c r="A621" s="33"/>
      <c r="B621" s="33"/>
      <c r="C621" s="33"/>
      <c r="D621" s="33"/>
    </row>
    <row r="622" spans="1:4">
      <c r="A622" s="33"/>
      <c r="B622" s="33"/>
      <c r="C622" s="33"/>
      <c r="D622" s="33"/>
    </row>
    <row r="623" spans="1:4">
      <c r="A623" s="33"/>
      <c r="B623" s="33"/>
      <c r="C623" s="33"/>
      <c r="D623" s="33"/>
    </row>
    <row r="624" spans="1:4">
      <c r="A624" s="33"/>
      <c r="B624" s="33"/>
      <c r="C624" s="33"/>
      <c r="D624" s="33"/>
    </row>
    <row r="625" spans="1:4">
      <c r="A625" s="33"/>
      <c r="B625" s="33"/>
      <c r="C625" s="33"/>
      <c r="D625" s="33"/>
    </row>
    <row r="626" spans="1:4">
      <c r="A626" s="33"/>
      <c r="B626" s="33"/>
      <c r="C626" s="33"/>
      <c r="D626" s="33"/>
    </row>
    <row r="627" spans="1:4">
      <c r="A627" s="33"/>
      <c r="B627" s="33"/>
      <c r="C627" s="33"/>
      <c r="D627" s="33"/>
    </row>
    <row r="628" spans="1:4">
      <c r="A628" s="33"/>
      <c r="B628" s="33"/>
      <c r="C628" s="33"/>
      <c r="D628" s="33"/>
    </row>
    <row r="629" spans="1:4">
      <c r="A629" s="33"/>
      <c r="B629" s="33"/>
      <c r="C629" s="33"/>
      <c r="D629" s="33"/>
    </row>
    <row r="630" spans="1:4">
      <c r="A630" s="33"/>
      <c r="B630" s="33"/>
      <c r="C630" s="33"/>
      <c r="D630" s="33"/>
    </row>
    <row r="631" spans="1:4">
      <c r="A631" s="33"/>
      <c r="B631" s="33"/>
      <c r="C631" s="33"/>
      <c r="D631" s="33"/>
    </row>
    <row r="632" spans="1:4">
      <c r="A632" s="33"/>
      <c r="B632" s="33"/>
      <c r="C632" s="33"/>
      <c r="D632" s="33"/>
    </row>
    <row r="633" spans="1:4">
      <c r="A633" s="33"/>
      <c r="B633" s="33"/>
      <c r="C633" s="33"/>
      <c r="D633" s="33"/>
    </row>
    <row r="634" spans="1:4">
      <c r="A634" s="33"/>
      <c r="B634" s="33"/>
      <c r="C634" s="33"/>
      <c r="D634" s="33"/>
    </row>
    <row r="635" spans="1:4">
      <c r="A635" s="33"/>
      <c r="B635" s="33"/>
      <c r="C635" s="33"/>
      <c r="D635" s="33"/>
    </row>
    <row r="636" spans="1:4">
      <c r="A636" s="33"/>
      <c r="B636" s="33"/>
      <c r="C636" s="33"/>
      <c r="D636" s="33"/>
    </row>
    <row r="637" spans="1:4">
      <c r="A637" s="33"/>
      <c r="B637" s="33"/>
      <c r="C637" s="33"/>
      <c r="D637" s="33"/>
    </row>
    <row r="638" spans="1:4">
      <c r="A638" s="33"/>
      <c r="B638" s="33"/>
      <c r="C638" s="33"/>
      <c r="D638" s="33"/>
    </row>
    <row r="639" spans="1:4">
      <c r="A639" s="33"/>
      <c r="B639" s="33"/>
      <c r="C639" s="33"/>
      <c r="D639" s="33"/>
    </row>
    <row r="640" spans="1:4">
      <c r="A640" s="33"/>
      <c r="B640" s="33"/>
      <c r="C640" s="33"/>
      <c r="D640" s="33"/>
    </row>
    <row r="641" spans="1:4">
      <c r="A641" s="33"/>
      <c r="B641" s="33"/>
      <c r="C641" s="33"/>
      <c r="D641" s="33"/>
    </row>
    <row r="642" spans="1:4">
      <c r="A642" s="33"/>
      <c r="B642" s="33"/>
      <c r="C642" s="33"/>
      <c r="D642" s="33"/>
    </row>
    <row r="643" spans="1:4">
      <c r="A643" s="33"/>
      <c r="B643" s="33"/>
      <c r="C643" s="33"/>
      <c r="D643" s="33"/>
    </row>
    <row r="644" spans="1:4">
      <c r="A644" s="33"/>
      <c r="B644" s="33"/>
      <c r="C644" s="33"/>
      <c r="D644" s="33"/>
    </row>
    <row r="645" spans="1:4">
      <c r="A645" s="33"/>
      <c r="B645" s="33"/>
      <c r="C645" s="33"/>
      <c r="D645" s="33"/>
    </row>
    <row r="646" spans="1:4">
      <c r="A646" s="33"/>
      <c r="B646" s="33"/>
      <c r="C646" s="33"/>
      <c r="D646" s="33"/>
    </row>
    <row r="647" spans="1:4">
      <c r="A647" s="33"/>
      <c r="B647" s="33"/>
      <c r="C647" s="33"/>
      <c r="D647" s="33"/>
    </row>
    <row r="648" spans="1:4">
      <c r="A648" s="33"/>
      <c r="B648" s="33"/>
      <c r="C648" s="33"/>
      <c r="D648" s="33"/>
    </row>
    <row r="649" spans="1:4">
      <c r="A649" s="33"/>
      <c r="B649" s="33"/>
      <c r="C649" s="33"/>
      <c r="D649" s="33"/>
    </row>
    <row r="650" spans="1:4">
      <c r="A650" s="33"/>
      <c r="B650" s="33"/>
      <c r="C650" s="33"/>
      <c r="D650" s="33"/>
    </row>
    <row r="651" spans="1:4">
      <c r="A651" s="33"/>
      <c r="B651" s="33"/>
      <c r="C651" s="33"/>
      <c r="D651" s="33"/>
    </row>
    <row r="652" spans="1:4">
      <c r="A652" s="33"/>
      <c r="B652" s="33"/>
      <c r="C652" s="33"/>
      <c r="D652" s="33"/>
    </row>
    <row r="653" spans="1:4">
      <c r="A653" s="33"/>
      <c r="B653" s="33"/>
      <c r="C653" s="33"/>
      <c r="D653" s="33"/>
    </row>
    <row r="654" spans="1:4">
      <c r="A654" s="33"/>
      <c r="B654" s="33"/>
      <c r="C654" s="33"/>
      <c r="D654" s="33"/>
    </row>
    <row r="655" spans="1:4">
      <c r="A655" s="33"/>
      <c r="B655" s="33"/>
      <c r="C655" s="33"/>
      <c r="D655" s="33"/>
    </row>
    <row r="656" spans="1:4">
      <c r="A656" s="33"/>
      <c r="B656" s="33"/>
      <c r="C656" s="33"/>
      <c r="D656" s="33"/>
    </row>
    <row r="657" spans="1:4">
      <c r="A657" s="33"/>
      <c r="B657" s="33"/>
      <c r="C657" s="33"/>
      <c r="D657" s="33"/>
    </row>
    <row r="658" spans="1:4">
      <c r="A658" s="33"/>
      <c r="B658" s="33"/>
      <c r="C658" s="33"/>
      <c r="D658" s="33"/>
    </row>
    <row r="659" spans="1:4">
      <c r="A659" s="33"/>
      <c r="B659" s="33"/>
      <c r="C659" s="33"/>
      <c r="D659" s="33"/>
    </row>
    <row r="660" spans="1:4">
      <c r="A660" s="33"/>
      <c r="B660" s="33"/>
      <c r="C660" s="33"/>
      <c r="D660" s="33"/>
    </row>
    <row r="661" spans="1:4">
      <c r="A661" s="33"/>
      <c r="B661" s="33"/>
      <c r="C661" s="33"/>
      <c r="D661" s="33"/>
    </row>
    <row r="662" spans="1:4">
      <c r="A662" s="33"/>
      <c r="B662" s="33"/>
      <c r="C662" s="33"/>
      <c r="D662" s="33"/>
    </row>
    <row r="663" spans="1:4">
      <c r="A663" s="33"/>
      <c r="B663" s="33"/>
      <c r="C663" s="33"/>
      <c r="D663" s="33"/>
    </row>
    <row r="664" spans="1:4">
      <c r="A664" s="33"/>
      <c r="B664" s="33"/>
      <c r="C664" s="33"/>
      <c r="D664" s="33"/>
    </row>
    <row r="665" spans="1:4">
      <c r="A665" s="33"/>
      <c r="B665" s="33"/>
      <c r="C665" s="33"/>
      <c r="D665" s="33"/>
    </row>
    <row r="666" spans="1:4">
      <c r="A666" s="33"/>
      <c r="B666" s="33"/>
      <c r="C666" s="33"/>
      <c r="D666" s="33"/>
    </row>
    <row r="667" spans="1:4">
      <c r="A667" s="33"/>
      <c r="B667" s="33"/>
      <c r="C667" s="33"/>
      <c r="D667" s="33"/>
    </row>
    <row r="668" spans="1:4">
      <c r="A668" s="33"/>
      <c r="B668" s="33"/>
      <c r="C668" s="33"/>
      <c r="D668" s="33"/>
    </row>
    <row r="669" spans="1:4">
      <c r="A669" s="33"/>
      <c r="B669" s="33"/>
      <c r="C669" s="33"/>
      <c r="D669" s="33"/>
    </row>
    <row r="670" spans="1:4">
      <c r="A670" s="33"/>
      <c r="B670" s="33"/>
      <c r="C670" s="33"/>
      <c r="D670" s="33"/>
    </row>
    <row r="671" spans="1:4">
      <c r="A671" s="33"/>
      <c r="B671" s="33"/>
      <c r="C671" s="33"/>
      <c r="D671" s="33"/>
    </row>
    <row r="672" spans="1:4">
      <c r="A672" s="33"/>
      <c r="B672" s="33"/>
      <c r="C672" s="33"/>
      <c r="D672" s="33"/>
    </row>
    <row r="673" spans="1:4">
      <c r="A673" s="33"/>
      <c r="B673" s="33"/>
      <c r="C673" s="33"/>
      <c r="D673" s="33"/>
    </row>
    <row r="674" spans="1:4">
      <c r="A674" s="33"/>
      <c r="B674" s="33"/>
      <c r="C674" s="33"/>
      <c r="D674" s="33"/>
    </row>
    <row r="675" spans="1:4">
      <c r="A675" s="33"/>
      <c r="B675" s="33"/>
      <c r="C675" s="33"/>
      <c r="D675" s="33"/>
    </row>
    <row r="676" spans="1:4">
      <c r="A676" s="33"/>
      <c r="B676" s="33"/>
      <c r="C676" s="33"/>
      <c r="D676" s="33"/>
    </row>
    <row r="677" spans="1:4">
      <c r="A677" s="33"/>
      <c r="B677" s="33"/>
      <c r="C677" s="33"/>
      <c r="D677" s="33"/>
    </row>
    <row r="678" spans="1:4">
      <c r="A678" s="33"/>
      <c r="B678" s="33"/>
      <c r="C678" s="33"/>
      <c r="D678" s="33"/>
    </row>
    <row r="679" spans="1:4">
      <c r="A679" s="33"/>
      <c r="B679" s="33"/>
      <c r="C679" s="33"/>
      <c r="D679" s="33"/>
    </row>
    <row r="680" spans="1:4">
      <c r="A680" s="33"/>
      <c r="B680" s="33"/>
      <c r="C680" s="33"/>
      <c r="D680" s="33"/>
    </row>
    <row r="681" spans="1:4">
      <c r="A681" s="33"/>
      <c r="B681" s="33"/>
      <c r="C681" s="33"/>
      <c r="D681" s="33"/>
    </row>
    <row r="682" spans="1:4">
      <c r="A682" s="33"/>
      <c r="B682" s="33"/>
      <c r="C682" s="33"/>
      <c r="D682" s="33"/>
    </row>
    <row r="683" spans="1:4">
      <c r="A683" s="33"/>
      <c r="B683" s="33"/>
      <c r="C683" s="33"/>
      <c r="D683" s="33"/>
    </row>
    <row r="684" spans="1:4">
      <c r="A684" s="33"/>
      <c r="B684" s="33"/>
      <c r="C684" s="33"/>
      <c r="D684" s="33"/>
    </row>
    <row r="685" spans="1:4">
      <c r="A685" s="33"/>
      <c r="B685" s="33"/>
      <c r="C685" s="33"/>
      <c r="D685" s="33"/>
    </row>
    <row r="686" spans="1:4">
      <c r="A686" s="33"/>
      <c r="B686" s="33"/>
      <c r="C686" s="33"/>
      <c r="D686" s="33"/>
    </row>
    <row r="687" spans="1:4">
      <c r="A687" s="33"/>
      <c r="B687" s="33"/>
      <c r="C687" s="33"/>
      <c r="D687" s="33"/>
    </row>
    <row r="688" spans="1:4">
      <c r="A688" s="33"/>
      <c r="B688" s="33"/>
      <c r="C688" s="33"/>
      <c r="D688" s="33"/>
    </row>
    <row r="689" spans="1:4">
      <c r="A689" s="33"/>
      <c r="B689" s="33"/>
      <c r="C689" s="33"/>
      <c r="D689" s="33"/>
    </row>
    <row r="690" spans="1:4">
      <c r="A690" s="33"/>
      <c r="B690" s="33"/>
      <c r="C690" s="33"/>
      <c r="D690" s="33"/>
    </row>
    <row r="691" spans="1:4">
      <c r="A691" s="33"/>
      <c r="B691" s="33"/>
      <c r="C691" s="33"/>
      <c r="D691" s="33"/>
    </row>
    <row r="692" spans="1:4">
      <c r="A692" s="33"/>
      <c r="B692" s="33"/>
      <c r="C692" s="33"/>
      <c r="D692" s="33"/>
    </row>
    <row r="693" spans="1:4">
      <c r="A693" s="33"/>
      <c r="B693" s="33"/>
      <c r="C693" s="33"/>
      <c r="D693" s="33"/>
    </row>
    <row r="694" spans="1:4">
      <c r="A694" s="33"/>
      <c r="B694" s="33"/>
      <c r="C694" s="33"/>
      <c r="D694" s="33"/>
    </row>
    <row r="695" spans="1:4">
      <c r="A695" s="33"/>
      <c r="B695" s="33"/>
      <c r="C695" s="33"/>
      <c r="D695" s="33"/>
    </row>
    <row r="696" spans="1:4">
      <c r="A696" s="33"/>
      <c r="B696" s="33"/>
      <c r="C696" s="33"/>
      <c r="D696" s="33"/>
    </row>
    <row r="697" spans="1:4">
      <c r="A697" s="33"/>
      <c r="B697" s="33"/>
      <c r="C697" s="33"/>
      <c r="D697" s="33"/>
    </row>
    <row r="698" spans="1:4">
      <c r="A698" s="33"/>
      <c r="B698" s="33"/>
      <c r="C698" s="33"/>
      <c r="D698" s="33"/>
    </row>
    <row r="699" spans="1:4">
      <c r="A699" s="33"/>
      <c r="B699" s="33"/>
      <c r="C699" s="33"/>
      <c r="D699" s="33"/>
    </row>
    <row r="700" spans="1:4">
      <c r="A700" s="33"/>
      <c r="B700" s="33"/>
      <c r="C700" s="33"/>
      <c r="D700" s="33"/>
    </row>
    <row r="701" spans="1:4">
      <c r="A701" s="33"/>
      <c r="B701" s="33"/>
      <c r="C701" s="33"/>
      <c r="D701" s="33"/>
    </row>
    <row r="702" spans="1:4">
      <c r="A702" s="33"/>
      <c r="B702" s="33"/>
      <c r="C702" s="33"/>
      <c r="D702" s="33"/>
    </row>
    <row r="703" spans="1:4">
      <c r="A703" s="33"/>
      <c r="B703" s="33"/>
      <c r="C703" s="33"/>
      <c r="D703" s="33"/>
    </row>
    <row r="704" spans="1:4">
      <c r="A704" s="33"/>
      <c r="B704" s="33"/>
      <c r="C704" s="33"/>
      <c r="D704" s="33"/>
    </row>
    <row r="705" spans="1:4">
      <c r="A705" s="33"/>
      <c r="B705" s="33"/>
      <c r="C705" s="33"/>
      <c r="D705" s="33"/>
    </row>
    <row r="706" spans="1:4">
      <c r="A706" s="33"/>
      <c r="B706" s="33"/>
      <c r="C706" s="33"/>
      <c r="D706" s="33"/>
    </row>
    <row r="707" spans="1:4">
      <c r="A707" s="33"/>
      <c r="B707" s="33"/>
      <c r="C707" s="33"/>
      <c r="D707" s="33"/>
    </row>
    <row r="708" spans="1:4">
      <c r="A708" s="33"/>
      <c r="B708" s="33"/>
      <c r="C708" s="33"/>
      <c r="D708" s="33"/>
    </row>
    <row r="709" spans="1:4">
      <c r="A709" s="33"/>
      <c r="B709" s="33"/>
      <c r="C709" s="33"/>
      <c r="D709" s="33"/>
    </row>
    <row r="710" spans="1:4">
      <c r="A710" s="33"/>
      <c r="B710" s="33"/>
      <c r="C710" s="33"/>
      <c r="D710" s="33"/>
    </row>
    <row r="711" spans="1:4">
      <c r="A711" s="33"/>
      <c r="B711" s="33"/>
      <c r="C711" s="33"/>
      <c r="D711" s="33"/>
    </row>
    <row r="712" spans="1:4">
      <c r="A712" s="33"/>
      <c r="B712" s="33"/>
      <c r="C712" s="33"/>
      <c r="D712" s="33"/>
    </row>
    <row r="713" spans="1:4">
      <c r="A713" s="33"/>
      <c r="B713" s="33"/>
      <c r="C713" s="33"/>
      <c r="D713" s="33"/>
    </row>
    <row r="714" spans="1:4">
      <c r="A714" s="33"/>
      <c r="B714" s="33"/>
      <c r="C714" s="33"/>
      <c r="D714" s="33"/>
    </row>
    <row r="715" spans="1:4">
      <c r="A715" s="33"/>
      <c r="B715" s="33"/>
      <c r="C715" s="33"/>
      <c r="D715" s="33"/>
    </row>
    <row r="716" spans="1:4">
      <c r="A716" s="33"/>
      <c r="B716" s="33"/>
      <c r="C716" s="33"/>
      <c r="D716" s="33"/>
    </row>
    <row r="717" spans="1:4">
      <c r="A717" s="33"/>
      <c r="B717" s="33"/>
      <c r="C717" s="33"/>
      <c r="D717" s="33"/>
    </row>
    <row r="718" spans="1:4">
      <c r="A718" s="33"/>
      <c r="B718" s="33"/>
      <c r="C718" s="33"/>
      <c r="D718" s="33"/>
    </row>
    <row r="719" spans="1:4">
      <c r="A719" s="33"/>
      <c r="B719" s="33"/>
      <c r="C719" s="33"/>
      <c r="D719" s="33"/>
    </row>
    <row r="720" spans="1:4">
      <c r="A720" s="33"/>
      <c r="B720" s="33"/>
      <c r="C720" s="33"/>
      <c r="D720" s="33"/>
    </row>
    <row r="721" spans="1:4">
      <c r="A721" s="33"/>
      <c r="B721" s="33"/>
      <c r="C721" s="33"/>
      <c r="D721" s="33"/>
    </row>
    <row r="722" spans="1:4">
      <c r="A722" s="33"/>
      <c r="B722" s="33"/>
      <c r="C722" s="33"/>
      <c r="D722" s="33"/>
    </row>
    <row r="723" spans="1:4">
      <c r="A723" s="33"/>
      <c r="B723" s="33"/>
      <c r="C723" s="33"/>
      <c r="D723" s="33"/>
    </row>
    <row r="724" spans="1:4">
      <c r="A724" s="33"/>
      <c r="B724" s="33"/>
      <c r="C724" s="33"/>
      <c r="D724" s="33"/>
    </row>
    <row r="725" spans="1:4">
      <c r="A725" s="33"/>
      <c r="B725" s="33"/>
      <c r="C725" s="33"/>
      <c r="D725" s="33"/>
    </row>
    <row r="726" spans="1:4">
      <c r="A726" s="33"/>
      <c r="B726" s="33"/>
      <c r="C726" s="33"/>
      <c r="D726" s="33"/>
    </row>
    <row r="727" spans="1:4">
      <c r="A727" s="33"/>
      <c r="B727" s="33"/>
      <c r="C727" s="33"/>
      <c r="D727" s="33"/>
    </row>
    <row r="728" spans="1:4">
      <c r="A728" s="33"/>
      <c r="B728" s="33"/>
      <c r="C728" s="33"/>
      <c r="D728" s="33"/>
    </row>
    <row r="729" spans="1:4">
      <c r="A729" s="33"/>
      <c r="B729" s="33"/>
      <c r="C729" s="33"/>
      <c r="D729" s="33"/>
    </row>
    <row r="730" spans="1:4">
      <c r="A730" s="33"/>
      <c r="B730" s="33"/>
      <c r="C730" s="33"/>
      <c r="D730" s="33"/>
    </row>
    <row r="731" spans="1:4">
      <c r="A731" s="33"/>
      <c r="B731" s="33"/>
      <c r="C731" s="33"/>
      <c r="D731" s="33"/>
    </row>
    <row r="732" spans="1:4">
      <c r="A732" s="33"/>
      <c r="B732" s="33"/>
      <c r="C732" s="33"/>
      <c r="D732" s="33"/>
    </row>
    <row r="733" spans="1:4">
      <c r="A733" s="33"/>
      <c r="B733" s="33"/>
      <c r="C733" s="33"/>
      <c r="D733" s="33"/>
    </row>
    <row r="734" spans="1:4">
      <c r="A734" s="33"/>
      <c r="B734" s="33"/>
      <c r="C734" s="33"/>
      <c r="D734" s="33"/>
    </row>
    <row r="735" spans="1:4">
      <c r="A735" s="33"/>
      <c r="B735" s="33"/>
      <c r="C735" s="33"/>
      <c r="D735" s="33"/>
    </row>
    <row r="736" spans="1:4">
      <c r="A736" s="33"/>
      <c r="B736" s="33"/>
      <c r="C736" s="33"/>
      <c r="D736" s="33"/>
    </row>
    <row r="737" spans="1:4">
      <c r="A737" s="33"/>
      <c r="B737" s="33"/>
      <c r="C737" s="33"/>
      <c r="D737" s="33"/>
    </row>
    <row r="738" spans="1:4">
      <c r="A738" s="33"/>
      <c r="B738" s="33"/>
      <c r="C738" s="33"/>
      <c r="D738" s="33"/>
    </row>
    <row r="739" spans="1:4">
      <c r="A739" s="33"/>
      <c r="B739" s="33"/>
      <c r="C739" s="33"/>
      <c r="D739" s="33"/>
    </row>
    <row r="740" spans="1:4">
      <c r="A740" s="33"/>
      <c r="B740" s="33"/>
      <c r="C740" s="33"/>
      <c r="D740" s="33"/>
    </row>
    <row r="741" spans="1:4">
      <c r="A741" s="33"/>
      <c r="B741" s="33"/>
      <c r="C741" s="33"/>
      <c r="D741" s="33"/>
    </row>
    <row r="742" spans="1:4">
      <c r="A742" s="33"/>
      <c r="B742" s="33"/>
      <c r="C742" s="33"/>
      <c r="D742" s="33"/>
    </row>
    <row r="743" spans="1:4">
      <c r="A743" s="33"/>
      <c r="B743" s="33"/>
      <c r="C743" s="33"/>
      <c r="D743" s="33"/>
    </row>
    <row r="744" spans="1:4">
      <c r="A744" s="33"/>
      <c r="B744" s="33"/>
      <c r="C744" s="33"/>
      <c r="D744" s="33"/>
    </row>
    <row r="745" spans="1:4">
      <c r="A745" s="33"/>
      <c r="B745" s="33"/>
      <c r="C745" s="33"/>
      <c r="D745" s="33"/>
    </row>
    <row r="746" spans="1:4">
      <c r="A746" s="33"/>
      <c r="B746" s="33"/>
      <c r="C746" s="33"/>
      <c r="D746" s="33"/>
    </row>
    <row r="747" spans="1:4">
      <c r="A747" s="33"/>
      <c r="B747" s="33"/>
      <c r="C747" s="33"/>
      <c r="D747" s="33"/>
    </row>
    <row r="748" spans="1:4">
      <c r="A748" s="33"/>
      <c r="B748" s="33"/>
      <c r="C748" s="33"/>
      <c r="D748" s="33"/>
    </row>
    <row r="749" spans="1:4">
      <c r="A749" s="33"/>
      <c r="B749" s="33"/>
      <c r="C749" s="33"/>
      <c r="D749" s="33"/>
    </row>
    <row r="750" spans="1:4">
      <c r="A750" s="33"/>
      <c r="B750" s="33"/>
      <c r="C750" s="33"/>
      <c r="D750" s="33"/>
    </row>
    <row r="751" spans="1:4">
      <c r="A751" s="33"/>
      <c r="B751" s="33"/>
      <c r="C751" s="33"/>
      <c r="D751" s="33"/>
    </row>
    <row r="752" spans="1:4">
      <c r="A752" s="33"/>
      <c r="B752" s="33"/>
      <c r="C752" s="33"/>
      <c r="D752" s="33"/>
    </row>
    <row r="753" spans="1:4">
      <c r="A753" s="33"/>
      <c r="B753" s="33"/>
      <c r="C753" s="33"/>
      <c r="D753" s="33"/>
    </row>
    <row r="754" spans="1:4">
      <c r="A754" s="33"/>
      <c r="B754" s="33"/>
      <c r="C754" s="33"/>
      <c r="D754" s="33"/>
    </row>
    <row r="755" spans="1:4">
      <c r="A755" s="33"/>
      <c r="B755" s="33"/>
      <c r="C755" s="33"/>
      <c r="D755" s="33"/>
    </row>
    <row r="756" spans="1:4">
      <c r="A756" s="33"/>
      <c r="B756" s="33"/>
      <c r="C756" s="33"/>
      <c r="D756" s="33"/>
    </row>
    <row r="757" spans="1:4">
      <c r="A757" s="33"/>
      <c r="B757" s="33"/>
      <c r="C757" s="33"/>
      <c r="D757" s="33"/>
    </row>
    <row r="758" spans="1:4">
      <c r="A758" s="33"/>
      <c r="B758" s="33"/>
      <c r="C758" s="33"/>
      <c r="D758" s="33"/>
    </row>
    <row r="759" spans="1:4">
      <c r="A759" s="33"/>
      <c r="B759" s="33"/>
      <c r="C759" s="33"/>
      <c r="D759" s="33"/>
    </row>
    <row r="760" spans="1:4">
      <c r="A760" s="33"/>
      <c r="B760" s="33"/>
      <c r="C760" s="33"/>
      <c r="D760" s="33"/>
    </row>
    <row r="761" spans="1:4">
      <c r="A761" s="33"/>
      <c r="B761" s="33"/>
      <c r="C761" s="33"/>
      <c r="D761" s="33"/>
    </row>
    <row r="762" spans="1:4">
      <c r="A762" s="33"/>
      <c r="B762" s="33"/>
      <c r="C762" s="33"/>
      <c r="D762" s="33"/>
    </row>
    <row r="763" spans="1:4">
      <c r="A763" s="33"/>
      <c r="B763" s="33"/>
      <c r="C763" s="33"/>
      <c r="D763" s="33"/>
    </row>
    <row r="764" spans="1:4">
      <c r="A764" s="33"/>
      <c r="B764" s="33"/>
      <c r="C764" s="33"/>
      <c r="D764" s="33"/>
    </row>
    <row r="765" spans="1:4">
      <c r="A765" s="33"/>
      <c r="B765" s="33"/>
      <c r="C765" s="33"/>
      <c r="D765" s="33"/>
    </row>
    <row r="766" spans="1:4">
      <c r="A766" s="33"/>
      <c r="B766" s="33"/>
      <c r="C766" s="33"/>
      <c r="D766" s="33"/>
    </row>
    <row r="767" spans="1:4">
      <c r="A767" s="33"/>
      <c r="B767" s="33"/>
      <c r="C767" s="33"/>
      <c r="D767" s="33"/>
    </row>
    <row r="768" spans="1:4">
      <c r="A768" s="33"/>
      <c r="B768" s="33"/>
      <c r="C768" s="33"/>
      <c r="D768" s="33"/>
    </row>
    <row r="769" spans="1:4">
      <c r="A769" s="33"/>
      <c r="B769" s="33"/>
      <c r="C769" s="33"/>
      <c r="D769" s="33"/>
    </row>
    <row r="770" spans="1:4">
      <c r="A770" s="33"/>
      <c r="B770" s="33"/>
      <c r="C770" s="33"/>
      <c r="D770" s="33"/>
    </row>
    <row r="771" spans="1:4">
      <c r="A771" s="33"/>
      <c r="B771" s="33"/>
      <c r="C771" s="33"/>
      <c r="D771" s="33"/>
    </row>
    <row r="772" spans="1:4">
      <c r="A772" s="33"/>
      <c r="B772" s="33"/>
      <c r="C772" s="33"/>
      <c r="D772" s="33"/>
    </row>
    <row r="773" spans="1:4">
      <c r="A773" s="33"/>
      <c r="B773" s="33"/>
      <c r="C773" s="33"/>
      <c r="D773" s="33"/>
    </row>
    <row r="774" spans="1:4">
      <c r="A774" s="33"/>
      <c r="B774" s="33"/>
      <c r="C774" s="33"/>
      <c r="D774" s="33"/>
    </row>
    <row r="775" spans="1:4">
      <c r="A775" s="33"/>
      <c r="B775" s="33"/>
      <c r="C775" s="33"/>
      <c r="D775" s="33"/>
    </row>
    <row r="776" spans="1:4">
      <c r="A776" s="33"/>
      <c r="B776" s="33"/>
      <c r="C776" s="33"/>
      <c r="D776" s="33"/>
    </row>
    <row r="777" spans="1:4">
      <c r="A777" s="33"/>
      <c r="B777" s="33"/>
      <c r="C777" s="33"/>
      <c r="D777" s="33"/>
    </row>
    <row r="778" spans="1:4">
      <c r="A778" s="33"/>
      <c r="B778" s="33"/>
      <c r="C778" s="33"/>
      <c r="D778" s="33"/>
    </row>
    <row r="779" spans="1:4">
      <c r="A779" s="33"/>
      <c r="B779" s="33"/>
      <c r="C779" s="33"/>
      <c r="D779" s="33"/>
    </row>
    <row r="780" spans="1:4">
      <c r="A780" s="33"/>
      <c r="B780" s="33"/>
      <c r="C780" s="33"/>
      <c r="D780" s="33"/>
    </row>
    <row r="781" spans="1:4">
      <c r="A781" s="33"/>
      <c r="B781" s="33"/>
      <c r="C781" s="33"/>
      <c r="D781" s="33"/>
    </row>
    <row r="782" spans="1:4">
      <c r="A782" s="33"/>
      <c r="B782" s="33"/>
      <c r="C782" s="33"/>
      <c r="D782" s="33"/>
    </row>
    <row r="783" spans="1:4">
      <c r="A783" s="33"/>
      <c r="B783" s="33"/>
      <c r="C783" s="33"/>
      <c r="D783" s="33"/>
    </row>
    <row r="784" spans="1:4">
      <c r="A784" s="33"/>
      <c r="B784" s="33"/>
      <c r="C784" s="33"/>
      <c r="D784" s="33"/>
    </row>
    <row r="785" spans="1:4">
      <c r="A785" s="33"/>
      <c r="B785" s="33"/>
      <c r="C785" s="33"/>
      <c r="D785" s="33"/>
    </row>
    <row r="786" spans="1:4">
      <c r="A786" s="33"/>
      <c r="B786" s="33"/>
      <c r="C786" s="33"/>
      <c r="D786" s="33"/>
    </row>
    <row r="787" spans="1:4">
      <c r="A787" s="33"/>
      <c r="B787" s="33"/>
      <c r="C787" s="33"/>
      <c r="D787" s="33"/>
    </row>
    <row r="788" spans="1:4">
      <c r="A788" s="33"/>
      <c r="B788" s="33"/>
      <c r="C788" s="33"/>
      <c r="D788" s="33"/>
    </row>
    <row r="789" spans="1:4">
      <c r="A789" s="33"/>
      <c r="B789" s="33"/>
      <c r="C789" s="33"/>
      <c r="D789" s="33"/>
    </row>
    <row r="790" spans="1:4">
      <c r="A790" s="33"/>
      <c r="B790" s="33"/>
      <c r="C790" s="33"/>
      <c r="D790" s="33"/>
    </row>
    <row r="791" spans="1:4">
      <c r="A791" s="33"/>
      <c r="B791" s="33"/>
      <c r="C791" s="33"/>
      <c r="D791" s="33"/>
    </row>
    <row r="792" spans="1:4">
      <c r="A792" s="33"/>
      <c r="B792" s="33"/>
      <c r="C792" s="33"/>
      <c r="D792" s="33"/>
    </row>
    <row r="793" spans="1:4">
      <c r="A793" s="33"/>
      <c r="B793" s="33"/>
      <c r="C793" s="33"/>
      <c r="D793" s="33"/>
    </row>
    <row r="794" spans="1:4">
      <c r="A794" s="33"/>
      <c r="B794" s="33"/>
      <c r="C794" s="33"/>
      <c r="D794" s="33"/>
    </row>
    <row r="795" spans="1:4">
      <c r="A795" s="33"/>
      <c r="B795" s="33"/>
      <c r="C795" s="33"/>
      <c r="D795" s="33"/>
    </row>
    <row r="796" spans="1:4">
      <c r="A796" s="33"/>
      <c r="B796" s="33"/>
      <c r="C796" s="33"/>
      <c r="D796" s="33"/>
    </row>
    <row r="797" spans="1:4">
      <c r="A797" s="33"/>
      <c r="B797" s="33"/>
      <c r="C797" s="33"/>
      <c r="D797" s="33"/>
    </row>
    <row r="798" spans="1:4">
      <c r="A798" s="33"/>
      <c r="B798" s="33"/>
      <c r="C798" s="33"/>
      <c r="D798" s="33"/>
    </row>
    <row r="799" spans="1:4">
      <c r="A799" s="33"/>
      <c r="B799" s="33"/>
      <c r="C799" s="33"/>
      <c r="D799" s="33"/>
    </row>
    <row r="800" spans="1:4">
      <c r="A800" s="33"/>
      <c r="B800" s="33"/>
      <c r="C800" s="33"/>
      <c r="D800" s="33"/>
    </row>
    <row r="801" spans="1:4">
      <c r="A801" s="33"/>
      <c r="B801" s="33"/>
      <c r="C801" s="33"/>
      <c r="D801" s="33"/>
    </row>
    <row r="802" spans="1:4">
      <c r="A802" s="33"/>
      <c r="B802" s="33"/>
      <c r="C802" s="33"/>
      <c r="D802" s="33"/>
    </row>
    <row r="803" spans="1:4">
      <c r="A803" s="33"/>
      <c r="B803" s="33"/>
      <c r="C803" s="33"/>
      <c r="D803" s="33"/>
    </row>
    <row r="804" spans="1:4">
      <c r="A804" s="33"/>
      <c r="B804" s="33"/>
      <c r="C804" s="33"/>
      <c r="D804" s="33"/>
    </row>
    <row r="805" spans="1:4">
      <c r="A805" s="33"/>
      <c r="B805" s="33"/>
      <c r="C805" s="33"/>
      <c r="D805" s="33"/>
    </row>
    <row r="806" spans="1:4">
      <c r="A806" s="33"/>
      <c r="B806" s="33"/>
      <c r="C806" s="33"/>
      <c r="D806" s="33"/>
    </row>
    <row r="807" spans="1:4">
      <c r="A807" s="33"/>
      <c r="B807" s="33"/>
      <c r="C807" s="33"/>
      <c r="D807" s="33"/>
    </row>
    <row r="808" spans="1:4">
      <c r="A808" s="33"/>
      <c r="B808" s="33"/>
      <c r="C808" s="33"/>
      <c r="D808" s="33"/>
    </row>
    <row r="809" spans="1:4">
      <c r="A809" s="33"/>
      <c r="B809" s="33"/>
      <c r="C809" s="33"/>
      <c r="D809" s="33"/>
    </row>
    <row r="810" spans="1:4">
      <c r="A810" s="33"/>
      <c r="B810" s="33"/>
      <c r="C810" s="33"/>
      <c r="D810" s="33"/>
    </row>
    <row r="811" spans="1:4">
      <c r="A811" s="33"/>
      <c r="B811" s="33"/>
      <c r="C811" s="33"/>
      <c r="D811" s="33"/>
    </row>
    <row r="812" spans="1:4">
      <c r="A812" s="33"/>
      <c r="B812" s="33"/>
      <c r="C812" s="33"/>
      <c r="D812" s="33"/>
    </row>
    <row r="813" spans="1:4">
      <c r="A813" s="33"/>
      <c r="B813" s="33"/>
      <c r="C813" s="33"/>
      <c r="D813" s="33"/>
    </row>
    <row r="814" spans="1:4">
      <c r="A814" s="33"/>
      <c r="B814" s="33"/>
      <c r="C814" s="33"/>
      <c r="D814" s="33"/>
    </row>
    <row r="815" spans="1:4">
      <c r="A815" s="33"/>
      <c r="B815" s="33"/>
      <c r="C815" s="33"/>
      <c r="D815" s="33"/>
    </row>
    <row r="816" spans="1:4">
      <c r="A816" s="33"/>
      <c r="B816" s="33"/>
      <c r="C816" s="33"/>
      <c r="D816" s="33"/>
    </row>
    <row r="817" spans="1:4">
      <c r="A817" s="33"/>
      <c r="B817" s="33"/>
      <c r="C817" s="33"/>
      <c r="D817" s="33"/>
    </row>
    <row r="818" spans="1:4">
      <c r="A818" s="33"/>
      <c r="B818" s="33"/>
      <c r="C818" s="33"/>
      <c r="D818" s="33"/>
    </row>
    <row r="819" spans="1:4">
      <c r="A819" s="33"/>
      <c r="B819" s="33"/>
      <c r="C819" s="33"/>
      <c r="D819" s="33"/>
    </row>
    <row r="820" spans="1:4">
      <c r="A820" s="33"/>
      <c r="B820" s="33"/>
      <c r="C820" s="33"/>
      <c r="D820" s="33"/>
    </row>
    <row r="821" spans="1:4">
      <c r="A821" s="33"/>
      <c r="B821" s="33"/>
      <c r="C821" s="33"/>
      <c r="D821" s="33"/>
    </row>
    <row r="822" spans="1:4">
      <c r="A822" s="33"/>
      <c r="B822" s="33"/>
      <c r="C822" s="33"/>
      <c r="D822" s="33"/>
    </row>
    <row r="823" spans="1:4">
      <c r="A823" s="33"/>
      <c r="B823" s="33"/>
      <c r="C823" s="33"/>
      <c r="D823" s="33"/>
    </row>
    <row r="824" spans="1:4">
      <c r="A824" s="33"/>
      <c r="B824" s="33"/>
      <c r="C824" s="33"/>
      <c r="D824" s="33"/>
    </row>
    <row r="825" spans="1:4">
      <c r="A825" s="33"/>
      <c r="B825" s="33"/>
      <c r="C825" s="33"/>
      <c r="D825" s="33"/>
    </row>
    <row r="826" spans="1:4">
      <c r="A826" s="33"/>
      <c r="B826" s="33"/>
      <c r="C826" s="33"/>
      <c r="D826" s="33"/>
    </row>
    <row r="827" spans="1:4">
      <c r="A827" s="33"/>
      <c r="B827" s="33"/>
      <c r="C827" s="33"/>
      <c r="D827" s="33"/>
    </row>
    <row r="828" spans="1:4">
      <c r="A828" s="33"/>
      <c r="B828" s="33"/>
      <c r="C828" s="33"/>
      <c r="D828" s="33"/>
    </row>
    <row r="829" spans="1:4">
      <c r="A829" s="33"/>
      <c r="B829" s="33"/>
      <c r="C829" s="33"/>
      <c r="D829" s="33"/>
    </row>
    <row r="830" spans="1:4">
      <c r="A830" s="33"/>
      <c r="B830" s="33"/>
      <c r="C830" s="33"/>
      <c r="D830" s="33"/>
    </row>
    <row r="831" spans="1:4">
      <c r="A831" s="33"/>
      <c r="B831" s="33"/>
      <c r="C831" s="33"/>
      <c r="D831" s="33"/>
    </row>
    <row r="832" spans="1:4">
      <c r="A832" s="33"/>
      <c r="B832" s="33"/>
      <c r="C832" s="33"/>
      <c r="D832" s="33"/>
    </row>
    <row r="833" spans="1:4">
      <c r="A833" s="33"/>
      <c r="B833" s="33"/>
      <c r="C833" s="33"/>
      <c r="D833" s="33"/>
    </row>
    <row r="834" spans="1:4">
      <c r="A834" s="33"/>
      <c r="B834" s="33"/>
      <c r="C834" s="33"/>
      <c r="D834" s="33"/>
    </row>
    <row r="835" spans="1:4">
      <c r="A835" s="33"/>
      <c r="B835" s="33"/>
      <c r="C835" s="33"/>
      <c r="D835" s="33"/>
    </row>
    <row r="836" spans="1:4">
      <c r="A836" s="33"/>
      <c r="B836" s="33"/>
      <c r="C836" s="33"/>
      <c r="D836" s="33"/>
    </row>
    <row r="837" spans="1:4">
      <c r="A837" s="33"/>
      <c r="B837" s="33"/>
      <c r="C837" s="33"/>
      <c r="D837" s="33"/>
    </row>
    <row r="838" spans="1:4">
      <c r="A838" s="33"/>
      <c r="B838" s="33"/>
      <c r="C838" s="33"/>
      <c r="D838" s="33"/>
    </row>
    <row r="839" spans="1:4">
      <c r="A839" s="33"/>
      <c r="B839" s="33"/>
      <c r="C839" s="33"/>
      <c r="D839" s="33"/>
    </row>
    <row r="840" spans="1:4">
      <c r="A840" s="33"/>
      <c r="B840" s="33"/>
      <c r="C840" s="33"/>
      <c r="D840" s="33"/>
    </row>
    <row r="841" spans="1:4">
      <c r="A841" s="33"/>
      <c r="B841" s="33"/>
      <c r="C841" s="33"/>
      <c r="D841" s="33"/>
    </row>
    <row r="842" spans="1:4">
      <c r="A842" s="33"/>
      <c r="B842" s="33"/>
      <c r="C842" s="33"/>
      <c r="D842" s="33"/>
    </row>
    <row r="843" spans="1:4">
      <c r="A843" s="33"/>
      <c r="B843" s="33"/>
      <c r="C843" s="33"/>
      <c r="D843" s="33"/>
    </row>
    <row r="844" spans="1:4">
      <c r="A844" s="33"/>
      <c r="B844" s="33"/>
      <c r="C844" s="33"/>
      <c r="D844" s="33"/>
    </row>
    <row r="845" spans="1:4">
      <c r="A845" s="33"/>
      <c r="B845" s="33"/>
      <c r="C845" s="33"/>
      <c r="D845" s="33"/>
    </row>
    <row r="846" spans="1:4">
      <c r="A846" s="33"/>
      <c r="B846" s="33"/>
      <c r="C846" s="33"/>
      <c r="D846" s="33"/>
    </row>
    <row r="847" spans="1:4">
      <c r="A847" s="33"/>
      <c r="B847" s="33"/>
      <c r="C847" s="33"/>
      <c r="D847" s="33"/>
    </row>
    <row r="848" spans="1:4">
      <c r="A848" s="33"/>
      <c r="B848" s="33"/>
      <c r="C848" s="33"/>
      <c r="D848" s="33"/>
    </row>
    <row r="849" spans="1:4">
      <c r="A849" s="33"/>
      <c r="B849" s="33"/>
      <c r="C849" s="33"/>
      <c r="D849" s="33"/>
    </row>
    <row r="850" spans="1:4">
      <c r="A850" s="33"/>
      <c r="B850" s="33"/>
      <c r="C850" s="33"/>
      <c r="D850" s="33"/>
    </row>
    <row r="851" spans="1:4">
      <c r="A851" s="33"/>
      <c r="B851" s="33"/>
      <c r="C851" s="33"/>
      <c r="D851" s="33"/>
    </row>
    <row r="852" spans="1:4">
      <c r="A852" s="33"/>
      <c r="B852" s="33"/>
      <c r="C852" s="33"/>
      <c r="D852" s="33"/>
    </row>
    <row r="853" spans="1:4">
      <c r="A853" s="33"/>
      <c r="B853" s="33"/>
      <c r="C853" s="33"/>
      <c r="D853" s="33"/>
    </row>
    <row r="854" spans="1:4">
      <c r="A854" s="33"/>
      <c r="B854" s="33"/>
      <c r="C854" s="33"/>
      <c r="D854" s="33"/>
    </row>
    <row r="855" spans="1:4">
      <c r="A855" s="33"/>
      <c r="B855" s="33"/>
      <c r="C855" s="33"/>
      <c r="D855" s="33"/>
    </row>
    <row r="856" spans="1:4">
      <c r="A856" s="33"/>
      <c r="B856" s="33"/>
      <c r="C856" s="33"/>
      <c r="D856" s="33"/>
    </row>
    <row r="857" spans="1:4">
      <c r="A857" s="33"/>
      <c r="B857" s="33"/>
      <c r="C857" s="33"/>
      <c r="D857" s="33"/>
    </row>
    <row r="858" spans="1:4">
      <c r="A858" s="33"/>
      <c r="B858" s="33"/>
      <c r="C858" s="33"/>
      <c r="D858" s="33"/>
    </row>
    <row r="859" spans="1:4">
      <c r="A859" s="33"/>
      <c r="B859" s="33"/>
      <c r="C859" s="33"/>
      <c r="D859" s="33"/>
    </row>
    <row r="860" spans="1:4">
      <c r="A860" s="33"/>
      <c r="B860" s="33"/>
      <c r="C860" s="33"/>
      <c r="D860" s="33"/>
    </row>
    <row r="861" spans="1:4">
      <c r="A861" s="33"/>
      <c r="B861" s="33"/>
      <c r="C861" s="33"/>
      <c r="D861" s="33"/>
    </row>
    <row r="862" spans="1:4">
      <c r="A862" s="33"/>
      <c r="B862" s="33"/>
      <c r="C862" s="33"/>
      <c r="D862" s="33"/>
    </row>
    <row r="863" spans="1:4">
      <c r="A863" s="33"/>
      <c r="B863" s="33"/>
      <c r="C863" s="33"/>
      <c r="D863" s="33"/>
    </row>
    <row r="864" spans="1:4">
      <c r="A864" s="33"/>
      <c r="B864" s="33"/>
      <c r="C864" s="33"/>
      <c r="D864" s="33"/>
    </row>
    <row r="865" spans="1:4">
      <c r="A865" s="33"/>
      <c r="B865" s="33"/>
      <c r="C865" s="33"/>
      <c r="D865" s="33"/>
    </row>
    <row r="866" spans="1:4">
      <c r="A866" s="33"/>
      <c r="B866" s="33"/>
      <c r="C866" s="33"/>
      <c r="D866" s="33"/>
    </row>
    <row r="867" spans="1:4">
      <c r="A867" s="33"/>
      <c r="B867" s="33"/>
      <c r="C867" s="33"/>
      <c r="D867" s="33"/>
    </row>
    <row r="868" spans="1:4">
      <c r="A868" s="33"/>
      <c r="B868" s="33"/>
      <c r="C868" s="33"/>
      <c r="D868" s="33"/>
    </row>
    <row r="869" spans="1:4">
      <c r="A869" s="33"/>
      <c r="B869" s="33"/>
      <c r="C869" s="33"/>
      <c r="D869" s="33"/>
    </row>
    <row r="870" spans="1:4">
      <c r="A870" s="33"/>
      <c r="B870" s="33"/>
      <c r="C870" s="33"/>
      <c r="D870" s="33"/>
    </row>
    <row r="871" spans="1:4">
      <c r="A871" s="33"/>
      <c r="B871" s="33"/>
      <c r="C871" s="33"/>
      <c r="D871" s="33"/>
    </row>
    <row r="872" spans="1:4">
      <c r="A872" s="33"/>
      <c r="B872" s="33"/>
      <c r="C872" s="33"/>
      <c r="D872" s="33"/>
    </row>
    <row r="873" spans="1:4">
      <c r="A873" s="33"/>
      <c r="B873" s="33"/>
      <c r="C873" s="33"/>
      <c r="D873" s="33"/>
    </row>
    <row r="874" spans="1:4">
      <c r="A874" s="33"/>
      <c r="B874" s="33"/>
      <c r="C874" s="33"/>
      <c r="D874" s="33"/>
    </row>
    <row r="875" spans="1:4">
      <c r="A875" s="33"/>
      <c r="B875" s="33"/>
      <c r="C875" s="33"/>
      <c r="D875" s="33"/>
    </row>
    <row r="876" spans="1:4">
      <c r="A876" s="33"/>
      <c r="B876" s="33"/>
      <c r="C876" s="33"/>
      <c r="D876" s="33"/>
    </row>
    <row r="877" spans="1:4">
      <c r="A877" s="33"/>
      <c r="B877" s="33"/>
      <c r="C877" s="33"/>
      <c r="D877" s="33"/>
    </row>
    <row r="878" spans="1:4">
      <c r="A878" s="33"/>
      <c r="B878" s="33"/>
      <c r="C878" s="33"/>
      <c r="D878" s="33"/>
    </row>
    <row r="879" spans="1:4">
      <c r="A879" s="33"/>
      <c r="B879" s="33"/>
      <c r="C879" s="33"/>
      <c r="D879" s="33"/>
    </row>
    <row r="880" spans="1:4">
      <c r="A880" s="33"/>
      <c r="B880" s="33"/>
      <c r="C880" s="33"/>
      <c r="D880" s="33"/>
    </row>
    <row r="881" spans="1:4">
      <c r="A881" s="33"/>
      <c r="B881" s="33"/>
      <c r="C881" s="33"/>
      <c r="D881" s="33"/>
    </row>
    <row r="882" spans="1:4">
      <c r="A882" s="33"/>
      <c r="B882" s="33"/>
      <c r="C882" s="33"/>
      <c r="D882" s="33"/>
    </row>
    <row r="883" spans="1:4">
      <c r="A883" s="33"/>
      <c r="B883" s="33"/>
      <c r="C883" s="33"/>
      <c r="D883" s="33"/>
    </row>
    <row r="884" spans="1:4">
      <c r="A884" s="33"/>
      <c r="B884" s="33"/>
      <c r="C884" s="33"/>
      <c r="D884" s="33"/>
    </row>
    <row r="885" spans="1:4">
      <c r="A885" s="33"/>
      <c r="B885" s="33"/>
      <c r="C885" s="33"/>
      <c r="D885" s="33"/>
    </row>
    <row r="886" spans="1:4">
      <c r="A886" s="33"/>
      <c r="B886" s="33"/>
      <c r="C886" s="33"/>
      <c r="D886" s="33"/>
    </row>
    <row r="887" spans="1:4">
      <c r="A887" s="33"/>
      <c r="B887" s="33"/>
      <c r="C887" s="33"/>
      <c r="D887" s="33"/>
    </row>
    <row r="888" spans="1:4">
      <c r="A888" s="33"/>
      <c r="B888" s="33"/>
      <c r="C888" s="33"/>
      <c r="D888" s="33"/>
    </row>
    <row r="889" spans="1:4">
      <c r="A889" s="33"/>
      <c r="B889" s="33"/>
      <c r="C889" s="33"/>
      <c r="D889" s="33"/>
    </row>
    <row r="890" spans="1:4">
      <c r="A890" s="33"/>
      <c r="B890" s="33"/>
      <c r="C890" s="33"/>
      <c r="D890" s="33"/>
    </row>
    <row r="891" spans="1:4">
      <c r="A891" s="33"/>
      <c r="B891" s="33"/>
      <c r="C891" s="33"/>
      <c r="D891" s="33"/>
    </row>
    <row r="892" spans="1:4">
      <c r="A892" s="33"/>
      <c r="B892" s="33"/>
      <c r="C892" s="33"/>
      <c r="D892" s="33"/>
    </row>
    <row r="893" spans="1:4">
      <c r="A893" s="33"/>
      <c r="B893" s="33"/>
      <c r="C893" s="33"/>
      <c r="D893" s="33"/>
    </row>
    <row r="894" spans="1:4">
      <c r="A894" s="33"/>
      <c r="B894" s="33"/>
      <c r="C894" s="33"/>
      <c r="D894" s="33"/>
    </row>
    <row r="895" spans="1:4">
      <c r="A895" s="33"/>
      <c r="B895" s="33"/>
      <c r="C895" s="33"/>
      <c r="D895" s="33"/>
    </row>
    <row r="896" spans="1:4">
      <c r="A896" s="33"/>
      <c r="B896" s="33"/>
      <c r="C896" s="33"/>
      <c r="D896" s="33"/>
    </row>
    <row r="897" spans="1:4">
      <c r="A897" s="33"/>
      <c r="B897" s="33"/>
      <c r="C897" s="33"/>
      <c r="D897" s="33"/>
    </row>
    <row r="898" spans="1:4">
      <c r="A898" s="33"/>
      <c r="B898" s="33"/>
      <c r="C898" s="33"/>
      <c r="D898" s="33"/>
    </row>
    <row r="899" spans="1:4">
      <c r="A899" s="33"/>
      <c r="B899" s="33"/>
      <c r="C899" s="33"/>
      <c r="D899" s="33"/>
    </row>
    <row r="900" spans="1:4">
      <c r="A900" s="33"/>
      <c r="B900" s="33"/>
      <c r="C900" s="33"/>
      <c r="D900" s="33"/>
    </row>
    <row r="901" spans="1:4">
      <c r="A901" s="33"/>
      <c r="B901" s="33"/>
      <c r="C901" s="33"/>
      <c r="D901" s="33"/>
    </row>
    <row r="902" spans="1:4">
      <c r="A902" s="33"/>
      <c r="B902" s="33"/>
      <c r="C902" s="33"/>
      <c r="D902" s="33"/>
    </row>
    <row r="903" spans="1:4">
      <c r="A903" s="33"/>
      <c r="B903" s="33"/>
      <c r="C903" s="33"/>
      <c r="D903" s="33"/>
    </row>
    <row r="904" spans="1:4">
      <c r="A904" s="33"/>
      <c r="B904" s="33"/>
      <c r="C904" s="33"/>
      <c r="D904" s="33"/>
    </row>
    <row r="905" spans="1:4">
      <c r="A905" s="33"/>
      <c r="B905" s="33"/>
      <c r="C905" s="33"/>
      <c r="D905" s="33"/>
    </row>
    <row r="906" spans="1:4">
      <c r="A906" s="33"/>
      <c r="B906" s="33"/>
      <c r="C906" s="33"/>
      <c r="D906" s="33"/>
    </row>
    <row r="907" spans="1:4">
      <c r="A907" s="33"/>
      <c r="B907" s="33"/>
      <c r="C907" s="33"/>
      <c r="D907" s="33"/>
    </row>
    <row r="908" spans="1:4">
      <c r="A908" s="33"/>
      <c r="B908" s="33"/>
      <c r="C908" s="33"/>
      <c r="D908" s="33"/>
    </row>
    <row r="909" spans="1:4">
      <c r="A909" s="33"/>
      <c r="B909" s="33"/>
      <c r="C909" s="33"/>
      <c r="D909" s="33"/>
    </row>
    <row r="910" spans="1:4">
      <c r="A910" s="33"/>
      <c r="B910" s="33"/>
      <c r="C910" s="33"/>
      <c r="D910" s="33"/>
    </row>
    <row r="911" spans="1:4">
      <c r="A911" s="33"/>
      <c r="B911" s="33"/>
      <c r="C911" s="33"/>
      <c r="D911" s="33"/>
    </row>
    <row r="912" spans="1:4">
      <c r="A912" s="33"/>
      <c r="B912" s="33"/>
      <c r="C912" s="33"/>
      <c r="D912" s="33"/>
    </row>
    <row r="913" spans="1:4">
      <c r="A913" s="33"/>
      <c r="B913" s="33"/>
      <c r="C913" s="33"/>
      <c r="D913" s="33"/>
    </row>
    <row r="914" spans="1:4">
      <c r="A914" s="33"/>
      <c r="B914" s="33"/>
      <c r="C914" s="33"/>
      <c r="D914" s="33"/>
    </row>
    <row r="915" spans="1:4">
      <c r="A915" s="33"/>
      <c r="B915" s="33"/>
      <c r="C915" s="33"/>
      <c r="D915" s="33"/>
    </row>
    <row r="916" spans="1:4">
      <c r="A916" s="33"/>
      <c r="B916" s="33"/>
      <c r="C916" s="33"/>
      <c r="D916" s="33"/>
    </row>
    <row r="917" spans="1:4">
      <c r="A917" s="33"/>
      <c r="B917" s="33"/>
      <c r="C917" s="33"/>
      <c r="D917" s="33"/>
    </row>
    <row r="918" spans="1:4">
      <c r="A918" s="33"/>
      <c r="B918" s="33"/>
      <c r="C918" s="33"/>
      <c r="D918" s="33"/>
    </row>
    <row r="919" spans="1:4">
      <c r="A919" s="33"/>
      <c r="B919" s="33"/>
      <c r="C919" s="33"/>
      <c r="D919" s="33"/>
    </row>
    <row r="920" spans="1:4">
      <c r="A920" s="33"/>
      <c r="B920" s="33"/>
      <c r="C920" s="33"/>
      <c r="D920" s="33"/>
    </row>
    <row r="921" spans="1:4">
      <c r="A921" s="33"/>
      <c r="B921" s="33"/>
      <c r="C921" s="33"/>
      <c r="D921" s="33"/>
    </row>
    <row r="922" spans="1:4">
      <c r="A922" s="33"/>
      <c r="B922" s="33"/>
      <c r="C922" s="33"/>
      <c r="D922" s="33"/>
    </row>
    <row r="923" spans="1:4">
      <c r="A923" s="33"/>
      <c r="B923" s="33"/>
      <c r="C923" s="33"/>
      <c r="D923" s="33"/>
    </row>
    <row r="924" spans="1:4">
      <c r="A924" s="33"/>
      <c r="B924" s="33"/>
      <c r="C924" s="33"/>
      <c r="D924" s="33"/>
    </row>
    <row r="925" spans="1:4">
      <c r="A925" s="33"/>
      <c r="B925" s="33"/>
      <c r="C925" s="33"/>
      <c r="D925" s="33"/>
    </row>
    <row r="926" spans="1:4">
      <c r="A926" s="33"/>
      <c r="B926" s="33"/>
      <c r="C926" s="33"/>
      <c r="D926" s="33"/>
    </row>
    <row r="927" spans="1:4">
      <c r="A927" s="33"/>
      <c r="B927" s="33"/>
      <c r="C927" s="33"/>
      <c r="D927" s="33"/>
    </row>
    <row r="928" spans="1:4">
      <c r="A928" s="33"/>
      <c r="B928" s="33"/>
      <c r="C928" s="33"/>
      <c r="D928" s="33"/>
    </row>
    <row r="929" spans="1:4">
      <c r="A929" s="33"/>
      <c r="B929" s="33"/>
      <c r="C929" s="33"/>
      <c r="D929" s="33"/>
    </row>
    <row r="930" spans="1:4">
      <c r="A930" s="33"/>
      <c r="B930" s="33"/>
      <c r="C930" s="33"/>
      <c r="D930" s="33"/>
    </row>
    <row r="931" spans="1:4">
      <c r="A931" s="33"/>
      <c r="B931" s="33"/>
      <c r="C931" s="33"/>
      <c r="D931" s="33"/>
    </row>
    <row r="932" spans="1:4">
      <c r="A932" s="33"/>
      <c r="B932" s="33"/>
      <c r="C932" s="33"/>
      <c r="D932" s="33"/>
    </row>
    <row r="933" spans="1:4">
      <c r="A933" s="33"/>
      <c r="B933" s="33"/>
      <c r="C933" s="33"/>
      <c r="D933" s="33"/>
    </row>
    <row r="934" spans="1:4">
      <c r="A934" s="33"/>
      <c r="B934" s="33"/>
      <c r="C934" s="33"/>
      <c r="D934" s="33"/>
    </row>
    <row r="935" spans="1:4">
      <c r="A935" s="33"/>
      <c r="B935" s="33"/>
      <c r="C935" s="33"/>
      <c r="D935" s="33"/>
    </row>
    <row r="936" spans="1:4">
      <c r="A936" s="33"/>
      <c r="B936" s="33"/>
      <c r="C936" s="33"/>
      <c r="D936" s="33"/>
    </row>
    <row r="937" spans="1:4">
      <c r="A937" s="33"/>
      <c r="B937" s="33"/>
      <c r="C937" s="33"/>
      <c r="D937" s="33"/>
    </row>
    <row r="938" spans="1:4">
      <c r="A938" s="33"/>
      <c r="B938" s="33"/>
      <c r="C938" s="33"/>
      <c r="D938" s="33"/>
    </row>
    <row r="939" spans="1:4">
      <c r="A939" s="33"/>
      <c r="B939" s="33"/>
      <c r="C939" s="33"/>
      <c r="D939" s="33"/>
    </row>
    <row r="940" spans="1:4">
      <c r="A940" s="33"/>
      <c r="B940" s="33"/>
      <c r="C940" s="33"/>
      <c r="D940" s="33"/>
    </row>
    <row r="941" spans="1:4">
      <c r="A941" s="33"/>
      <c r="B941" s="33"/>
      <c r="C941" s="33"/>
      <c r="D941" s="33"/>
    </row>
    <row r="942" spans="1:4">
      <c r="A942" s="33"/>
      <c r="B942" s="33"/>
      <c r="C942" s="33"/>
      <c r="D942" s="33"/>
    </row>
    <row r="943" spans="1:4">
      <c r="A943" s="33"/>
      <c r="B943" s="33"/>
      <c r="C943" s="33"/>
      <c r="D943" s="33"/>
    </row>
    <row r="944" spans="1:4">
      <c r="A944" s="33"/>
      <c r="B944" s="33"/>
      <c r="C944" s="33"/>
      <c r="D944" s="33"/>
    </row>
    <row r="945" spans="1:4">
      <c r="A945" s="33"/>
      <c r="B945" s="33"/>
      <c r="C945" s="33"/>
      <c r="D945" s="33"/>
    </row>
    <row r="946" spans="1:4">
      <c r="A946" s="33"/>
      <c r="B946" s="33"/>
      <c r="C946" s="33"/>
      <c r="D946" s="33"/>
    </row>
    <row r="947" spans="1:4">
      <c r="A947" s="33"/>
      <c r="B947" s="33"/>
      <c r="C947" s="33"/>
      <c r="D947" s="33"/>
    </row>
    <row r="948" spans="1:4">
      <c r="A948" s="33"/>
      <c r="B948" s="33"/>
      <c r="C948" s="33"/>
      <c r="D948" s="33"/>
    </row>
    <row r="949" spans="1:4">
      <c r="A949" s="33"/>
      <c r="B949" s="33"/>
      <c r="C949" s="33"/>
      <c r="D949" s="33"/>
    </row>
    <row r="950" spans="1:4">
      <c r="A950" s="33"/>
      <c r="B950" s="33"/>
      <c r="C950" s="33"/>
      <c r="D950" s="33"/>
    </row>
    <row r="951" spans="1:4">
      <c r="A951" s="33"/>
      <c r="B951" s="33"/>
      <c r="C951" s="33"/>
      <c r="D951" s="33"/>
    </row>
    <row r="952" spans="1:4">
      <c r="A952" s="33"/>
      <c r="B952" s="33"/>
      <c r="C952" s="33"/>
      <c r="D952" s="33"/>
    </row>
    <row r="953" spans="1:4">
      <c r="A953" s="33"/>
      <c r="B953" s="33"/>
      <c r="C953" s="33"/>
      <c r="D953" s="33"/>
    </row>
    <row r="954" spans="1:4">
      <c r="A954" s="33"/>
      <c r="B954" s="33"/>
      <c r="C954" s="33"/>
      <c r="D954" s="33"/>
    </row>
    <row r="955" spans="1:4">
      <c r="A955" s="33"/>
      <c r="B955" s="33"/>
      <c r="C955" s="33"/>
      <c r="D955" s="33"/>
    </row>
    <row r="956" spans="1:4">
      <c r="A956" s="33"/>
      <c r="B956" s="33"/>
      <c r="C956" s="33"/>
      <c r="D956" s="33"/>
    </row>
    <row r="957" spans="1:4">
      <c r="A957" s="33"/>
      <c r="B957" s="33"/>
      <c r="C957" s="33"/>
      <c r="D957" s="33"/>
    </row>
    <row r="958" spans="1:4">
      <c r="A958" s="33"/>
      <c r="B958" s="33"/>
      <c r="C958" s="33"/>
      <c r="D958" s="33"/>
    </row>
    <row r="959" spans="1:4">
      <c r="A959" s="33"/>
      <c r="B959" s="33"/>
      <c r="C959" s="33"/>
      <c r="D959" s="33"/>
    </row>
    <row r="960" spans="1:4">
      <c r="A960" s="33"/>
      <c r="B960" s="33"/>
      <c r="C960" s="33"/>
      <c r="D960" s="33"/>
    </row>
    <row r="961" spans="1:4">
      <c r="A961" s="33"/>
      <c r="B961" s="33"/>
      <c r="C961" s="33"/>
      <c r="D961" s="33"/>
    </row>
    <row r="962" spans="1:4">
      <c r="A962" s="33"/>
      <c r="B962" s="33"/>
      <c r="C962" s="33"/>
      <c r="D962" s="33"/>
    </row>
    <row r="963" spans="1:4">
      <c r="A963" s="33"/>
      <c r="B963" s="33"/>
      <c r="C963" s="33"/>
      <c r="D963" s="33"/>
    </row>
    <row r="964" spans="1:4">
      <c r="A964" s="33"/>
      <c r="B964" s="33"/>
      <c r="C964" s="33"/>
      <c r="D964" s="33"/>
    </row>
    <row r="965" spans="1:4">
      <c r="A965" s="33"/>
      <c r="B965" s="33"/>
      <c r="C965" s="33"/>
      <c r="D965" s="33"/>
    </row>
    <row r="966" spans="1:4">
      <c r="A966" s="33"/>
      <c r="B966" s="33"/>
      <c r="C966" s="33"/>
      <c r="D966" s="33"/>
    </row>
    <row r="967" spans="1:4">
      <c r="A967" s="33"/>
      <c r="B967" s="33"/>
      <c r="C967" s="33"/>
      <c r="D967" s="33"/>
    </row>
    <row r="968" spans="1:4">
      <c r="A968" s="33"/>
      <c r="B968" s="33"/>
      <c r="C968" s="33"/>
      <c r="D968" s="33"/>
    </row>
    <row r="969" spans="1:4">
      <c r="A969" s="33"/>
      <c r="B969" s="33"/>
      <c r="C969" s="33"/>
      <c r="D969" s="33"/>
    </row>
    <row r="970" spans="1:4">
      <c r="A970" s="33"/>
      <c r="B970" s="33"/>
      <c r="C970" s="33"/>
      <c r="D970" s="33"/>
    </row>
    <row r="971" spans="1:4">
      <c r="A971" s="33"/>
      <c r="B971" s="33"/>
      <c r="C971" s="33"/>
      <c r="D971" s="33"/>
    </row>
    <row r="972" spans="1:4">
      <c r="A972" s="33"/>
      <c r="B972" s="33"/>
      <c r="C972" s="33"/>
      <c r="D972" s="33"/>
    </row>
    <row r="973" spans="1:4">
      <c r="A973" s="33"/>
      <c r="B973" s="33"/>
      <c r="C973" s="33"/>
      <c r="D973" s="33"/>
    </row>
    <row r="974" spans="1:4">
      <c r="A974" s="33"/>
      <c r="B974" s="33"/>
      <c r="C974" s="33"/>
      <c r="D974" s="33"/>
    </row>
    <row r="975" spans="1:4">
      <c r="A975" s="33"/>
      <c r="B975" s="33"/>
      <c r="C975" s="33"/>
      <c r="D975" s="33"/>
    </row>
    <row r="976" spans="1:4">
      <c r="A976" s="33"/>
      <c r="B976" s="33"/>
      <c r="C976" s="33"/>
      <c r="D976" s="33"/>
    </row>
    <row r="977" spans="1:4">
      <c r="A977" s="33"/>
      <c r="B977" s="33"/>
      <c r="C977" s="33"/>
      <c r="D977" s="33"/>
    </row>
    <row r="978" spans="1:4">
      <c r="A978" s="33"/>
      <c r="B978" s="33"/>
      <c r="C978" s="33"/>
      <c r="D978" s="33"/>
    </row>
    <row r="979" spans="1:4">
      <c r="A979" s="33"/>
      <c r="B979" s="33"/>
      <c r="C979" s="33"/>
      <c r="D979" s="33"/>
    </row>
    <row r="980" spans="1:4">
      <c r="A980" s="33"/>
      <c r="B980" s="33"/>
      <c r="C980" s="33"/>
      <c r="D980" s="33"/>
    </row>
    <row r="981" spans="1:4">
      <c r="A981" s="33"/>
      <c r="B981" s="33"/>
      <c r="C981" s="33"/>
      <c r="D981" s="33"/>
    </row>
    <row r="982" spans="1:4">
      <c r="A982" s="33"/>
      <c r="B982" s="33"/>
      <c r="C982" s="33"/>
      <c r="D982" s="33"/>
    </row>
    <row r="983" spans="1:4">
      <c r="A983" s="33"/>
      <c r="B983" s="33"/>
      <c r="C983" s="33"/>
      <c r="D983" s="33"/>
    </row>
    <row r="984" spans="1:4">
      <c r="A984" s="33"/>
      <c r="B984" s="33"/>
      <c r="C984" s="33"/>
      <c r="D984" s="33"/>
    </row>
    <row r="985" spans="1:4">
      <c r="A985" s="33"/>
      <c r="B985" s="33"/>
      <c r="C985" s="33"/>
      <c r="D985" s="33"/>
    </row>
    <row r="986" spans="1:4">
      <c r="A986" s="33"/>
      <c r="B986" s="33"/>
      <c r="C986" s="33"/>
      <c r="D986" s="33"/>
    </row>
    <row r="987" spans="1:4">
      <c r="A987" s="33"/>
      <c r="B987" s="33"/>
      <c r="C987" s="33"/>
      <c r="D987" s="33"/>
    </row>
    <row r="988" spans="1:4">
      <c r="A988" s="33"/>
      <c r="B988" s="33"/>
      <c r="C988" s="33"/>
      <c r="D988" s="33"/>
    </row>
    <row r="989" spans="1:4">
      <c r="A989" s="33"/>
      <c r="B989" s="33"/>
      <c r="C989" s="33"/>
      <c r="D989" s="33"/>
    </row>
    <row r="990" spans="1:4">
      <c r="A990" s="33"/>
      <c r="B990" s="33"/>
      <c r="C990" s="33"/>
      <c r="D990" s="33"/>
    </row>
    <row r="991" spans="1:4">
      <c r="A991" s="33"/>
      <c r="B991" s="33"/>
      <c r="C991" s="33"/>
      <c r="D991" s="33"/>
    </row>
    <row r="992" spans="1:4">
      <c r="A992" s="33"/>
      <c r="B992" s="33"/>
      <c r="C992" s="33"/>
      <c r="D992" s="33"/>
    </row>
    <row r="993" spans="1:4">
      <c r="A993" s="33"/>
      <c r="B993" s="33"/>
      <c r="C993" s="33"/>
      <c r="D993" s="33"/>
    </row>
    <row r="994" spans="1:4">
      <c r="A994" s="33"/>
      <c r="B994" s="33"/>
      <c r="C994" s="33"/>
      <c r="D994" s="33"/>
    </row>
    <row r="995" spans="1:4">
      <c r="A995" s="33"/>
      <c r="B995" s="33"/>
      <c r="C995" s="33"/>
      <c r="D995" s="33"/>
    </row>
    <row r="996" spans="1:4">
      <c r="A996" s="33"/>
      <c r="B996" s="33"/>
      <c r="C996" s="33"/>
      <c r="D996" s="33"/>
    </row>
    <row r="997" spans="1:4">
      <c r="A997" s="33"/>
      <c r="B997" s="33"/>
      <c r="C997" s="33"/>
      <c r="D997" s="33"/>
    </row>
    <row r="998" spans="1:4">
      <c r="A998" s="33"/>
      <c r="B998" s="33"/>
      <c r="C998" s="33"/>
      <c r="D998" s="33"/>
    </row>
    <row r="999" spans="1:4">
      <c r="A999" s="33"/>
      <c r="B999" s="33"/>
      <c r="C999" s="33"/>
      <c r="D999" s="33"/>
    </row>
    <row r="1000" spans="1:4">
      <c r="A1000" s="33"/>
      <c r="B1000" s="33"/>
      <c r="C1000" s="33"/>
      <c r="D1000" s="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86"/>
  <sheetViews>
    <sheetView workbookViewId="0"/>
  </sheetViews>
  <sheetFormatPr defaultColWidth="11.125" defaultRowHeight="15" customHeight="1"/>
  <cols>
    <col min="4" max="4" width="12.875" customWidth="1"/>
  </cols>
  <sheetData>
    <row r="1" spans="1:4">
      <c r="A1" s="413" t="s">
        <v>1053</v>
      </c>
      <c r="B1" s="414" t="s">
        <v>1054</v>
      </c>
      <c r="C1" s="414" t="s">
        <v>1058</v>
      </c>
      <c r="D1" s="414" t="s">
        <v>1059</v>
      </c>
    </row>
    <row r="2" spans="1:4">
      <c r="A2" s="420">
        <v>45252</v>
      </c>
      <c r="B2" s="357">
        <v>78</v>
      </c>
      <c r="C2" s="421">
        <v>0.20100000000000001</v>
      </c>
      <c r="D2" s="421">
        <v>0.20100000000000001</v>
      </c>
    </row>
    <row r="3" spans="1:4">
      <c r="A3" s="420">
        <v>45252</v>
      </c>
      <c r="B3" s="357">
        <v>76</v>
      </c>
      <c r="C3" s="421">
        <v>-2.3860000000000001</v>
      </c>
      <c r="D3" s="421" t="s">
        <v>1060</v>
      </c>
    </row>
    <row r="4" spans="1:4">
      <c r="A4" s="420">
        <v>45252</v>
      </c>
      <c r="B4" s="357">
        <v>77</v>
      </c>
      <c r="C4" s="421">
        <v>2.9769999999999999</v>
      </c>
      <c r="D4" s="422">
        <f>C4*0.6</f>
        <v>1.7861999999999998</v>
      </c>
    </row>
    <row r="5" spans="1:4">
      <c r="A5" s="420">
        <v>45252</v>
      </c>
      <c r="B5" s="357">
        <v>75</v>
      </c>
      <c r="C5" s="421">
        <v>-2.649</v>
      </c>
      <c r="D5" s="421" t="s">
        <v>1060</v>
      </c>
    </row>
    <row r="6" spans="1:4">
      <c r="A6" s="420">
        <v>45252</v>
      </c>
      <c r="B6" s="357">
        <v>80</v>
      </c>
      <c r="C6" s="421">
        <v>-1.9870000000000001</v>
      </c>
      <c r="D6" s="421" t="s">
        <v>1060</v>
      </c>
    </row>
    <row r="7" spans="1:4">
      <c r="A7" s="420">
        <v>45252</v>
      </c>
      <c r="B7" s="357">
        <v>83</v>
      </c>
      <c r="C7" s="421">
        <v>2.3570000000000002</v>
      </c>
      <c r="D7" s="422">
        <f>C7*0.6</f>
        <v>1.4142000000000001</v>
      </c>
    </row>
    <row r="8" spans="1:4">
      <c r="A8" s="420">
        <v>45252</v>
      </c>
      <c r="B8" s="357">
        <v>84</v>
      </c>
      <c r="C8" s="421">
        <v>2.2149999999999999</v>
      </c>
      <c r="D8" s="421">
        <v>2.2149999999999999</v>
      </c>
    </row>
    <row r="9" spans="1:4">
      <c r="A9" s="420">
        <v>45252</v>
      </c>
      <c r="B9" s="357">
        <v>79</v>
      </c>
      <c r="C9" s="421">
        <v>-1.048</v>
      </c>
      <c r="D9" s="421" t="s">
        <v>1060</v>
      </c>
    </row>
    <row r="10" spans="1:4">
      <c r="A10" s="420">
        <v>45252</v>
      </c>
      <c r="B10" s="357">
        <v>81</v>
      </c>
      <c r="C10" s="421">
        <v>-2.2799999999999998</v>
      </c>
      <c r="D10" s="421" t="s">
        <v>1060</v>
      </c>
    </row>
    <row r="11" spans="1:4">
      <c r="A11" s="420">
        <v>45252</v>
      </c>
      <c r="B11" s="357">
        <v>87</v>
      </c>
      <c r="C11" s="421">
        <v>-1.4279999999999999</v>
      </c>
      <c r="D11" s="421" t="s">
        <v>1060</v>
      </c>
    </row>
    <row r="12" spans="1:4">
      <c r="A12" s="420">
        <v>45252</v>
      </c>
      <c r="B12" s="357">
        <v>82</v>
      </c>
      <c r="C12" s="421">
        <v>-1.61</v>
      </c>
      <c r="D12" s="421" t="s">
        <v>1060</v>
      </c>
    </row>
    <row r="13" spans="1:4">
      <c r="A13" s="420">
        <v>45252</v>
      </c>
      <c r="B13" s="357">
        <v>244</v>
      </c>
      <c r="C13" s="421">
        <v>-2.6379999999999999</v>
      </c>
      <c r="D13" s="421" t="s">
        <v>1060</v>
      </c>
    </row>
    <row r="14" spans="1:4">
      <c r="A14" s="420">
        <v>45252</v>
      </c>
      <c r="B14" s="357">
        <v>255</v>
      </c>
      <c r="C14" s="421">
        <v>-2.4129999999999998</v>
      </c>
      <c r="D14" s="421" t="s">
        <v>1060</v>
      </c>
    </row>
    <row r="15" spans="1:4">
      <c r="A15" s="420">
        <v>45252</v>
      </c>
      <c r="B15" s="357">
        <v>266</v>
      </c>
      <c r="C15" s="421">
        <v>-2.2959999999999998</v>
      </c>
      <c r="D15" s="421" t="s">
        <v>1060</v>
      </c>
    </row>
    <row r="16" spans="1:4">
      <c r="A16" s="420">
        <v>45252</v>
      </c>
      <c r="B16" s="357">
        <v>277</v>
      </c>
      <c r="C16" s="421">
        <v>-2.609</v>
      </c>
      <c r="D16" s="421" t="s">
        <v>1060</v>
      </c>
    </row>
    <row r="17" spans="1:4">
      <c r="A17" s="420">
        <v>45252</v>
      </c>
      <c r="B17" s="357">
        <v>299</v>
      </c>
      <c r="C17" s="421">
        <v>-2.65</v>
      </c>
      <c r="D17" s="421" t="s">
        <v>1060</v>
      </c>
    </row>
    <row r="18" spans="1:4">
      <c r="A18" s="420">
        <v>45252</v>
      </c>
      <c r="B18" s="357">
        <v>288</v>
      </c>
      <c r="C18" s="421">
        <v>-0.157</v>
      </c>
      <c r="D18" s="421" t="s">
        <v>1060</v>
      </c>
    </row>
    <row r="19" spans="1:4">
      <c r="A19" s="420">
        <v>45252</v>
      </c>
      <c r="B19" s="357">
        <v>211</v>
      </c>
      <c r="C19" s="421">
        <v>-0.85099999999999998</v>
      </c>
      <c r="D19" s="421" t="s">
        <v>1060</v>
      </c>
    </row>
    <row r="20" spans="1:4">
      <c r="A20" s="420">
        <v>45252</v>
      </c>
      <c r="B20" s="357">
        <v>222</v>
      </c>
      <c r="C20" s="421">
        <v>-2.4980000000000002</v>
      </c>
      <c r="D20" s="421" t="s">
        <v>1060</v>
      </c>
    </row>
    <row r="21" spans="1:4">
      <c r="A21" s="420">
        <v>45252</v>
      </c>
      <c r="B21" s="357">
        <v>233</v>
      </c>
      <c r="C21" s="421">
        <v>-1.8560000000000001</v>
      </c>
      <c r="D21" s="421" t="s">
        <v>1060</v>
      </c>
    </row>
    <row r="22" spans="1:4">
      <c r="A22" s="420">
        <v>45252</v>
      </c>
      <c r="B22" s="357">
        <v>332</v>
      </c>
      <c r="C22" s="421">
        <v>-3.044</v>
      </c>
      <c r="D22" s="421" t="s">
        <v>1060</v>
      </c>
    </row>
    <row r="23" spans="1:4">
      <c r="A23" s="420">
        <v>45252</v>
      </c>
      <c r="B23" s="357">
        <v>310</v>
      </c>
      <c r="C23" s="421">
        <v>-3.2770000000000001</v>
      </c>
      <c r="D23" s="421" t="s">
        <v>1060</v>
      </c>
    </row>
    <row r="24" spans="1:4">
      <c r="A24" s="420">
        <v>45252</v>
      </c>
      <c r="B24" s="357">
        <v>398</v>
      </c>
      <c r="C24" s="421">
        <v>-3.105</v>
      </c>
      <c r="D24" s="421" t="s">
        <v>1060</v>
      </c>
    </row>
    <row r="25" spans="1:4">
      <c r="A25" s="420">
        <v>45252</v>
      </c>
      <c r="B25" s="357">
        <v>321</v>
      </c>
      <c r="C25" s="421">
        <v>-3.2669999999999999</v>
      </c>
      <c r="D25" s="421" t="s">
        <v>1060</v>
      </c>
    </row>
    <row r="26" spans="1:4">
      <c r="A26" s="420">
        <v>45252</v>
      </c>
      <c r="B26" s="357">
        <v>585</v>
      </c>
      <c r="C26" s="421">
        <v>3.8780000000000001</v>
      </c>
      <c r="D26" s="422">
        <f>C26*0.6</f>
        <v>2.3268</v>
      </c>
    </row>
    <row r="27" spans="1:4">
      <c r="A27" s="420">
        <v>45252</v>
      </c>
      <c r="B27" s="357">
        <v>387</v>
      </c>
      <c r="C27" s="421">
        <v>-3.59</v>
      </c>
      <c r="D27" s="421" t="s">
        <v>1060</v>
      </c>
    </row>
    <row r="28" spans="1:4">
      <c r="A28" s="420">
        <v>45252</v>
      </c>
      <c r="B28" s="357">
        <v>365</v>
      </c>
      <c r="C28" s="421">
        <v>-3.4220000000000002</v>
      </c>
      <c r="D28" s="421" t="s">
        <v>1060</v>
      </c>
    </row>
    <row r="29" spans="1:4">
      <c r="A29" s="420">
        <v>45252</v>
      </c>
      <c r="B29" s="357">
        <v>464</v>
      </c>
      <c r="C29" s="421">
        <v>-3.2690000000000001</v>
      </c>
      <c r="D29" s="421" t="s">
        <v>1060</v>
      </c>
    </row>
    <row r="30" spans="1:4">
      <c r="A30" s="420">
        <v>45252</v>
      </c>
      <c r="B30" s="357">
        <v>409</v>
      </c>
      <c r="C30" s="421">
        <v>-2.4889999999999999</v>
      </c>
      <c r="D30" s="421" t="s">
        <v>1060</v>
      </c>
    </row>
    <row r="31" spans="1:4">
      <c r="A31" s="420">
        <v>45252</v>
      </c>
      <c r="B31" s="357">
        <v>453</v>
      </c>
      <c r="C31" s="421">
        <v>-3.3170000000000002</v>
      </c>
      <c r="D31" s="421" t="s">
        <v>1060</v>
      </c>
    </row>
    <row r="32" spans="1:4">
      <c r="A32" s="420">
        <v>45252</v>
      </c>
      <c r="B32" s="357">
        <v>376</v>
      </c>
      <c r="C32" s="421">
        <v>1.54</v>
      </c>
      <c r="D32" s="421">
        <v>1.54</v>
      </c>
    </row>
    <row r="33" spans="1:4">
      <c r="A33" s="420">
        <v>45252</v>
      </c>
      <c r="B33" s="357">
        <v>431</v>
      </c>
      <c r="C33" s="421">
        <v>-2.5209999999999999</v>
      </c>
      <c r="D33" s="421" t="s">
        <v>1060</v>
      </c>
    </row>
    <row r="34" spans="1:4">
      <c r="A34" s="420">
        <v>45252</v>
      </c>
      <c r="B34" s="357">
        <v>442</v>
      </c>
      <c r="C34" s="421">
        <v>-2.214</v>
      </c>
      <c r="D34" s="421" t="s">
        <v>1060</v>
      </c>
    </row>
    <row r="35" spans="1:4">
      <c r="A35" s="420">
        <v>45252</v>
      </c>
      <c r="B35" s="357">
        <v>552</v>
      </c>
      <c r="C35" s="421">
        <v>2.4780000000000002</v>
      </c>
      <c r="D35" s="422">
        <f t="shared" ref="D35:D36" si="0">C35*0.6</f>
        <v>1.4868000000000001</v>
      </c>
    </row>
    <row r="36" spans="1:4">
      <c r="A36" s="420">
        <v>45252</v>
      </c>
      <c r="B36" s="357">
        <v>475</v>
      </c>
      <c r="C36" s="421">
        <v>2.8140000000000001</v>
      </c>
      <c r="D36" s="422">
        <f t="shared" si="0"/>
        <v>1.6883999999999999</v>
      </c>
    </row>
    <row r="37" spans="1:4">
      <c r="A37" s="420">
        <v>45252</v>
      </c>
      <c r="B37" s="357">
        <v>541</v>
      </c>
      <c r="C37" s="421">
        <v>-1.865</v>
      </c>
      <c r="D37" s="421" t="s">
        <v>1060</v>
      </c>
    </row>
    <row r="38" spans="1:4">
      <c r="A38" s="420">
        <v>45252</v>
      </c>
      <c r="B38" s="357">
        <v>530</v>
      </c>
      <c r="C38" s="421">
        <v>2.762</v>
      </c>
      <c r="D38" s="422">
        <f>C38*0.6</f>
        <v>1.6572</v>
      </c>
    </row>
    <row r="39" spans="1:4">
      <c r="A39" s="420">
        <v>45252</v>
      </c>
      <c r="B39" s="357">
        <v>519</v>
      </c>
      <c r="C39" s="421">
        <v>-1.9139999999999999</v>
      </c>
      <c r="D39" s="421" t="s">
        <v>1060</v>
      </c>
    </row>
    <row r="40" spans="1:4">
      <c r="A40" s="420">
        <v>45252</v>
      </c>
      <c r="B40" s="357">
        <v>508</v>
      </c>
      <c r="C40" s="421">
        <v>2.65</v>
      </c>
      <c r="D40" s="422">
        <f>C40*0.6</f>
        <v>1.5899999999999999</v>
      </c>
    </row>
    <row r="41" spans="1:4">
      <c r="A41" s="420">
        <v>45252</v>
      </c>
      <c r="B41" s="357">
        <v>354</v>
      </c>
      <c r="C41" s="421">
        <v>-3.4420000000000002</v>
      </c>
      <c r="D41" s="421" t="s">
        <v>1060</v>
      </c>
    </row>
    <row r="42" spans="1:4">
      <c r="A42" s="420">
        <v>45252</v>
      </c>
      <c r="B42" s="357">
        <v>563</v>
      </c>
      <c r="C42" s="421">
        <v>2.4769999999999999</v>
      </c>
      <c r="D42" s="421">
        <v>2.4769999999999999</v>
      </c>
    </row>
    <row r="43" spans="1:4">
      <c r="A43" s="420">
        <v>45252</v>
      </c>
      <c r="B43" s="357">
        <v>574</v>
      </c>
      <c r="C43" s="421">
        <v>-1.3220000000000001</v>
      </c>
      <c r="D43" s="421" t="s">
        <v>1060</v>
      </c>
    </row>
    <row r="44" spans="1:4">
      <c r="A44" s="420">
        <v>45252</v>
      </c>
      <c r="B44" s="357">
        <v>486</v>
      </c>
      <c r="C44" s="421">
        <v>2.1579999999999999</v>
      </c>
      <c r="D44" s="421">
        <v>2.1579999999999999</v>
      </c>
    </row>
    <row r="45" spans="1:4">
      <c r="A45" s="420">
        <v>45252</v>
      </c>
      <c r="B45" s="357">
        <v>618</v>
      </c>
      <c r="C45" s="421">
        <v>2.9689999999999999</v>
      </c>
      <c r="D45" s="421">
        <v>2.9689999999999999</v>
      </c>
    </row>
    <row r="46" spans="1:4">
      <c r="A46" s="420">
        <v>45252</v>
      </c>
      <c r="B46" s="357">
        <v>596</v>
      </c>
      <c r="C46" s="421">
        <v>2.262</v>
      </c>
      <c r="D46" s="421">
        <v>2.262</v>
      </c>
    </row>
    <row r="47" spans="1:4">
      <c r="A47" s="420">
        <v>45252</v>
      </c>
      <c r="B47" s="357">
        <v>420</v>
      </c>
      <c r="C47" s="421">
        <v>-3.4609999999999999</v>
      </c>
      <c r="D47" s="421" t="s">
        <v>1060</v>
      </c>
    </row>
    <row r="48" spans="1:4">
      <c r="A48" s="376"/>
      <c r="B48" s="421"/>
      <c r="C48" s="423"/>
    </row>
    <row r="49" spans="1:3">
      <c r="A49" s="376"/>
      <c r="B49" s="421"/>
      <c r="C49" s="423"/>
    </row>
    <row r="50" spans="1:3">
      <c r="A50" s="376"/>
      <c r="B50" s="421"/>
      <c r="C50" s="376"/>
    </row>
    <row r="51" spans="1:3">
      <c r="A51" s="376"/>
      <c r="B51" s="421"/>
      <c r="C51" s="423"/>
    </row>
    <row r="52" spans="1:3">
      <c r="A52" s="376"/>
      <c r="B52" s="421"/>
      <c r="C52" s="423"/>
    </row>
    <row r="53" spans="1:3">
      <c r="A53" s="376"/>
      <c r="B53" s="421"/>
      <c r="C53" s="423"/>
    </row>
    <row r="54" spans="1:3">
      <c r="A54" s="376"/>
      <c r="B54" s="421"/>
      <c r="C54" s="376"/>
    </row>
    <row r="55" spans="1:3">
      <c r="A55" s="376"/>
      <c r="B55" s="421"/>
      <c r="C55" s="376"/>
    </row>
    <row r="56" spans="1:3">
      <c r="A56" s="376"/>
      <c r="B56" s="421"/>
      <c r="C56" s="423"/>
    </row>
    <row r="57" spans="1:3">
      <c r="A57" s="376"/>
      <c r="B57" s="421"/>
      <c r="C57" s="423"/>
    </row>
    <row r="58" spans="1:3">
      <c r="A58" s="376"/>
      <c r="B58" s="421"/>
      <c r="C58" s="376"/>
    </row>
    <row r="59" spans="1:3">
      <c r="A59" s="376"/>
      <c r="B59" s="421"/>
      <c r="C59" s="376"/>
    </row>
    <row r="60" spans="1:3">
      <c r="A60" s="376"/>
      <c r="B60" s="421"/>
      <c r="C60" s="423"/>
    </row>
    <row r="61" spans="1:3">
      <c r="A61" s="376"/>
      <c r="B61" s="421"/>
      <c r="C61" s="423"/>
    </row>
    <row r="62" spans="1:3">
      <c r="A62" s="376"/>
      <c r="B62" s="421"/>
      <c r="C62" s="423"/>
    </row>
    <row r="63" spans="1:3">
      <c r="A63" s="376"/>
      <c r="B63" s="421"/>
      <c r="C63" s="423"/>
    </row>
    <row r="64" spans="1:3">
      <c r="A64" s="376"/>
      <c r="B64" s="421"/>
      <c r="C64" s="423"/>
    </row>
    <row r="65" spans="1:3">
      <c r="A65" s="376"/>
      <c r="B65" s="421"/>
      <c r="C65" s="376"/>
    </row>
    <row r="66" spans="1:3">
      <c r="A66" s="376"/>
      <c r="B66" s="421"/>
      <c r="C66" s="423"/>
    </row>
    <row r="67" spans="1:3">
      <c r="A67" s="376"/>
      <c r="B67" s="421"/>
      <c r="C67" s="423"/>
    </row>
    <row r="68" spans="1:3">
      <c r="A68" s="376"/>
      <c r="B68" s="421"/>
      <c r="C68" s="423"/>
    </row>
    <row r="69" spans="1:3">
      <c r="A69" s="376"/>
      <c r="B69" s="421"/>
      <c r="C69" s="423"/>
    </row>
    <row r="70" spans="1:3">
      <c r="A70" s="376"/>
      <c r="B70" s="421"/>
      <c r="C70" s="423"/>
    </row>
    <row r="71" spans="1:3">
      <c r="A71" s="376"/>
      <c r="B71" s="421"/>
      <c r="C71" s="423"/>
    </row>
    <row r="72" spans="1:3">
      <c r="A72" s="376"/>
      <c r="B72" s="421"/>
      <c r="C72" s="376"/>
    </row>
    <row r="73" spans="1:3">
      <c r="A73" s="376"/>
      <c r="B73" s="421"/>
      <c r="C73" s="376"/>
    </row>
    <row r="74" spans="1:3">
      <c r="A74" s="376"/>
      <c r="B74" s="421"/>
      <c r="C74" s="423"/>
    </row>
    <row r="75" spans="1:3">
      <c r="A75" s="376"/>
      <c r="B75" s="421"/>
      <c r="C75" s="423"/>
    </row>
    <row r="76" spans="1:3">
      <c r="A76" s="376"/>
      <c r="B76" s="421"/>
      <c r="C76" s="423"/>
    </row>
    <row r="77" spans="1:3">
      <c r="A77" s="376"/>
      <c r="B77" s="421"/>
      <c r="C77" s="423"/>
    </row>
    <row r="78" spans="1:3">
      <c r="A78" s="376"/>
      <c r="B78" s="421"/>
      <c r="C78" s="376"/>
    </row>
    <row r="79" spans="1:3">
      <c r="A79" s="376"/>
      <c r="B79" s="421"/>
      <c r="C79" s="423"/>
    </row>
    <row r="80" spans="1:3">
      <c r="A80" s="376"/>
      <c r="B80" s="421"/>
      <c r="C80" s="376"/>
    </row>
    <row r="81" spans="1:3">
      <c r="A81" s="376"/>
      <c r="B81" s="421"/>
      <c r="C81" s="423"/>
    </row>
    <row r="82" spans="1:3">
      <c r="A82" s="376"/>
      <c r="B82" s="421"/>
      <c r="C82" s="423"/>
    </row>
    <row r="83" spans="1:3">
      <c r="A83" s="376"/>
      <c r="B83" s="421"/>
      <c r="C83" s="376"/>
    </row>
    <row r="84" spans="1:3">
      <c r="A84" s="376"/>
      <c r="B84" s="421"/>
      <c r="C84" s="376"/>
    </row>
    <row r="85" spans="1:3">
      <c r="A85" s="376"/>
      <c r="B85" s="421"/>
      <c r="C85" s="423"/>
    </row>
    <row r="86" spans="1:3">
      <c r="A86" s="376"/>
      <c r="B86" s="421"/>
      <c r="C86" s="3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TSS</vt:lpstr>
      <vt:lpstr>Ent</vt:lpstr>
      <vt:lpstr>SS</vt:lpstr>
      <vt:lpstr>BOD</vt:lpstr>
      <vt:lpstr>Chlor.a</vt:lpstr>
      <vt:lpstr>Turbidity</vt:lpstr>
      <vt:lpstr>DIC</vt:lpstr>
      <vt:lpstr>All DIC raw data</vt:lpstr>
      <vt:lpstr>TA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2024-05-22T15:15:52Z</dcterms:modified>
</cp:coreProperties>
</file>